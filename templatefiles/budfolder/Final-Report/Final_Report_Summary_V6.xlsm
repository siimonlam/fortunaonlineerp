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G:\.shortcut-targets-by-id\14Kgc2xmqdUd6ghjyUQS7ibjKnSHhBoTX\BUD-Template\Create_Folder\Final-Report\"/>
    </mc:Choice>
  </mc:AlternateContent>
  <xr:revisionPtr revIDLastSave="0" documentId="13_ncr:1_{0C879AF1-2625-40A8-ABA9-A25A5C4B12F5}" xr6:coauthVersionLast="47" xr6:coauthVersionMax="47" xr10:uidLastSave="{00000000-0000-0000-0000-000000000000}"/>
  <bookViews>
    <workbookView xWindow="-28920" yWindow="-9210" windowWidth="29040" windowHeight="15720" tabRatio="870" activeTab="11" xr2:uid="{00000000-000D-0000-FFFF-FFFF00000000}"/>
  </bookViews>
  <sheets>
    <sheet name="Inputs" sheetId="9" r:id="rId1"/>
    <sheet name="Sheet Nav &amp; Table Data" sheetId="3" state="hidden" r:id="rId2"/>
    <sheet name="Matter Sheet Template" sheetId="4" state="hidden" r:id="rId3"/>
    <sheet name="Client" sheetId="127" r:id="rId4"/>
    <sheet name="付款情況" sheetId="118" r:id="rId5"/>
    <sheet name="GeneralLedger" sheetId="119" r:id="rId6"/>
    <sheet name="Quote" sheetId="124" r:id="rId7"/>
    <sheet name="Checklist" sheetId="125" r:id="rId8"/>
    <sheet name="Deliverable" sheetId="120" r:id="rId9"/>
    <sheet name="Income&amp;Expenses" sheetId="123" r:id="rId10"/>
    <sheet name="Payroll+Rental" sheetId="128" r:id="rId11"/>
    <sheet name="Recruitment record checklist" sheetId="129" r:id="rId12"/>
    <sheet name="BalanceSheet" sheetId="121" r:id="rId13"/>
    <sheet name="相關收入" sheetId="122" r:id="rId14"/>
    <sheet name="ListOfSheetsHIDE" sheetId="1" state="hidden" r:id="rId15"/>
    <sheet name="FormListHIDE" sheetId="2" state="hidden" r:id="rId16"/>
    <sheet name="ContactsUniqueListHIDE" sheetId="6" state="hidden" r:id="rId17"/>
  </sheets>
  <functionGroups builtInGroupCount="19"/>
  <definedNames>
    <definedName name="_xleta.AND" hidden="1" xlm="1">#NAME?</definedName>
    <definedName name="andLAB_A_marketing_Deliverable">Quote!$H$1:$Q$1</definedName>
    <definedName name="company_B_marketing_Deliverable">Quote!$H$13:$Q$13</definedName>
    <definedName name="company_C_marketing_Deliverable">Quote!$H$22:$Q$22</definedName>
    <definedName name="CurrencyInputCell">Inputs!$B$15</definedName>
    <definedName name="CurrentListBoxItemNumberCell">ListOfSheetsHIDE!$C$2</definedName>
    <definedName name="DateCell" localSheetId="3">Client!$C$23</definedName>
    <definedName name="DateCell">'Matter Sheet Template'!$C$23</definedName>
    <definedName name="EndOfTableDataCell" localSheetId="3">Client!$B$35</definedName>
    <definedName name="EndOfTableDataCell">'Matter Sheet Template'!$B$35</definedName>
    <definedName name="EndOfVariablesInListFormatCell" localSheetId="3">Client!$B$141</definedName>
    <definedName name="EndOfVariablesInListFormatCell">'Matter Sheet Template'!$B$141</definedName>
    <definedName name="ExpiryDateCell">'Sheet Nav &amp; Table Data'!$E$1</definedName>
    <definedName name="FirstLevelSubfolders">Inputs!$B$20</definedName>
    <definedName name="FormLibraryList">Inputs!$B$2</definedName>
    <definedName name="FormLibraryNumber" localSheetId="3">Client!$B$5</definedName>
    <definedName name="FormLibraryNumber">'Matter Sheet Template'!$B$5</definedName>
    <definedName name="FormNarrowBox" localSheetId="3">Client!$D$19</definedName>
    <definedName name="FormNarrowBox">'Matter Sheet Template'!$D$19</definedName>
    <definedName name="HeadingListFolderForTableChecksCell">Inputs!$B$58</definedName>
    <definedName name="LB3Selection">#REF!</definedName>
    <definedName name="LeftOfTableHeadingsContactsSheetCell">'Sheet Nav &amp; Table Data'!$B$18</definedName>
    <definedName name="LeftOfTableHeadingsTemplateSheetCell" localSheetId="3">Client!$C$29</definedName>
    <definedName name="LeftOfTableHeadingsTemplateSheetCell">'Matter Sheet Template'!$C$29</definedName>
    <definedName name="MarkerCellForTypeOfForm" localSheetId="3">Client!$D$6</definedName>
    <definedName name="MarkerCellForTypeOfForm">'Matter Sheet Template'!$D$6</definedName>
    <definedName name="NarrowCellContacts">'Sheet Nav &amp; Table Data'!$B$3</definedName>
    <definedName name="NarrowCellListOfSheets">ListOfSheetsHIDE!$B$1</definedName>
    <definedName name="NarrowTextFromActiveSheet">FormListHIDE!$N$2</definedName>
    <definedName name="RightOfTableHeadingsContactsSheetCell">'Sheet Nav &amp; Table Data'!$P$18</definedName>
    <definedName name="RightOfTableHeadingsTemplateSheetCell" localSheetId="3">Client!$Q$29</definedName>
    <definedName name="RightOfTableHeadingsTemplateSheetCell">'Matter Sheet Template'!$Q$29</definedName>
    <definedName name="RootPathFolderCell" localSheetId="3">Client!$B$92</definedName>
    <definedName name="RootPathFolderCell">'Matter Sheet Template'!$B$92</definedName>
    <definedName name="SecondLevelSubfolders">Inputs!$C$20</definedName>
    <definedName name="StartOfTableDataCell" localSheetId="3">Client!$B$29</definedName>
    <definedName name="StartOfTableDataCell">'Matter Sheet Template'!$B$29</definedName>
    <definedName name="StartOfVariablesInListFormatCell" localSheetId="3">Client!$B$38</definedName>
    <definedName name="StartOfVariablesInListFormatCell">'Matter Sheet Template'!$B$38</definedName>
    <definedName name="TableDataDupCheck2Cell">Inputs!$C$45</definedName>
    <definedName name="TableDataDupCheckCell">Inputs!$C$44</definedName>
    <definedName name="ThirdLevelSubfolders">Inputs!$D$20</definedName>
    <definedName name="VariableContentsCell" localSheetId="3">Client!$D$38</definedName>
    <definedName name="VariableContentsCell">'Matter Sheet Template'!$D$38</definedName>
    <definedName name="WhetherToCheckLeftColumnCell">ListOfSheetsHIDE!$N$1</definedName>
  </definedNames>
  <calcPr calcId="191029"/>
  <pivotCaches>
    <pivotCache cacheId="2"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129" l="1"/>
  <c r="M60" i="129"/>
  <c r="M58" i="129"/>
  <c r="M54" i="129"/>
  <c r="M52" i="129"/>
  <c r="M48" i="129"/>
  <c r="M46" i="129"/>
  <c r="M42" i="129"/>
  <c r="M40" i="129"/>
  <c r="M36" i="129"/>
  <c r="M34" i="129"/>
  <c r="M30" i="129"/>
  <c r="M28" i="129"/>
  <c r="M24" i="129"/>
  <c r="M22" i="129"/>
  <c r="M18" i="129"/>
  <c r="M16" i="129"/>
  <c r="M12" i="129"/>
  <c r="M10" i="129"/>
  <c r="M6" i="129"/>
  <c r="K60" i="129"/>
  <c r="I60" i="129"/>
  <c r="G60" i="129"/>
  <c r="K54" i="129"/>
  <c r="I54" i="129"/>
  <c r="G54" i="129"/>
  <c r="K48" i="129"/>
  <c r="I48" i="129"/>
  <c r="G48" i="129"/>
  <c r="K42" i="129"/>
  <c r="I42" i="129"/>
  <c r="G42" i="129"/>
  <c r="K36" i="129"/>
  <c r="I36" i="129"/>
  <c r="G36" i="129"/>
  <c r="K30" i="129"/>
  <c r="I30" i="129"/>
  <c r="G30" i="129"/>
  <c r="K24" i="129"/>
  <c r="I24" i="129"/>
  <c r="G24" i="129"/>
  <c r="K18" i="129"/>
  <c r="I18" i="129"/>
  <c r="G18" i="129"/>
  <c r="K12" i="129"/>
  <c r="I12" i="129"/>
  <c r="G12" i="129"/>
  <c r="K6" i="129"/>
  <c r="I6" i="129"/>
  <c r="G6" i="129"/>
  <c r="G59" i="129"/>
  <c r="G53" i="129"/>
  <c r="G47" i="129"/>
  <c r="G41" i="129"/>
  <c r="G35" i="129"/>
  <c r="G29" i="129"/>
  <c r="G23" i="129"/>
  <c r="G17" i="129"/>
  <c r="G11" i="129"/>
  <c r="G5" i="129"/>
  <c r="K58" i="129"/>
  <c r="I58" i="129"/>
  <c r="G58" i="129"/>
  <c r="K52" i="129"/>
  <c r="I52" i="129"/>
  <c r="G52" i="129"/>
  <c r="K46" i="129"/>
  <c r="I46" i="129"/>
  <c r="G46" i="129"/>
  <c r="K40" i="129"/>
  <c r="I40" i="129"/>
  <c r="G40" i="129"/>
  <c r="K34" i="129"/>
  <c r="I34" i="129"/>
  <c r="G34" i="129"/>
  <c r="K28" i="129"/>
  <c r="I28" i="129"/>
  <c r="G28" i="129"/>
  <c r="K22" i="129"/>
  <c r="I22" i="129"/>
  <c r="G22" i="129"/>
  <c r="K16" i="129"/>
  <c r="I16" i="129"/>
  <c r="G16" i="129"/>
  <c r="K10" i="129"/>
  <c r="I10" i="129"/>
  <c r="G10" i="129"/>
  <c r="K4" i="129"/>
  <c r="I4" i="129"/>
  <c r="G4" i="129"/>
  <c r="P23" i="124"/>
  <c r="O23" i="124"/>
  <c r="N23" i="124"/>
  <c r="M23" i="124"/>
  <c r="P14" i="124"/>
  <c r="O14" i="124"/>
  <c r="N14" i="124"/>
  <c r="M14" i="124"/>
  <c r="O2" i="124"/>
  <c r="P2" i="124"/>
  <c r="N2" i="124"/>
  <c r="M2" i="124"/>
  <c r="G47" i="127"/>
  <c r="D81" i="127" s="1"/>
  <c r="H29" i="124"/>
  <c r="H20" i="124"/>
  <c r="X9" i="124"/>
  <c r="W9" i="124"/>
  <c r="V9" i="124"/>
  <c r="U9" i="124"/>
  <c r="X8" i="124"/>
  <c r="L8" i="124" s="1"/>
  <c r="W8" i="124"/>
  <c r="K8" i="124" s="1"/>
  <c r="V8" i="124"/>
  <c r="J8" i="124" s="1"/>
  <c r="U8" i="124"/>
  <c r="I8" i="124" s="1"/>
  <c r="X7" i="124"/>
  <c r="L7" i="124" s="1"/>
  <c r="W7" i="124"/>
  <c r="K7" i="124" s="1"/>
  <c r="V7" i="124"/>
  <c r="J7" i="124" s="1"/>
  <c r="U7" i="124"/>
  <c r="I7" i="124" s="1"/>
  <c r="X6" i="124"/>
  <c r="L6" i="124" s="1"/>
  <c r="W6" i="124"/>
  <c r="K6" i="124" s="1"/>
  <c r="V6" i="124"/>
  <c r="J6" i="124" s="1"/>
  <c r="U6" i="124"/>
  <c r="I6" i="124" s="1"/>
  <c r="X5" i="124"/>
  <c r="L5" i="124" s="1"/>
  <c r="W5" i="124"/>
  <c r="K5" i="124" s="1"/>
  <c r="V5" i="124"/>
  <c r="J5" i="124" s="1"/>
  <c r="U5" i="124"/>
  <c r="I5" i="124" s="1"/>
  <c r="G45" i="127"/>
  <c r="X28" i="124"/>
  <c r="L28" i="124" s="1"/>
  <c r="W28" i="124"/>
  <c r="K28" i="124" s="1"/>
  <c r="V28" i="124"/>
  <c r="J28" i="124" s="1"/>
  <c r="U28" i="124"/>
  <c r="I28" i="124" s="1"/>
  <c r="X27" i="124"/>
  <c r="L27" i="124" s="1"/>
  <c r="W27" i="124"/>
  <c r="K27" i="124" s="1"/>
  <c r="V27" i="124"/>
  <c r="J27" i="124" s="1"/>
  <c r="U27" i="124"/>
  <c r="I27" i="124" s="1"/>
  <c r="X26" i="124"/>
  <c r="L26" i="124" s="1"/>
  <c r="W26" i="124"/>
  <c r="K26" i="124" s="1"/>
  <c r="V26" i="124"/>
  <c r="J26" i="124" s="1"/>
  <c r="U26" i="124"/>
  <c r="I26" i="124" s="1"/>
  <c r="X19" i="124"/>
  <c r="L19" i="124" s="1"/>
  <c r="W19" i="124"/>
  <c r="K19" i="124" s="1"/>
  <c r="V19" i="124"/>
  <c r="J19" i="124" s="1"/>
  <c r="U19" i="124"/>
  <c r="I19" i="124" s="1"/>
  <c r="X18" i="124"/>
  <c r="L18" i="124" s="1"/>
  <c r="W18" i="124"/>
  <c r="K18" i="124" s="1"/>
  <c r="V18" i="124"/>
  <c r="J18" i="124" s="1"/>
  <c r="U18" i="124"/>
  <c r="I18" i="124" s="1"/>
  <c r="X17" i="124"/>
  <c r="L17" i="124" s="1"/>
  <c r="W17" i="124"/>
  <c r="K17" i="124" s="1"/>
  <c r="V17" i="124"/>
  <c r="J17" i="124" s="1"/>
  <c r="U17" i="124"/>
  <c r="I17" i="124" s="1"/>
  <c r="H9" i="124"/>
  <c r="E28" i="124"/>
  <c r="D28" i="124"/>
  <c r="C28" i="124"/>
  <c r="E27" i="124"/>
  <c r="D27" i="124"/>
  <c r="C27" i="124"/>
  <c r="E26" i="124"/>
  <c r="D26" i="124"/>
  <c r="C26" i="124"/>
  <c r="G25" i="124"/>
  <c r="G24" i="124"/>
  <c r="D71" i="127"/>
  <c r="E19" i="124"/>
  <c r="D19" i="124"/>
  <c r="C19" i="124"/>
  <c r="E18" i="124"/>
  <c r="D18" i="124"/>
  <c r="C18" i="124"/>
  <c r="E17" i="124"/>
  <c r="D17" i="124"/>
  <c r="C17" i="124"/>
  <c r="G16" i="124"/>
  <c r="G15" i="124"/>
  <c r="G46" i="127"/>
  <c r="F41" i="127"/>
  <c r="P17" i="128"/>
  <c r="N17" i="128"/>
  <c r="R5" i="124" a="1"/>
  <c r="R17" i="124" a="1"/>
  <c r="R26" i="124" a="1"/>
  <c r="J29" i="124" l="1"/>
  <c r="K20" i="124"/>
  <c r="L20" i="124"/>
  <c r="I29" i="124"/>
  <c r="K29" i="124"/>
  <c r="L29" i="124"/>
  <c r="I20" i="124"/>
  <c r="J20" i="124"/>
  <c r="R26" i="124"/>
  <c r="N26" i="124" s="1" a="1"/>
  <c r="N26" i="124" s="1"/>
  <c r="R17" i="124"/>
  <c r="R5" i="124"/>
  <c r="M5" i="124" s="1" a="1"/>
  <c r="M5" i="124" s="1"/>
  <c r="G18" i="124"/>
  <c r="G27" i="124"/>
  <c r="D76" i="127"/>
  <c r="D77" i="127"/>
  <c r="D78" i="127"/>
  <c r="D79" i="127"/>
  <c r="D80" i="127"/>
  <c r="F39" i="127" a="1"/>
  <c r="F39" i="127" s="1"/>
  <c r="C23" i="127" s="1"/>
  <c r="G17" i="128"/>
  <c r="F17" i="128"/>
  <c r="C5" i="123"/>
  <c r="R6" i="124" a="1"/>
  <c r="R18" i="124" a="1"/>
  <c r="R27" i="124" a="1"/>
  <c r="G20" i="124" l="1"/>
  <c r="G29" i="124"/>
  <c r="P26" i="124" a="1"/>
  <c r="P26" i="124" s="1"/>
  <c r="M26" i="124" a="1"/>
  <c r="M26" i="124" s="1"/>
  <c r="O26" i="124" a="1"/>
  <c r="O26" i="124" s="1"/>
  <c r="P17" i="124" a="1"/>
  <c r="P17" i="124" s="1"/>
  <c r="O17" i="124" a="1"/>
  <c r="O17" i="124" s="1"/>
  <c r="N17" i="124" a="1"/>
  <c r="N17" i="124" s="1"/>
  <c r="M17" i="124" a="1"/>
  <c r="M17" i="124" s="1"/>
  <c r="R27" i="124"/>
  <c r="R18" i="124"/>
  <c r="N5" i="124" a="1"/>
  <c r="N5" i="124" s="1"/>
  <c r="R6" i="124"/>
  <c r="N6" i="124" s="1" a="1"/>
  <c r="N6" i="124" s="1"/>
  <c r="D72" i="127"/>
  <c r="G17" i="124"/>
  <c r="G26" i="124"/>
  <c r="I9" i="124"/>
  <c r="G28" i="124"/>
  <c r="G19" i="124"/>
  <c r="J22" i="120"/>
  <c r="F30" i="119"/>
  <c r="K4" i="120"/>
  <c r="K5" i="120"/>
  <c r="K6" i="120"/>
  <c r="K7" i="120"/>
  <c r="K8" i="120"/>
  <c r="K9" i="120"/>
  <c r="K10" i="120"/>
  <c r="K11" i="120"/>
  <c r="K12" i="120"/>
  <c r="K13" i="120"/>
  <c r="K14" i="120"/>
  <c r="K15" i="120"/>
  <c r="K16" i="120"/>
  <c r="K17" i="120"/>
  <c r="K18" i="120"/>
  <c r="K19" i="120"/>
  <c r="M6" i="118"/>
  <c r="K6" i="118"/>
  <c r="M33" i="118"/>
  <c r="O33" i="118"/>
  <c r="Q33" i="118"/>
  <c r="S33" i="118"/>
  <c r="U33" i="118"/>
  <c r="W33" i="118"/>
  <c r="Y33" i="118"/>
  <c r="AA33" i="118"/>
  <c r="K33" i="118"/>
  <c r="D97" i="4"/>
  <c r="D96" i="4"/>
  <c r="D95" i="4"/>
  <c r="D97" i="127"/>
  <c r="D96" i="127"/>
  <c r="D95" i="127"/>
  <c r="H26" i="118"/>
  <c r="H25" i="118"/>
  <c r="H24" i="118"/>
  <c r="H23" i="118"/>
  <c r="H22" i="118"/>
  <c r="H21" i="118"/>
  <c r="H20" i="118"/>
  <c r="H19" i="118"/>
  <c r="H18" i="118"/>
  <c r="H17" i="118"/>
  <c r="H16" i="118"/>
  <c r="H15" i="118"/>
  <c r="H14" i="118"/>
  <c r="H13" i="118"/>
  <c r="H12" i="118"/>
  <c r="H11" i="118"/>
  <c r="H10" i="118"/>
  <c r="E92" i="4" a="1"/>
  <c r="E92" i="4" s="1"/>
  <c r="D92" i="4" s="1" a="1"/>
  <c r="D92" i="4" s="1"/>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a="1"/>
  <c r="D54" i="4" s="1"/>
  <c r="D53" i="4"/>
  <c r="D52" i="4"/>
  <c r="D51" i="4"/>
  <c r="D49" i="4"/>
  <c r="D48" i="4"/>
  <c r="D47" i="4"/>
  <c r="D46" i="4"/>
  <c r="D45" i="4"/>
  <c r="D44" i="4"/>
  <c r="D43" i="4"/>
  <c r="D42" i="4"/>
  <c r="D41" i="4"/>
  <c r="R28" i="124" a="1"/>
  <c r="R19" i="124" a="1"/>
  <c r="R7" i="124" a="1"/>
  <c r="N27" i="124" l="1" a="1"/>
  <c r="N27" i="124" s="1"/>
  <c r="O27" i="124" a="1"/>
  <c r="O27" i="124" s="1"/>
  <c r="P27" i="124" a="1"/>
  <c r="P27" i="124" s="1"/>
  <c r="M27" i="124" a="1"/>
  <c r="M27" i="124" s="1"/>
  <c r="O18" i="124" a="1"/>
  <c r="O18" i="124" s="1"/>
  <c r="N18" i="124" a="1"/>
  <c r="N18" i="124" s="1"/>
  <c r="P18" i="124" a="1"/>
  <c r="P18" i="124" s="1"/>
  <c r="M18" i="124" a="1"/>
  <c r="M18" i="124" s="1"/>
  <c r="R28" i="124"/>
  <c r="R19" i="124"/>
  <c r="P5" i="124" a="1"/>
  <c r="P5" i="124" s="1"/>
  <c r="O5" i="124" a="1"/>
  <c r="O5" i="124" s="1"/>
  <c r="M6" i="124" a="1"/>
  <c r="M6" i="124" s="1"/>
  <c r="P6" i="124" a="1"/>
  <c r="P6" i="124" s="1"/>
  <c r="O6" i="124" a="1"/>
  <c r="O6" i="124" s="1"/>
  <c r="R7" i="124"/>
  <c r="J9" i="124"/>
  <c r="K9" i="124"/>
  <c r="H33" i="118"/>
  <c r="D93" i="4"/>
  <c r="D69" i="127"/>
  <c r="D70" i="127"/>
  <c r="D68" i="127"/>
  <c r="D67" i="127"/>
  <c r="D66" i="127"/>
  <c r="D65" i="127"/>
  <c r="D64" i="127"/>
  <c r="D63" i="127"/>
  <c r="D62" i="127"/>
  <c r="D61" i="127"/>
  <c r="D60" i="127"/>
  <c r="D59" i="127"/>
  <c r="D58" i="127"/>
  <c r="D57" i="127"/>
  <c r="D56" i="127"/>
  <c r="D55" i="127"/>
  <c r="D54" i="127" a="1"/>
  <c r="D54" i="127" s="1"/>
  <c r="D53" i="127"/>
  <c r="D52" i="127"/>
  <c r="D51" i="127"/>
  <c r="K3" i="120"/>
  <c r="E92" i="127" a="1"/>
  <c r="E92" i="127" s="1"/>
  <c r="D92" i="127" s="1" a="1"/>
  <c r="D92" i="127" s="1"/>
  <c r="D49" i="127"/>
  <c r="D48" i="127"/>
  <c r="D47" i="127"/>
  <c r="D46" i="127"/>
  <c r="D45" i="127"/>
  <c r="D44" i="127"/>
  <c r="D43" i="127"/>
  <c r="D42" i="127"/>
  <c r="D41" i="127"/>
  <c r="R8" i="124" a="1"/>
  <c r="O28" i="124" l="1" a="1"/>
  <c r="O28" i="124" s="1"/>
  <c r="O29" i="124" s="1"/>
  <c r="N28" i="124" a="1"/>
  <c r="N28" i="124" s="1"/>
  <c r="N29" i="124" s="1"/>
  <c r="M28" i="124" a="1"/>
  <c r="M28" i="124" s="1"/>
  <c r="M29" i="124" s="1"/>
  <c r="P28" i="124" a="1"/>
  <c r="P28" i="124" s="1"/>
  <c r="P29" i="124" s="1"/>
  <c r="O19" i="124" a="1"/>
  <c r="O19" i="124" s="1"/>
  <c r="O20" i="124" s="1"/>
  <c r="N19" i="124" a="1"/>
  <c r="N19" i="124" s="1"/>
  <c r="N20" i="124" s="1"/>
  <c r="M19" i="124" a="1"/>
  <c r="M19" i="124" s="1"/>
  <c r="M20" i="124" s="1"/>
  <c r="P19" i="124" a="1"/>
  <c r="P19" i="124" s="1"/>
  <c r="P20" i="124" s="1"/>
  <c r="M7" i="124" a="1"/>
  <c r="M7" i="124" s="1"/>
  <c r="N7" i="124" a="1"/>
  <c r="N7" i="124" s="1"/>
  <c r="O7" i="124" a="1"/>
  <c r="O7" i="124" s="1"/>
  <c r="D73" i="127"/>
  <c r="L9" i="124"/>
  <c r="G9" i="124" s="1"/>
  <c r="P7" i="124" a="1"/>
  <c r="P7" i="124" s="1"/>
  <c r="R8" i="124"/>
  <c r="E36" i="127"/>
  <c r="D94" i="127"/>
  <c r="D74" i="127" l="1"/>
  <c r="M8" i="124" a="1"/>
  <c r="M8" i="124" s="1"/>
  <c r="N8" i="124" a="1"/>
  <c r="N8" i="124" s="1"/>
  <c r="N9" i="124" s="1"/>
  <c r="O8" i="124" a="1"/>
  <c r="O8" i="124" s="1"/>
  <c r="O9" i="124" s="1"/>
  <c r="P8" i="124" a="1"/>
  <c r="P8" i="124" s="1"/>
  <c r="P9" i="124" s="1"/>
  <c r="G5" i="124"/>
  <c r="E8" i="124"/>
  <c r="E7" i="124"/>
  <c r="E6" i="124"/>
  <c r="E5" i="124"/>
  <c r="D8" i="124"/>
  <c r="D7" i="124"/>
  <c r="D6" i="124"/>
  <c r="D5" i="124"/>
  <c r="C8" i="124"/>
  <c r="C7" i="124"/>
  <c r="C6" i="124"/>
  <c r="C5" i="124"/>
  <c r="G8" i="124"/>
  <c r="G7" i="124"/>
  <c r="G6" i="124"/>
  <c r="G4" i="124"/>
  <c r="G3" i="124"/>
  <c r="B5" i="122"/>
  <c r="C13" i="121"/>
  <c r="F26" i="118"/>
  <c r="F25" i="118"/>
  <c r="F24" i="118"/>
  <c r="F23" i="118"/>
  <c r="F22" i="118"/>
  <c r="F21" i="118"/>
  <c r="F20" i="118"/>
  <c r="F19" i="118"/>
  <c r="F18" i="118"/>
  <c r="F17" i="118"/>
  <c r="F16" i="118"/>
  <c r="F15" i="118"/>
  <c r="F14" i="118"/>
  <c r="F13" i="118"/>
  <c r="F12" i="118"/>
  <c r="F11" i="118"/>
  <c r="F10" i="118"/>
  <c r="I26" i="118"/>
  <c r="G26" i="118" s="1"/>
  <c r="I25" i="118"/>
  <c r="G25" i="118" s="1"/>
  <c r="I24" i="118"/>
  <c r="G24" i="118" s="1"/>
  <c r="I23" i="118"/>
  <c r="I22" i="118"/>
  <c r="G22" i="118" s="1"/>
  <c r="I21" i="118"/>
  <c r="G21" i="118" s="1"/>
  <c r="I20" i="118"/>
  <c r="I19" i="118"/>
  <c r="I18" i="118"/>
  <c r="I17" i="118"/>
  <c r="I16" i="118"/>
  <c r="G16" i="118" s="1"/>
  <c r="I15" i="118"/>
  <c r="G15" i="118" s="1"/>
  <c r="I14" i="118"/>
  <c r="G14" i="118" s="1"/>
  <c r="I13" i="118"/>
  <c r="G13" i="118" s="1"/>
  <c r="I12" i="118"/>
  <c r="G12" i="118" s="1"/>
  <c r="I11" i="118"/>
  <c r="G11" i="118" s="1"/>
  <c r="I10" i="118"/>
  <c r="H19" i="120"/>
  <c r="G19" i="120"/>
  <c r="C26" i="118"/>
  <c r="C25" i="118"/>
  <c r="C24" i="118"/>
  <c r="C23" i="118"/>
  <c r="C22" i="118"/>
  <c r="C21" i="118"/>
  <c r="C20" i="118"/>
  <c r="C19" i="118"/>
  <c r="C18" i="118"/>
  <c r="C17" i="118"/>
  <c r="C16" i="118"/>
  <c r="C15" i="118"/>
  <c r="C14" i="118"/>
  <c r="C13" i="118"/>
  <c r="C12" i="118"/>
  <c r="C11" i="118"/>
  <c r="C10" i="118"/>
  <c r="B10" i="118"/>
  <c r="B26" i="118"/>
  <c r="B25" i="118"/>
  <c r="B24" i="118"/>
  <c r="B23" i="118"/>
  <c r="B22" i="118"/>
  <c r="B21" i="118"/>
  <c r="B20" i="118"/>
  <c r="B19" i="118"/>
  <c r="B18" i="118"/>
  <c r="B17" i="118"/>
  <c r="B16" i="118"/>
  <c r="B15" i="118"/>
  <c r="B14" i="118"/>
  <c r="B13" i="118"/>
  <c r="B12" i="118"/>
  <c r="B11" i="118"/>
  <c r="H18" i="120"/>
  <c r="G18" i="120"/>
  <c r="H17" i="120"/>
  <c r="G17" i="120"/>
  <c r="H16" i="120"/>
  <c r="G16" i="120"/>
  <c r="H15" i="120"/>
  <c r="G15" i="120"/>
  <c r="H14" i="120"/>
  <c r="G14" i="120"/>
  <c r="H13" i="120"/>
  <c r="G13" i="120"/>
  <c r="H12" i="120"/>
  <c r="G12" i="120"/>
  <c r="H11" i="120"/>
  <c r="G11" i="120"/>
  <c r="H10" i="120"/>
  <c r="G10" i="120"/>
  <c r="H9" i="120"/>
  <c r="G9" i="120"/>
  <c r="H8" i="120"/>
  <c r="G8" i="120"/>
  <c r="H7" i="120"/>
  <c r="G7" i="120"/>
  <c r="H6" i="120"/>
  <c r="G6" i="120"/>
  <c r="H5" i="120"/>
  <c r="G5" i="120"/>
  <c r="H4" i="120"/>
  <c r="G4" i="120"/>
  <c r="H3" i="120"/>
  <c r="G3" i="120"/>
  <c r="O3" i="118"/>
  <c r="M9" i="118"/>
  <c r="M8" i="118"/>
  <c r="M2" i="118" s="1"/>
  <c r="M7" i="118"/>
  <c r="M5" i="118"/>
  <c r="M4" i="118"/>
  <c r="K9" i="118"/>
  <c r="K8" i="118"/>
  <c r="K2" i="118" s="1"/>
  <c r="K7" i="118"/>
  <c r="K5" i="118"/>
  <c r="K4" i="118"/>
  <c r="M9" i="124" l="1"/>
  <c r="D75" i="127"/>
  <c r="D93" i="127" s="1"/>
  <c r="C19" i="123"/>
  <c r="C11" i="123"/>
  <c r="C20" i="123"/>
  <c r="C16" i="123"/>
  <c r="C14" i="123"/>
  <c r="C13" i="123"/>
  <c r="C12" i="123"/>
  <c r="C10" i="123"/>
  <c r="C18" i="123"/>
  <c r="C9" i="123"/>
  <c r="C17" i="123"/>
  <c r="C22" i="123"/>
  <c r="C15" i="123"/>
  <c r="C21" i="123"/>
  <c r="C8" i="123"/>
  <c r="G10" i="118"/>
  <c r="I33" i="118"/>
  <c r="O9" i="118"/>
  <c r="O6" i="118"/>
  <c r="D18" i="118"/>
  <c r="G18" i="118"/>
  <c r="D17" i="118"/>
  <c r="G17" i="118"/>
  <c r="D19" i="118"/>
  <c r="G19" i="118"/>
  <c r="D20" i="118"/>
  <c r="G20" i="118"/>
  <c r="D23" i="118"/>
  <c r="G23" i="118"/>
  <c r="D21" i="118"/>
  <c r="D22" i="118"/>
  <c r="D24" i="118"/>
  <c r="D25" i="118"/>
  <c r="D10" i="118"/>
  <c r="D26" i="118"/>
  <c r="D12" i="118"/>
  <c r="D13" i="118"/>
  <c r="Q3" i="118"/>
  <c r="D11" i="118"/>
  <c r="D14" i="118"/>
  <c r="D15" i="118"/>
  <c r="D16" i="118"/>
  <c r="O5" i="118"/>
  <c r="O8" i="118"/>
  <c r="O2" i="118" s="1"/>
  <c r="O7" i="118"/>
  <c r="O4" i="118"/>
  <c r="C24" i="123" l="1"/>
  <c r="C27" i="123" s="1"/>
  <c r="S3" i="118"/>
  <c r="S6" i="118" s="1"/>
  <c r="Q6" i="118"/>
  <c r="Q9" i="118"/>
  <c r="Q8" i="118"/>
  <c r="Q2" i="118" s="1"/>
  <c r="Q4" i="118"/>
  <c r="Q7" i="118"/>
  <c r="Q5" i="118"/>
  <c r="C4999" i="6"/>
  <c r="D4999" i="6" s="1"/>
  <c r="C4998" i="6"/>
  <c r="D4998" i="6" s="1"/>
  <c r="C4997" i="6"/>
  <c r="D4997" i="6" s="1"/>
  <c r="C4996" i="6"/>
  <c r="D4996" i="6" s="1"/>
  <c r="C4995" i="6"/>
  <c r="D4995" i="6" s="1"/>
  <c r="C4994" i="6"/>
  <c r="D4994" i="6" s="1"/>
  <c r="C4993" i="6"/>
  <c r="D4993" i="6" s="1"/>
  <c r="C4992" i="6"/>
  <c r="D4992" i="6" s="1"/>
  <c r="C4991" i="6"/>
  <c r="D4991" i="6" s="1"/>
  <c r="C4990" i="6"/>
  <c r="D4990" i="6" s="1"/>
  <c r="C4989" i="6"/>
  <c r="D4989" i="6" s="1"/>
  <c r="C4988" i="6"/>
  <c r="D4988" i="6" s="1"/>
  <c r="C4987" i="6"/>
  <c r="D4987" i="6" s="1"/>
  <c r="C4986" i="6"/>
  <c r="D4986" i="6" s="1"/>
  <c r="C4985" i="6"/>
  <c r="D4985" i="6" s="1"/>
  <c r="C4984" i="6"/>
  <c r="D4984" i="6" s="1"/>
  <c r="C4983" i="6"/>
  <c r="D4983" i="6" s="1"/>
  <c r="C4982" i="6"/>
  <c r="D4982" i="6" s="1"/>
  <c r="C4981" i="6"/>
  <c r="D4981" i="6" s="1"/>
  <c r="C4980" i="6"/>
  <c r="D4980" i="6" s="1"/>
  <c r="C4979" i="6"/>
  <c r="D4979" i="6" s="1"/>
  <c r="C4978" i="6"/>
  <c r="D4978" i="6" s="1"/>
  <c r="C4977" i="6"/>
  <c r="D4977" i="6" s="1"/>
  <c r="C4976" i="6"/>
  <c r="D4976" i="6" s="1"/>
  <c r="C4975" i="6"/>
  <c r="D4975" i="6" s="1"/>
  <c r="C4974" i="6"/>
  <c r="D4974" i="6" s="1"/>
  <c r="C4973" i="6"/>
  <c r="D4973" i="6" s="1"/>
  <c r="C4972" i="6"/>
  <c r="D4972" i="6" s="1"/>
  <c r="C4971" i="6"/>
  <c r="D4971" i="6" s="1"/>
  <c r="C4970" i="6"/>
  <c r="D4970" i="6" s="1"/>
  <c r="C4969" i="6"/>
  <c r="D4969" i="6" s="1"/>
  <c r="C4968" i="6"/>
  <c r="D4968" i="6" s="1"/>
  <c r="C4967" i="6"/>
  <c r="D4967" i="6" s="1"/>
  <c r="C4966" i="6"/>
  <c r="D4966" i="6" s="1"/>
  <c r="C4965" i="6"/>
  <c r="D4965" i="6" s="1"/>
  <c r="C4964" i="6"/>
  <c r="D4964" i="6" s="1"/>
  <c r="C4963" i="6"/>
  <c r="D4963" i="6" s="1"/>
  <c r="C4962" i="6"/>
  <c r="D4962" i="6" s="1"/>
  <c r="C4961" i="6"/>
  <c r="D4961" i="6" s="1"/>
  <c r="C4960" i="6"/>
  <c r="D4960" i="6" s="1"/>
  <c r="C4959" i="6"/>
  <c r="D4959" i="6" s="1"/>
  <c r="C4958" i="6"/>
  <c r="D4958" i="6" s="1"/>
  <c r="C4957" i="6"/>
  <c r="D4957" i="6" s="1"/>
  <c r="C4956" i="6"/>
  <c r="D4956" i="6" s="1"/>
  <c r="C4955" i="6"/>
  <c r="D4955" i="6" s="1"/>
  <c r="C4954" i="6"/>
  <c r="D4954" i="6" s="1"/>
  <c r="C4953" i="6"/>
  <c r="D4953" i="6" s="1"/>
  <c r="C4952" i="6"/>
  <c r="D4952" i="6" s="1"/>
  <c r="C4951" i="6"/>
  <c r="D4951" i="6" s="1"/>
  <c r="C4950" i="6"/>
  <c r="D4950" i="6" s="1"/>
  <c r="C4949" i="6"/>
  <c r="D4949" i="6" s="1"/>
  <c r="C4948" i="6"/>
  <c r="D4948" i="6" s="1"/>
  <c r="C4947" i="6"/>
  <c r="D4947" i="6" s="1"/>
  <c r="C4946" i="6"/>
  <c r="D4946" i="6" s="1"/>
  <c r="C4945" i="6"/>
  <c r="D4945" i="6" s="1"/>
  <c r="C4944" i="6"/>
  <c r="D4944" i="6" s="1"/>
  <c r="C4943" i="6"/>
  <c r="D4943" i="6" s="1"/>
  <c r="C4942" i="6"/>
  <c r="D4942" i="6" s="1"/>
  <c r="C4941" i="6"/>
  <c r="D4941" i="6" s="1"/>
  <c r="C4940" i="6"/>
  <c r="D4940" i="6" s="1"/>
  <c r="C4939" i="6"/>
  <c r="D4939" i="6" s="1"/>
  <c r="C4938" i="6"/>
  <c r="D4938" i="6" s="1"/>
  <c r="C4937" i="6"/>
  <c r="D4937" i="6" s="1"/>
  <c r="C4936" i="6"/>
  <c r="D4936" i="6" s="1"/>
  <c r="C4935" i="6"/>
  <c r="D4935" i="6" s="1"/>
  <c r="C4934" i="6"/>
  <c r="D4934" i="6" s="1"/>
  <c r="C4933" i="6"/>
  <c r="D4933" i="6" s="1"/>
  <c r="C4932" i="6"/>
  <c r="D4932" i="6" s="1"/>
  <c r="C4931" i="6"/>
  <c r="D4931" i="6" s="1"/>
  <c r="C4930" i="6"/>
  <c r="D4930" i="6" s="1"/>
  <c r="C4929" i="6"/>
  <c r="D4929" i="6" s="1"/>
  <c r="C4928" i="6"/>
  <c r="D4928" i="6" s="1"/>
  <c r="C4927" i="6"/>
  <c r="D4927" i="6" s="1"/>
  <c r="C4926" i="6"/>
  <c r="D4926" i="6" s="1"/>
  <c r="C4925" i="6"/>
  <c r="D4925" i="6" s="1"/>
  <c r="C4924" i="6"/>
  <c r="D4924" i="6" s="1"/>
  <c r="C4923" i="6"/>
  <c r="D4923" i="6" s="1"/>
  <c r="C4922" i="6"/>
  <c r="D4922" i="6" s="1"/>
  <c r="C4921" i="6"/>
  <c r="D4921" i="6" s="1"/>
  <c r="C4920" i="6"/>
  <c r="D4920" i="6" s="1"/>
  <c r="C4919" i="6"/>
  <c r="D4919" i="6" s="1"/>
  <c r="C4918" i="6"/>
  <c r="D4918" i="6" s="1"/>
  <c r="C4917" i="6"/>
  <c r="D4917" i="6" s="1"/>
  <c r="C4916" i="6"/>
  <c r="D4916" i="6" s="1"/>
  <c r="C4915" i="6"/>
  <c r="D4915" i="6" s="1"/>
  <c r="C4914" i="6"/>
  <c r="D4914" i="6" s="1"/>
  <c r="C4913" i="6"/>
  <c r="D4913" i="6" s="1"/>
  <c r="C4912" i="6"/>
  <c r="D4912" i="6" s="1"/>
  <c r="C4911" i="6"/>
  <c r="D4911" i="6" s="1"/>
  <c r="C4910" i="6"/>
  <c r="D4910" i="6" s="1"/>
  <c r="C4909" i="6"/>
  <c r="D4909" i="6" s="1"/>
  <c r="C4908" i="6"/>
  <c r="D4908" i="6" s="1"/>
  <c r="C4907" i="6"/>
  <c r="D4907" i="6" s="1"/>
  <c r="C4906" i="6"/>
  <c r="D4906" i="6" s="1"/>
  <c r="C4905" i="6"/>
  <c r="D4905" i="6" s="1"/>
  <c r="C4904" i="6"/>
  <c r="D4904" i="6" s="1"/>
  <c r="C4903" i="6"/>
  <c r="D4903" i="6" s="1"/>
  <c r="C4902" i="6"/>
  <c r="D4902" i="6" s="1"/>
  <c r="C4901" i="6"/>
  <c r="D4901" i="6" s="1"/>
  <c r="C4900" i="6"/>
  <c r="D4900" i="6" s="1"/>
  <c r="C4899" i="6"/>
  <c r="D4899" i="6" s="1"/>
  <c r="C4898" i="6"/>
  <c r="D4898" i="6" s="1"/>
  <c r="C4897" i="6"/>
  <c r="D4897" i="6" s="1"/>
  <c r="C4896" i="6"/>
  <c r="D4896" i="6" s="1"/>
  <c r="C4895" i="6"/>
  <c r="D4895" i="6" s="1"/>
  <c r="C4894" i="6"/>
  <c r="D4894" i="6" s="1"/>
  <c r="C4893" i="6"/>
  <c r="D4893" i="6" s="1"/>
  <c r="C4892" i="6"/>
  <c r="D4892" i="6" s="1"/>
  <c r="C4891" i="6"/>
  <c r="D4891" i="6" s="1"/>
  <c r="C4890" i="6"/>
  <c r="D4890" i="6" s="1"/>
  <c r="C4889" i="6"/>
  <c r="D4889" i="6" s="1"/>
  <c r="C4888" i="6"/>
  <c r="D4888" i="6" s="1"/>
  <c r="C4887" i="6"/>
  <c r="D4887" i="6" s="1"/>
  <c r="C4886" i="6"/>
  <c r="D4886" i="6" s="1"/>
  <c r="C4885" i="6"/>
  <c r="D4885" i="6" s="1"/>
  <c r="C4884" i="6"/>
  <c r="D4884" i="6" s="1"/>
  <c r="C4883" i="6"/>
  <c r="D4883" i="6" s="1"/>
  <c r="C4882" i="6"/>
  <c r="D4882" i="6" s="1"/>
  <c r="C4881" i="6"/>
  <c r="D4881" i="6" s="1"/>
  <c r="C4880" i="6"/>
  <c r="D4880" i="6" s="1"/>
  <c r="C4879" i="6"/>
  <c r="D4879" i="6" s="1"/>
  <c r="C4878" i="6"/>
  <c r="D4878" i="6" s="1"/>
  <c r="C4877" i="6"/>
  <c r="D4877" i="6" s="1"/>
  <c r="C4876" i="6"/>
  <c r="D4876" i="6" s="1"/>
  <c r="C4875" i="6"/>
  <c r="D4875" i="6" s="1"/>
  <c r="C4874" i="6"/>
  <c r="D4874" i="6" s="1"/>
  <c r="C4873" i="6"/>
  <c r="D4873" i="6" s="1"/>
  <c r="C4872" i="6"/>
  <c r="D4872" i="6" s="1"/>
  <c r="C4871" i="6"/>
  <c r="D4871" i="6" s="1"/>
  <c r="C4870" i="6"/>
  <c r="D4870" i="6" s="1"/>
  <c r="C4869" i="6"/>
  <c r="D4869" i="6" s="1"/>
  <c r="C4868" i="6"/>
  <c r="D4868" i="6" s="1"/>
  <c r="C4867" i="6"/>
  <c r="D4867" i="6" s="1"/>
  <c r="C4866" i="6"/>
  <c r="D4866" i="6" s="1"/>
  <c r="C4865" i="6"/>
  <c r="D4865" i="6" s="1"/>
  <c r="C4864" i="6"/>
  <c r="D4864" i="6" s="1"/>
  <c r="C4863" i="6"/>
  <c r="D4863" i="6" s="1"/>
  <c r="C4862" i="6"/>
  <c r="D4862" i="6" s="1"/>
  <c r="C4861" i="6"/>
  <c r="D4861" i="6" s="1"/>
  <c r="C4860" i="6"/>
  <c r="D4860" i="6" s="1"/>
  <c r="C4859" i="6"/>
  <c r="D4859" i="6" s="1"/>
  <c r="C4858" i="6"/>
  <c r="D4858" i="6" s="1"/>
  <c r="C4857" i="6"/>
  <c r="D4857" i="6" s="1"/>
  <c r="C4856" i="6"/>
  <c r="D4856" i="6" s="1"/>
  <c r="C4855" i="6"/>
  <c r="D4855" i="6" s="1"/>
  <c r="C4854" i="6"/>
  <c r="D4854" i="6" s="1"/>
  <c r="C4853" i="6"/>
  <c r="D4853" i="6" s="1"/>
  <c r="C4852" i="6"/>
  <c r="D4852" i="6" s="1"/>
  <c r="C4851" i="6"/>
  <c r="D4851" i="6" s="1"/>
  <c r="C4850" i="6"/>
  <c r="D4850" i="6" s="1"/>
  <c r="C4849" i="6"/>
  <c r="D4849" i="6" s="1"/>
  <c r="C4848" i="6"/>
  <c r="D4848" i="6" s="1"/>
  <c r="C4847" i="6"/>
  <c r="D4847" i="6" s="1"/>
  <c r="C4846" i="6"/>
  <c r="D4846" i="6" s="1"/>
  <c r="C4845" i="6"/>
  <c r="D4845" i="6" s="1"/>
  <c r="C4844" i="6"/>
  <c r="D4844" i="6" s="1"/>
  <c r="C4843" i="6"/>
  <c r="D4843" i="6" s="1"/>
  <c r="C4842" i="6"/>
  <c r="D4842" i="6" s="1"/>
  <c r="C4841" i="6"/>
  <c r="D4841" i="6" s="1"/>
  <c r="C4840" i="6"/>
  <c r="D4840" i="6" s="1"/>
  <c r="C4839" i="6"/>
  <c r="D4839" i="6" s="1"/>
  <c r="C4838" i="6"/>
  <c r="D4838" i="6" s="1"/>
  <c r="C4837" i="6"/>
  <c r="D4837" i="6" s="1"/>
  <c r="C4836" i="6"/>
  <c r="D4836" i="6" s="1"/>
  <c r="C4835" i="6"/>
  <c r="D4835" i="6" s="1"/>
  <c r="C4834" i="6"/>
  <c r="D4834" i="6" s="1"/>
  <c r="C4833" i="6"/>
  <c r="D4833" i="6" s="1"/>
  <c r="C4832" i="6"/>
  <c r="D4832" i="6" s="1"/>
  <c r="C4831" i="6"/>
  <c r="D4831" i="6" s="1"/>
  <c r="C4830" i="6"/>
  <c r="D4830" i="6" s="1"/>
  <c r="C4829" i="6"/>
  <c r="D4829" i="6" s="1"/>
  <c r="C4828" i="6"/>
  <c r="D4828" i="6" s="1"/>
  <c r="C4827" i="6"/>
  <c r="D4827" i="6" s="1"/>
  <c r="C4826" i="6"/>
  <c r="D4826" i="6" s="1"/>
  <c r="C4825" i="6"/>
  <c r="D4825" i="6" s="1"/>
  <c r="C4824" i="6"/>
  <c r="D4824" i="6" s="1"/>
  <c r="C4823" i="6"/>
  <c r="D4823" i="6" s="1"/>
  <c r="C4822" i="6"/>
  <c r="D4822" i="6" s="1"/>
  <c r="C4821" i="6"/>
  <c r="D4821" i="6" s="1"/>
  <c r="C4820" i="6"/>
  <c r="D4820" i="6" s="1"/>
  <c r="C4819" i="6"/>
  <c r="D4819" i="6" s="1"/>
  <c r="C4818" i="6"/>
  <c r="D4818" i="6" s="1"/>
  <c r="C4817" i="6"/>
  <c r="D4817" i="6" s="1"/>
  <c r="C4816" i="6"/>
  <c r="D4816" i="6" s="1"/>
  <c r="C4815" i="6"/>
  <c r="D4815" i="6" s="1"/>
  <c r="C4814" i="6"/>
  <c r="D4814" i="6" s="1"/>
  <c r="C4813" i="6"/>
  <c r="D4813" i="6" s="1"/>
  <c r="C4812" i="6"/>
  <c r="D4812" i="6" s="1"/>
  <c r="C4811" i="6"/>
  <c r="D4811" i="6" s="1"/>
  <c r="C4810" i="6"/>
  <c r="D4810" i="6" s="1"/>
  <c r="C4809" i="6"/>
  <c r="D4809" i="6" s="1"/>
  <c r="C4808" i="6"/>
  <c r="D4808" i="6" s="1"/>
  <c r="C4807" i="6"/>
  <c r="D4807" i="6" s="1"/>
  <c r="C4806" i="6"/>
  <c r="D4806" i="6" s="1"/>
  <c r="C4805" i="6"/>
  <c r="D4805" i="6" s="1"/>
  <c r="C4804" i="6"/>
  <c r="D4804" i="6" s="1"/>
  <c r="C4803" i="6"/>
  <c r="D4803" i="6" s="1"/>
  <c r="C4802" i="6"/>
  <c r="D4802" i="6" s="1"/>
  <c r="C4801" i="6"/>
  <c r="D4801" i="6" s="1"/>
  <c r="C4800" i="6"/>
  <c r="D4800" i="6" s="1"/>
  <c r="C4799" i="6"/>
  <c r="D4799" i="6" s="1"/>
  <c r="C4798" i="6"/>
  <c r="D4798" i="6" s="1"/>
  <c r="C4797" i="6"/>
  <c r="D4797" i="6" s="1"/>
  <c r="C4796" i="6"/>
  <c r="D4796" i="6" s="1"/>
  <c r="C4795" i="6"/>
  <c r="D4795" i="6" s="1"/>
  <c r="C4794" i="6"/>
  <c r="D4794" i="6" s="1"/>
  <c r="C4793" i="6"/>
  <c r="D4793" i="6" s="1"/>
  <c r="C4792" i="6"/>
  <c r="D4792" i="6" s="1"/>
  <c r="C4791" i="6"/>
  <c r="D4791" i="6" s="1"/>
  <c r="C4790" i="6"/>
  <c r="D4790" i="6" s="1"/>
  <c r="C4789" i="6"/>
  <c r="D4789" i="6" s="1"/>
  <c r="C4788" i="6"/>
  <c r="D4788" i="6" s="1"/>
  <c r="C4787" i="6"/>
  <c r="D4787" i="6" s="1"/>
  <c r="C4786" i="6"/>
  <c r="D4786" i="6" s="1"/>
  <c r="C4785" i="6"/>
  <c r="D4785" i="6" s="1"/>
  <c r="C4784" i="6"/>
  <c r="D4784" i="6" s="1"/>
  <c r="C4783" i="6"/>
  <c r="D4783" i="6" s="1"/>
  <c r="C4782" i="6"/>
  <c r="D4782" i="6" s="1"/>
  <c r="C4781" i="6"/>
  <c r="D4781" i="6" s="1"/>
  <c r="C4780" i="6"/>
  <c r="D4780" i="6" s="1"/>
  <c r="C4779" i="6"/>
  <c r="D4779" i="6" s="1"/>
  <c r="C4778" i="6"/>
  <c r="D4778" i="6" s="1"/>
  <c r="C4777" i="6"/>
  <c r="D4777" i="6" s="1"/>
  <c r="C4776" i="6"/>
  <c r="D4776" i="6" s="1"/>
  <c r="C4775" i="6"/>
  <c r="D4775" i="6" s="1"/>
  <c r="C4774" i="6"/>
  <c r="D4774" i="6" s="1"/>
  <c r="C4773" i="6"/>
  <c r="D4773" i="6" s="1"/>
  <c r="C4772" i="6"/>
  <c r="D4772" i="6" s="1"/>
  <c r="C4771" i="6"/>
  <c r="D4771" i="6" s="1"/>
  <c r="C4770" i="6"/>
  <c r="D4770" i="6" s="1"/>
  <c r="C4769" i="6"/>
  <c r="D4769" i="6" s="1"/>
  <c r="C4768" i="6"/>
  <c r="D4768" i="6" s="1"/>
  <c r="C4767" i="6"/>
  <c r="D4767" i="6" s="1"/>
  <c r="C4766" i="6"/>
  <c r="D4766" i="6" s="1"/>
  <c r="C4765" i="6"/>
  <c r="D4765" i="6" s="1"/>
  <c r="C4764" i="6"/>
  <c r="D4764" i="6" s="1"/>
  <c r="C4763" i="6"/>
  <c r="D4763" i="6" s="1"/>
  <c r="C4762" i="6"/>
  <c r="D4762" i="6" s="1"/>
  <c r="C4761" i="6"/>
  <c r="D4761" i="6" s="1"/>
  <c r="C4760" i="6"/>
  <c r="D4760" i="6" s="1"/>
  <c r="C4759" i="6"/>
  <c r="D4759" i="6" s="1"/>
  <c r="C4758" i="6"/>
  <c r="D4758" i="6" s="1"/>
  <c r="C4757" i="6"/>
  <c r="D4757" i="6" s="1"/>
  <c r="C4756" i="6"/>
  <c r="D4756" i="6" s="1"/>
  <c r="C4755" i="6"/>
  <c r="D4755" i="6" s="1"/>
  <c r="C4754" i="6"/>
  <c r="D4754" i="6" s="1"/>
  <c r="C4753" i="6"/>
  <c r="D4753" i="6" s="1"/>
  <c r="C4752" i="6"/>
  <c r="D4752" i="6" s="1"/>
  <c r="C4751" i="6"/>
  <c r="D4751" i="6" s="1"/>
  <c r="C4750" i="6"/>
  <c r="D4750" i="6" s="1"/>
  <c r="C4749" i="6"/>
  <c r="D4749" i="6" s="1"/>
  <c r="C4748" i="6"/>
  <c r="D4748" i="6" s="1"/>
  <c r="C4747" i="6"/>
  <c r="D4747" i="6" s="1"/>
  <c r="C4746" i="6"/>
  <c r="D4746" i="6" s="1"/>
  <c r="C4745" i="6"/>
  <c r="D4745" i="6" s="1"/>
  <c r="C4744" i="6"/>
  <c r="D4744" i="6" s="1"/>
  <c r="C4743" i="6"/>
  <c r="D4743" i="6" s="1"/>
  <c r="C4742" i="6"/>
  <c r="D4742" i="6" s="1"/>
  <c r="C4741" i="6"/>
  <c r="D4741" i="6" s="1"/>
  <c r="C4740" i="6"/>
  <c r="D4740" i="6" s="1"/>
  <c r="C4739" i="6"/>
  <c r="D4739" i="6" s="1"/>
  <c r="C4738" i="6"/>
  <c r="D4738" i="6" s="1"/>
  <c r="C4737" i="6"/>
  <c r="D4737" i="6" s="1"/>
  <c r="C4736" i="6"/>
  <c r="D4736" i="6" s="1"/>
  <c r="C4735" i="6"/>
  <c r="D4735" i="6" s="1"/>
  <c r="C4734" i="6"/>
  <c r="D4734" i="6" s="1"/>
  <c r="C4733" i="6"/>
  <c r="D4733" i="6" s="1"/>
  <c r="C4732" i="6"/>
  <c r="D4732" i="6" s="1"/>
  <c r="C4731" i="6"/>
  <c r="D4731" i="6" s="1"/>
  <c r="C4730" i="6"/>
  <c r="D4730" i="6" s="1"/>
  <c r="C4729" i="6"/>
  <c r="D4729" i="6" s="1"/>
  <c r="C4728" i="6"/>
  <c r="D4728" i="6" s="1"/>
  <c r="C4727" i="6"/>
  <c r="D4727" i="6" s="1"/>
  <c r="C4726" i="6"/>
  <c r="D4726" i="6" s="1"/>
  <c r="C4725" i="6"/>
  <c r="D4725" i="6" s="1"/>
  <c r="C4724" i="6"/>
  <c r="D4724" i="6" s="1"/>
  <c r="C4723" i="6"/>
  <c r="D4723" i="6" s="1"/>
  <c r="C4722" i="6"/>
  <c r="D4722" i="6" s="1"/>
  <c r="C4721" i="6"/>
  <c r="D4721" i="6" s="1"/>
  <c r="C4720" i="6"/>
  <c r="D4720" i="6" s="1"/>
  <c r="C4719" i="6"/>
  <c r="D4719" i="6" s="1"/>
  <c r="C4718" i="6"/>
  <c r="D4718" i="6" s="1"/>
  <c r="C4717" i="6"/>
  <c r="D4717" i="6" s="1"/>
  <c r="C4716" i="6"/>
  <c r="D4716" i="6" s="1"/>
  <c r="C4715" i="6"/>
  <c r="D4715" i="6" s="1"/>
  <c r="C4714" i="6"/>
  <c r="D4714" i="6" s="1"/>
  <c r="C4713" i="6"/>
  <c r="D4713" i="6" s="1"/>
  <c r="C4712" i="6"/>
  <c r="D4712" i="6" s="1"/>
  <c r="C4711" i="6"/>
  <c r="D4711" i="6" s="1"/>
  <c r="C4710" i="6"/>
  <c r="D4710" i="6" s="1"/>
  <c r="C4709" i="6"/>
  <c r="D4709" i="6" s="1"/>
  <c r="C4708" i="6"/>
  <c r="D4708" i="6" s="1"/>
  <c r="C4707" i="6"/>
  <c r="D4707" i="6" s="1"/>
  <c r="C4706" i="6"/>
  <c r="D4706" i="6" s="1"/>
  <c r="C4705" i="6"/>
  <c r="D4705" i="6" s="1"/>
  <c r="C4704" i="6"/>
  <c r="D4704" i="6" s="1"/>
  <c r="C4703" i="6"/>
  <c r="D4703" i="6" s="1"/>
  <c r="C4702" i="6"/>
  <c r="D4702" i="6" s="1"/>
  <c r="C4701" i="6"/>
  <c r="D4701" i="6" s="1"/>
  <c r="C4700" i="6"/>
  <c r="D4700" i="6" s="1"/>
  <c r="C4699" i="6"/>
  <c r="D4699" i="6" s="1"/>
  <c r="C4698" i="6"/>
  <c r="D4698" i="6" s="1"/>
  <c r="C4697" i="6"/>
  <c r="D4697" i="6" s="1"/>
  <c r="C4696" i="6"/>
  <c r="D4696" i="6" s="1"/>
  <c r="C4695" i="6"/>
  <c r="D4695" i="6" s="1"/>
  <c r="C4694" i="6"/>
  <c r="D4694" i="6" s="1"/>
  <c r="C4693" i="6"/>
  <c r="D4693" i="6" s="1"/>
  <c r="C4692" i="6"/>
  <c r="D4692" i="6" s="1"/>
  <c r="C4691" i="6"/>
  <c r="D4691" i="6" s="1"/>
  <c r="C4690" i="6"/>
  <c r="D4690" i="6" s="1"/>
  <c r="C4689" i="6"/>
  <c r="D4689" i="6" s="1"/>
  <c r="C4688" i="6"/>
  <c r="D4688" i="6" s="1"/>
  <c r="C4687" i="6"/>
  <c r="D4687" i="6" s="1"/>
  <c r="C4686" i="6"/>
  <c r="D4686" i="6" s="1"/>
  <c r="C4685" i="6"/>
  <c r="D4685" i="6" s="1"/>
  <c r="C4684" i="6"/>
  <c r="D4684" i="6" s="1"/>
  <c r="C4683" i="6"/>
  <c r="D4683" i="6" s="1"/>
  <c r="C4682" i="6"/>
  <c r="D4682" i="6" s="1"/>
  <c r="C4681" i="6"/>
  <c r="D4681" i="6" s="1"/>
  <c r="C4680" i="6"/>
  <c r="D4680" i="6" s="1"/>
  <c r="C4679" i="6"/>
  <c r="D4679" i="6" s="1"/>
  <c r="C4678" i="6"/>
  <c r="D4678" i="6" s="1"/>
  <c r="C4677" i="6"/>
  <c r="D4677" i="6" s="1"/>
  <c r="C4676" i="6"/>
  <c r="D4676" i="6" s="1"/>
  <c r="C4675" i="6"/>
  <c r="D4675" i="6" s="1"/>
  <c r="C4674" i="6"/>
  <c r="D4674" i="6" s="1"/>
  <c r="C4673" i="6"/>
  <c r="D4673" i="6" s="1"/>
  <c r="C4672" i="6"/>
  <c r="D4672" i="6" s="1"/>
  <c r="C4671" i="6"/>
  <c r="D4671" i="6" s="1"/>
  <c r="C4670" i="6"/>
  <c r="D4670" i="6" s="1"/>
  <c r="C4669" i="6"/>
  <c r="D4669" i="6" s="1"/>
  <c r="C4668" i="6"/>
  <c r="D4668" i="6" s="1"/>
  <c r="C4667" i="6"/>
  <c r="D4667" i="6" s="1"/>
  <c r="C4666" i="6"/>
  <c r="D4666" i="6" s="1"/>
  <c r="C4665" i="6"/>
  <c r="D4665" i="6" s="1"/>
  <c r="C4664" i="6"/>
  <c r="D4664" i="6" s="1"/>
  <c r="C4663" i="6"/>
  <c r="D4663" i="6" s="1"/>
  <c r="C4662" i="6"/>
  <c r="D4662" i="6" s="1"/>
  <c r="C4661" i="6"/>
  <c r="D4661" i="6" s="1"/>
  <c r="C4660" i="6"/>
  <c r="D4660" i="6" s="1"/>
  <c r="C4659" i="6"/>
  <c r="D4659" i="6" s="1"/>
  <c r="C4658" i="6"/>
  <c r="D4658" i="6" s="1"/>
  <c r="C4657" i="6"/>
  <c r="D4657" i="6" s="1"/>
  <c r="C4656" i="6"/>
  <c r="D4656" i="6" s="1"/>
  <c r="C4655" i="6"/>
  <c r="D4655" i="6" s="1"/>
  <c r="C4654" i="6"/>
  <c r="D4654" i="6" s="1"/>
  <c r="C4653" i="6"/>
  <c r="D4653" i="6" s="1"/>
  <c r="C4652" i="6"/>
  <c r="D4652" i="6" s="1"/>
  <c r="C4651" i="6"/>
  <c r="D4651" i="6" s="1"/>
  <c r="C4650" i="6"/>
  <c r="D4650" i="6" s="1"/>
  <c r="C4649" i="6"/>
  <c r="D4649" i="6" s="1"/>
  <c r="C4648" i="6"/>
  <c r="D4648" i="6" s="1"/>
  <c r="C4647" i="6"/>
  <c r="D4647" i="6" s="1"/>
  <c r="C4646" i="6"/>
  <c r="D4646" i="6" s="1"/>
  <c r="C4645" i="6"/>
  <c r="D4645" i="6" s="1"/>
  <c r="C4644" i="6"/>
  <c r="D4644" i="6" s="1"/>
  <c r="C4643" i="6"/>
  <c r="D4643" i="6" s="1"/>
  <c r="C4642" i="6"/>
  <c r="D4642" i="6" s="1"/>
  <c r="C4641" i="6"/>
  <c r="D4641" i="6" s="1"/>
  <c r="C4640" i="6"/>
  <c r="D4640" i="6" s="1"/>
  <c r="C4639" i="6"/>
  <c r="D4639" i="6" s="1"/>
  <c r="C4638" i="6"/>
  <c r="D4638" i="6" s="1"/>
  <c r="C4637" i="6"/>
  <c r="D4637" i="6" s="1"/>
  <c r="C4636" i="6"/>
  <c r="D4636" i="6" s="1"/>
  <c r="C4635" i="6"/>
  <c r="D4635" i="6" s="1"/>
  <c r="C4634" i="6"/>
  <c r="D4634" i="6" s="1"/>
  <c r="C4633" i="6"/>
  <c r="D4633" i="6" s="1"/>
  <c r="C4632" i="6"/>
  <c r="D4632" i="6" s="1"/>
  <c r="C4631" i="6"/>
  <c r="D4631" i="6" s="1"/>
  <c r="C4630" i="6"/>
  <c r="D4630" i="6" s="1"/>
  <c r="C4629" i="6"/>
  <c r="D4629" i="6" s="1"/>
  <c r="C4628" i="6"/>
  <c r="D4628" i="6" s="1"/>
  <c r="C4627" i="6"/>
  <c r="D4627" i="6" s="1"/>
  <c r="C4626" i="6"/>
  <c r="D4626" i="6" s="1"/>
  <c r="C4625" i="6"/>
  <c r="D4625" i="6" s="1"/>
  <c r="C4624" i="6"/>
  <c r="D4624" i="6" s="1"/>
  <c r="C4623" i="6"/>
  <c r="D4623" i="6" s="1"/>
  <c r="C4622" i="6"/>
  <c r="D4622" i="6" s="1"/>
  <c r="C4621" i="6"/>
  <c r="D4621" i="6" s="1"/>
  <c r="C4620" i="6"/>
  <c r="D4620" i="6" s="1"/>
  <c r="C4619" i="6"/>
  <c r="D4619" i="6" s="1"/>
  <c r="C4618" i="6"/>
  <c r="D4618" i="6" s="1"/>
  <c r="C4617" i="6"/>
  <c r="D4617" i="6" s="1"/>
  <c r="C4616" i="6"/>
  <c r="D4616" i="6" s="1"/>
  <c r="C4615" i="6"/>
  <c r="D4615" i="6" s="1"/>
  <c r="C4614" i="6"/>
  <c r="D4614" i="6" s="1"/>
  <c r="C4613" i="6"/>
  <c r="D4613" i="6" s="1"/>
  <c r="C4612" i="6"/>
  <c r="D4612" i="6" s="1"/>
  <c r="C4611" i="6"/>
  <c r="D4611" i="6" s="1"/>
  <c r="C4610" i="6"/>
  <c r="D4610" i="6" s="1"/>
  <c r="C4609" i="6"/>
  <c r="D4609" i="6" s="1"/>
  <c r="C4608" i="6"/>
  <c r="D4608" i="6" s="1"/>
  <c r="C4607" i="6"/>
  <c r="D4607" i="6" s="1"/>
  <c r="C4606" i="6"/>
  <c r="D4606" i="6" s="1"/>
  <c r="C4605" i="6"/>
  <c r="D4605" i="6" s="1"/>
  <c r="C4604" i="6"/>
  <c r="D4604" i="6" s="1"/>
  <c r="C4603" i="6"/>
  <c r="D4603" i="6" s="1"/>
  <c r="C4602" i="6"/>
  <c r="D4602" i="6" s="1"/>
  <c r="C4601" i="6"/>
  <c r="D4601" i="6" s="1"/>
  <c r="C4600" i="6"/>
  <c r="D4600" i="6" s="1"/>
  <c r="C4599" i="6"/>
  <c r="D4599" i="6" s="1"/>
  <c r="C4598" i="6"/>
  <c r="D4598" i="6" s="1"/>
  <c r="C4597" i="6"/>
  <c r="D4597" i="6" s="1"/>
  <c r="C4596" i="6"/>
  <c r="D4596" i="6" s="1"/>
  <c r="C4595" i="6"/>
  <c r="D4595" i="6" s="1"/>
  <c r="C4594" i="6"/>
  <c r="D4594" i="6" s="1"/>
  <c r="C4593" i="6"/>
  <c r="D4593" i="6" s="1"/>
  <c r="C4592" i="6"/>
  <c r="D4592" i="6" s="1"/>
  <c r="C4591" i="6"/>
  <c r="D4591" i="6" s="1"/>
  <c r="C4590" i="6"/>
  <c r="D4590" i="6" s="1"/>
  <c r="C4589" i="6"/>
  <c r="D4589" i="6" s="1"/>
  <c r="C4588" i="6"/>
  <c r="D4588" i="6" s="1"/>
  <c r="C4587" i="6"/>
  <c r="D4587" i="6" s="1"/>
  <c r="C4586" i="6"/>
  <c r="D4586" i="6" s="1"/>
  <c r="C4585" i="6"/>
  <c r="D4585" i="6" s="1"/>
  <c r="C4584" i="6"/>
  <c r="D4584" i="6" s="1"/>
  <c r="C4583" i="6"/>
  <c r="D4583" i="6" s="1"/>
  <c r="C4582" i="6"/>
  <c r="D4582" i="6" s="1"/>
  <c r="C4581" i="6"/>
  <c r="D4581" i="6" s="1"/>
  <c r="C4580" i="6"/>
  <c r="D4580" i="6" s="1"/>
  <c r="C4579" i="6"/>
  <c r="D4579" i="6" s="1"/>
  <c r="C4578" i="6"/>
  <c r="D4578" i="6" s="1"/>
  <c r="C4577" i="6"/>
  <c r="D4577" i="6" s="1"/>
  <c r="C4576" i="6"/>
  <c r="D4576" i="6" s="1"/>
  <c r="C4575" i="6"/>
  <c r="D4575" i="6" s="1"/>
  <c r="C4574" i="6"/>
  <c r="D4574" i="6" s="1"/>
  <c r="C4573" i="6"/>
  <c r="D4573" i="6" s="1"/>
  <c r="C4572" i="6"/>
  <c r="D4572" i="6" s="1"/>
  <c r="C4571" i="6"/>
  <c r="D4571" i="6" s="1"/>
  <c r="C4570" i="6"/>
  <c r="D4570" i="6" s="1"/>
  <c r="C4569" i="6"/>
  <c r="D4569" i="6" s="1"/>
  <c r="C4568" i="6"/>
  <c r="D4568" i="6" s="1"/>
  <c r="C4567" i="6"/>
  <c r="D4567" i="6" s="1"/>
  <c r="C4566" i="6"/>
  <c r="D4566" i="6" s="1"/>
  <c r="C4565" i="6"/>
  <c r="D4565" i="6" s="1"/>
  <c r="C4564" i="6"/>
  <c r="D4564" i="6" s="1"/>
  <c r="C4563" i="6"/>
  <c r="D4563" i="6" s="1"/>
  <c r="C4562" i="6"/>
  <c r="D4562" i="6" s="1"/>
  <c r="C4561" i="6"/>
  <c r="D4561" i="6" s="1"/>
  <c r="C4560" i="6"/>
  <c r="D4560" i="6" s="1"/>
  <c r="C4559" i="6"/>
  <c r="D4559" i="6" s="1"/>
  <c r="C4558" i="6"/>
  <c r="D4558" i="6" s="1"/>
  <c r="C4557" i="6"/>
  <c r="D4557" i="6" s="1"/>
  <c r="C4556" i="6"/>
  <c r="D4556" i="6" s="1"/>
  <c r="C4555" i="6"/>
  <c r="D4555" i="6" s="1"/>
  <c r="C4554" i="6"/>
  <c r="D4554" i="6" s="1"/>
  <c r="C4553" i="6"/>
  <c r="D4553" i="6" s="1"/>
  <c r="C4552" i="6"/>
  <c r="D4552" i="6" s="1"/>
  <c r="C4551" i="6"/>
  <c r="D4551" i="6" s="1"/>
  <c r="C4550" i="6"/>
  <c r="D4550" i="6" s="1"/>
  <c r="C4549" i="6"/>
  <c r="D4549" i="6" s="1"/>
  <c r="C4548" i="6"/>
  <c r="D4548" i="6" s="1"/>
  <c r="C4547" i="6"/>
  <c r="D4547" i="6" s="1"/>
  <c r="C4546" i="6"/>
  <c r="D4546" i="6" s="1"/>
  <c r="C4545" i="6"/>
  <c r="D4545" i="6" s="1"/>
  <c r="C4544" i="6"/>
  <c r="D4544" i="6" s="1"/>
  <c r="C4543" i="6"/>
  <c r="D4543" i="6" s="1"/>
  <c r="C4542" i="6"/>
  <c r="D4542" i="6" s="1"/>
  <c r="C4541" i="6"/>
  <c r="D4541" i="6" s="1"/>
  <c r="C4540" i="6"/>
  <c r="D4540" i="6" s="1"/>
  <c r="C4539" i="6"/>
  <c r="D4539" i="6" s="1"/>
  <c r="C4538" i="6"/>
  <c r="D4538" i="6" s="1"/>
  <c r="C4537" i="6"/>
  <c r="D4537" i="6" s="1"/>
  <c r="C4536" i="6"/>
  <c r="D4536" i="6" s="1"/>
  <c r="C4535" i="6"/>
  <c r="D4535" i="6" s="1"/>
  <c r="C4534" i="6"/>
  <c r="D4534" i="6" s="1"/>
  <c r="C4533" i="6"/>
  <c r="D4533" i="6" s="1"/>
  <c r="C4532" i="6"/>
  <c r="D4532" i="6" s="1"/>
  <c r="C4531" i="6"/>
  <c r="D4531" i="6" s="1"/>
  <c r="C4530" i="6"/>
  <c r="D4530" i="6" s="1"/>
  <c r="C4529" i="6"/>
  <c r="D4529" i="6" s="1"/>
  <c r="C4528" i="6"/>
  <c r="D4528" i="6" s="1"/>
  <c r="C4527" i="6"/>
  <c r="D4527" i="6" s="1"/>
  <c r="C4526" i="6"/>
  <c r="D4526" i="6" s="1"/>
  <c r="C4525" i="6"/>
  <c r="D4525" i="6" s="1"/>
  <c r="C4524" i="6"/>
  <c r="D4524" i="6" s="1"/>
  <c r="C4523" i="6"/>
  <c r="D4523" i="6" s="1"/>
  <c r="C4522" i="6"/>
  <c r="D4522" i="6" s="1"/>
  <c r="C4521" i="6"/>
  <c r="D4521" i="6" s="1"/>
  <c r="C4520" i="6"/>
  <c r="D4520" i="6" s="1"/>
  <c r="C4519" i="6"/>
  <c r="D4519" i="6" s="1"/>
  <c r="C4518" i="6"/>
  <c r="D4518" i="6" s="1"/>
  <c r="C4517" i="6"/>
  <c r="D4517" i="6" s="1"/>
  <c r="C4516" i="6"/>
  <c r="D4516" i="6" s="1"/>
  <c r="C4515" i="6"/>
  <c r="D4515" i="6" s="1"/>
  <c r="C4514" i="6"/>
  <c r="D4514" i="6" s="1"/>
  <c r="C4513" i="6"/>
  <c r="D4513" i="6" s="1"/>
  <c r="C4512" i="6"/>
  <c r="D4512" i="6" s="1"/>
  <c r="C4511" i="6"/>
  <c r="D4511" i="6" s="1"/>
  <c r="C4510" i="6"/>
  <c r="D4510" i="6" s="1"/>
  <c r="C4509" i="6"/>
  <c r="D4509" i="6" s="1"/>
  <c r="C4508" i="6"/>
  <c r="D4508" i="6" s="1"/>
  <c r="C4507" i="6"/>
  <c r="D4507" i="6" s="1"/>
  <c r="C4506" i="6"/>
  <c r="D4506" i="6" s="1"/>
  <c r="C4505" i="6"/>
  <c r="D4505" i="6" s="1"/>
  <c r="C4504" i="6"/>
  <c r="D4504" i="6" s="1"/>
  <c r="C4503" i="6"/>
  <c r="D4503" i="6" s="1"/>
  <c r="C4502" i="6"/>
  <c r="D4502" i="6" s="1"/>
  <c r="C4501" i="6"/>
  <c r="D4501" i="6" s="1"/>
  <c r="C4500" i="6"/>
  <c r="D4500" i="6" s="1"/>
  <c r="C4499" i="6"/>
  <c r="D4499" i="6" s="1"/>
  <c r="C4498" i="6"/>
  <c r="D4498" i="6" s="1"/>
  <c r="C4497" i="6"/>
  <c r="D4497" i="6" s="1"/>
  <c r="C4496" i="6"/>
  <c r="D4496" i="6" s="1"/>
  <c r="C4495" i="6"/>
  <c r="D4495" i="6" s="1"/>
  <c r="C4494" i="6"/>
  <c r="D4494" i="6" s="1"/>
  <c r="C4493" i="6"/>
  <c r="D4493" i="6" s="1"/>
  <c r="C4492" i="6"/>
  <c r="D4492" i="6" s="1"/>
  <c r="C4491" i="6"/>
  <c r="D4491" i="6" s="1"/>
  <c r="C4490" i="6"/>
  <c r="D4490" i="6" s="1"/>
  <c r="C4489" i="6"/>
  <c r="D4489" i="6" s="1"/>
  <c r="C4488" i="6"/>
  <c r="D4488" i="6" s="1"/>
  <c r="C4487" i="6"/>
  <c r="D4487" i="6" s="1"/>
  <c r="C4486" i="6"/>
  <c r="D4486" i="6" s="1"/>
  <c r="C4485" i="6"/>
  <c r="D4485" i="6" s="1"/>
  <c r="C4484" i="6"/>
  <c r="D4484" i="6" s="1"/>
  <c r="C4483" i="6"/>
  <c r="D4483" i="6" s="1"/>
  <c r="C4482" i="6"/>
  <c r="D4482" i="6" s="1"/>
  <c r="C4481" i="6"/>
  <c r="D4481" i="6" s="1"/>
  <c r="C4480" i="6"/>
  <c r="D4480" i="6" s="1"/>
  <c r="C4479" i="6"/>
  <c r="D4479" i="6" s="1"/>
  <c r="C4478" i="6"/>
  <c r="D4478" i="6" s="1"/>
  <c r="C4477" i="6"/>
  <c r="D4477" i="6" s="1"/>
  <c r="C4476" i="6"/>
  <c r="D4476" i="6" s="1"/>
  <c r="C4475" i="6"/>
  <c r="D4475" i="6" s="1"/>
  <c r="C4474" i="6"/>
  <c r="D4474" i="6" s="1"/>
  <c r="C4473" i="6"/>
  <c r="D4473" i="6" s="1"/>
  <c r="C4472" i="6"/>
  <c r="D4472" i="6" s="1"/>
  <c r="C4471" i="6"/>
  <c r="D4471" i="6" s="1"/>
  <c r="C4470" i="6"/>
  <c r="D4470" i="6" s="1"/>
  <c r="C4469" i="6"/>
  <c r="D4469" i="6" s="1"/>
  <c r="C4468" i="6"/>
  <c r="D4468" i="6" s="1"/>
  <c r="C4467" i="6"/>
  <c r="D4467" i="6" s="1"/>
  <c r="C4466" i="6"/>
  <c r="D4466" i="6" s="1"/>
  <c r="C4465" i="6"/>
  <c r="D4465" i="6" s="1"/>
  <c r="C4464" i="6"/>
  <c r="D4464" i="6" s="1"/>
  <c r="C4463" i="6"/>
  <c r="D4463" i="6" s="1"/>
  <c r="C4462" i="6"/>
  <c r="D4462" i="6" s="1"/>
  <c r="C4461" i="6"/>
  <c r="D4461" i="6" s="1"/>
  <c r="C4460" i="6"/>
  <c r="D4460" i="6" s="1"/>
  <c r="C4459" i="6"/>
  <c r="D4459" i="6" s="1"/>
  <c r="C4458" i="6"/>
  <c r="D4458" i="6" s="1"/>
  <c r="C4457" i="6"/>
  <c r="D4457" i="6" s="1"/>
  <c r="C4456" i="6"/>
  <c r="D4456" i="6" s="1"/>
  <c r="C4455" i="6"/>
  <c r="D4455" i="6" s="1"/>
  <c r="C4454" i="6"/>
  <c r="D4454" i="6" s="1"/>
  <c r="C4453" i="6"/>
  <c r="D4453" i="6" s="1"/>
  <c r="C4452" i="6"/>
  <c r="D4452" i="6" s="1"/>
  <c r="C4451" i="6"/>
  <c r="D4451" i="6" s="1"/>
  <c r="C4450" i="6"/>
  <c r="D4450" i="6" s="1"/>
  <c r="C4449" i="6"/>
  <c r="D4449" i="6" s="1"/>
  <c r="C4448" i="6"/>
  <c r="D4448" i="6" s="1"/>
  <c r="C4447" i="6"/>
  <c r="D4447" i="6" s="1"/>
  <c r="C4446" i="6"/>
  <c r="D4446" i="6" s="1"/>
  <c r="C4445" i="6"/>
  <c r="D4445" i="6" s="1"/>
  <c r="C4444" i="6"/>
  <c r="D4444" i="6" s="1"/>
  <c r="C4443" i="6"/>
  <c r="D4443" i="6" s="1"/>
  <c r="C4442" i="6"/>
  <c r="D4442" i="6" s="1"/>
  <c r="C4441" i="6"/>
  <c r="D4441" i="6" s="1"/>
  <c r="C4440" i="6"/>
  <c r="D4440" i="6" s="1"/>
  <c r="C4439" i="6"/>
  <c r="D4439" i="6" s="1"/>
  <c r="C4438" i="6"/>
  <c r="D4438" i="6" s="1"/>
  <c r="C4437" i="6"/>
  <c r="D4437" i="6" s="1"/>
  <c r="C4436" i="6"/>
  <c r="D4436" i="6" s="1"/>
  <c r="C4435" i="6"/>
  <c r="D4435" i="6" s="1"/>
  <c r="C4434" i="6"/>
  <c r="D4434" i="6" s="1"/>
  <c r="C4433" i="6"/>
  <c r="D4433" i="6" s="1"/>
  <c r="C4432" i="6"/>
  <c r="D4432" i="6" s="1"/>
  <c r="C4431" i="6"/>
  <c r="D4431" i="6" s="1"/>
  <c r="C4430" i="6"/>
  <c r="D4430" i="6" s="1"/>
  <c r="C4429" i="6"/>
  <c r="D4429" i="6" s="1"/>
  <c r="C4428" i="6"/>
  <c r="D4428" i="6" s="1"/>
  <c r="C4427" i="6"/>
  <c r="D4427" i="6" s="1"/>
  <c r="C4426" i="6"/>
  <c r="D4426" i="6" s="1"/>
  <c r="C4425" i="6"/>
  <c r="D4425" i="6" s="1"/>
  <c r="C4424" i="6"/>
  <c r="D4424" i="6" s="1"/>
  <c r="C4423" i="6"/>
  <c r="D4423" i="6" s="1"/>
  <c r="C4422" i="6"/>
  <c r="D4422" i="6" s="1"/>
  <c r="C4421" i="6"/>
  <c r="D4421" i="6" s="1"/>
  <c r="C4420" i="6"/>
  <c r="D4420" i="6" s="1"/>
  <c r="C4419" i="6"/>
  <c r="D4419" i="6" s="1"/>
  <c r="C4418" i="6"/>
  <c r="D4418" i="6" s="1"/>
  <c r="C4417" i="6"/>
  <c r="D4417" i="6" s="1"/>
  <c r="C4416" i="6"/>
  <c r="D4416" i="6" s="1"/>
  <c r="C4415" i="6"/>
  <c r="D4415" i="6" s="1"/>
  <c r="C4414" i="6"/>
  <c r="D4414" i="6" s="1"/>
  <c r="C4413" i="6"/>
  <c r="D4413" i="6" s="1"/>
  <c r="C4412" i="6"/>
  <c r="D4412" i="6" s="1"/>
  <c r="C4411" i="6"/>
  <c r="D4411" i="6" s="1"/>
  <c r="C4410" i="6"/>
  <c r="D4410" i="6" s="1"/>
  <c r="C4409" i="6"/>
  <c r="D4409" i="6" s="1"/>
  <c r="C4408" i="6"/>
  <c r="D4408" i="6" s="1"/>
  <c r="C4407" i="6"/>
  <c r="D4407" i="6" s="1"/>
  <c r="C4406" i="6"/>
  <c r="D4406" i="6" s="1"/>
  <c r="C4405" i="6"/>
  <c r="D4405" i="6" s="1"/>
  <c r="C4404" i="6"/>
  <c r="D4404" i="6" s="1"/>
  <c r="C4403" i="6"/>
  <c r="D4403" i="6" s="1"/>
  <c r="C4402" i="6"/>
  <c r="D4402" i="6" s="1"/>
  <c r="C4401" i="6"/>
  <c r="D4401" i="6" s="1"/>
  <c r="C4400" i="6"/>
  <c r="D4400" i="6" s="1"/>
  <c r="C4399" i="6"/>
  <c r="D4399" i="6" s="1"/>
  <c r="C4398" i="6"/>
  <c r="D4398" i="6" s="1"/>
  <c r="C4397" i="6"/>
  <c r="D4397" i="6" s="1"/>
  <c r="C4396" i="6"/>
  <c r="D4396" i="6" s="1"/>
  <c r="C4395" i="6"/>
  <c r="D4395" i="6" s="1"/>
  <c r="C4394" i="6"/>
  <c r="D4394" i="6" s="1"/>
  <c r="C4393" i="6"/>
  <c r="D4393" i="6" s="1"/>
  <c r="C4392" i="6"/>
  <c r="D4392" i="6" s="1"/>
  <c r="C4391" i="6"/>
  <c r="D4391" i="6" s="1"/>
  <c r="C4390" i="6"/>
  <c r="D4390" i="6" s="1"/>
  <c r="C4389" i="6"/>
  <c r="D4389" i="6" s="1"/>
  <c r="C4388" i="6"/>
  <c r="D4388" i="6" s="1"/>
  <c r="C4387" i="6"/>
  <c r="D4387" i="6" s="1"/>
  <c r="C4386" i="6"/>
  <c r="D4386" i="6" s="1"/>
  <c r="C4385" i="6"/>
  <c r="D4385" i="6" s="1"/>
  <c r="C4384" i="6"/>
  <c r="D4384" i="6" s="1"/>
  <c r="C4383" i="6"/>
  <c r="D4383" i="6" s="1"/>
  <c r="C4382" i="6"/>
  <c r="D4382" i="6" s="1"/>
  <c r="C4381" i="6"/>
  <c r="D4381" i="6" s="1"/>
  <c r="C4380" i="6"/>
  <c r="D4380" i="6" s="1"/>
  <c r="C4379" i="6"/>
  <c r="D4379" i="6" s="1"/>
  <c r="C4378" i="6"/>
  <c r="D4378" i="6" s="1"/>
  <c r="C4377" i="6"/>
  <c r="D4377" i="6" s="1"/>
  <c r="C4376" i="6"/>
  <c r="D4376" i="6" s="1"/>
  <c r="C4375" i="6"/>
  <c r="D4375" i="6" s="1"/>
  <c r="C4374" i="6"/>
  <c r="D4374" i="6" s="1"/>
  <c r="C4373" i="6"/>
  <c r="D4373" i="6" s="1"/>
  <c r="C4372" i="6"/>
  <c r="D4372" i="6" s="1"/>
  <c r="C4371" i="6"/>
  <c r="D4371" i="6" s="1"/>
  <c r="C4370" i="6"/>
  <c r="D4370" i="6" s="1"/>
  <c r="C4369" i="6"/>
  <c r="D4369" i="6" s="1"/>
  <c r="C4368" i="6"/>
  <c r="D4368" i="6" s="1"/>
  <c r="C4367" i="6"/>
  <c r="D4367" i="6" s="1"/>
  <c r="C4366" i="6"/>
  <c r="D4366" i="6" s="1"/>
  <c r="C4365" i="6"/>
  <c r="D4365" i="6" s="1"/>
  <c r="C4364" i="6"/>
  <c r="D4364" i="6" s="1"/>
  <c r="C4363" i="6"/>
  <c r="D4363" i="6" s="1"/>
  <c r="C4362" i="6"/>
  <c r="D4362" i="6" s="1"/>
  <c r="C4361" i="6"/>
  <c r="D4361" i="6" s="1"/>
  <c r="C4360" i="6"/>
  <c r="D4360" i="6" s="1"/>
  <c r="C4359" i="6"/>
  <c r="D4359" i="6" s="1"/>
  <c r="C4358" i="6"/>
  <c r="D4358" i="6" s="1"/>
  <c r="C4357" i="6"/>
  <c r="D4357" i="6" s="1"/>
  <c r="C4356" i="6"/>
  <c r="D4356" i="6" s="1"/>
  <c r="C4355" i="6"/>
  <c r="D4355" i="6" s="1"/>
  <c r="C4354" i="6"/>
  <c r="D4354" i="6" s="1"/>
  <c r="C4353" i="6"/>
  <c r="D4353" i="6" s="1"/>
  <c r="C4352" i="6"/>
  <c r="D4352" i="6" s="1"/>
  <c r="C4351" i="6"/>
  <c r="D4351" i="6" s="1"/>
  <c r="C4350" i="6"/>
  <c r="D4350" i="6" s="1"/>
  <c r="C4349" i="6"/>
  <c r="D4349" i="6" s="1"/>
  <c r="C4348" i="6"/>
  <c r="D4348" i="6" s="1"/>
  <c r="C4347" i="6"/>
  <c r="D4347" i="6" s="1"/>
  <c r="C4346" i="6"/>
  <c r="D4346" i="6" s="1"/>
  <c r="C4345" i="6"/>
  <c r="D4345" i="6" s="1"/>
  <c r="C4344" i="6"/>
  <c r="D4344" i="6" s="1"/>
  <c r="C4343" i="6"/>
  <c r="D4343" i="6" s="1"/>
  <c r="C4342" i="6"/>
  <c r="D4342" i="6" s="1"/>
  <c r="C4341" i="6"/>
  <c r="D4341" i="6" s="1"/>
  <c r="C4340" i="6"/>
  <c r="D4340" i="6" s="1"/>
  <c r="C4339" i="6"/>
  <c r="D4339" i="6" s="1"/>
  <c r="C4338" i="6"/>
  <c r="D4338" i="6" s="1"/>
  <c r="C4337" i="6"/>
  <c r="D4337" i="6" s="1"/>
  <c r="C4336" i="6"/>
  <c r="D4336" i="6" s="1"/>
  <c r="C4335" i="6"/>
  <c r="D4335" i="6" s="1"/>
  <c r="C4334" i="6"/>
  <c r="D4334" i="6" s="1"/>
  <c r="C4333" i="6"/>
  <c r="D4333" i="6" s="1"/>
  <c r="C4332" i="6"/>
  <c r="D4332" i="6" s="1"/>
  <c r="C4331" i="6"/>
  <c r="D4331" i="6" s="1"/>
  <c r="C4330" i="6"/>
  <c r="D4330" i="6" s="1"/>
  <c r="C4329" i="6"/>
  <c r="D4329" i="6" s="1"/>
  <c r="C4328" i="6"/>
  <c r="D4328" i="6" s="1"/>
  <c r="C4327" i="6"/>
  <c r="D4327" i="6" s="1"/>
  <c r="C4326" i="6"/>
  <c r="D4326" i="6" s="1"/>
  <c r="C4325" i="6"/>
  <c r="D4325" i="6" s="1"/>
  <c r="C4324" i="6"/>
  <c r="D4324" i="6" s="1"/>
  <c r="C4323" i="6"/>
  <c r="D4323" i="6" s="1"/>
  <c r="C4322" i="6"/>
  <c r="D4322" i="6" s="1"/>
  <c r="C4321" i="6"/>
  <c r="D4321" i="6" s="1"/>
  <c r="C4320" i="6"/>
  <c r="D4320" i="6" s="1"/>
  <c r="C4319" i="6"/>
  <c r="D4319" i="6" s="1"/>
  <c r="C4318" i="6"/>
  <c r="D4318" i="6" s="1"/>
  <c r="C4317" i="6"/>
  <c r="D4317" i="6" s="1"/>
  <c r="C4316" i="6"/>
  <c r="D4316" i="6" s="1"/>
  <c r="C4315" i="6"/>
  <c r="D4315" i="6" s="1"/>
  <c r="C4314" i="6"/>
  <c r="D4314" i="6" s="1"/>
  <c r="C4313" i="6"/>
  <c r="D4313" i="6" s="1"/>
  <c r="C4312" i="6"/>
  <c r="D4312" i="6" s="1"/>
  <c r="C4311" i="6"/>
  <c r="D4311" i="6" s="1"/>
  <c r="C4310" i="6"/>
  <c r="D4310" i="6" s="1"/>
  <c r="C4309" i="6"/>
  <c r="D4309" i="6" s="1"/>
  <c r="C4308" i="6"/>
  <c r="D4308" i="6" s="1"/>
  <c r="C4307" i="6"/>
  <c r="D4307" i="6" s="1"/>
  <c r="C4306" i="6"/>
  <c r="D4306" i="6" s="1"/>
  <c r="C4305" i="6"/>
  <c r="D4305" i="6" s="1"/>
  <c r="C4304" i="6"/>
  <c r="D4304" i="6" s="1"/>
  <c r="C4303" i="6"/>
  <c r="D4303" i="6" s="1"/>
  <c r="C4302" i="6"/>
  <c r="D4302" i="6" s="1"/>
  <c r="C4301" i="6"/>
  <c r="D4301" i="6" s="1"/>
  <c r="C4300" i="6"/>
  <c r="D4300" i="6" s="1"/>
  <c r="C4299" i="6"/>
  <c r="D4299" i="6" s="1"/>
  <c r="C4298" i="6"/>
  <c r="D4298" i="6" s="1"/>
  <c r="C4297" i="6"/>
  <c r="D4297" i="6" s="1"/>
  <c r="C4296" i="6"/>
  <c r="D4296" i="6" s="1"/>
  <c r="C4295" i="6"/>
  <c r="D4295" i="6" s="1"/>
  <c r="C4294" i="6"/>
  <c r="D4294" i="6" s="1"/>
  <c r="C4293" i="6"/>
  <c r="D4293" i="6" s="1"/>
  <c r="C4292" i="6"/>
  <c r="D4292" i="6" s="1"/>
  <c r="C4291" i="6"/>
  <c r="D4291" i="6" s="1"/>
  <c r="C4290" i="6"/>
  <c r="D4290" i="6" s="1"/>
  <c r="C4289" i="6"/>
  <c r="D4289" i="6" s="1"/>
  <c r="C4288" i="6"/>
  <c r="D4288" i="6" s="1"/>
  <c r="C4287" i="6"/>
  <c r="D4287" i="6" s="1"/>
  <c r="C4286" i="6"/>
  <c r="D4286" i="6" s="1"/>
  <c r="C4285" i="6"/>
  <c r="D4285" i="6" s="1"/>
  <c r="C4284" i="6"/>
  <c r="D4284" i="6" s="1"/>
  <c r="C4283" i="6"/>
  <c r="D4283" i="6" s="1"/>
  <c r="C4282" i="6"/>
  <c r="D4282" i="6" s="1"/>
  <c r="C4281" i="6"/>
  <c r="D4281" i="6" s="1"/>
  <c r="C4280" i="6"/>
  <c r="D4280" i="6" s="1"/>
  <c r="C4279" i="6"/>
  <c r="D4279" i="6" s="1"/>
  <c r="C4278" i="6"/>
  <c r="D4278" i="6" s="1"/>
  <c r="C4277" i="6"/>
  <c r="D4277" i="6" s="1"/>
  <c r="C4276" i="6"/>
  <c r="D4276" i="6" s="1"/>
  <c r="C4275" i="6"/>
  <c r="D4275" i="6" s="1"/>
  <c r="C4274" i="6"/>
  <c r="D4274" i="6" s="1"/>
  <c r="C4273" i="6"/>
  <c r="D4273" i="6" s="1"/>
  <c r="C4272" i="6"/>
  <c r="D4272" i="6" s="1"/>
  <c r="C4271" i="6"/>
  <c r="D4271" i="6" s="1"/>
  <c r="C4270" i="6"/>
  <c r="D4270" i="6" s="1"/>
  <c r="C4269" i="6"/>
  <c r="D4269" i="6" s="1"/>
  <c r="C4268" i="6"/>
  <c r="D4268" i="6" s="1"/>
  <c r="C4267" i="6"/>
  <c r="D4267" i="6" s="1"/>
  <c r="C4266" i="6"/>
  <c r="D4266" i="6" s="1"/>
  <c r="C4265" i="6"/>
  <c r="D4265" i="6" s="1"/>
  <c r="C4264" i="6"/>
  <c r="D4264" i="6" s="1"/>
  <c r="C4263" i="6"/>
  <c r="D4263" i="6" s="1"/>
  <c r="C4262" i="6"/>
  <c r="D4262" i="6" s="1"/>
  <c r="C4261" i="6"/>
  <c r="D4261" i="6" s="1"/>
  <c r="C4260" i="6"/>
  <c r="D4260" i="6" s="1"/>
  <c r="C4259" i="6"/>
  <c r="D4259" i="6" s="1"/>
  <c r="C4258" i="6"/>
  <c r="D4258" i="6" s="1"/>
  <c r="C4257" i="6"/>
  <c r="D4257" i="6" s="1"/>
  <c r="C4256" i="6"/>
  <c r="D4256" i="6" s="1"/>
  <c r="C4255" i="6"/>
  <c r="D4255" i="6" s="1"/>
  <c r="C4254" i="6"/>
  <c r="D4254" i="6" s="1"/>
  <c r="C4253" i="6"/>
  <c r="D4253" i="6" s="1"/>
  <c r="C4252" i="6"/>
  <c r="D4252" i="6" s="1"/>
  <c r="C4251" i="6"/>
  <c r="D4251" i="6" s="1"/>
  <c r="C4250" i="6"/>
  <c r="D4250" i="6" s="1"/>
  <c r="C4249" i="6"/>
  <c r="D4249" i="6" s="1"/>
  <c r="C4248" i="6"/>
  <c r="D4248" i="6" s="1"/>
  <c r="C4247" i="6"/>
  <c r="D4247" i="6" s="1"/>
  <c r="C4246" i="6"/>
  <c r="D4246" i="6" s="1"/>
  <c r="C4245" i="6"/>
  <c r="D4245" i="6" s="1"/>
  <c r="C4244" i="6"/>
  <c r="D4244" i="6" s="1"/>
  <c r="C4243" i="6"/>
  <c r="D4243" i="6" s="1"/>
  <c r="C4242" i="6"/>
  <c r="D4242" i="6" s="1"/>
  <c r="C4241" i="6"/>
  <c r="D4241" i="6" s="1"/>
  <c r="C4240" i="6"/>
  <c r="D4240" i="6" s="1"/>
  <c r="C4239" i="6"/>
  <c r="D4239" i="6" s="1"/>
  <c r="C4238" i="6"/>
  <c r="D4238" i="6" s="1"/>
  <c r="C4237" i="6"/>
  <c r="D4237" i="6" s="1"/>
  <c r="C4236" i="6"/>
  <c r="D4236" i="6" s="1"/>
  <c r="C4235" i="6"/>
  <c r="D4235" i="6" s="1"/>
  <c r="C4234" i="6"/>
  <c r="D4234" i="6" s="1"/>
  <c r="C4233" i="6"/>
  <c r="D4233" i="6" s="1"/>
  <c r="C4232" i="6"/>
  <c r="D4232" i="6" s="1"/>
  <c r="C4231" i="6"/>
  <c r="D4231" i="6" s="1"/>
  <c r="C4230" i="6"/>
  <c r="D4230" i="6" s="1"/>
  <c r="C4229" i="6"/>
  <c r="D4229" i="6" s="1"/>
  <c r="C4228" i="6"/>
  <c r="D4228" i="6" s="1"/>
  <c r="C4227" i="6"/>
  <c r="D4227" i="6" s="1"/>
  <c r="C4226" i="6"/>
  <c r="D4226" i="6" s="1"/>
  <c r="C4225" i="6"/>
  <c r="D4225" i="6" s="1"/>
  <c r="C4224" i="6"/>
  <c r="D4224" i="6" s="1"/>
  <c r="C4223" i="6"/>
  <c r="D4223" i="6" s="1"/>
  <c r="C4222" i="6"/>
  <c r="D4222" i="6" s="1"/>
  <c r="C4221" i="6"/>
  <c r="D4221" i="6" s="1"/>
  <c r="C4220" i="6"/>
  <c r="D4220" i="6" s="1"/>
  <c r="C4219" i="6"/>
  <c r="D4219" i="6" s="1"/>
  <c r="C4218" i="6"/>
  <c r="D4218" i="6" s="1"/>
  <c r="C4217" i="6"/>
  <c r="D4217" i="6" s="1"/>
  <c r="C4216" i="6"/>
  <c r="D4216" i="6" s="1"/>
  <c r="C4215" i="6"/>
  <c r="D4215" i="6" s="1"/>
  <c r="C4214" i="6"/>
  <c r="D4214" i="6" s="1"/>
  <c r="C4213" i="6"/>
  <c r="D4213" i="6" s="1"/>
  <c r="C4212" i="6"/>
  <c r="D4212" i="6" s="1"/>
  <c r="C4211" i="6"/>
  <c r="D4211" i="6" s="1"/>
  <c r="C4210" i="6"/>
  <c r="D4210" i="6" s="1"/>
  <c r="C4209" i="6"/>
  <c r="D4209" i="6" s="1"/>
  <c r="C4208" i="6"/>
  <c r="D4208" i="6" s="1"/>
  <c r="C4207" i="6"/>
  <c r="D4207" i="6" s="1"/>
  <c r="C4206" i="6"/>
  <c r="D4206" i="6" s="1"/>
  <c r="C4205" i="6"/>
  <c r="D4205" i="6" s="1"/>
  <c r="C4204" i="6"/>
  <c r="D4204" i="6" s="1"/>
  <c r="C4203" i="6"/>
  <c r="D4203" i="6" s="1"/>
  <c r="C4202" i="6"/>
  <c r="D4202" i="6" s="1"/>
  <c r="C4201" i="6"/>
  <c r="D4201" i="6" s="1"/>
  <c r="C4200" i="6"/>
  <c r="D4200" i="6" s="1"/>
  <c r="C4199" i="6"/>
  <c r="D4199" i="6" s="1"/>
  <c r="C4198" i="6"/>
  <c r="D4198" i="6" s="1"/>
  <c r="C4197" i="6"/>
  <c r="D4197" i="6" s="1"/>
  <c r="C4196" i="6"/>
  <c r="D4196" i="6" s="1"/>
  <c r="C4195" i="6"/>
  <c r="D4195" i="6" s="1"/>
  <c r="C4194" i="6"/>
  <c r="D4194" i="6" s="1"/>
  <c r="C4193" i="6"/>
  <c r="D4193" i="6" s="1"/>
  <c r="C4192" i="6"/>
  <c r="D4192" i="6" s="1"/>
  <c r="C4191" i="6"/>
  <c r="D4191" i="6" s="1"/>
  <c r="C4190" i="6"/>
  <c r="D4190" i="6" s="1"/>
  <c r="C4189" i="6"/>
  <c r="D4189" i="6" s="1"/>
  <c r="C4188" i="6"/>
  <c r="D4188" i="6" s="1"/>
  <c r="C4187" i="6"/>
  <c r="D4187" i="6" s="1"/>
  <c r="C4186" i="6"/>
  <c r="D4186" i="6" s="1"/>
  <c r="C4185" i="6"/>
  <c r="D4185" i="6" s="1"/>
  <c r="C4184" i="6"/>
  <c r="D4184" i="6" s="1"/>
  <c r="C4183" i="6"/>
  <c r="D4183" i="6" s="1"/>
  <c r="C4182" i="6"/>
  <c r="D4182" i="6" s="1"/>
  <c r="C4181" i="6"/>
  <c r="D4181" i="6" s="1"/>
  <c r="C4180" i="6"/>
  <c r="D4180" i="6" s="1"/>
  <c r="C4179" i="6"/>
  <c r="D4179" i="6" s="1"/>
  <c r="C4178" i="6"/>
  <c r="D4178" i="6" s="1"/>
  <c r="C4177" i="6"/>
  <c r="D4177" i="6" s="1"/>
  <c r="C4176" i="6"/>
  <c r="D4176" i="6" s="1"/>
  <c r="C4175" i="6"/>
  <c r="D4175" i="6" s="1"/>
  <c r="C4174" i="6"/>
  <c r="D4174" i="6" s="1"/>
  <c r="C4173" i="6"/>
  <c r="D4173" i="6" s="1"/>
  <c r="C4172" i="6"/>
  <c r="D4172" i="6" s="1"/>
  <c r="C4171" i="6"/>
  <c r="D4171" i="6" s="1"/>
  <c r="C4170" i="6"/>
  <c r="D4170" i="6" s="1"/>
  <c r="C4169" i="6"/>
  <c r="D4169" i="6" s="1"/>
  <c r="C4168" i="6"/>
  <c r="D4168" i="6" s="1"/>
  <c r="C4167" i="6"/>
  <c r="D4167" i="6" s="1"/>
  <c r="C4166" i="6"/>
  <c r="D4166" i="6" s="1"/>
  <c r="C4165" i="6"/>
  <c r="D4165" i="6" s="1"/>
  <c r="C4164" i="6"/>
  <c r="D4164" i="6" s="1"/>
  <c r="C4163" i="6"/>
  <c r="D4163" i="6" s="1"/>
  <c r="C4162" i="6"/>
  <c r="D4162" i="6" s="1"/>
  <c r="C4161" i="6"/>
  <c r="D4161" i="6" s="1"/>
  <c r="C4160" i="6"/>
  <c r="D4160" i="6" s="1"/>
  <c r="C4159" i="6"/>
  <c r="D4159" i="6" s="1"/>
  <c r="C4158" i="6"/>
  <c r="D4158" i="6" s="1"/>
  <c r="C4157" i="6"/>
  <c r="D4157" i="6" s="1"/>
  <c r="C4156" i="6"/>
  <c r="D4156" i="6" s="1"/>
  <c r="C4155" i="6"/>
  <c r="D4155" i="6" s="1"/>
  <c r="C4154" i="6"/>
  <c r="D4154" i="6" s="1"/>
  <c r="C4153" i="6"/>
  <c r="D4153" i="6" s="1"/>
  <c r="C4152" i="6"/>
  <c r="D4152" i="6" s="1"/>
  <c r="C4151" i="6"/>
  <c r="D4151" i="6" s="1"/>
  <c r="C4150" i="6"/>
  <c r="D4150" i="6" s="1"/>
  <c r="C4149" i="6"/>
  <c r="D4149" i="6" s="1"/>
  <c r="C4148" i="6"/>
  <c r="D4148" i="6" s="1"/>
  <c r="C4147" i="6"/>
  <c r="D4147" i="6" s="1"/>
  <c r="C4146" i="6"/>
  <c r="D4146" i="6" s="1"/>
  <c r="C4145" i="6"/>
  <c r="D4145" i="6" s="1"/>
  <c r="C4144" i="6"/>
  <c r="D4144" i="6" s="1"/>
  <c r="C4143" i="6"/>
  <c r="D4143" i="6" s="1"/>
  <c r="C4142" i="6"/>
  <c r="D4142" i="6" s="1"/>
  <c r="C4141" i="6"/>
  <c r="D4141" i="6" s="1"/>
  <c r="C4140" i="6"/>
  <c r="D4140" i="6" s="1"/>
  <c r="C4139" i="6"/>
  <c r="D4139" i="6" s="1"/>
  <c r="C4138" i="6"/>
  <c r="D4138" i="6" s="1"/>
  <c r="C4137" i="6"/>
  <c r="D4137" i="6" s="1"/>
  <c r="C4136" i="6"/>
  <c r="D4136" i="6" s="1"/>
  <c r="C4135" i="6"/>
  <c r="D4135" i="6" s="1"/>
  <c r="C4134" i="6"/>
  <c r="D4134" i="6" s="1"/>
  <c r="C4133" i="6"/>
  <c r="D4133" i="6" s="1"/>
  <c r="C4132" i="6"/>
  <c r="D4132" i="6" s="1"/>
  <c r="C4131" i="6"/>
  <c r="D4131" i="6" s="1"/>
  <c r="C4130" i="6"/>
  <c r="D4130" i="6" s="1"/>
  <c r="C4129" i="6"/>
  <c r="D4129" i="6" s="1"/>
  <c r="C4128" i="6"/>
  <c r="D4128" i="6" s="1"/>
  <c r="C4127" i="6"/>
  <c r="D4127" i="6" s="1"/>
  <c r="C4126" i="6"/>
  <c r="D4126" i="6" s="1"/>
  <c r="C4125" i="6"/>
  <c r="D4125" i="6" s="1"/>
  <c r="C4124" i="6"/>
  <c r="D4124" i="6" s="1"/>
  <c r="C4123" i="6"/>
  <c r="D4123" i="6" s="1"/>
  <c r="C4122" i="6"/>
  <c r="D4122" i="6" s="1"/>
  <c r="C4121" i="6"/>
  <c r="D4121" i="6" s="1"/>
  <c r="C4120" i="6"/>
  <c r="D4120" i="6" s="1"/>
  <c r="C4119" i="6"/>
  <c r="D4119" i="6" s="1"/>
  <c r="C4118" i="6"/>
  <c r="D4118" i="6" s="1"/>
  <c r="C4117" i="6"/>
  <c r="D4117" i="6" s="1"/>
  <c r="C4116" i="6"/>
  <c r="D4116" i="6" s="1"/>
  <c r="C4115" i="6"/>
  <c r="D4115" i="6" s="1"/>
  <c r="C4114" i="6"/>
  <c r="D4114" i="6" s="1"/>
  <c r="C4113" i="6"/>
  <c r="D4113" i="6" s="1"/>
  <c r="C4112" i="6"/>
  <c r="D4112" i="6" s="1"/>
  <c r="C4111" i="6"/>
  <c r="D4111" i="6" s="1"/>
  <c r="C4110" i="6"/>
  <c r="D4110" i="6" s="1"/>
  <c r="C4109" i="6"/>
  <c r="D4109" i="6" s="1"/>
  <c r="C4108" i="6"/>
  <c r="D4108" i="6" s="1"/>
  <c r="C4107" i="6"/>
  <c r="D4107" i="6" s="1"/>
  <c r="C4106" i="6"/>
  <c r="D4106" i="6" s="1"/>
  <c r="C4105" i="6"/>
  <c r="D4105" i="6" s="1"/>
  <c r="C4104" i="6"/>
  <c r="D4104" i="6" s="1"/>
  <c r="C4103" i="6"/>
  <c r="D4103" i="6" s="1"/>
  <c r="C4102" i="6"/>
  <c r="D4102" i="6" s="1"/>
  <c r="C4101" i="6"/>
  <c r="D4101" i="6" s="1"/>
  <c r="C4100" i="6"/>
  <c r="D4100" i="6" s="1"/>
  <c r="C4099" i="6"/>
  <c r="D4099" i="6" s="1"/>
  <c r="C4098" i="6"/>
  <c r="D4098" i="6" s="1"/>
  <c r="C4097" i="6"/>
  <c r="D4097" i="6" s="1"/>
  <c r="C4096" i="6"/>
  <c r="D4096" i="6" s="1"/>
  <c r="C4095" i="6"/>
  <c r="D4095" i="6" s="1"/>
  <c r="C4094" i="6"/>
  <c r="D4094" i="6" s="1"/>
  <c r="C4093" i="6"/>
  <c r="D4093" i="6" s="1"/>
  <c r="C4092" i="6"/>
  <c r="D4092" i="6" s="1"/>
  <c r="C4091" i="6"/>
  <c r="D4091" i="6" s="1"/>
  <c r="C4090" i="6"/>
  <c r="D4090" i="6" s="1"/>
  <c r="C4089" i="6"/>
  <c r="D4089" i="6" s="1"/>
  <c r="C4088" i="6"/>
  <c r="D4088" i="6" s="1"/>
  <c r="C4087" i="6"/>
  <c r="D4087" i="6" s="1"/>
  <c r="C4086" i="6"/>
  <c r="D4086" i="6" s="1"/>
  <c r="C4085" i="6"/>
  <c r="D4085" i="6" s="1"/>
  <c r="C4084" i="6"/>
  <c r="D4084" i="6" s="1"/>
  <c r="C4083" i="6"/>
  <c r="D4083" i="6" s="1"/>
  <c r="C4082" i="6"/>
  <c r="D4082" i="6" s="1"/>
  <c r="C4081" i="6"/>
  <c r="D4081" i="6" s="1"/>
  <c r="C4080" i="6"/>
  <c r="D4080" i="6" s="1"/>
  <c r="C4079" i="6"/>
  <c r="D4079" i="6" s="1"/>
  <c r="C4078" i="6"/>
  <c r="D4078" i="6" s="1"/>
  <c r="C4077" i="6"/>
  <c r="D4077" i="6" s="1"/>
  <c r="C4076" i="6"/>
  <c r="D4076" i="6" s="1"/>
  <c r="C4075" i="6"/>
  <c r="D4075" i="6" s="1"/>
  <c r="C4074" i="6"/>
  <c r="D4074" i="6" s="1"/>
  <c r="C4073" i="6"/>
  <c r="D4073" i="6" s="1"/>
  <c r="C4072" i="6"/>
  <c r="D4072" i="6" s="1"/>
  <c r="C4071" i="6"/>
  <c r="D4071" i="6" s="1"/>
  <c r="C4070" i="6"/>
  <c r="D4070" i="6" s="1"/>
  <c r="C4069" i="6"/>
  <c r="D4069" i="6" s="1"/>
  <c r="C4068" i="6"/>
  <c r="D4068" i="6" s="1"/>
  <c r="C4067" i="6"/>
  <c r="D4067" i="6" s="1"/>
  <c r="C4066" i="6"/>
  <c r="D4066" i="6" s="1"/>
  <c r="C4065" i="6"/>
  <c r="D4065" i="6" s="1"/>
  <c r="C4064" i="6"/>
  <c r="D4064" i="6" s="1"/>
  <c r="C4063" i="6"/>
  <c r="D4063" i="6" s="1"/>
  <c r="C4062" i="6"/>
  <c r="D4062" i="6" s="1"/>
  <c r="C4061" i="6"/>
  <c r="D4061" i="6" s="1"/>
  <c r="C4060" i="6"/>
  <c r="D4060" i="6" s="1"/>
  <c r="C4059" i="6"/>
  <c r="D4059" i="6" s="1"/>
  <c r="C4058" i="6"/>
  <c r="D4058" i="6" s="1"/>
  <c r="C4057" i="6"/>
  <c r="D4057" i="6" s="1"/>
  <c r="C4056" i="6"/>
  <c r="D4056" i="6" s="1"/>
  <c r="C4055" i="6"/>
  <c r="D4055" i="6" s="1"/>
  <c r="C4054" i="6"/>
  <c r="D4054" i="6" s="1"/>
  <c r="C4053" i="6"/>
  <c r="D4053" i="6" s="1"/>
  <c r="C4052" i="6"/>
  <c r="D4052" i="6" s="1"/>
  <c r="C4051" i="6"/>
  <c r="D4051" i="6" s="1"/>
  <c r="C4050" i="6"/>
  <c r="D4050" i="6" s="1"/>
  <c r="C4049" i="6"/>
  <c r="D4049" i="6" s="1"/>
  <c r="C4048" i="6"/>
  <c r="D4048" i="6" s="1"/>
  <c r="C4047" i="6"/>
  <c r="D4047" i="6" s="1"/>
  <c r="C4046" i="6"/>
  <c r="D4046" i="6" s="1"/>
  <c r="C4045" i="6"/>
  <c r="D4045" i="6" s="1"/>
  <c r="C4044" i="6"/>
  <c r="D4044" i="6" s="1"/>
  <c r="C4043" i="6"/>
  <c r="D4043" i="6" s="1"/>
  <c r="C4042" i="6"/>
  <c r="D4042" i="6" s="1"/>
  <c r="C4041" i="6"/>
  <c r="D4041" i="6" s="1"/>
  <c r="C4040" i="6"/>
  <c r="D4040" i="6" s="1"/>
  <c r="C4039" i="6"/>
  <c r="D4039" i="6" s="1"/>
  <c r="C4038" i="6"/>
  <c r="D4038" i="6" s="1"/>
  <c r="C4037" i="6"/>
  <c r="D4037" i="6" s="1"/>
  <c r="C4036" i="6"/>
  <c r="D4036" i="6" s="1"/>
  <c r="C4035" i="6"/>
  <c r="D4035" i="6" s="1"/>
  <c r="C4034" i="6"/>
  <c r="D4034" i="6" s="1"/>
  <c r="C4033" i="6"/>
  <c r="D4033" i="6" s="1"/>
  <c r="C4032" i="6"/>
  <c r="D4032" i="6" s="1"/>
  <c r="C4031" i="6"/>
  <c r="D4031" i="6" s="1"/>
  <c r="C4030" i="6"/>
  <c r="D4030" i="6" s="1"/>
  <c r="C4029" i="6"/>
  <c r="D4029" i="6" s="1"/>
  <c r="C4028" i="6"/>
  <c r="D4028" i="6" s="1"/>
  <c r="C4027" i="6"/>
  <c r="D4027" i="6" s="1"/>
  <c r="C4026" i="6"/>
  <c r="D4026" i="6" s="1"/>
  <c r="C4025" i="6"/>
  <c r="D4025" i="6" s="1"/>
  <c r="C4024" i="6"/>
  <c r="D4024" i="6" s="1"/>
  <c r="C4023" i="6"/>
  <c r="D4023" i="6" s="1"/>
  <c r="C4022" i="6"/>
  <c r="D4022" i="6" s="1"/>
  <c r="C4021" i="6"/>
  <c r="D4021" i="6" s="1"/>
  <c r="C4020" i="6"/>
  <c r="D4020" i="6" s="1"/>
  <c r="C4019" i="6"/>
  <c r="D4019" i="6" s="1"/>
  <c r="C4018" i="6"/>
  <c r="D4018" i="6" s="1"/>
  <c r="C4017" i="6"/>
  <c r="D4017" i="6" s="1"/>
  <c r="C4016" i="6"/>
  <c r="D4016" i="6" s="1"/>
  <c r="C4015" i="6"/>
  <c r="D4015" i="6" s="1"/>
  <c r="C4014" i="6"/>
  <c r="D4014" i="6" s="1"/>
  <c r="C4013" i="6"/>
  <c r="D4013" i="6" s="1"/>
  <c r="C4012" i="6"/>
  <c r="D4012" i="6" s="1"/>
  <c r="C4011" i="6"/>
  <c r="D4011" i="6" s="1"/>
  <c r="C4010" i="6"/>
  <c r="D4010" i="6" s="1"/>
  <c r="C4009" i="6"/>
  <c r="D4009" i="6" s="1"/>
  <c r="C4008" i="6"/>
  <c r="D4008" i="6" s="1"/>
  <c r="C4007" i="6"/>
  <c r="D4007" i="6" s="1"/>
  <c r="C4006" i="6"/>
  <c r="D4006" i="6" s="1"/>
  <c r="C4005" i="6"/>
  <c r="D4005" i="6" s="1"/>
  <c r="C4004" i="6"/>
  <c r="D4004" i="6" s="1"/>
  <c r="C4003" i="6"/>
  <c r="D4003" i="6" s="1"/>
  <c r="C4002" i="6"/>
  <c r="D4002" i="6" s="1"/>
  <c r="C4001" i="6"/>
  <c r="D4001" i="6" s="1"/>
  <c r="C4000" i="6"/>
  <c r="D4000" i="6" s="1"/>
  <c r="C3999" i="6"/>
  <c r="D3999" i="6" s="1"/>
  <c r="C3998" i="6"/>
  <c r="D3998" i="6" s="1"/>
  <c r="C3997" i="6"/>
  <c r="D3997" i="6" s="1"/>
  <c r="C3996" i="6"/>
  <c r="D3996" i="6" s="1"/>
  <c r="C3995" i="6"/>
  <c r="D3995" i="6" s="1"/>
  <c r="C3994" i="6"/>
  <c r="D3994" i="6" s="1"/>
  <c r="C3993" i="6"/>
  <c r="D3993" i="6" s="1"/>
  <c r="C3992" i="6"/>
  <c r="D3992" i="6" s="1"/>
  <c r="C3991" i="6"/>
  <c r="D3991" i="6" s="1"/>
  <c r="C3990" i="6"/>
  <c r="D3990" i="6" s="1"/>
  <c r="C3989" i="6"/>
  <c r="D3989" i="6" s="1"/>
  <c r="C3988" i="6"/>
  <c r="D3988" i="6" s="1"/>
  <c r="C3987" i="6"/>
  <c r="D3987" i="6" s="1"/>
  <c r="C3986" i="6"/>
  <c r="D3986" i="6" s="1"/>
  <c r="C3985" i="6"/>
  <c r="D3985" i="6" s="1"/>
  <c r="C3984" i="6"/>
  <c r="D3984" i="6" s="1"/>
  <c r="C3983" i="6"/>
  <c r="D3983" i="6" s="1"/>
  <c r="C3982" i="6"/>
  <c r="D3982" i="6" s="1"/>
  <c r="C3981" i="6"/>
  <c r="D3981" i="6" s="1"/>
  <c r="C3980" i="6"/>
  <c r="D3980" i="6" s="1"/>
  <c r="C3979" i="6"/>
  <c r="D3979" i="6" s="1"/>
  <c r="C3978" i="6"/>
  <c r="D3978" i="6" s="1"/>
  <c r="C3977" i="6"/>
  <c r="D3977" i="6" s="1"/>
  <c r="C3976" i="6"/>
  <c r="D3976" i="6" s="1"/>
  <c r="C3975" i="6"/>
  <c r="D3975" i="6" s="1"/>
  <c r="C3974" i="6"/>
  <c r="D3974" i="6" s="1"/>
  <c r="C3973" i="6"/>
  <c r="D3973" i="6" s="1"/>
  <c r="C3972" i="6"/>
  <c r="D3972" i="6" s="1"/>
  <c r="C3971" i="6"/>
  <c r="D3971" i="6" s="1"/>
  <c r="C3970" i="6"/>
  <c r="D3970" i="6" s="1"/>
  <c r="C3969" i="6"/>
  <c r="D3969" i="6" s="1"/>
  <c r="C3968" i="6"/>
  <c r="D3968" i="6" s="1"/>
  <c r="C3967" i="6"/>
  <c r="D3967" i="6" s="1"/>
  <c r="C3966" i="6"/>
  <c r="D3966" i="6" s="1"/>
  <c r="C3965" i="6"/>
  <c r="D3965" i="6" s="1"/>
  <c r="C3964" i="6"/>
  <c r="D3964" i="6" s="1"/>
  <c r="C3963" i="6"/>
  <c r="D3963" i="6" s="1"/>
  <c r="C3962" i="6"/>
  <c r="D3962" i="6" s="1"/>
  <c r="C3961" i="6"/>
  <c r="D3961" i="6" s="1"/>
  <c r="C3960" i="6"/>
  <c r="D3960" i="6" s="1"/>
  <c r="C3959" i="6"/>
  <c r="D3959" i="6" s="1"/>
  <c r="C3958" i="6"/>
  <c r="D3958" i="6" s="1"/>
  <c r="C3957" i="6"/>
  <c r="D3957" i="6" s="1"/>
  <c r="C3956" i="6"/>
  <c r="D3956" i="6" s="1"/>
  <c r="C3955" i="6"/>
  <c r="D3955" i="6" s="1"/>
  <c r="C3954" i="6"/>
  <c r="D3954" i="6" s="1"/>
  <c r="C3953" i="6"/>
  <c r="D3953" i="6" s="1"/>
  <c r="C3952" i="6"/>
  <c r="D3952" i="6" s="1"/>
  <c r="C3951" i="6"/>
  <c r="D3951" i="6" s="1"/>
  <c r="C3950" i="6"/>
  <c r="D3950" i="6" s="1"/>
  <c r="C3949" i="6"/>
  <c r="D3949" i="6" s="1"/>
  <c r="C3948" i="6"/>
  <c r="D3948" i="6" s="1"/>
  <c r="C3947" i="6"/>
  <c r="D3947" i="6" s="1"/>
  <c r="C3946" i="6"/>
  <c r="D3946" i="6" s="1"/>
  <c r="C3945" i="6"/>
  <c r="D3945" i="6" s="1"/>
  <c r="C3944" i="6"/>
  <c r="D3944" i="6" s="1"/>
  <c r="C3943" i="6"/>
  <c r="D3943" i="6" s="1"/>
  <c r="C3942" i="6"/>
  <c r="D3942" i="6" s="1"/>
  <c r="C3941" i="6"/>
  <c r="D3941" i="6" s="1"/>
  <c r="C3940" i="6"/>
  <c r="D3940" i="6" s="1"/>
  <c r="C3939" i="6"/>
  <c r="D3939" i="6" s="1"/>
  <c r="C3938" i="6"/>
  <c r="D3938" i="6" s="1"/>
  <c r="C3937" i="6"/>
  <c r="D3937" i="6" s="1"/>
  <c r="C3936" i="6"/>
  <c r="D3936" i="6" s="1"/>
  <c r="C3935" i="6"/>
  <c r="D3935" i="6" s="1"/>
  <c r="C3934" i="6"/>
  <c r="D3934" i="6" s="1"/>
  <c r="C3933" i="6"/>
  <c r="D3933" i="6" s="1"/>
  <c r="C3932" i="6"/>
  <c r="D3932" i="6" s="1"/>
  <c r="C3931" i="6"/>
  <c r="D3931" i="6" s="1"/>
  <c r="C3930" i="6"/>
  <c r="D3930" i="6" s="1"/>
  <c r="C3929" i="6"/>
  <c r="D3929" i="6" s="1"/>
  <c r="C3928" i="6"/>
  <c r="D3928" i="6" s="1"/>
  <c r="C3927" i="6"/>
  <c r="D3927" i="6" s="1"/>
  <c r="C3926" i="6"/>
  <c r="D3926" i="6" s="1"/>
  <c r="C3925" i="6"/>
  <c r="D3925" i="6" s="1"/>
  <c r="C3924" i="6"/>
  <c r="D3924" i="6" s="1"/>
  <c r="C3923" i="6"/>
  <c r="D3923" i="6" s="1"/>
  <c r="C3922" i="6"/>
  <c r="D3922" i="6" s="1"/>
  <c r="C3921" i="6"/>
  <c r="D3921" i="6" s="1"/>
  <c r="C3920" i="6"/>
  <c r="D3920" i="6" s="1"/>
  <c r="C3919" i="6"/>
  <c r="D3919" i="6" s="1"/>
  <c r="C3918" i="6"/>
  <c r="D3918" i="6" s="1"/>
  <c r="C3917" i="6"/>
  <c r="D3917" i="6" s="1"/>
  <c r="C3916" i="6"/>
  <c r="D3916" i="6" s="1"/>
  <c r="C3915" i="6"/>
  <c r="D3915" i="6" s="1"/>
  <c r="C3914" i="6"/>
  <c r="D3914" i="6" s="1"/>
  <c r="C3913" i="6"/>
  <c r="D3913" i="6" s="1"/>
  <c r="C3912" i="6"/>
  <c r="D3912" i="6" s="1"/>
  <c r="C3911" i="6"/>
  <c r="D3911" i="6" s="1"/>
  <c r="C3910" i="6"/>
  <c r="D3910" i="6" s="1"/>
  <c r="C3909" i="6"/>
  <c r="D3909" i="6" s="1"/>
  <c r="C3908" i="6"/>
  <c r="D3908" i="6" s="1"/>
  <c r="C3907" i="6"/>
  <c r="D3907" i="6" s="1"/>
  <c r="C3906" i="6"/>
  <c r="D3906" i="6" s="1"/>
  <c r="C3905" i="6"/>
  <c r="D3905" i="6" s="1"/>
  <c r="C3904" i="6"/>
  <c r="D3904" i="6" s="1"/>
  <c r="C3903" i="6"/>
  <c r="D3903" i="6" s="1"/>
  <c r="C3902" i="6"/>
  <c r="D3902" i="6" s="1"/>
  <c r="C3901" i="6"/>
  <c r="D3901" i="6" s="1"/>
  <c r="C3900" i="6"/>
  <c r="D3900" i="6" s="1"/>
  <c r="C3899" i="6"/>
  <c r="D3899" i="6" s="1"/>
  <c r="C3898" i="6"/>
  <c r="D3898" i="6" s="1"/>
  <c r="C3897" i="6"/>
  <c r="D3897" i="6" s="1"/>
  <c r="C3896" i="6"/>
  <c r="D3896" i="6" s="1"/>
  <c r="C3895" i="6"/>
  <c r="D3895" i="6" s="1"/>
  <c r="C3894" i="6"/>
  <c r="D3894" i="6" s="1"/>
  <c r="C3893" i="6"/>
  <c r="D3893" i="6" s="1"/>
  <c r="C3892" i="6"/>
  <c r="D3892" i="6" s="1"/>
  <c r="C3891" i="6"/>
  <c r="D3891" i="6" s="1"/>
  <c r="C3890" i="6"/>
  <c r="D3890" i="6" s="1"/>
  <c r="C3889" i="6"/>
  <c r="D3889" i="6" s="1"/>
  <c r="C3888" i="6"/>
  <c r="D3888" i="6" s="1"/>
  <c r="C3887" i="6"/>
  <c r="D3887" i="6" s="1"/>
  <c r="C3886" i="6"/>
  <c r="D3886" i="6" s="1"/>
  <c r="C3885" i="6"/>
  <c r="D3885" i="6" s="1"/>
  <c r="C3884" i="6"/>
  <c r="D3884" i="6" s="1"/>
  <c r="C3883" i="6"/>
  <c r="D3883" i="6" s="1"/>
  <c r="C3882" i="6"/>
  <c r="D3882" i="6" s="1"/>
  <c r="C3881" i="6"/>
  <c r="D3881" i="6" s="1"/>
  <c r="C3880" i="6"/>
  <c r="D3880" i="6" s="1"/>
  <c r="C3879" i="6"/>
  <c r="D3879" i="6" s="1"/>
  <c r="C3878" i="6"/>
  <c r="D3878" i="6" s="1"/>
  <c r="C3877" i="6"/>
  <c r="D3877" i="6" s="1"/>
  <c r="C3876" i="6"/>
  <c r="D3876" i="6" s="1"/>
  <c r="C3875" i="6"/>
  <c r="D3875" i="6" s="1"/>
  <c r="C3874" i="6"/>
  <c r="D3874" i="6" s="1"/>
  <c r="C3873" i="6"/>
  <c r="D3873" i="6" s="1"/>
  <c r="C3872" i="6"/>
  <c r="D3872" i="6" s="1"/>
  <c r="C3871" i="6"/>
  <c r="D3871" i="6" s="1"/>
  <c r="C3870" i="6"/>
  <c r="D3870" i="6" s="1"/>
  <c r="C3869" i="6"/>
  <c r="D3869" i="6" s="1"/>
  <c r="C3868" i="6"/>
  <c r="D3868" i="6" s="1"/>
  <c r="C3867" i="6"/>
  <c r="D3867" i="6" s="1"/>
  <c r="C3866" i="6"/>
  <c r="D3866" i="6" s="1"/>
  <c r="C3865" i="6"/>
  <c r="D3865" i="6" s="1"/>
  <c r="C3864" i="6"/>
  <c r="D3864" i="6" s="1"/>
  <c r="C3863" i="6"/>
  <c r="D3863" i="6" s="1"/>
  <c r="C3862" i="6"/>
  <c r="D3862" i="6" s="1"/>
  <c r="C3861" i="6"/>
  <c r="D3861" i="6" s="1"/>
  <c r="C3860" i="6"/>
  <c r="D3860" i="6" s="1"/>
  <c r="C3859" i="6"/>
  <c r="D3859" i="6" s="1"/>
  <c r="C3858" i="6"/>
  <c r="D3858" i="6" s="1"/>
  <c r="C3857" i="6"/>
  <c r="D3857" i="6" s="1"/>
  <c r="C3856" i="6"/>
  <c r="D3856" i="6" s="1"/>
  <c r="C3855" i="6"/>
  <c r="D3855" i="6" s="1"/>
  <c r="C3854" i="6"/>
  <c r="D3854" i="6" s="1"/>
  <c r="C3853" i="6"/>
  <c r="D3853" i="6" s="1"/>
  <c r="C3852" i="6"/>
  <c r="D3852" i="6" s="1"/>
  <c r="C3851" i="6"/>
  <c r="D3851" i="6" s="1"/>
  <c r="C3850" i="6"/>
  <c r="D3850" i="6" s="1"/>
  <c r="C3849" i="6"/>
  <c r="D3849" i="6" s="1"/>
  <c r="C3848" i="6"/>
  <c r="D3848" i="6" s="1"/>
  <c r="C3847" i="6"/>
  <c r="D3847" i="6" s="1"/>
  <c r="C3846" i="6"/>
  <c r="D3846" i="6" s="1"/>
  <c r="C3845" i="6"/>
  <c r="D3845" i="6" s="1"/>
  <c r="C3844" i="6"/>
  <c r="D3844" i="6" s="1"/>
  <c r="C3843" i="6"/>
  <c r="D3843" i="6" s="1"/>
  <c r="C3842" i="6"/>
  <c r="D3842" i="6" s="1"/>
  <c r="C3841" i="6"/>
  <c r="D3841" i="6" s="1"/>
  <c r="C3840" i="6"/>
  <c r="D3840" i="6" s="1"/>
  <c r="C3839" i="6"/>
  <c r="D3839" i="6" s="1"/>
  <c r="C3838" i="6"/>
  <c r="D3838" i="6" s="1"/>
  <c r="C3837" i="6"/>
  <c r="D3837" i="6" s="1"/>
  <c r="C3836" i="6"/>
  <c r="D3836" i="6" s="1"/>
  <c r="C3835" i="6"/>
  <c r="D3835" i="6" s="1"/>
  <c r="C3834" i="6"/>
  <c r="D3834" i="6" s="1"/>
  <c r="C3833" i="6"/>
  <c r="D3833" i="6" s="1"/>
  <c r="C3832" i="6"/>
  <c r="D3832" i="6" s="1"/>
  <c r="C3831" i="6"/>
  <c r="D3831" i="6" s="1"/>
  <c r="C3830" i="6"/>
  <c r="D3830" i="6" s="1"/>
  <c r="C3829" i="6"/>
  <c r="D3829" i="6" s="1"/>
  <c r="C3828" i="6"/>
  <c r="D3828" i="6" s="1"/>
  <c r="C3827" i="6"/>
  <c r="D3827" i="6" s="1"/>
  <c r="C3826" i="6"/>
  <c r="D3826" i="6" s="1"/>
  <c r="C3825" i="6"/>
  <c r="D3825" i="6" s="1"/>
  <c r="C3824" i="6"/>
  <c r="D3824" i="6" s="1"/>
  <c r="C3823" i="6"/>
  <c r="D3823" i="6" s="1"/>
  <c r="C3822" i="6"/>
  <c r="D3822" i="6" s="1"/>
  <c r="C3821" i="6"/>
  <c r="D3821" i="6" s="1"/>
  <c r="C3820" i="6"/>
  <c r="D3820" i="6" s="1"/>
  <c r="C3819" i="6"/>
  <c r="D3819" i="6" s="1"/>
  <c r="C3818" i="6"/>
  <c r="D3818" i="6" s="1"/>
  <c r="C3817" i="6"/>
  <c r="D3817" i="6" s="1"/>
  <c r="C3816" i="6"/>
  <c r="D3816" i="6" s="1"/>
  <c r="C3815" i="6"/>
  <c r="D3815" i="6" s="1"/>
  <c r="C3814" i="6"/>
  <c r="D3814" i="6" s="1"/>
  <c r="C3813" i="6"/>
  <c r="D3813" i="6" s="1"/>
  <c r="C3812" i="6"/>
  <c r="D3812" i="6" s="1"/>
  <c r="C3811" i="6"/>
  <c r="D3811" i="6" s="1"/>
  <c r="C3810" i="6"/>
  <c r="D3810" i="6" s="1"/>
  <c r="C3809" i="6"/>
  <c r="D3809" i="6" s="1"/>
  <c r="C3808" i="6"/>
  <c r="D3808" i="6" s="1"/>
  <c r="C3807" i="6"/>
  <c r="D3807" i="6" s="1"/>
  <c r="C3806" i="6"/>
  <c r="D3806" i="6" s="1"/>
  <c r="C3805" i="6"/>
  <c r="D3805" i="6" s="1"/>
  <c r="C3804" i="6"/>
  <c r="D3804" i="6" s="1"/>
  <c r="C3803" i="6"/>
  <c r="D3803" i="6" s="1"/>
  <c r="C3802" i="6"/>
  <c r="D3802" i="6" s="1"/>
  <c r="C3801" i="6"/>
  <c r="D3801" i="6" s="1"/>
  <c r="C3800" i="6"/>
  <c r="D3800" i="6" s="1"/>
  <c r="C3799" i="6"/>
  <c r="D3799" i="6" s="1"/>
  <c r="C3798" i="6"/>
  <c r="D3798" i="6" s="1"/>
  <c r="C3797" i="6"/>
  <c r="D3797" i="6" s="1"/>
  <c r="C3796" i="6"/>
  <c r="D3796" i="6" s="1"/>
  <c r="C3795" i="6"/>
  <c r="D3795" i="6" s="1"/>
  <c r="C3794" i="6"/>
  <c r="D3794" i="6" s="1"/>
  <c r="C3793" i="6"/>
  <c r="D3793" i="6" s="1"/>
  <c r="C3792" i="6"/>
  <c r="D3792" i="6" s="1"/>
  <c r="C3791" i="6"/>
  <c r="D3791" i="6" s="1"/>
  <c r="C3790" i="6"/>
  <c r="D3790" i="6" s="1"/>
  <c r="C3789" i="6"/>
  <c r="D3789" i="6" s="1"/>
  <c r="C3788" i="6"/>
  <c r="D3788" i="6" s="1"/>
  <c r="C3787" i="6"/>
  <c r="D3787" i="6" s="1"/>
  <c r="C3786" i="6"/>
  <c r="D3786" i="6" s="1"/>
  <c r="C3785" i="6"/>
  <c r="D3785" i="6" s="1"/>
  <c r="C3784" i="6"/>
  <c r="D3784" i="6" s="1"/>
  <c r="C3783" i="6"/>
  <c r="D3783" i="6" s="1"/>
  <c r="C3782" i="6"/>
  <c r="D3782" i="6" s="1"/>
  <c r="C3781" i="6"/>
  <c r="D3781" i="6" s="1"/>
  <c r="C3780" i="6"/>
  <c r="D3780" i="6" s="1"/>
  <c r="C3779" i="6"/>
  <c r="D3779" i="6" s="1"/>
  <c r="C3778" i="6"/>
  <c r="D3778" i="6" s="1"/>
  <c r="C3777" i="6"/>
  <c r="D3777" i="6" s="1"/>
  <c r="C3776" i="6"/>
  <c r="D3776" i="6" s="1"/>
  <c r="C3775" i="6"/>
  <c r="D3775" i="6" s="1"/>
  <c r="C3774" i="6"/>
  <c r="D3774" i="6" s="1"/>
  <c r="C3773" i="6"/>
  <c r="D3773" i="6" s="1"/>
  <c r="C3772" i="6"/>
  <c r="D3772" i="6" s="1"/>
  <c r="C3771" i="6"/>
  <c r="D3771" i="6" s="1"/>
  <c r="C3770" i="6"/>
  <c r="D3770" i="6" s="1"/>
  <c r="C3769" i="6"/>
  <c r="D3769" i="6" s="1"/>
  <c r="C3768" i="6"/>
  <c r="D3768" i="6" s="1"/>
  <c r="C3767" i="6"/>
  <c r="D3767" i="6" s="1"/>
  <c r="C3766" i="6"/>
  <c r="D3766" i="6" s="1"/>
  <c r="C3765" i="6"/>
  <c r="D3765" i="6" s="1"/>
  <c r="C3764" i="6"/>
  <c r="D3764" i="6" s="1"/>
  <c r="C3763" i="6"/>
  <c r="D3763" i="6" s="1"/>
  <c r="C3762" i="6"/>
  <c r="D3762" i="6" s="1"/>
  <c r="C3761" i="6"/>
  <c r="D3761" i="6" s="1"/>
  <c r="C3760" i="6"/>
  <c r="D3760" i="6" s="1"/>
  <c r="C3759" i="6"/>
  <c r="D3759" i="6" s="1"/>
  <c r="C3758" i="6"/>
  <c r="D3758" i="6" s="1"/>
  <c r="C3757" i="6"/>
  <c r="D3757" i="6" s="1"/>
  <c r="C3756" i="6"/>
  <c r="D3756" i="6" s="1"/>
  <c r="C3755" i="6"/>
  <c r="D3755" i="6" s="1"/>
  <c r="C3754" i="6"/>
  <c r="D3754" i="6" s="1"/>
  <c r="C3753" i="6"/>
  <c r="D3753" i="6" s="1"/>
  <c r="C3752" i="6"/>
  <c r="D3752" i="6" s="1"/>
  <c r="C3751" i="6"/>
  <c r="D3751" i="6" s="1"/>
  <c r="C3750" i="6"/>
  <c r="D3750" i="6" s="1"/>
  <c r="C3749" i="6"/>
  <c r="D3749" i="6" s="1"/>
  <c r="C3748" i="6"/>
  <c r="D3748" i="6" s="1"/>
  <c r="C3747" i="6"/>
  <c r="D3747" i="6" s="1"/>
  <c r="C3746" i="6"/>
  <c r="D3746" i="6" s="1"/>
  <c r="C3745" i="6"/>
  <c r="D3745" i="6" s="1"/>
  <c r="C3744" i="6"/>
  <c r="D3744" i="6" s="1"/>
  <c r="C3743" i="6"/>
  <c r="D3743" i="6" s="1"/>
  <c r="C3742" i="6"/>
  <c r="D3742" i="6" s="1"/>
  <c r="C3741" i="6"/>
  <c r="D3741" i="6" s="1"/>
  <c r="C3740" i="6"/>
  <c r="D3740" i="6" s="1"/>
  <c r="C3739" i="6"/>
  <c r="D3739" i="6" s="1"/>
  <c r="C3738" i="6"/>
  <c r="D3738" i="6" s="1"/>
  <c r="C3737" i="6"/>
  <c r="D3737" i="6" s="1"/>
  <c r="C3736" i="6"/>
  <c r="D3736" i="6" s="1"/>
  <c r="C3735" i="6"/>
  <c r="D3735" i="6" s="1"/>
  <c r="C3734" i="6"/>
  <c r="D3734" i="6" s="1"/>
  <c r="C3733" i="6"/>
  <c r="D3733" i="6" s="1"/>
  <c r="C3732" i="6"/>
  <c r="D3732" i="6" s="1"/>
  <c r="C3731" i="6"/>
  <c r="D3731" i="6" s="1"/>
  <c r="C3730" i="6"/>
  <c r="D3730" i="6" s="1"/>
  <c r="C3729" i="6"/>
  <c r="D3729" i="6" s="1"/>
  <c r="C3728" i="6"/>
  <c r="D3728" i="6" s="1"/>
  <c r="C3727" i="6"/>
  <c r="D3727" i="6" s="1"/>
  <c r="C3726" i="6"/>
  <c r="D3726" i="6" s="1"/>
  <c r="C3725" i="6"/>
  <c r="D3725" i="6" s="1"/>
  <c r="C3724" i="6"/>
  <c r="D3724" i="6" s="1"/>
  <c r="C3723" i="6"/>
  <c r="D3723" i="6" s="1"/>
  <c r="C3722" i="6"/>
  <c r="D3722" i="6" s="1"/>
  <c r="C3721" i="6"/>
  <c r="D3721" i="6" s="1"/>
  <c r="C3720" i="6"/>
  <c r="D3720" i="6" s="1"/>
  <c r="C3719" i="6"/>
  <c r="D3719" i="6" s="1"/>
  <c r="C3718" i="6"/>
  <c r="D3718" i="6" s="1"/>
  <c r="C3717" i="6"/>
  <c r="D3717" i="6" s="1"/>
  <c r="C3716" i="6"/>
  <c r="D3716" i="6" s="1"/>
  <c r="C3715" i="6"/>
  <c r="D3715" i="6" s="1"/>
  <c r="C3714" i="6"/>
  <c r="D3714" i="6" s="1"/>
  <c r="C3713" i="6"/>
  <c r="D3713" i="6" s="1"/>
  <c r="C3712" i="6"/>
  <c r="D3712" i="6" s="1"/>
  <c r="C3711" i="6"/>
  <c r="D3711" i="6" s="1"/>
  <c r="C3710" i="6"/>
  <c r="D3710" i="6" s="1"/>
  <c r="C3709" i="6"/>
  <c r="D3709" i="6" s="1"/>
  <c r="C3708" i="6"/>
  <c r="D3708" i="6" s="1"/>
  <c r="C3707" i="6"/>
  <c r="D3707" i="6" s="1"/>
  <c r="C3706" i="6"/>
  <c r="D3706" i="6" s="1"/>
  <c r="C3705" i="6"/>
  <c r="D3705" i="6" s="1"/>
  <c r="C3704" i="6"/>
  <c r="D3704" i="6" s="1"/>
  <c r="C3703" i="6"/>
  <c r="D3703" i="6" s="1"/>
  <c r="C3702" i="6"/>
  <c r="D3702" i="6" s="1"/>
  <c r="C3701" i="6"/>
  <c r="D3701" i="6" s="1"/>
  <c r="C3700" i="6"/>
  <c r="D3700" i="6" s="1"/>
  <c r="C3699" i="6"/>
  <c r="D3699" i="6" s="1"/>
  <c r="C3698" i="6"/>
  <c r="D3698" i="6" s="1"/>
  <c r="C3697" i="6"/>
  <c r="D3697" i="6" s="1"/>
  <c r="C3696" i="6"/>
  <c r="D3696" i="6" s="1"/>
  <c r="C3695" i="6"/>
  <c r="D3695" i="6" s="1"/>
  <c r="C3694" i="6"/>
  <c r="D3694" i="6" s="1"/>
  <c r="C3693" i="6"/>
  <c r="D3693" i="6" s="1"/>
  <c r="C3692" i="6"/>
  <c r="D3692" i="6" s="1"/>
  <c r="C3691" i="6"/>
  <c r="D3691" i="6" s="1"/>
  <c r="C3690" i="6"/>
  <c r="D3690" i="6" s="1"/>
  <c r="C3689" i="6"/>
  <c r="D3689" i="6" s="1"/>
  <c r="C3688" i="6"/>
  <c r="D3688" i="6" s="1"/>
  <c r="C3687" i="6"/>
  <c r="D3687" i="6" s="1"/>
  <c r="C3686" i="6"/>
  <c r="D3686" i="6" s="1"/>
  <c r="C3685" i="6"/>
  <c r="D3685" i="6" s="1"/>
  <c r="C3684" i="6"/>
  <c r="D3684" i="6" s="1"/>
  <c r="C3683" i="6"/>
  <c r="D3683" i="6" s="1"/>
  <c r="C3682" i="6"/>
  <c r="D3682" i="6" s="1"/>
  <c r="C3681" i="6"/>
  <c r="D3681" i="6" s="1"/>
  <c r="C3680" i="6"/>
  <c r="D3680" i="6" s="1"/>
  <c r="C3679" i="6"/>
  <c r="D3679" i="6" s="1"/>
  <c r="C3678" i="6"/>
  <c r="D3678" i="6" s="1"/>
  <c r="C3677" i="6"/>
  <c r="D3677" i="6" s="1"/>
  <c r="C3676" i="6"/>
  <c r="D3676" i="6" s="1"/>
  <c r="C3675" i="6"/>
  <c r="D3675" i="6" s="1"/>
  <c r="C3674" i="6"/>
  <c r="D3674" i="6" s="1"/>
  <c r="C3673" i="6"/>
  <c r="D3673" i="6" s="1"/>
  <c r="C3672" i="6"/>
  <c r="D3672" i="6" s="1"/>
  <c r="C3671" i="6"/>
  <c r="D3671" i="6" s="1"/>
  <c r="C3670" i="6"/>
  <c r="D3670" i="6" s="1"/>
  <c r="C3669" i="6"/>
  <c r="D3669" i="6" s="1"/>
  <c r="C3668" i="6"/>
  <c r="D3668" i="6" s="1"/>
  <c r="C3667" i="6"/>
  <c r="D3667" i="6" s="1"/>
  <c r="C3666" i="6"/>
  <c r="D3666" i="6" s="1"/>
  <c r="C3665" i="6"/>
  <c r="D3665" i="6" s="1"/>
  <c r="C3664" i="6"/>
  <c r="D3664" i="6" s="1"/>
  <c r="C3663" i="6"/>
  <c r="D3663" i="6" s="1"/>
  <c r="C3662" i="6"/>
  <c r="D3662" i="6" s="1"/>
  <c r="C3661" i="6"/>
  <c r="D3661" i="6" s="1"/>
  <c r="C3660" i="6"/>
  <c r="D3660" i="6" s="1"/>
  <c r="C3659" i="6"/>
  <c r="D3659" i="6" s="1"/>
  <c r="C3658" i="6"/>
  <c r="D3658" i="6" s="1"/>
  <c r="C3657" i="6"/>
  <c r="D3657" i="6" s="1"/>
  <c r="C3656" i="6"/>
  <c r="D3656" i="6" s="1"/>
  <c r="C3655" i="6"/>
  <c r="D3655" i="6" s="1"/>
  <c r="C3654" i="6"/>
  <c r="D3654" i="6" s="1"/>
  <c r="C3653" i="6"/>
  <c r="D3653" i="6" s="1"/>
  <c r="C3652" i="6"/>
  <c r="D3652" i="6" s="1"/>
  <c r="C3651" i="6"/>
  <c r="D3651" i="6" s="1"/>
  <c r="C3650" i="6"/>
  <c r="D3650" i="6" s="1"/>
  <c r="C3649" i="6"/>
  <c r="D3649" i="6" s="1"/>
  <c r="C3648" i="6"/>
  <c r="D3648" i="6" s="1"/>
  <c r="C3647" i="6"/>
  <c r="D3647" i="6" s="1"/>
  <c r="C3646" i="6"/>
  <c r="D3646" i="6" s="1"/>
  <c r="C3645" i="6"/>
  <c r="D3645" i="6" s="1"/>
  <c r="C3644" i="6"/>
  <c r="D3644" i="6" s="1"/>
  <c r="C3643" i="6"/>
  <c r="D3643" i="6" s="1"/>
  <c r="C3642" i="6"/>
  <c r="D3642" i="6" s="1"/>
  <c r="C3641" i="6"/>
  <c r="D3641" i="6" s="1"/>
  <c r="C3640" i="6"/>
  <c r="D3640" i="6" s="1"/>
  <c r="C3639" i="6"/>
  <c r="D3639" i="6" s="1"/>
  <c r="C3638" i="6"/>
  <c r="D3638" i="6" s="1"/>
  <c r="C3637" i="6"/>
  <c r="D3637" i="6" s="1"/>
  <c r="C3636" i="6"/>
  <c r="D3636" i="6" s="1"/>
  <c r="C3635" i="6"/>
  <c r="D3635" i="6" s="1"/>
  <c r="C3634" i="6"/>
  <c r="D3634" i="6" s="1"/>
  <c r="C3633" i="6"/>
  <c r="D3633" i="6" s="1"/>
  <c r="C3632" i="6"/>
  <c r="D3632" i="6" s="1"/>
  <c r="C3631" i="6"/>
  <c r="D3631" i="6" s="1"/>
  <c r="C3630" i="6"/>
  <c r="D3630" i="6" s="1"/>
  <c r="C3629" i="6"/>
  <c r="D3629" i="6" s="1"/>
  <c r="C3628" i="6"/>
  <c r="D3628" i="6" s="1"/>
  <c r="C3627" i="6"/>
  <c r="D3627" i="6" s="1"/>
  <c r="C3626" i="6"/>
  <c r="D3626" i="6" s="1"/>
  <c r="C3625" i="6"/>
  <c r="D3625" i="6" s="1"/>
  <c r="C3624" i="6"/>
  <c r="D3624" i="6" s="1"/>
  <c r="C3623" i="6"/>
  <c r="D3623" i="6" s="1"/>
  <c r="C3622" i="6"/>
  <c r="D3622" i="6" s="1"/>
  <c r="C3621" i="6"/>
  <c r="D3621" i="6" s="1"/>
  <c r="C3620" i="6"/>
  <c r="D3620" i="6" s="1"/>
  <c r="C3619" i="6"/>
  <c r="D3619" i="6" s="1"/>
  <c r="C3618" i="6"/>
  <c r="D3618" i="6" s="1"/>
  <c r="C3617" i="6"/>
  <c r="D3617" i="6" s="1"/>
  <c r="C3616" i="6"/>
  <c r="D3616" i="6" s="1"/>
  <c r="C3615" i="6"/>
  <c r="D3615" i="6" s="1"/>
  <c r="C3614" i="6"/>
  <c r="D3614" i="6" s="1"/>
  <c r="C3613" i="6"/>
  <c r="D3613" i="6" s="1"/>
  <c r="C3612" i="6"/>
  <c r="D3612" i="6" s="1"/>
  <c r="C3611" i="6"/>
  <c r="D3611" i="6" s="1"/>
  <c r="C3610" i="6"/>
  <c r="D3610" i="6" s="1"/>
  <c r="C3609" i="6"/>
  <c r="D3609" i="6" s="1"/>
  <c r="C3608" i="6"/>
  <c r="D3608" i="6" s="1"/>
  <c r="C3607" i="6"/>
  <c r="D3607" i="6" s="1"/>
  <c r="C3606" i="6"/>
  <c r="D3606" i="6" s="1"/>
  <c r="C3605" i="6"/>
  <c r="D3605" i="6" s="1"/>
  <c r="C3604" i="6"/>
  <c r="D3604" i="6" s="1"/>
  <c r="C3603" i="6"/>
  <c r="D3603" i="6" s="1"/>
  <c r="C3602" i="6"/>
  <c r="D3602" i="6" s="1"/>
  <c r="C3601" i="6"/>
  <c r="D3601" i="6" s="1"/>
  <c r="C3600" i="6"/>
  <c r="D3600" i="6" s="1"/>
  <c r="C3599" i="6"/>
  <c r="D3599" i="6" s="1"/>
  <c r="C3598" i="6"/>
  <c r="D3598" i="6" s="1"/>
  <c r="C3597" i="6"/>
  <c r="D3597" i="6" s="1"/>
  <c r="C3596" i="6"/>
  <c r="D3596" i="6" s="1"/>
  <c r="C3595" i="6"/>
  <c r="D3595" i="6" s="1"/>
  <c r="C3594" i="6"/>
  <c r="D3594" i="6" s="1"/>
  <c r="C3593" i="6"/>
  <c r="D3593" i="6" s="1"/>
  <c r="C3592" i="6"/>
  <c r="D3592" i="6" s="1"/>
  <c r="C3591" i="6"/>
  <c r="D3591" i="6" s="1"/>
  <c r="C3590" i="6"/>
  <c r="D3590" i="6" s="1"/>
  <c r="C3589" i="6"/>
  <c r="D3589" i="6" s="1"/>
  <c r="C3588" i="6"/>
  <c r="D3588" i="6" s="1"/>
  <c r="C3587" i="6"/>
  <c r="D3587" i="6" s="1"/>
  <c r="C3586" i="6"/>
  <c r="D3586" i="6" s="1"/>
  <c r="C3585" i="6"/>
  <c r="D3585" i="6" s="1"/>
  <c r="C3584" i="6"/>
  <c r="D3584" i="6" s="1"/>
  <c r="C3583" i="6"/>
  <c r="D3583" i="6" s="1"/>
  <c r="C3582" i="6"/>
  <c r="D3582" i="6" s="1"/>
  <c r="C3581" i="6"/>
  <c r="D3581" i="6" s="1"/>
  <c r="C3580" i="6"/>
  <c r="D3580" i="6" s="1"/>
  <c r="C3579" i="6"/>
  <c r="D3579" i="6" s="1"/>
  <c r="C3578" i="6"/>
  <c r="D3578" i="6" s="1"/>
  <c r="C3577" i="6"/>
  <c r="D3577" i="6" s="1"/>
  <c r="C3576" i="6"/>
  <c r="D3576" i="6" s="1"/>
  <c r="C3575" i="6"/>
  <c r="D3575" i="6" s="1"/>
  <c r="C3574" i="6"/>
  <c r="D3574" i="6" s="1"/>
  <c r="C3573" i="6"/>
  <c r="D3573" i="6" s="1"/>
  <c r="C3572" i="6"/>
  <c r="D3572" i="6" s="1"/>
  <c r="C3571" i="6"/>
  <c r="D3571" i="6" s="1"/>
  <c r="C3570" i="6"/>
  <c r="D3570" i="6" s="1"/>
  <c r="C3569" i="6"/>
  <c r="D3569" i="6" s="1"/>
  <c r="C3568" i="6"/>
  <c r="D3568" i="6" s="1"/>
  <c r="C3567" i="6"/>
  <c r="D3567" i="6" s="1"/>
  <c r="C3566" i="6"/>
  <c r="D3566" i="6" s="1"/>
  <c r="C3565" i="6"/>
  <c r="D3565" i="6" s="1"/>
  <c r="C3564" i="6"/>
  <c r="D3564" i="6" s="1"/>
  <c r="C3563" i="6"/>
  <c r="D3563" i="6" s="1"/>
  <c r="C3562" i="6"/>
  <c r="D3562" i="6" s="1"/>
  <c r="C3561" i="6"/>
  <c r="D3561" i="6" s="1"/>
  <c r="C3560" i="6"/>
  <c r="D3560" i="6" s="1"/>
  <c r="C3559" i="6"/>
  <c r="D3559" i="6" s="1"/>
  <c r="C3558" i="6"/>
  <c r="D3558" i="6" s="1"/>
  <c r="C3557" i="6"/>
  <c r="D3557" i="6" s="1"/>
  <c r="C3556" i="6"/>
  <c r="D3556" i="6" s="1"/>
  <c r="C3555" i="6"/>
  <c r="D3555" i="6" s="1"/>
  <c r="C3554" i="6"/>
  <c r="D3554" i="6" s="1"/>
  <c r="C3553" i="6"/>
  <c r="D3553" i="6" s="1"/>
  <c r="C3552" i="6"/>
  <c r="D3552" i="6" s="1"/>
  <c r="C3551" i="6"/>
  <c r="D3551" i="6" s="1"/>
  <c r="C3550" i="6"/>
  <c r="D3550" i="6" s="1"/>
  <c r="C3549" i="6"/>
  <c r="D3549" i="6" s="1"/>
  <c r="C3548" i="6"/>
  <c r="D3548" i="6" s="1"/>
  <c r="C3547" i="6"/>
  <c r="D3547" i="6" s="1"/>
  <c r="C3546" i="6"/>
  <c r="D3546" i="6" s="1"/>
  <c r="C3545" i="6"/>
  <c r="D3545" i="6" s="1"/>
  <c r="C3544" i="6"/>
  <c r="D3544" i="6" s="1"/>
  <c r="C3543" i="6"/>
  <c r="D3543" i="6" s="1"/>
  <c r="C3542" i="6"/>
  <c r="D3542" i="6" s="1"/>
  <c r="C3541" i="6"/>
  <c r="D3541" i="6" s="1"/>
  <c r="C3540" i="6"/>
  <c r="D3540" i="6" s="1"/>
  <c r="C3539" i="6"/>
  <c r="D3539" i="6" s="1"/>
  <c r="C3538" i="6"/>
  <c r="D3538" i="6" s="1"/>
  <c r="C3537" i="6"/>
  <c r="D3537" i="6" s="1"/>
  <c r="C3536" i="6"/>
  <c r="D3536" i="6" s="1"/>
  <c r="C3535" i="6"/>
  <c r="D3535" i="6" s="1"/>
  <c r="C3534" i="6"/>
  <c r="D3534" i="6" s="1"/>
  <c r="C3533" i="6"/>
  <c r="D3533" i="6" s="1"/>
  <c r="C3532" i="6"/>
  <c r="D3532" i="6" s="1"/>
  <c r="C3531" i="6"/>
  <c r="D3531" i="6" s="1"/>
  <c r="C3530" i="6"/>
  <c r="D3530" i="6" s="1"/>
  <c r="C3529" i="6"/>
  <c r="D3529" i="6" s="1"/>
  <c r="C3528" i="6"/>
  <c r="D3528" i="6" s="1"/>
  <c r="C3527" i="6"/>
  <c r="D3527" i="6" s="1"/>
  <c r="C3526" i="6"/>
  <c r="D3526" i="6" s="1"/>
  <c r="C3525" i="6"/>
  <c r="D3525" i="6" s="1"/>
  <c r="C3524" i="6"/>
  <c r="D3524" i="6" s="1"/>
  <c r="C3523" i="6"/>
  <c r="D3523" i="6" s="1"/>
  <c r="C3522" i="6"/>
  <c r="D3522" i="6" s="1"/>
  <c r="C3521" i="6"/>
  <c r="D3521" i="6" s="1"/>
  <c r="C3520" i="6"/>
  <c r="D3520" i="6" s="1"/>
  <c r="C3519" i="6"/>
  <c r="D3519" i="6" s="1"/>
  <c r="C3518" i="6"/>
  <c r="D3518" i="6" s="1"/>
  <c r="C3517" i="6"/>
  <c r="D3517" i="6" s="1"/>
  <c r="C3516" i="6"/>
  <c r="D3516" i="6" s="1"/>
  <c r="C3515" i="6"/>
  <c r="D3515" i="6" s="1"/>
  <c r="C3514" i="6"/>
  <c r="D3514" i="6" s="1"/>
  <c r="C3513" i="6"/>
  <c r="D3513" i="6" s="1"/>
  <c r="C3512" i="6"/>
  <c r="D3512" i="6" s="1"/>
  <c r="C3511" i="6"/>
  <c r="D3511" i="6" s="1"/>
  <c r="C3510" i="6"/>
  <c r="D3510" i="6" s="1"/>
  <c r="C3509" i="6"/>
  <c r="D3509" i="6" s="1"/>
  <c r="C3508" i="6"/>
  <c r="D3508" i="6" s="1"/>
  <c r="C3507" i="6"/>
  <c r="D3507" i="6" s="1"/>
  <c r="C3506" i="6"/>
  <c r="D3506" i="6" s="1"/>
  <c r="C3505" i="6"/>
  <c r="D3505" i="6" s="1"/>
  <c r="C3504" i="6"/>
  <c r="D3504" i="6" s="1"/>
  <c r="C3503" i="6"/>
  <c r="D3503" i="6" s="1"/>
  <c r="C3502" i="6"/>
  <c r="D3502" i="6" s="1"/>
  <c r="C3501" i="6"/>
  <c r="D3501" i="6" s="1"/>
  <c r="C3500" i="6"/>
  <c r="D3500" i="6" s="1"/>
  <c r="C3499" i="6"/>
  <c r="D3499" i="6" s="1"/>
  <c r="C3498" i="6"/>
  <c r="D3498" i="6" s="1"/>
  <c r="C3497" i="6"/>
  <c r="D3497" i="6" s="1"/>
  <c r="C3496" i="6"/>
  <c r="D3496" i="6" s="1"/>
  <c r="C3495" i="6"/>
  <c r="D3495" i="6" s="1"/>
  <c r="C3494" i="6"/>
  <c r="D3494" i="6" s="1"/>
  <c r="C3493" i="6"/>
  <c r="D3493" i="6" s="1"/>
  <c r="C3492" i="6"/>
  <c r="D3492" i="6" s="1"/>
  <c r="C3491" i="6"/>
  <c r="D3491" i="6" s="1"/>
  <c r="C3490" i="6"/>
  <c r="D3490" i="6" s="1"/>
  <c r="C3489" i="6"/>
  <c r="D3489" i="6" s="1"/>
  <c r="C3488" i="6"/>
  <c r="D3488" i="6" s="1"/>
  <c r="C3487" i="6"/>
  <c r="D3487" i="6" s="1"/>
  <c r="C3486" i="6"/>
  <c r="D3486" i="6" s="1"/>
  <c r="C3485" i="6"/>
  <c r="D3485" i="6" s="1"/>
  <c r="C3484" i="6"/>
  <c r="D3484" i="6" s="1"/>
  <c r="C3483" i="6"/>
  <c r="D3483" i="6" s="1"/>
  <c r="C3482" i="6"/>
  <c r="D3482" i="6" s="1"/>
  <c r="C3481" i="6"/>
  <c r="D3481" i="6" s="1"/>
  <c r="C3480" i="6"/>
  <c r="D3480" i="6" s="1"/>
  <c r="C3479" i="6"/>
  <c r="D3479" i="6" s="1"/>
  <c r="C3478" i="6"/>
  <c r="D3478" i="6" s="1"/>
  <c r="C3477" i="6"/>
  <c r="D3477" i="6" s="1"/>
  <c r="C3476" i="6"/>
  <c r="D3476" i="6" s="1"/>
  <c r="C3475" i="6"/>
  <c r="D3475" i="6" s="1"/>
  <c r="C3474" i="6"/>
  <c r="D3474" i="6" s="1"/>
  <c r="C3473" i="6"/>
  <c r="D3473" i="6" s="1"/>
  <c r="C3472" i="6"/>
  <c r="D3472" i="6" s="1"/>
  <c r="C3471" i="6"/>
  <c r="D3471" i="6" s="1"/>
  <c r="C3470" i="6"/>
  <c r="D3470" i="6" s="1"/>
  <c r="C3469" i="6"/>
  <c r="D3469" i="6" s="1"/>
  <c r="C3468" i="6"/>
  <c r="D3468" i="6" s="1"/>
  <c r="C3467" i="6"/>
  <c r="D3467" i="6" s="1"/>
  <c r="C3466" i="6"/>
  <c r="D3466" i="6" s="1"/>
  <c r="C3465" i="6"/>
  <c r="D3465" i="6" s="1"/>
  <c r="C3464" i="6"/>
  <c r="D3464" i="6" s="1"/>
  <c r="C3463" i="6"/>
  <c r="D3463" i="6" s="1"/>
  <c r="C3462" i="6"/>
  <c r="D3462" i="6" s="1"/>
  <c r="C3461" i="6"/>
  <c r="D3461" i="6" s="1"/>
  <c r="C3460" i="6"/>
  <c r="D3460" i="6" s="1"/>
  <c r="C3459" i="6"/>
  <c r="D3459" i="6" s="1"/>
  <c r="C3458" i="6"/>
  <c r="D3458" i="6" s="1"/>
  <c r="C3457" i="6"/>
  <c r="D3457" i="6" s="1"/>
  <c r="C3456" i="6"/>
  <c r="D3456" i="6" s="1"/>
  <c r="C3455" i="6"/>
  <c r="D3455" i="6" s="1"/>
  <c r="C3454" i="6"/>
  <c r="D3454" i="6" s="1"/>
  <c r="C3453" i="6"/>
  <c r="D3453" i="6" s="1"/>
  <c r="C3452" i="6"/>
  <c r="D3452" i="6" s="1"/>
  <c r="C3451" i="6"/>
  <c r="D3451" i="6" s="1"/>
  <c r="C3450" i="6"/>
  <c r="D3450" i="6" s="1"/>
  <c r="C3449" i="6"/>
  <c r="D3449" i="6" s="1"/>
  <c r="C3448" i="6"/>
  <c r="D3448" i="6" s="1"/>
  <c r="C3447" i="6"/>
  <c r="D3447" i="6" s="1"/>
  <c r="C3446" i="6"/>
  <c r="D3446" i="6" s="1"/>
  <c r="C3445" i="6"/>
  <c r="D3445" i="6" s="1"/>
  <c r="C3444" i="6"/>
  <c r="D3444" i="6" s="1"/>
  <c r="C3443" i="6"/>
  <c r="D3443" i="6" s="1"/>
  <c r="C3442" i="6"/>
  <c r="D3442" i="6" s="1"/>
  <c r="C3441" i="6"/>
  <c r="D3441" i="6" s="1"/>
  <c r="C3440" i="6"/>
  <c r="D3440" i="6" s="1"/>
  <c r="C3439" i="6"/>
  <c r="D3439" i="6" s="1"/>
  <c r="C3438" i="6"/>
  <c r="D3438" i="6" s="1"/>
  <c r="C3437" i="6"/>
  <c r="D3437" i="6" s="1"/>
  <c r="C3436" i="6"/>
  <c r="D3436" i="6" s="1"/>
  <c r="C3435" i="6"/>
  <c r="D3435" i="6" s="1"/>
  <c r="C3434" i="6"/>
  <c r="D3434" i="6" s="1"/>
  <c r="C3433" i="6"/>
  <c r="D3433" i="6" s="1"/>
  <c r="C3432" i="6"/>
  <c r="D3432" i="6" s="1"/>
  <c r="C3431" i="6"/>
  <c r="D3431" i="6" s="1"/>
  <c r="C3430" i="6"/>
  <c r="D3430" i="6" s="1"/>
  <c r="C3429" i="6"/>
  <c r="D3429" i="6" s="1"/>
  <c r="C3428" i="6"/>
  <c r="D3428" i="6" s="1"/>
  <c r="C3427" i="6"/>
  <c r="D3427" i="6" s="1"/>
  <c r="C3426" i="6"/>
  <c r="D3426" i="6" s="1"/>
  <c r="C3425" i="6"/>
  <c r="D3425" i="6" s="1"/>
  <c r="C3424" i="6"/>
  <c r="D3424" i="6" s="1"/>
  <c r="C3423" i="6"/>
  <c r="D3423" i="6" s="1"/>
  <c r="C3422" i="6"/>
  <c r="D3422" i="6" s="1"/>
  <c r="C3421" i="6"/>
  <c r="D3421" i="6" s="1"/>
  <c r="C3420" i="6"/>
  <c r="D3420" i="6" s="1"/>
  <c r="C3419" i="6"/>
  <c r="D3419" i="6" s="1"/>
  <c r="C3418" i="6"/>
  <c r="D3418" i="6" s="1"/>
  <c r="C3417" i="6"/>
  <c r="D3417" i="6" s="1"/>
  <c r="C3416" i="6"/>
  <c r="D3416" i="6" s="1"/>
  <c r="C3415" i="6"/>
  <c r="D3415" i="6" s="1"/>
  <c r="C3414" i="6"/>
  <c r="D3414" i="6" s="1"/>
  <c r="C3413" i="6"/>
  <c r="D3413" i="6" s="1"/>
  <c r="C3412" i="6"/>
  <c r="D3412" i="6" s="1"/>
  <c r="C3411" i="6"/>
  <c r="D3411" i="6" s="1"/>
  <c r="C3410" i="6"/>
  <c r="D3410" i="6" s="1"/>
  <c r="C3409" i="6"/>
  <c r="D3409" i="6" s="1"/>
  <c r="C3408" i="6"/>
  <c r="D3408" i="6" s="1"/>
  <c r="C3407" i="6"/>
  <c r="D3407" i="6" s="1"/>
  <c r="C3406" i="6"/>
  <c r="D3406" i="6" s="1"/>
  <c r="C3405" i="6"/>
  <c r="D3405" i="6" s="1"/>
  <c r="C3404" i="6"/>
  <c r="D3404" i="6" s="1"/>
  <c r="C3403" i="6"/>
  <c r="D3403" i="6" s="1"/>
  <c r="C3402" i="6"/>
  <c r="D3402" i="6" s="1"/>
  <c r="C3401" i="6"/>
  <c r="D3401" i="6" s="1"/>
  <c r="C3400" i="6"/>
  <c r="D3400" i="6" s="1"/>
  <c r="C3399" i="6"/>
  <c r="D3399" i="6" s="1"/>
  <c r="C3398" i="6"/>
  <c r="D3398" i="6" s="1"/>
  <c r="C3397" i="6"/>
  <c r="D3397" i="6" s="1"/>
  <c r="C3396" i="6"/>
  <c r="D3396" i="6" s="1"/>
  <c r="C3395" i="6"/>
  <c r="D3395" i="6" s="1"/>
  <c r="C3394" i="6"/>
  <c r="D3394" i="6" s="1"/>
  <c r="C3393" i="6"/>
  <c r="D3393" i="6" s="1"/>
  <c r="C3392" i="6"/>
  <c r="D3392" i="6" s="1"/>
  <c r="C3391" i="6"/>
  <c r="D3391" i="6" s="1"/>
  <c r="C3390" i="6"/>
  <c r="D3390" i="6" s="1"/>
  <c r="C3389" i="6"/>
  <c r="D3389" i="6" s="1"/>
  <c r="C3388" i="6"/>
  <c r="D3388" i="6" s="1"/>
  <c r="C3387" i="6"/>
  <c r="D3387" i="6" s="1"/>
  <c r="C3386" i="6"/>
  <c r="D3386" i="6" s="1"/>
  <c r="C3385" i="6"/>
  <c r="D3385" i="6" s="1"/>
  <c r="C3384" i="6"/>
  <c r="D3384" i="6" s="1"/>
  <c r="C3383" i="6"/>
  <c r="D3383" i="6" s="1"/>
  <c r="C3382" i="6"/>
  <c r="D3382" i="6" s="1"/>
  <c r="C3381" i="6"/>
  <c r="D3381" i="6" s="1"/>
  <c r="C3380" i="6"/>
  <c r="D3380" i="6" s="1"/>
  <c r="C3379" i="6"/>
  <c r="D3379" i="6" s="1"/>
  <c r="C3378" i="6"/>
  <c r="D3378" i="6" s="1"/>
  <c r="C3377" i="6"/>
  <c r="D3377" i="6" s="1"/>
  <c r="C3376" i="6"/>
  <c r="D3376" i="6" s="1"/>
  <c r="C3375" i="6"/>
  <c r="D3375" i="6" s="1"/>
  <c r="C3374" i="6"/>
  <c r="D3374" i="6" s="1"/>
  <c r="C3373" i="6"/>
  <c r="D3373" i="6" s="1"/>
  <c r="C3372" i="6"/>
  <c r="D3372" i="6" s="1"/>
  <c r="C3371" i="6"/>
  <c r="D3371" i="6" s="1"/>
  <c r="C3370" i="6"/>
  <c r="D3370" i="6" s="1"/>
  <c r="C3369" i="6"/>
  <c r="D3369" i="6" s="1"/>
  <c r="C3368" i="6"/>
  <c r="D3368" i="6" s="1"/>
  <c r="C3367" i="6"/>
  <c r="D3367" i="6" s="1"/>
  <c r="C3366" i="6"/>
  <c r="D3366" i="6" s="1"/>
  <c r="C3365" i="6"/>
  <c r="D3365" i="6" s="1"/>
  <c r="C3364" i="6"/>
  <c r="D3364" i="6" s="1"/>
  <c r="C3363" i="6"/>
  <c r="D3363" i="6" s="1"/>
  <c r="C3362" i="6"/>
  <c r="D3362" i="6" s="1"/>
  <c r="C3361" i="6"/>
  <c r="D3361" i="6" s="1"/>
  <c r="C3360" i="6"/>
  <c r="D3360" i="6" s="1"/>
  <c r="C3359" i="6"/>
  <c r="D3359" i="6" s="1"/>
  <c r="C3358" i="6"/>
  <c r="D3358" i="6" s="1"/>
  <c r="C3357" i="6"/>
  <c r="D3357" i="6" s="1"/>
  <c r="C3356" i="6"/>
  <c r="D3356" i="6" s="1"/>
  <c r="C3355" i="6"/>
  <c r="D3355" i="6" s="1"/>
  <c r="C3354" i="6"/>
  <c r="D3354" i="6" s="1"/>
  <c r="C3353" i="6"/>
  <c r="D3353" i="6" s="1"/>
  <c r="C3352" i="6"/>
  <c r="D3352" i="6" s="1"/>
  <c r="C3351" i="6"/>
  <c r="D3351" i="6" s="1"/>
  <c r="C3350" i="6"/>
  <c r="D3350" i="6" s="1"/>
  <c r="C3349" i="6"/>
  <c r="D3349" i="6" s="1"/>
  <c r="C3348" i="6"/>
  <c r="D3348" i="6" s="1"/>
  <c r="C3347" i="6"/>
  <c r="D3347" i="6" s="1"/>
  <c r="C3346" i="6"/>
  <c r="D3346" i="6" s="1"/>
  <c r="C3345" i="6"/>
  <c r="D3345" i="6" s="1"/>
  <c r="C3344" i="6"/>
  <c r="D3344" i="6" s="1"/>
  <c r="C3343" i="6"/>
  <c r="D3343" i="6" s="1"/>
  <c r="C3342" i="6"/>
  <c r="D3342" i="6" s="1"/>
  <c r="C3341" i="6"/>
  <c r="D3341" i="6" s="1"/>
  <c r="C3340" i="6"/>
  <c r="D3340" i="6" s="1"/>
  <c r="C3339" i="6"/>
  <c r="D3339" i="6" s="1"/>
  <c r="C3338" i="6"/>
  <c r="D3338" i="6" s="1"/>
  <c r="C3337" i="6"/>
  <c r="D3337" i="6" s="1"/>
  <c r="C3336" i="6"/>
  <c r="D3336" i="6" s="1"/>
  <c r="C3335" i="6"/>
  <c r="D3335" i="6" s="1"/>
  <c r="C3334" i="6"/>
  <c r="D3334" i="6" s="1"/>
  <c r="C3333" i="6"/>
  <c r="D3333" i="6" s="1"/>
  <c r="C3332" i="6"/>
  <c r="D3332" i="6" s="1"/>
  <c r="C3331" i="6"/>
  <c r="D3331" i="6" s="1"/>
  <c r="C3330" i="6"/>
  <c r="D3330" i="6" s="1"/>
  <c r="C3329" i="6"/>
  <c r="D3329" i="6" s="1"/>
  <c r="C3328" i="6"/>
  <c r="D3328" i="6" s="1"/>
  <c r="C3327" i="6"/>
  <c r="D3327" i="6" s="1"/>
  <c r="C3326" i="6"/>
  <c r="D3326" i="6" s="1"/>
  <c r="C3325" i="6"/>
  <c r="D3325" i="6" s="1"/>
  <c r="C3324" i="6"/>
  <c r="D3324" i="6" s="1"/>
  <c r="C3323" i="6"/>
  <c r="D3323" i="6" s="1"/>
  <c r="C3322" i="6"/>
  <c r="D3322" i="6" s="1"/>
  <c r="C3321" i="6"/>
  <c r="D3321" i="6" s="1"/>
  <c r="C3320" i="6"/>
  <c r="D3320" i="6" s="1"/>
  <c r="C3319" i="6"/>
  <c r="D3319" i="6" s="1"/>
  <c r="C3318" i="6"/>
  <c r="D3318" i="6" s="1"/>
  <c r="C3317" i="6"/>
  <c r="D3317" i="6" s="1"/>
  <c r="C3316" i="6"/>
  <c r="D3316" i="6" s="1"/>
  <c r="C3315" i="6"/>
  <c r="D3315" i="6" s="1"/>
  <c r="C3314" i="6"/>
  <c r="D3314" i="6" s="1"/>
  <c r="C3313" i="6"/>
  <c r="D3313" i="6" s="1"/>
  <c r="C3312" i="6"/>
  <c r="D3312" i="6" s="1"/>
  <c r="C3311" i="6"/>
  <c r="D3311" i="6" s="1"/>
  <c r="C3310" i="6"/>
  <c r="D3310" i="6" s="1"/>
  <c r="C3309" i="6"/>
  <c r="D3309" i="6" s="1"/>
  <c r="C3308" i="6"/>
  <c r="D3308" i="6" s="1"/>
  <c r="C3307" i="6"/>
  <c r="D3307" i="6" s="1"/>
  <c r="C3306" i="6"/>
  <c r="D3306" i="6" s="1"/>
  <c r="C3305" i="6"/>
  <c r="D3305" i="6" s="1"/>
  <c r="C3304" i="6"/>
  <c r="D3304" i="6" s="1"/>
  <c r="C3303" i="6"/>
  <c r="D3303" i="6" s="1"/>
  <c r="C3302" i="6"/>
  <c r="D3302" i="6" s="1"/>
  <c r="C3301" i="6"/>
  <c r="D3301" i="6" s="1"/>
  <c r="C3300" i="6"/>
  <c r="D3300" i="6" s="1"/>
  <c r="C3299" i="6"/>
  <c r="D3299" i="6" s="1"/>
  <c r="C3298" i="6"/>
  <c r="D3298" i="6" s="1"/>
  <c r="C3297" i="6"/>
  <c r="D3297" i="6" s="1"/>
  <c r="C3296" i="6"/>
  <c r="D3296" i="6" s="1"/>
  <c r="C3295" i="6"/>
  <c r="D3295" i="6" s="1"/>
  <c r="C3294" i="6"/>
  <c r="D3294" i="6" s="1"/>
  <c r="C3293" i="6"/>
  <c r="D3293" i="6" s="1"/>
  <c r="C3292" i="6"/>
  <c r="D3292" i="6" s="1"/>
  <c r="C3291" i="6"/>
  <c r="D3291" i="6" s="1"/>
  <c r="C3290" i="6"/>
  <c r="D3290" i="6" s="1"/>
  <c r="C3289" i="6"/>
  <c r="D3289" i="6" s="1"/>
  <c r="C3288" i="6"/>
  <c r="D3288" i="6" s="1"/>
  <c r="C3287" i="6"/>
  <c r="D3287" i="6" s="1"/>
  <c r="C3286" i="6"/>
  <c r="D3286" i="6" s="1"/>
  <c r="C3285" i="6"/>
  <c r="D3285" i="6" s="1"/>
  <c r="C3284" i="6"/>
  <c r="D3284" i="6" s="1"/>
  <c r="C3283" i="6"/>
  <c r="D3283" i="6" s="1"/>
  <c r="C3282" i="6"/>
  <c r="D3282" i="6" s="1"/>
  <c r="C3281" i="6"/>
  <c r="D3281" i="6" s="1"/>
  <c r="C3280" i="6"/>
  <c r="D3280" i="6" s="1"/>
  <c r="C3279" i="6"/>
  <c r="D3279" i="6" s="1"/>
  <c r="C3278" i="6"/>
  <c r="D3278" i="6" s="1"/>
  <c r="C3277" i="6"/>
  <c r="D3277" i="6" s="1"/>
  <c r="C3276" i="6"/>
  <c r="D3276" i="6" s="1"/>
  <c r="C3275" i="6"/>
  <c r="D3275" i="6" s="1"/>
  <c r="C3274" i="6"/>
  <c r="D3274" i="6" s="1"/>
  <c r="C3273" i="6"/>
  <c r="D3273" i="6" s="1"/>
  <c r="C3272" i="6"/>
  <c r="D3272" i="6" s="1"/>
  <c r="C3271" i="6"/>
  <c r="D3271" i="6" s="1"/>
  <c r="C3270" i="6"/>
  <c r="D3270" i="6" s="1"/>
  <c r="C3269" i="6"/>
  <c r="D3269" i="6" s="1"/>
  <c r="C3268" i="6"/>
  <c r="D3268" i="6" s="1"/>
  <c r="C3267" i="6"/>
  <c r="D3267" i="6" s="1"/>
  <c r="C3266" i="6"/>
  <c r="D3266" i="6" s="1"/>
  <c r="C3265" i="6"/>
  <c r="D3265" i="6" s="1"/>
  <c r="C3264" i="6"/>
  <c r="D3264" i="6" s="1"/>
  <c r="C3263" i="6"/>
  <c r="D3263" i="6" s="1"/>
  <c r="C3262" i="6"/>
  <c r="D3262" i="6" s="1"/>
  <c r="C3261" i="6"/>
  <c r="D3261" i="6" s="1"/>
  <c r="C3260" i="6"/>
  <c r="D3260" i="6" s="1"/>
  <c r="C3259" i="6"/>
  <c r="D3259" i="6" s="1"/>
  <c r="C3258" i="6"/>
  <c r="D3258" i="6" s="1"/>
  <c r="C3257" i="6"/>
  <c r="D3257" i="6" s="1"/>
  <c r="C3256" i="6"/>
  <c r="D3256" i="6" s="1"/>
  <c r="C3255" i="6"/>
  <c r="D3255" i="6" s="1"/>
  <c r="C3254" i="6"/>
  <c r="D3254" i="6" s="1"/>
  <c r="C3253" i="6"/>
  <c r="D3253" i="6" s="1"/>
  <c r="C3252" i="6"/>
  <c r="D3252" i="6" s="1"/>
  <c r="C3251" i="6"/>
  <c r="D3251" i="6" s="1"/>
  <c r="C3250" i="6"/>
  <c r="D3250" i="6" s="1"/>
  <c r="C3249" i="6"/>
  <c r="D3249" i="6" s="1"/>
  <c r="C3248" i="6"/>
  <c r="D3248" i="6" s="1"/>
  <c r="C3247" i="6"/>
  <c r="D3247" i="6" s="1"/>
  <c r="C3246" i="6"/>
  <c r="D3246" i="6" s="1"/>
  <c r="C3245" i="6"/>
  <c r="D3245" i="6" s="1"/>
  <c r="C3244" i="6"/>
  <c r="D3244" i="6" s="1"/>
  <c r="C3243" i="6"/>
  <c r="D3243" i="6" s="1"/>
  <c r="C3242" i="6"/>
  <c r="D3242" i="6" s="1"/>
  <c r="C3241" i="6"/>
  <c r="D3241" i="6" s="1"/>
  <c r="C3240" i="6"/>
  <c r="D3240" i="6" s="1"/>
  <c r="C3239" i="6"/>
  <c r="D3239" i="6" s="1"/>
  <c r="C3238" i="6"/>
  <c r="D3238" i="6" s="1"/>
  <c r="C3237" i="6"/>
  <c r="D3237" i="6" s="1"/>
  <c r="C3236" i="6"/>
  <c r="D3236" i="6" s="1"/>
  <c r="C3235" i="6"/>
  <c r="D3235" i="6" s="1"/>
  <c r="C3234" i="6"/>
  <c r="D3234" i="6" s="1"/>
  <c r="C3233" i="6"/>
  <c r="D3233" i="6" s="1"/>
  <c r="C3232" i="6"/>
  <c r="D3232" i="6" s="1"/>
  <c r="C3231" i="6"/>
  <c r="D3231" i="6" s="1"/>
  <c r="C3230" i="6"/>
  <c r="D3230" i="6" s="1"/>
  <c r="C3229" i="6"/>
  <c r="D3229" i="6" s="1"/>
  <c r="C3228" i="6"/>
  <c r="D3228" i="6" s="1"/>
  <c r="C3227" i="6"/>
  <c r="D3227" i="6" s="1"/>
  <c r="C3226" i="6"/>
  <c r="D3226" i="6" s="1"/>
  <c r="C3225" i="6"/>
  <c r="D3225" i="6" s="1"/>
  <c r="C3224" i="6"/>
  <c r="D3224" i="6" s="1"/>
  <c r="C3223" i="6"/>
  <c r="D3223" i="6" s="1"/>
  <c r="C3222" i="6"/>
  <c r="D3222" i="6" s="1"/>
  <c r="C3221" i="6"/>
  <c r="D3221" i="6" s="1"/>
  <c r="C3220" i="6"/>
  <c r="D3220" i="6" s="1"/>
  <c r="C3219" i="6"/>
  <c r="D3219" i="6" s="1"/>
  <c r="C3218" i="6"/>
  <c r="D3218" i="6" s="1"/>
  <c r="C3217" i="6"/>
  <c r="D3217" i="6" s="1"/>
  <c r="C3216" i="6"/>
  <c r="D3216" i="6" s="1"/>
  <c r="C3215" i="6"/>
  <c r="D3215" i="6" s="1"/>
  <c r="C3214" i="6"/>
  <c r="D3214" i="6" s="1"/>
  <c r="C3213" i="6"/>
  <c r="D3213" i="6" s="1"/>
  <c r="C3212" i="6"/>
  <c r="D3212" i="6" s="1"/>
  <c r="C3211" i="6"/>
  <c r="D3211" i="6" s="1"/>
  <c r="C3210" i="6"/>
  <c r="D3210" i="6" s="1"/>
  <c r="C3209" i="6"/>
  <c r="D3209" i="6" s="1"/>
  <c r="C3208" i="6"/>
  <c r="D3208" i="6" s="1"/>
  <c r="C3207" i="6"/>
  <c r="D3207" i="6" s="1"/>
  <c r="C3206" i="6"/>
  <c r="D3206" i="6" s="1"/>
  <c r="C3205" i="6"/>
  <c r="D3205" i="6" s="1"/>
  <c r="C3204" i="6"/>
  <c r="D3204" i="6" s="1"/>
  <c r="C3203" i="6"/>
  <c r="D3203" i="6" s="1"/>
  <c r="C3202" i="6"/>
  <c r="D3202" i="6" s="1"/>
  <c r="C3201" i="6"/>
  <c r="D3201" i="6" s="1"/>
  <c r="C3200" i="6"/>
  <c r="D3200" i="6" s="1"/>
  <c r="C3199" i="6"/>
  <c r="D3199" i="6" s="1"/>
  <c r="C3198" i="6"/>
  <c r="D3198" i="6" s="1"/>
  <c r="C3197" i="6"/>
  <c r="D3197" i="6" s="1"/>
  <c r="C3196" i="6"/>
  <c r="D3196" i="6" s="1"/>
  <c r="C3195" i="6"/>
  <c r="D3195" i="6" s="1"/>
  <c r="C3194" i="6"/>
  <c r="D3194" i="6" s="1"/>
  <c r="C3193" i="6"/>
  <c r="D3193" i="6" s="1"/>
  <c r="C3192" i="6"/>
  <c r="D3192" i="6" s="1"/>
  <c r="C3191" i="6"/>
  <c r="D3191" i="6" s="1"/>
  <c r="C3190" i="6"/>
  <c r="D3190" i="6" s="1"/>
  <c r="C3189" i="6"/>
  <c r="D3189" i="6" s="1"/>
  <c r="C3188" i="6"/>
  <c r="D3188" i="6" s="1"/>
  <c r="C3187" i="6"/>
  <c r="D3187" i="6" s="1"/>
  <c r="C3186" i="6"/>
  <c r="D3186" i="6" s="1"/>
  <c r="C3185" i="6"/>
  <c r="D3185" i="6" s="1"/>
  <c r="C3184" i="6"/>
  <c r="D3184" i="6" s="1"/>
  <c r="C3183" i="6"/>
  <c r="D3183" i="6" s="1"/>
  <c r="C3182" i="6"/>
  <c r="D3182" i="6" s="1"/>
  <c r="C3181" i="6"/>
  <c r="D3181" i="6" s="1"/>
  <c r="C3180" i="6"/>
  <c r="D3180" i="6" s="1"/>
  <c r="C3179" i="6"/>
  <c r="D3179" i="6" s="1"/>
  <c r="C3178" i="6"/>
  <c r="D3178" i="6" s="1"/>
  <c r="C3177" i="6"/>
  <c r="D3177" i="6" s="1"/>
  <c r="C3176" i="6"/>
  <c r="D3176" i="6" s="1"/>
  <c r="C3175" i="6"/>
  <c r="D3175" i="6" s="1"/>
  <c r="C3174" i="6"/>
  <c r="D3174" i="6" s="1"/>
  <c r="C3173" i="6"/>
  <c r="D3173" i="6" s="1"/>
  <c r="C3172" i="6"/>
  <c r="D3172" i="6" s="1"/>
  <c r="C3171" i="6"/>
  <c r="D3171" i="6" s="1"/>
  <c r="C3170" i="6"/>
  <c r="D3170" i="6" s="1"/>
  <c r="C3169" i="6"/>
  <c r="D3169" i="6" s="1"/>
  <c r="C3168" i="6"/>
  <c r="D3168" i="6" s="1"/>
  <c r="C3167" i="6"/>
  <c r="D3167" i="6" s="1"/>
  <c r="C3166" i="6"/>
  <c r="D3166" i="6" s="1"/>
  <c r="C3165" i="6"/>
  <c r="D3165" i="6" s="1"/>
  <c r="C3164" i="6"/>
  <c r="D3164" i="6" s="1"/>
  <c r="C3163" i="6"/>
  <c r="D3163" i="6" s="1"/>
  <c r="C3162" i="6"/>
  <c r="D3162" i="6" s="1"/>
  <c r="C3161" i="6"/>
  <c r="D3161" i="6" s="1"/>
  <c r="C3160" i="6"/>
  <c r="D3160" i="6" s="1"/>
  <c r="C3159" i="6"/>
  <c r="D3159" i="6" s="1"/>
  <c r="C3158" i="6"/>
  <c r="D3158" i="6" s="1"/>
  <c r="C3157" i="6"/>
  <c r="D3157" i="6" s="1"/>
  <c r="C3156" i="6"/>
  <c r="D3156" i="6" s="1"/>
  <c r="C3155" i="6"/>
  <c r="D3155" i="6" s="1"/>
  <c r="C3154" i="6"/>
  <c r="D3154" i="6" s="1"/>
  <c r="C3153" i="6"/>
  <c r="D3153" i="6" s="1"/>
  <c r="C3152" i="6"/>
  <c r="D3152" i="6" s="1"/>
  <c r="C3151" i="6"/>
  <c r="D3151" i="6" s="1"/>
  <c r="C3150" i="6"/>
  <c r="D3150" i="6" s="1"/>
  <c r="C3149" i="6"/>
  <c r="D3149" i="6" s="1"/>
  <c r="C3148" i="6"/>
  <c r="D3148" i="6" s="1"/>
  <c r="C3147" i="6"/>
  <c r="D3147" i="6" s="1"/>
  <c r="C3146" i="6"/>
  <c r="D3146" i="6" s="1"/>
  <c r="C3145" i="6"/>
  <c r="D3145" i="6" s="1"/>
  <c r="C3144" i="6"/>
  <c r="D3144" i="6" s="1"/>
  <c r="C3143" i="6"/>
  <c r="D3143" i="6" s="1"/>
  <c r="C3142" i="6"/>
  <c r="D3142" i="6" s="1"/>
  <c r="C3141" i="6"/>
  <c r="D3141" i="6" s="1"/>
  <c r="C3140" i="6"/>
  <c r="D3140" i="6" s="1"/>
  <c r="C3139" i="6"/>
  <c r="D3139" i="6" s="1"/>
  <c r="C3138" i="6"/>
  <c r="D3138" i="6" s="1"/>
  <c r="C3137" i="6"/>
  <c r="D3137" i="6" s="1"/>
  <c r="C3136" i="6"/>
  <c r="D3136" i="6" s="1"/>
  <c r="C3135" i="6"/>
  <c r="D3135" i="6" s="1"/>
  <c r="C3134" i="6"/>
  <c r="D3134" i="6" s="1"/>
  <c r="C3133" i="6"/>
  <c r="D3133" i="6" s="1"/>
  <c r="C3132" i="6"/>
  <c r="D3132" i="6" s="1"/>
  <c r="C3131" i="6"/>
  <c r="D3131" i="6" s="1"/>
  <c r="C3130" i="6"/>
  <c r="D3130" i="6" s="1"/>
  <c r="C3129" i="6"/>
  <c r="D3129" i="6" s="1"/>
  <c r="C3128" i="6"/>
  <c r="D3128" i="6" s="1"/>
  <c r="C3127" i="6"/>
  <c r="D3127" i="6" s="1"/>
  <c r="C3126" i="6"/>
  <c r="D3126" i="6" s="1"/>
  <c r="C3125" i="6"/>
  <c r="D3125" i="6" s="1"/>
  <c r="C3124" i="6"/>
  <c r="D3124" i="6" s="1"/>
  <c r="C3123" i="6"/>
  <c r="D3123" i="6" s="1"/>
  <c r="C3122" i="6"/>
  <c r="D3122" i="6" s="1"/>
  <c r="C3121" i="6"/>
  <c r="D3121" i="6" s="1"/>
  <c r="C3120" i="6"/>
  <c r="D3120" i="6" s="1"/>
  <c r="C3119" i="6"/>
  <c r="D3119" i="6" s="1"/>
  <c r="C3118" i="6"/>
  <c r="D3118" i="6" s="1"/>
  <c r="C3117" i="6"/>
  <c r="D3117" i="6" s="1"/>
  <c r="C3116" i="6"/>
  <c r="D3116" i="6" s="1"/>
  <c r="C3115" i="6"/>
  <c r="D3115" i="6" s="1"/>
  <c r="C3114" i="6"/>
  <c r="D3114" i="6" s="1"/>
  <c r="C3113" i="6"/>
  <c r="D3113" i="6" s="1"/>
  <c r="C3112" i="6"/>
  <c r="D3112" i="6" s="1"/>
  <c r="C3111" i="6"/>
  <c r="D3111" i="6" s="1"/>
  <c r="C3110" i="6"/>
  <c r="D3110" i="6" s="1"/>
  <c r="C3109" i="6"/>
  <c r="D3109" i="6" s="1"/>
  <c r="C3108" i="6"/>
  <c r="D3108" i="6" s="1"/>
  <c r="C3107" i="6"/>
  <c r="D3107" i="6" s="1"/>
  <c r="C3106" i="6"/>
  <c r="D3106" i="6" s="1"/>
  <c r="C3105" i="6"/>
  <c r="D3105" i="6" s="1"/>
  <c r="C3104" i="6"/>
  <c r="D3104" i="6" s="1"/>
  <c r="C3103" i="6"/>
  <c r="D3103" i="6" s="1"/>
  <c r="C3102" i="6"/>
  <c r="D3102" i="6" s="1"/>
  <c r="C3101" i="6"/>
  <c r="D3101" i="6" s="1"/>
  <c r="C3100" i="6"/>
  <c r="D3100" i="6" s="1"/>
  <c r="C3099" i="6"/>
  <c r="D3099" i="6" s="1"/>
  <c r="C3098" i="6"/>
  <c r="D3098" i="6" s="1"/>
  <c r="C3097" i="6"/>
  <c r="D3097" i="6" s="1"/>
  <c r="C3096" i="6"/>
  <c r="D3096" i="6" s="1"/>
  <c r="C3095" i="6"/>
  <c r="D3095" i="6" s="1"/>
  <c r="C3094" i="6"/>
  <c r="D3094" i="6" s="1"/>
  <c r="C3093" i="6"/>
  <c r="D3093" i="6" s="1"/>
  <c r="C3092" i="6"/>
  <c r="D3092" i="6" s="1"/>
  <c r="C3091" i="6"/>
  <c r="D3091" i="6" s="1"/>
  <c r="C3090" i="6"/>
  <c r="D3090" i="6" s="1"/>
  <c r="C3089" i="6"/>
  <c r="D3089" i="6" s="1"/>
  <c r="C3088" i="6"/>
  <c r="D3088" i="6" s="1"/>
  <c r="C3087" i="6"/>
  <c r="D3087" i="6" s="1"/>
  <c r="C3086" i="6"/>
  <c r="D3086" i="6" s="1"/>
  <c r="C3085" i="6"/>
  <c r="D3085" i="6" s="1"/>
  <c r="C3084" i="6"/>
  <c r="D3084" i="6" s="1"/>
  <c r="C3083" i="6"/>
  <c r="D3083" i="6" s="1"/>
  <c r="C3082" i="6"/>
  <c r="D3082" i="6" s="1"/>
  <c r="C3081" i="6"/>
  <c r="D3081" i="6" s="1"/>
  <c r="C3080" i="6"/>
  <c r="D3080" i="6" s="1"/>
  <c r="C3079" i="6"/>
  <c r="D3079" i="6" s="1"/>
  <c r="C3078" i="6"/>
  <c r="D3078" i="6" s="1"/>
  <c r="C3077" i="6"/>
  <c r="D3077" i="6" s="1"/>
  <c r="C3076" i="6"/>
  <c r="D3076" i="6" s="1"/>
  <c r="C3075" i="6"/>
  <c r="D3075" i="6" s="1"/>
  <c r="C3074" i="6"/>
  <c r="D3074" i="6" s="1"/>
  <c r="C3073" i="6"/>
  <c r="D3073" i="6" s="1"/>
  <c r="C3072" i="6"/>
  <c r="D3072" i="6" s="1"/>
  <c r="C3071" i="6"/>
  <c r="D3071" i="6" s="1"/>
  <c r="C3070" i="6"/>
  <c r="D3070" i="6" s="1"/>
  <c r="C3069" i="6"/>
  <c r="D3069" i="6" s="1"/>
  <c r="C3068" i="6"/>
  <c r="D3068" i="6" s="1"/>
  <c r="C3067" i="6"/>
  <c r="D3067" i="6" s="1"/>
  <c r="C3066" i="6"/>
  <c r="D3066" i="6" s="1"/>
  <c r="C3065" i="6"/>
  <c r="D3065" i="6" s="1"/>
  <c r="C3064" i="6"/>
  <c r="D3064" i="6" s="1"/>
  <c r="C3063" i="6"/>
  <c r="D3063" i="6" s="1"/>
  <c r="C3062" i="6"/>
  <c r="D3062" i="6" s="1"/>
  <c r="C3061" i="6"/>
  <c r="D3061" i="6" s="1"/>
  <c r="C3060" i="6"/>
  <c r="D3060" i="6" s="1"/>
  <c r="C3059" i="6"/>
  <c r="D3059" i="6" s="1"/>
  <c r="C3058" i="6"/>
  <c r="D3058" i="6" s="1"/>
  <c r="C3057" i="6"/>
  <c r="D3057" i="6" s="1"/>
  <c r="C3056" i="6"/>
  <c r="D3056" i="6" s="1"/>
  <c r="C3055" i="6"/>
  <c r="D3055" i="6" s="1"/>
  <c r="C3054" i="6"/>
  <c r="D3054" i="6" s="1"/>
  <c r="C3053" i="6"/>
  <c r="D3053" i="6" s="1"/>
  <c r="C3052" i="6"/>
  <c r="D3052" i="6" s="1"/>
  <c r="C3051" i="6"/>
  <c r="D3051" i="6" s="1"/>
  <c r="C3050" i="6"/>
  <c r="D3050" i="6" s="1"/>
  <c r="C3049" i="6"/>
  <c r="D3049" i="6" s="1"/>
  <c r="C3048" i="6"/>
  <c r="D3048" i="6" s="1"/>
  <c r="C3047" i="6"/>
  <c r="D3047" i="6" s="1"/>
  <c r="C3046" i="6"/>
  <c r="D3046" i="6" s="1"/>
  <c r="C3045" i="6"/>
  <c r="D3045" i="6" s="1"/>
  <c r="C3044" i="6"/>
  <c r="D3044" i="6" s="1"/>
  <c r="C3043" i="6"/>
  <c r="D3043" i="6" s="1"/>
  <c r="C3042" i="6"/>
  <c r="D3042" i="6" s="1"/>
  <c r="C3041" i="6"/>
  <c r="D3041" i="6" s="1"/>
  <c r="C3040" i="6"/>
  <c r="D3040" i="6" s="1"/>
  <c r="C3039" i="6"/>
  <c r="D3039" i="6" s="1"/>
  <c r="C3038" i="6"/>
  <c r="D3038" i="6" s="1"/>
  <c r="C3037" i="6"/>
  <c r="D3037" i="6" s="1"/>
  <c r="C3036" i="6"/>
  <c r="D3036" i="6" s="1"/>
  <c r="C3035" i="6"/>
  <c r="D3035" i="6" s="1"/>
  <c r="C3034" i="6"/>
  <c r="D3034" i="6" s="1"/>
  <c r="C3033" i="6"/>
  <c r="D3033" i="6" s="1"/>
  <c r="C3032" i="6"/>
  <c r="D3032" i="6" s="1"/>
  <c r="C3031" i="6"/>
  <c r="D3031" i="6" s="1"/>
  <c r="C3030" i="6"/>
  <c r="D3030" i="6" s="1"/>
  <c r="C3029" i="6"/>
  <c r="D3029" i="6" s="1"/>
  <c r="C3028" i="6"/>
  <c r="D3028" i="6" s="1"/>
  <c r="C3027" i="6"/>
  <c r="D3027" i="6" s="1"/>
  <c r="C3026" i="6"/>
  <c r="D3026" i="6" s="1"/>
  <c r="C3025" i="6"/>
  <c r="D3025" i="6" s="1"/>
  <c r="C3024" i="6"/>
  <c r="D3024" i="6" s="1"/>
  <c r="C3023" i="6"/>
  <c r="D3023" i="6" s="1"/>
  <c r="C3022" i="6"/>
  <c r="D3022" i="6" s="1"/>
  <c r="C3021" i="6"/>
  <c r="D3021" i="6" s="1"/>
  <c r="C3020" i="6"/>
  <c r="D3020" i="6" s="1"/>
  <c r="C3019" i="6"/>
  <c r="D3019" i="6" s="1"/>
  <c r="C3018" i="6"/>
  <c r="D3018" i="6" s="1"/>
  <c r="C3017" i="6"/>
  <c r="D3017" i="6" s="1"/>
  <c r="C3016" i="6"/>
  <c r="D3016" i="6" s="1"/>
  <c r="C3015" i="6"/>
  <c r="D3015" i="6" s="1"/>
  <c r="C3014" i="6"/>
  <c r="D3014" i="6" s="1"/>
  <c r="C3013" i="6"/>
  <c r="D3013" i="6" s="1"/>
  <c r="C3012" i="6"/>
  <c r="D3012" i="6" s="1"/>
  <c r="C3011" i="6"/>
  <c r="D3011" i="6" s="1"/>
  <c r="C3010" i="6"/>
  <c r="D3010" i="6" s="1"/>
  <c r="C3009" i="6"/>
  <c r="D3009" i="6" s="1"/>
  <c r="C3008" i="6"/>
  <c r="D3008" i="6" s="1"/>
  <c r="C3007" i="6"/>
  <c r="D3007" i="6" s="1"/>
  <c r="C3006" i="6"/>
  <c r="D3006" i="6" s="1"/>
  <c r="C3005" i="6"/>
  <c r="D3005" i="6" s="1"/>
  <c r="C3004" i="6"/>
  <c r="D3004" i="6" s="1"/>
  <c r="C3003" i="6"/>
  <c r="D3003" i="6" s="1"/>
  <c r="C3002" i="6"/>
  <c r="D3002" i="6" s="1"/>
  <c r="C3001" i="6"/>
  <c r="D3001" i="6" s="1"/>
  <c r="C3000" i="6"/>
  <c r="D3000" i="6" s="1"/>
  <c r="C2999" i="6"/>
  <c r="D2999" i="6" s="1"/>
  <c r="C2998" i="6"/>
  <c r="D2998" i="6" s="1"/>
  <c r="C2997" i="6"/>
  <c r="D2997" i="6" s="1"/>
  <c r="C2996" i="6"/>
  <c r="D2996" i="6" s="1"/>
  <c r="C2995" i="6"/>
  <c r="D2995" i="6" s="1"/>
  <c r="C2994" i="6"/>
  <c r="D2994" i="6" s="1"/>
  <c r="C2993" i="6"/>
  <c r="D2993" i="6" s="1"/>
  <c r="C2992" i="6"/>
  <c r="D2992" i="6" s="1"/>
  <c r="C2991" i="6"/>
  <c r="D2991" i="6" s="1"/>
  <c r="C2990" i="6"/>
  <c r="D2990" i="6" s="1"/>
  <c r="C2989" i="6"/>
  <c r="D2989" i="6" s="1"/>
  <c r="C2988" i="6"/>
  <c r="D2988" i="6" s="1"/>
  <c r="C2987" i="6"/>
  <c r="D2987" i="6" s="1"/>
  <c r="C2986" i="6"/>
  <c r="D2986" i="6" s="1"/>
  <c r="C2985" i="6"/>
  <c r="D2985" i="6" s="1"/>
  <c r="C2984" i="6"/>
  <c r="D2984" i="6" s="1"/>
  <c r="C2983" i="6"/>
  <c r="D2983" i="6" s="1"/>
  <c r="C2982" i="6"/>
  <c r="D2982" i="6" s="1"/>
  <c r="C2981" i="6"/>
  <c r="D2981" i="6" s="1"/>
  <c r="C2980" i="6"/>
  <c r="D2980" i="6" s="1"/>
  <c r="C2979" i="6"/>
  <c r="D2979" i="6" s="1"/>
  <c r="C2978" i="6"/>
  <c r="D2978" i="6" s="1"/>
  <c r="C2977" i="6"/>
  <c r="D2977" i="6" s="1"/>
  <c r="C2976" i="6"/>
  <c r="D2976" i="6" s="1"/>
  <c r="C2975" i="6"/>
  <c r="D2975" i="6" s="1"/>
  <c r="C2974" i="6"/>
  <c r="D2974" i="6" s="1"/>
  <c r="C2973" i="6"/>
  <c r="D2973" i="6" s="1"/>
  <c r="C2972" i="6"/>
  <c r="D2972" i="6" s="1"/>
  <c r="C2971" i="6"/>
  <c r="D2971" i="6" s="1"/>
  <c r="C2970" i="6"/>
  <c r="D2970" i="6" s="1"/>
  <c r="C2969" i="6"/>
  <c r="D2969" i="6" s="1"/>
  <c r="C2968" i="6"/>
  <c r="D2968" i="6" s="1"/>
  <c r="C2967" i="6"/>
  <c r="D2967" i="6" s="1"/>
  <c r="C2966" i="6"/>
  <c r="D2966" i="6" s="1"/>
  <c r="C2965" i="6"/>
  <c r="D2965" i="6" s="1"/>
  <c r="C2964" i="6"/>
  <c r="D2964" i="6" s="1"/>
  <c r="C2963" i="6"/>
  <c r="D2963" i="6" s="1"/>
  <c r="C2962" i="6"/>
  <c r="D2962" i="6" s="1"/>
  <c r="C2961" i="6"/>
  <c r="D2961" i="6" s="1"/>
  <c r="C2960" i="6"/>
  <c r="D2960" i="6" s="1"/>
  <c r="C2959" i="6"/>
  <c r="D2959" i="6" s="1"/>
  <c r="C2958" i="6"/>
  <c r="D2958" i="6" s="1"/>
  <c r="C2957" i="6"/>
  <c r="D2957" i="6" s="1"/>
  <c r="C2956" i="6"/>
  <c r="D2956" i="6" s="1"/>
  <c r="C2955" i="6"/>
  <c r="D2955" i="6" s="1"/>
  <c r="C2954" i="6"/>
  <c r="D2954" i="6" s="1"/>
  <c r="C2953" i="6"/>
  <c r="D2953" i="6" s="1"/>
  <c r="C2952" i="6"/>
  <c r="D2952" i="6" s="1"/>
  <c r="C2951" i="6"/>
  <c r="D2951" i="6" s="1"/>
  <c r="C2950" i="6"/>
  <c r="D2950" i="6" s="1"/>
  <c r="C2949" i="6"/>
  <c r="D2949" i="6" s="1"/>
  <c r="C2948" i="6"/>
  <c r="D2948" i="6" s="1"/>
  <c r="C2947" i="6"/>
  <c r="D2947" i="6" s="1"/>
  <c r="C2946" i="6"/>
  <c r="D2946" i="6" s="1"/>
  <c r="C2945" i="6"/>
  <c r="D2945" i="6" s="1"/>
  <c r="C2944" i="6"/>
  <c r="D2944" i="6" s="1"/>
  <c r="C2943" i="6"/>
  <c r="D2943" i="6" s="1"/>
  <c r="C2942" i="6"/>
  <c r="D2942" i="6" s="1"/>
  <c r="C2941" i="6"/>
  <c r="D2941" i="6" s="1"/>
  <c r="C2940" i="6"/>
  <c r="D2940" i="6" s="1"/>
  <c r="C2939" i="6"/>
  <c r="D2939" i="6" s="1"/>
  <c r="C2938" i="6"/>
  <c r="D2938" i="6" s="1"/>
  <c r="C2937" i="6"/>
  <c r="D2937" i="6" s="1"/>
  <c r="C2936" i="6"/>
  <c r="D2936" i="6" s="1"/>
  <c r="C2935" i="6"/>
  <c r="D2935" i="6" s="1"/>
  <c r="C2934" i="6"/>
  <c r="D2934" i="6" s="1"/>
  <c r="C2933" i="6"/>
  <c r="D2933" i="6" s="1"/>
  <c r="C2932" i="6"/>
  <c r="D2932" i="6" s="1"/>
  <c r="C2931" i="6"/>
  <c r="D2931" i="6" s="1"/>
  <c r="C2930" i="6"/>
  <c r="D2930" i="6" s="1"/>
  <c r="C2929" i="6"/>
  <c r="D2929" i="6" s="1"/>
  <c r="C2928" i="6"/>
  <c r="D2928" i="6" s="1"/>
  <c r="C2927" i="6"/>
  <c r="D2927" i="6" s="1"/>
  <c r="C2926" i="6"/>
  <c r="D2926" i="6" s="1"/>
  <c r="C2925" i="6"/>
  <c r="D2925" i="6" s="1"/>
  <c r="C2924" i="6"/>
  <c r="D2924" i="6" s="1"/>
  <c r="C2923" i="6"/>
  <c r="D2923" i="6" s="1"/>
  <c r="C2922" i="6"/>
  <c r="D2922" i="6" s="1"/>
  <c r="C2921" i="6"/>
  <c r="D2921" i="6" s="1"/>
  <c r="C2920" i="6"/>
  <c r="D2920" i="6" s="1"/>
  <c r="C2919" i="6"/>
  <c r="D2919" i="6" s="1"/>
  <c r="C2918" i="6"/>
  <c r="D2918" i="6" s="1"/>
  <c r="C2917" i="6"/>
  <c r="D2917" i="6" s="1"/>
  <c r="C2916" i="6"/>
  <c r="D2916" i="6" s="1"/>
  <c r="C2915" i="6"/>
  <c r="D2915" i="6" s="1"/>
  <c r="C2914" i="6"/>
  <c r="D2914" i="6" s="1"/>
  <c r="C2913" i="6"/>
  <c r="D2913" i="6" s="1"/>
  <c r="C2912" i="6"/>
  <c r="D2912" i="6" s="1"/>
  <c r="C2911" i="6"/>
  <c r="D2911" i="6" s="1"/>
  <c r="C2910" i="6"/>
  <c r="D2910" i="6" s="1"/>
  <c r="C2909" i="6"/>
  <c r="D2909" i="6" s="1"/>
  <c r="C2908" i="6"/>
  <c r="D2908" i="6" s="1"/>
  <c r="C2907" i="6"/>
  <c r="D2907" i="6" s="1"/>
  <c r="C2906" i="6"/>
  <c r="D2906" i="6" s="1"/>
  <c r="C2905" i="6"/>
  <c r="D2905" i="6" s="1"/>
  <c r="C2904" i="6"/>
  <c r="D2904" i="6" s="1"/>
  <c r="C2903" i="6"/>
  <c r="D2903" i="6" s="1"/>
  <c r="C2902" i="6"/>
  <c r="D2902" i="6" s="1"/>
  <c r="C2901" i="6"/>
  <c r="D2901" i="6" s="1"/>
  <c r="C2900" i="6"/>
  <c r="D2900" i="6" s="1"/>
  <c r="C2899" i="6"/>
  <c r="D2899" i="6" s="1"/>
  <c r="C2898" i="6"/>
  <c r="D2898" i="6" s="1"/>
  <c r="C2897" i="6"/>
  <c r="D2897" i="6" s="1"/>
  <c r="C2896" i="6"/>
  <c r="D2896" i="6" s="1"/>
  <c r="C2895" i="6"/>
  <c r="D2895" i="6" s="1"/>
  <c r="C2894" i="6"/>
  <c r="D2894" i="6" s="1"/>
  <c r="C2893" i="6"/>
  <c r="D2893" i="6" s="1"/>
  <c r="C2892" i="6"/>
  <c r="D2892" i="6" s="1"/>
  <c r="C2891" i="6"/>
  <c r="D2891" i="6" s="1"/>
  <c r="C2890" i="6"/>
  <c r="D2890" i="6" s="1"/>
  <c r="C2889" i="6"/>
  <c r="D2889" i="6" s="1"/>
  <c r="C2888" i="6"/>
  <c r="D2888" i="6" s="1"/>
  <c r="C2887" i="6"/>
  <c r="D2887" i="6" s="1"/>
  <c r="C2886" i="6"/>
  <c r="D2886" i="6" s="1"/>
  <c r="C2885" i="6"/>
  <c r="D2885" i="6" s="1"/>
  <c r="C2884" i="6"/>
  <c r="D2884" i="6" s="1"/>
  <c r="C2883" i="6"/>
  <c r="D2883" i="6" s="1"/>
  <c r="C2882" i="6"/>
  <c r="D2882" i="6" s="1"/>
  <c r="C2881" i="6"/>
  <c r="D2881" i="6" s="1"/>
  <c r="C2880" i="6"/>
  <c r="D2880" i="6" s="1"/>
  <c r="C2879" i="6"/>
  <c r="D2879" i="6" s="1"/>
  <c r="C2878" i="6"/>
  <c r="D2878" i="6" s="1"/>
  <c r="C2877" i="6"/>
  <c r="D2877" i="6" s="1"/>
  <c r="C2876" i="6"/>
  <c r="D2876" i="6" s="1"/>
  <c r="C2875" i="6"/>
  <c r="D2875" i="6" s="1"/>
  <c r="C2874" i="6"/>
  <c r="D2874" i="6" s="1"/>
  <c r="C2873" i="6"/>
  <c r="D2873" i="6" s="1"/>
  <c r="C2872" i="6"/>
  <c r="D2872" i="6" s="1"/>
  <c r="C2871" i="6"/>
  <c r="D2871" i="6" s="1"/>
  <c r="C2870" i="6"/>
  <c r="D2870" i="6" s="1"/>
  <c r="C2869" i="6"/>
  <c r="D2869" i="6" s="1"/>
  <c r="C2868" i="6"/>
  <c r="D2868" i="6" s="1"/>
  <c r="C2867" i="6"/>
  <c r="D2867" i="6" s="1"/>
  <c r="C2866" i="6"/>
  <c r="D2866" i="6" s="1"/>
  <c r="C2865" i="6"/>
  <c r="D2865" i="6" s="1"/>
  <c r="C2864" i="6"/>
  <c r="D2864" i="6" s="1"/>
  <c r="C2863" i="6"/>
  <c r="D2863" i="6" s="1"/>
  <c r="C2862" i="6"/>
  <c r="D2862" i="6" s="1"/>
  <c r="C2861" i="6"/>
  <c r="D2861" i="6" s="1"/>
  <c r="C2860" i="6"/>
  <c r="D2860" i="6" s="1"/>
  <c r="C2859" i="6"/>
  <c r="D2859" i="6" s="1"/>
  <c r="C2858" i="6"/>
  <c r="D2858" i="6" s="1"/>
  <c r="C2857" i="6"/>
  <c r="D2857" i="6" s="1"/>
  <c r="C2856" i="6"/>
  <c r="D2856" i="6" s="1"/>
  <c r="C2855" i="6"/>
  <c r="D2855" i="6" s="1"/>
  <c r="C2854" i="6"/>
  <c r="D2854" i="6" s="1"/>
  <c r="C2853" i="6"/>
  <c r="D2853" i="6" s="1"/>
  <c r="C2852" i="6"/>
  <c r="D2852" i="6" s="1"/>
  <c r="C2851" i="6"/>
  <c r="D2851" i="6" s="1"/>
  <c r="C2850" i="6"/>
  <c r="D2850" i="6" s="1"/>
  <c r="C2849" i="6"/>
  <c r="D2849" i="6" s="1"/>
  <c r="C2848" i="6"/>
  <c r="D2848" i="6" s="1"/>
  <c r="C2847" i="6"/>
  <c r="D2847" i="6" s="1"/>
  <c r="C2846" i="6"/>
  <c r="D2846" i="6" s="1"/>
  <c r="C2845" i="6"/>
  <c r="D2845" i="6" s="1"/>
  <c r="C2844" i="6"/>
  <c r="D2844" i="6" s="1"/>
  <c r="C2843" i="6"/>
  <c r="D2843" i="6" s="1"/>
  <c r="C2842" i="6"/>
  <c r="D2842" i="6" s="1"/>
  <c r="C2841" i="6"/>
  <c r="D2841" i="6" s="1"/>
  <c r="C2840" i="6"/>
  <c r="D2840" i="6" s="1"/>
  <c r="C2839" i="6"/>
  <c r="D2839" i="6" s="1"/>
  <c r="C2838" i="6"/>
  <c r="D2838" i="6" s="1"/>
  <c r="C2837" i="6"/>
  <c r="D2837" i="6" s="1"/>
  <c r="C2836" i="6"/>
  <c r="D2836" i="6" s="1"/>
  <c r="C2835" i="6"/>
  <c r="D2835" i="6" s="1"/>
  <c r="C2834" i="6"/>
  <c r="D2834" i="6" s="1"/>
  <c r="C2833" i="6"/>
  <c r="D2833" i="6" s="1"/>
  <c r="C2832" i="6"/>
  <c r="D2832" i="6" s="1"/>
  <c r="C2831" i="6"/>
  <c r="D2831" i="6" s="1"/>
  <c r="C2830" i="6"/>
  <c r="D2830" i="6" s="1"/>
  <c r="C2829" i="6"/>
  <c r="D2829" i="6" s="1"/>
  <c r="C2828" i="6"/>
  <c r="D2828" i="6" s="1"/>
  <c r="C2827" i="6"/>
  <c r="D2827" i="6" s="1"/>
  <c r="C2826" i="6"/>
  <c r="D2826" i="6" s="1"/>
  <c r="C2825" i="6"/>
  <c r="D2825" i="6" s="1"/>
  <c r="C2824" i="6"/>
  <c r="D2824" i="6" s="1"/>
  <c r="C2823" i="6"/>
  <c r="D2823" i="6" s="1"/>
  <c r="C2822" i="6"/>
  <c r="D2822" i="6" s="1"/>
  <c r="C2821" i="6"/>
  <c r="D2821" i="6" s="1"/>
  <c r="C2820" i="6"/>
  <c r="D2820" i="6" s="1"/>
  <c r="C2819" i="6"/>
  <c r="D2819" i="6" s="1"/>
  <c r="C2818" i="6"/>
  <c r="D2818" i="6" s="1"/>
  <c r="C2817" i="6"/>
  <c r="D2817" i="6" s="1"/>
  <c r="C2816" i="6"/>
  <c r="D2816" i="6" s="1"/>
  <c r="C2815" i="6"/>
  <c r="D2815" i="6" s="1"/>
  <c r="C2814" i="6"/>
  <c r="D2814" i="6" s="1"/>
  <c r="C2813" i="6"/>
  <c r="D2813" i="6" s="1"/>
  <c r="C2812" i="6"/>
  <c r="D2812" i="6" s="1"/>
  <c r="C2811" i="6"/>
  <c r="D2811" i="6" s="1"/>
  <c r="C2810" i="6"/>
  <c r="D2810" i="6" s="1"/>
  <c r="C2809" i="6"/>
  <c r="D2809" i="6" s="1"/>
  <c r="C2808" i="6"/>
  <c r="D2808" i="6" s="1"/>
  <c r="C2807" i="6"/>
  <c r="D2807" i="6" s="1"/>
  <c r="C2806" i="6"/>
  <c r="D2806" i="6" s="1"/>
  <c r="C2805" i="6"/>
  <c r="D2805" i="6" s="1"/>
  <c r="C2804" i="6"/>
  <c r="D2804" i="6" s="1"/>
  <c r="C2803" i="6"/>
  <c r="D2803" i="6" s="1"/>
  <c r="C2802" i="6"/>
  <c r="D2802" i="6" s="1"/>
  <c r="C2801" i="6"/>
  <c r="D2801" i="6" s="1"/>
  <c r="C2800" i="6"/>
  <c r="D2800" i="6" s="1"/>
  <c r="C2799" i="6"/>
  <c r="D2799" i="6" s="1"/>
  <c r="C2798" i="6"/>
  <c r="D2798" i="6" s="1"/>
  <c r="C2797" i="6"/>
  <c r="D2797" i="6" s="1"/>
  <c r="C2796" i="6"/>
  <c r="D2796" i="6" s="1"/>
  <c r="C2795" i="6"/>
  <c r="D2795" i="6" s="1"/>
  <c r="C2794" i="6"/>
  <c r="D2794" i="6" s="1"/>
  <c r="C2793" i="6"/>
  <c r="D2793" i="6" s="1"/>
  <c r="C2792" i="6"/>
  <c r="D2792" i="6" s="1"/>
  <c r="C2791" i="6"/>
  <c r="D2791" i="6" s="1"/>
  <c r="C2790" i="6"/>
  <c r="D2790" i="6" s="1"/>
  <c r="C2789" i="6"/>
  <c r="D2789" i="6" s="1"/>
  <c r="C2788" i="6"/>
  <c r="D2788" i="6" s="1"/>
  <c r="C2787" i="6"/>
  <c r="D2787" i="6" s="1"/>
  <c r="C2786" i="6"/>
  <c r="D2786" i="6" s="1"/>
  <c r="C2785" i="6"/>
  <c r="D2785" i="6" s="1"/>
  <c r="C2784" i="6"/>
  <c r="D2784" i="6" s="1"/>
  <c r="C2783" i="6"/>
  <c r="D2783" i="6" s="1"/>
  <c r="C2782" i="6"/>
  <c r="D2782" i="6" s="1"/>
  <c r="C2781" i="6"/>
  <c r="D2781" i="6" s="1"/>
  <c r="C2780" i="6"/>
  <c r="D2780" i="6" s="1"/>
  <c r="C2779" i="6"/>
  <c r="D2779" i="6" s="1"/>
  <c r="C2778" i="6"/>
  <c r="D2778" i="6" s="1"/>
  <c r="C2777" i="6"/>
  <c r="D2777" i="6" s="1"/>
  <c r="C2776" i="6"/>
  <c r="D2776" i="6" s="1"/>
  <c r="C2775" i="6"/>
  <c r="D2775" i="6" s="1"/>
  <c r="C2774" i="6"/>
  <c r="D2774" i="6" s="1"/>
  <c r="C2773" i="6"/>
  <c r="D2773" i="6" s="1"/>
  <c r="C2772" i="6"/>
  <c r="D2772" i="6" s="1"/>
  <c r="C2771" i="6"/>
  <c r="D2771" i="6" s="1"/>
  <c r="C2770" i="6"/>
  <c r="D2770" i="6" s="1"/>
  <c r="C2769" i="6"/>
  <c r="D2769" i="6" s="1"/>
  <c r="C2768" i="6"/>
  <c r="D2768" i="6" s="1"/>
  <c r="C2767" i="6"/>
  <c r="D2767" i="6" s="1"/>
  <c r="C2766" i="6"/>
  <c r="D2766" i="6" s="1"/>
  <c r="C2765" i="6"/>
  <c r="D2765" i="6" s="1"/>
  <c r="C2764" i="6"/>
  <c r="D2764" i="6" s="1"/>
  <c r="C2763" i="6"/>
  <c r="D2763" i="6" s="1"/>
  <c r="C2762" i="6"/>
  <c r="D2762" i="6" s="1"/>
  <c r="C2761" i="6"/>
  <c r="D2761" i="6" s="1"/>
  <c r="C2760" i="6"/>
  <c r="D2760" i="6" s="1"/>
  <c r="C2759" i="6"/>
  <c r="D2759" i="6" s="1"/>
  <c r="C2758" i="6"/>
  <c r="D2758" i="6" s="1"/>
  <c r="C2757" i="6"/>
  <c r="D2757" i="6" s="1"/>
  <c r="C2756" i="6"/>
  <c r="D2756" i="6" s="1"/>
  <c r="C2755" i="6"/>
  <c r="D2755" i="6" s="1"/>
  <c r="C2754" i="6"/>
  <c r="D2754" i="6" s="1"/>
  <c r="C2753" i="6"/>
  <c r="D2753" i="6" s="1"/>
  <c r="C2752" i="6"/>
  <c r="D2752" i="6" s="1"/>
  <c r="C2751" i="6"/>
  <c r="D2751" i="6" s="1"/>
  <c r="C2750" i="6"/>
  <c r="D2750" i="6" s="1"/>
  <c r="C2749" i="6"/>
  <c r="D2749" i="6" s="1"/>
  <c r="C2748" i="6"/>
  <c r="D2748" i="6" s="1"/>
  <c r="C2747" i="6"/>
  <c r="D2747" i="6" s="1"/>
  <c r="C2746" i="6"/>
  <c r="D2746" i="6" s="1"/>
  <c r="C2745" i="6"/>
  <c r="D2745" i="6" s="1"/>
  <c r="C2744" i="6"/>
  <c r="D2744" i="6" s="1"/>
  <c r="C2743" i="6"/>
  <c r="D2743" i="6" s="1"/>
  <c r="C2742" i="6"/>
  <c r="D2742" i="6" s="1"/>
  <c r="C2741" i="6"/>
  <c r="D2741" i="6" s="1"/>
  <c r="C2740" i="6"/>
  <c r="D2740" i="6" s="1"/>
  <c r="C2739" i="6"/>
  <c r="D2739" i="6" s="1"/>
  <c r="C2738" i="6"/>
  <c r="D2738" i="6" s="1"/>
  <c r="C2737" i="6"/>
  <c r="D2737" i="6" s="1"/>
  <c r="C2736" i="6"/>
  <c r="D2736" i="6" s="1"/>
  <c r="C2735" i="6"/>
  <c r="D2735" i="6" s="1"/>
  <c r="C2734" i="6"/>
  <c r="D2734" i="6" s="1"/>
  <c r="C2733" i="6"/>
  <c r="D2733" i="6" s="1"/>
  <c r="C2732" i="6"/>
  <c r="D2732" i="6" s="1"/>
  <c r="C2731" i="6"/>
  <c r="D2731" i="6" s="1"/>
  <c r="C2730" i="6"/>
  <c r="D2730" i="6" s="1"/>
  <c r="C2729" i="6"/>
  <c r="D2729" i="6" s="1"/>
  <c r="C2728" i="6"/>
  <c r="D2728" i="6" s="1"/>
  <c r="C2727" i="6"/>
  <c r="D2727" i="6" s="1"/>
  <c r="C2726" i="6"/>
  <c r="D2726" i="6" s="1"/>
  <c r="C2725" i="6"/>
  <c r="D2725" i="6" s="1"/>
  <c r="C2724" i="6"/>
  <c r="D2724" i="6" s="1"/>
  <c r="C2723" i="6"/>
  <c r="D2723" i="6" s="1"/>
  <c r="C2722" i="6"/>
  <c r="D2722" i="6" s="1"/>
  <c r="C2721" i="6"/>
  <c r="D2721" i="6" s="1"/>
  <c r="C2720" i="6"/>
  <c r="D2720" i="6" s="1"/>
  <c r="C2719" i="6"/>
  <c r="D2719" i="6" s="1"/>
  <c r="C2718" i="6"/>
  <c r="D2718" i="6" s="1"/>
  <c r="C2717" i="6"/>
  <c r="D2717" i="6" s="1"/>
  <c r="C2716" i="6"/>
  <c r="D2716" i="6" s="1"/>
  <c r="C2715" i="6"/>
  <c r="D2715" i="6" s="1"/>
  <c r="C2714" i="6"/>
  <c r="D2714" i="6" s="1"/>
  <c r="C2713" i="6"/>
  <c r="D2713" i="6" s="1"/>
  <c r="C2712" i="6"/>
  <c r="D2712" i="6" s="1"/>
  <c r="C2711" i="6"/>
  <c r="D2711" i="6" s="1"/>
  <c r="C2710" i="6"/>
  <c r="D2710" i="6" s="1"/>
  <c r="C2709" i="6"/>
  <c r="D2709" i="6" s="1"/>
  <c r="C2708" i="6"/>
  <c r="D2708" i="6" s="1"/>
  <c r="C2707" i="6"/>
  <c r="D2707" i="6" s="1"/>
  <c r="C2706" i="6"/>
  <c r="D2706" i="6" s="1"/>
  <c r="C2705" i="6"/>
  <c r="D2705" i="6" s="1"/>
  <c r="C2704" i="6"/>
  <c r="D2704" i="6" s="1"/>
  <c r="C2703" i="6"/>
  <c r="D2703" i="6" s="1"/>
  <c r="C2702" i="6"/>
  <c r="D2702" i="6" s="1"/>
  <c r="C2701" i="6"/>
  <c r="D2701" i="6" s="1"/>
  <c r="C2700" i="6"/>
  <c r="D2700" i="6" s="1"/>
  <c r="C2699" i="6"/>
  <c r="D2699" i="6" s="1"/>
  <c r="C2698" i="6"/>
  <c r="D2698" i="6" s="1"/>
  <c r="C2697" i="6"/>
  <c r="D2697" i="6" s="1"/>
  <c r="C2696" i="6"/>
  <c r="D2696" i="6" s="1"/>
  <c r="C2695" i="6"/>
  <c r="D2695" i="6" s="1"/>
  <c r="C2694" i="6"/>
  <c r="D2694" i="6" s="1"/>
  <c r="C2693" i="6"/>
  <c r="D2693" i="6" s="1"/>
  <c r="C2692" i="6"/>
  <c r="D2692" i="6" s="1"/>
  <c r="C2691" i="6"/>
  <c r="D2691" i="6" s="1"/>
  <c r="C2690" i="6"/>
  <c r="D2690" i="6" s="1"/>
  <c r="C2689" i="6"/>
  <c r="D2689" i="6" s="1"/>
  <c r="C2688" i="6"/>
  <c r="D2688" i="6" s="1"/>
  <c r="C2687" i="6"/>
  <c r="D2687" i="6" s="1"/>
  <c r="C2686" i="6"/>
  <c r="D2686" i="6" s="1"/>
  <c r="C2685" i="6"/>
  <c r="D2685" i="6" s="1"/>
  <c r="C2684" i="6"/>
  <c r="D2684" i="6" s="1"/>
  <c r="C2683" i="6"/>
  <c r="D2683" i="6" s="1"/>
  <c r="C2682" i="6"/>
  <c r="D2682" i="6" s="1"/>
  <c r="C2681" i="6"/>
  <c r="D2681" i="6" s="1"/>
  <c r="C2680" i="6"/>
  <c r="D2680" i="6" s="1"/>
  <c r="C2679" i="6"/>
  <c r="D2679" i="6" s="1"/>
  <c r="C2678" i="6"/>
  <c r="D2678" i="6" s="1"/>
  <c r="C2677" i="6"/>
  <c r="D2677" i="6" s="1"/>
  <c r="C2676" i="6"/>
  <c r="D2676" i="6" s="1"/>
  <c r="C2675" i="6"/>
  <c r="D2675" i="6" s="1"/>
  <c r="C2674" i="6"/>
  <c r="D2674" i="6" s="1"/>
  <c r="C2673" i="6"/>
  <c r="D2673" i="6" s="1"/>
  <c r="C2672" i="6"/>
  <c r="D2672" i="6" s="1"/>
  <c r="C2671" i="6"/>
  <c r="D2671" i="6" s="1"/>
  <c r="C2670" i="6"/>
  <c r="D2670" i="6" s="1"/>
  <c r="C2669" i="6"/>
  <c r="D2669" i="6" s="1"/>
  <c r="C2668" i="6"/>
  <c r="D2668" i="6" s="1"/>
  <c r="C2667" i="6"/>
  <c r="D2667" i="6" s="1"/>
  <c r="C2666" i="6"/>
  <c r="D2666" i="6" s="1"/>
  <c r="C2665" i="6"/>
  <c r="D2665" i="6" s="1"/>
  <c r="C2664" i="6"/>
  <c r="D2664" i="6" s="1"/>
  <c r="C2663" i="6"/>
  <c r="D2663" i="6" s="1"/>
  <c r="C2662" i="6"/>
  <c r="D2662" i="6" s="1"/>
  <c r="C2661" i="6"/>
  <c r="D2661" i="6" s="1"/>
  <c r="C2660" i="6"/>
  <c r="D2660" i="6" s="1"/>
  <c r="C2659" i="6"/>
  <c r="D2659" i="6" s="1"/>
  <c r="C2658" i="6"/>
  <c r="D2658" i="6" s="1"/>
  <c r="C2657" i="6"/>
  <c r="D2657" i="6" s="1"/>
  <c r="C2656" i="6"/>
  <c r="D2656" i="6" s="1"/>
  <c r="C2655" i="6"/>
  <c r="D2655" i="6" s="1"/>
  <c r="C2654" i="6"/>
  <c r="D2654" i="6" s="1"/>
  <c r="C2653" i="6"/>
  <c r="D2653" i="6" s="1"/>
  <c r="C2652" i="6"/>
  <c r="D2652" i="6" s="1"/>
  <c r="C2651" i="6"/>
  <c r="D2651" i="6" s="1"/>
  <c r="C2650" i="6"/>
  <c r="D2650" i="6" s="1"/>
  <c r="C2649" i="6"/>
  <c r="D2649" i="6" s="1"/>
  <c r="C2648" i="6"/>
  <c r="D2648" i="6" s="1"/>
  <c r="C2647" i="6"/>
  <c r="D2647" i="6" s="1"/>
  <c r="C2646" i="6"/>
  <c r="D2646" i="6" s="1"/>
  <c r="C2645" i="6"/>
  <c r="D2645" i="6" s="1"/>
  <c r="C2644" i="6"/>
  <c r="D2644" i="6" s="1"/>
  <c r="C2643" i="6"/>
  <c r="D2643" i="6" s="1"/>
  <c r="C2642" i="6"/>
  <c r="D2642" i="6" s="1"/>
  <c r="C2641" i="6"/>
  <c r="D2641" i="6" s="1"/>
  <c r="C2640" i="6"/>
  <c r="D2640" i="6" s="1"/>
  <c r="C2639" i="6"/>
  <c r="D2639" i="6" s="1"/>
  <c r="C2638" i="6"/>
  <c r="D2638" i="6" s="1"/>
  <c r="C2637" i="6"/>
  <c r="D2637" i="6" s="1"/>
  <c r="C2636" i="6"/>
  <c r="D2636" i="6" s="1"/>
  <c r="C2635" i="6"/>
  <c r="D2635" i="6" s="1"/>
  <c r="C2634" i="6"/>
  <c r="D2634" i="6" s="1"/>
  <c r="C2633" i="6"/>
  <c r="D2633" i="6" s="1"/>
  <c r="C2632" i="6"/>
  <c r="D2632" i="6" s="1"/>
  <c r="C2631" i="6"/>
  <c r="D2631" i="6" s="1"/>
  <c r="C2630" i="6"/>
  <c r="D2630" i="6" s="1"/>
  <c r="C2629" i="6"/>
  <c r="D2629" i="6" s="1"/>
  <c r="C2628" i="6"/>
  <c r="D2628" i="6" s="1"/>
  <c r="C2627" i="6"/>
  <c r="D2627" i="6" s="1"/>
  <c r="C2626" i="6"/>
  <c r="D2626" i="6" s="1"/>
  <c r="C2625" i="6"/>
  <c r="D2625" i="6" s="1"/>
  <c r="C2624" i="6"/>
  <c r="D2624" i="6" s="1"/>
  <c r="C2623" i="6"/>
  <c r="D2623" i="6" s="1"/>
  <c r="C2622" i="6"/>
  <c r="D2622" i="6" s="1"/>
  <c r="C2621" i="6"/>
  <c r="D2621" i="6" s="1"/>
  <c r="C2620" i="6"/>
  <c r="D2620" i="6" s="1"/>
  <c r="C2619" i="6"/>
  <c r="D2619" i="6" s="1"/>
  <c r="C2618" i="6"/>
  <c r="D2618" i="6" s="1"/>
  <c r="C2617" i="6"/>
  <c r="D2617" i="6" s="1"/>
  <c r="C2616" i="6"/>
  <c r="D2616" i="6" s="1"/>
  <c r="C2615" i="6"/>
  <c r="D2615" i="6" s="1"/>
  <c r="C2614" i="6"/>
  <c r="D2614" i="6" s="1"/>
  <c r="C2613" i="6"/>
  <c r="D2613" i="6" s="1"/>
  <c r="C2612" i="6"/>
  <c r="D2612" i="6" s="1"/>
  <c r="C2611" i="6"/>
  <c r="D2611" i="6" s="1"/>
  <c r="C2610" i="6"/>
  <c r="D2610" i="6" s="1"/>
  <c r="C2609" i="6"/>
  <c r="D2609" i="6" s="1"/>
  <c r="C2608" i="6"/>
  <c r="D2608" i="6" s="1"/>
  <c r="C2607" i="6"/>
  <c r="D2607" i="6" s="1"/>
  <c r="C2606" i="6"/>
  <c r="D2606" i="6" s="1"/>
  <c r="C2605" i="6"/>
  <c r="D2605" i="6" s="1"/>
  <c r="C2604" i="6"/>
  <c r="D2604" i="6" s="1"/>
  <c r="C2603" i="6"/>
  <c r="D2603" i="6" s="1"/>
  <c r="C2602" i="6"/>
  <c r="D2602" i="6" s="1"/>
  <c r="C2601" i="6"/>
  <c r="D2601" i="6" s="1"/>
  <c r="C2600" i="6"/>
  <c r="D2600" i="6" s="1"/>
  <c r="C2599" i="6"/>
  <c r="D2599" i="6" s="1"/>
  <c r="C2598" i="6"/>
  <c r="D2598" i="6" s="1"/>
  <c r="C2597" i="6"/>
  <c r="D2597" i="6" s="1"/>
  <c r="C2596" i="6"/>
  <c r="D2596" i="6" s="1"/>
  <c r="C2595" i="6"/>
  <c r="D2595" i="6" s="1"/>
  <c r="C2594" i="6"/>
  <c r="D2594" i="6" s="1"/>
  <c r="C2593" i="6"/>
  <c r="D2593" i="6" s="1"/>
  <c r="C2592" i="6"/>
  <c r="D2592" i="6" s="1"/>
  <c r="C2591" i="6"/>
  <c r="D2591" i="6" s="1"/>
  <c r="C2590" i="6"/>
  <c r="D2590" i="6" s="1"/>
  <c r="C2589" i="6"/>
  <c r="D2589" i="6" s="1"/>
  <c r="C2588" i="6"/>
  <c r="D2588" i="6" s="1"/>
  <c r="C2587" i="6"/>
  <c r="D2587" i="6" s="1"/>
  <c r="C2586" i="6"/>
  <c r="D2586" i="6" s="1"/>
  <c r="C2585" i="6"/>
  <c r="D2585" i="6" s="1"/>
  <c r="C2584" i="6"/>
  <c r="D2584" i="6" s="1"/>
  <c r="C2583" i="6"/>
  <c r="D2583" i="6" s="1"/>
  <c r="C2582" i="6"/>
  <c r="D2582" i="6" s="1"/>
  <c r="C2581" i="6"/>
  <c r="D2581" i="6" s="1"/>
  <c r="C2580" i="6"/>
  <c r="D2580" i="6" s="1"/>
  <c r="C2579" i="6"/>
  <c r="D2579" i="6" s="1"/>
  <c r="C2578" i="6"/>
  <c r="D2578" i="6" s="1"/>
  <c r="C2577" i="6"/>
  <c r="D2577" i="6" s="1"/>
  <c r="C2576" i="6"/>
  <c r="D2576" i="6" s="1"/>
  <c r="C2575" i="6"/>
  <c r="D2575" i="6" s="1"/>
  <c r="C2574" i="6"/>
  <c r="D2574" i="6" s="1"/>
  <c r="C2573" i="6"/>
  <c r="D2573" i="6" s="1"/>
  <c r="C2572" i="6"/>
  <c r="D2572" i="6" s="1"/>
  <c r="C2571" i="6"/>
  <c r="D2571" i="6" s="1"/>
  <c r="C2570" i="6"/>
  <c r="D2570" i="6" s="1"/>
  <c r="C2569" i="6"/>
  <c r="D2569" i="6" s="1"/>
  <c r="C2568" i="6"/>
  <c r="D2568" i="6" s="1"/>
  <c r="C2567" i="6"/>
  <c r="D2567" i="6" s="1"/>
  <c r="C2566" i="6"/>
  <c r="D2566" i="6" s="1"/>
  <c r="C2565" i="6"/>
  <c r="D2565" i="6" s="1"/>
  <c r="C2564" i="6"/>
  <c r="D2564" i="6" s="1"/>
  <c r="C2563" i="6"/>
  <c r="D2563" i="6" s="1"/>
  <c r="C2562" i="6"/>
  <c r="D2562" i="6" s="1"/>
  <c r="C2561" i="6"/>
  <c r="D2561" i="6" s="1"/>
  <c r="C2560" i="6"/>
  <c r="D2560" i="6" s="1"/>
  <c r="C2559" i="6"/>
  <c r="D2559" i="6" s="1"/>
  <c r="C2558" i="6"/>
  <c r="D2558" i="6" s="1"/>
  <c r="C2557" i="6"/>
  <c r="D2557" i="6" s="1"/>
  <c r="C2556" i="6"/>
  <c r="D2556" i="6" s="1"/>
  <c r="C2555" i="6"/>
  <c r="D2555" i="6" s="1"/>
  <c r="C2554" i="6"/>
  <c r="D2554" i="6" s="1"/>
  <c r="C2553" i="6"/>
  <c r="D2553" i="6" s="1"/>
  <c r="C2552" i="6"/>
  <c r="D2552" i="6" s="1"/>
  <c r="C2551" i="6"/>
  <c r="D2551" i="6" s="1"/>
  <c r="C2550" i="6"/>
  <c r="D2550" i="6" s="1"/>
  <c r="C2549" i="6"/>
  <c r="D2549" i="6" s="1"/>
  <c r="C2548" i="6"/>
  <c r="D2548" i="6" s="1"/>
  <c r="C2547" i="6"/>
  <c r="D2547" i="6" s="1"/>
  <c r="C2546" i="6"/>
  <c r="D2546" i="6" s="1"/>
  <c r="C2545" i="6"/>
  <c r="D2545" i="6" s="1"/>
  <c r="C2544" i="6"/>
  <c r="D2544" i="6" s="1"/>
  <c r="C2543" i="6"/>
  <c r="D2543" i="6" s="1"/>
  <c r="C2542" i="6"/>
  <c r="D2542" i="6" s="1"/>
  <c r="C2541" i="6"/>
  <c r="D2541" i="6" s="1"/>
  <c r="C2540" i="6"/>
  <c r="D2540" i="6" s="1"/>
  <c r="C2539" i="6"/>
  <c r="D2539" i="6" s="1"/>
  <c r="C2538" i="6"/>
  <c r="D2538" i="6" s="1"/>
  <c r="C2537" i="6"/>
  <c r="D2537" i="6" s="1"/>
  <c r="C2536" i="6"/>
  <c r="D2536" i="6" s="1"/>
  <c r="C2535" i="6"/>
  <c r="D2535" i="6" s="1"/>
  <c r="C2534" i="6"/>
  <c r="D2534" i="6" s="1"/>
  <c r="C2533" i="6"/>
  <c r="D2533" i="6" s="1"/>
  <c r="C2532" i="6"/>
  <c r="D2532" i="6" s="1"/>
  <c r="C2531" i="6"/>
  <c r="D2531" i="6" s="1"/>
  <c r="C2530" i="6"/>
  <c r="D2530" i="6" s="1"/>
  <c r="C2529" i="6"/>
  <c r="D2529" i="6" s="1"/>
  <c r="C2528" i="6"/>
  <c r="D2528" i="6" s="1"/>
  <c r="C2527" i="6"/>
  <c r="D2527" i="6" s="1"/>
  <c r="C2526" i="6"/>
  <c r="D2526" i="6" s="1"/>
  <c r="C2525" i="6"/>
  <c r="D2525" i="6" s="1"/>
  <c r="C2524" i="6"/>
  <c r="D2524" i="6" s="1"/>
  <c r="C2523" i="6"/>
  <c r="D2523" i="6" s="1"/>
  <c r="C2522" i="6"/>
  <c r="D2522" i="6" s="1"/>
  <c r="C2521" i="6"/>
  <c r="D2521" i="6" s="1"/>
  <c r="C2520" i="6"/>
  <c r="D2520" i="6" s="1"/>
  <c r="C2519" i="6"/>
  <c r="D2519" i="6" s="1"/>
  <c r="C2518" i="6"/>
  <c r="D2518" i="6" s="1"/>
  <c r="C2517" i="6"/>
  <c r="D2517" i="6" s="1"/>
  <c r="C2516" i="6"/>
  <c r="D2516" i="6" s="1"/>
  <c r="C2515" i="6"/>
  <c r="D2515" i="6" s="1"/>
  <c r="C2514" i="6"/>
  <c r="D2514" i="6" s="1"/>
  <c r="C2513" i="6"/>
  <c r="D2513" i="6" s="1"/>
  <c r="C2512" i="6"/>
  <c r="D2512" i="6" s="1"/>
  <c r="C2511" i="6"/>
  <c r="D2511" i="6" s="1"/>
  <c r="C2510" i="6"/>
  <c r="D2510" i="6" s="1"/>
  <c r="C2509" i="6"/>
  <c r="D2509" i="6" s="1"/>
  <c r="C2508" i="6"/>
  <c r="D2508" i="6" s="1"/>
  <c r="C2507" i="6"/>
  <c r="D2507" i="6" s="1"/>
  <c r="C2506" i="6"/>
  <c r="D2506" i="6" s="1"/>
  <c r="C2505" i="6"/>
  <c r="D2505" i="6" s="1"/>
  <c r="C2504" i="6"/>
  <c r="D2504" i="6" s="1"/>
  <c r="C2503" i="6"/>
  <c r="D2503" i="6" s="1"/>
  <c r="C2502" i="6"/>
  <c r="D2502" i="6" s="1"/>
  <c r="C2501" i="6"/>
  <c r="D2501" i="6" s="1"/>
  <c r="C2500" i="6"/>
  <c r="D2500" i="6" s="1"/>
  <c r="C2499" i="6"/>
  <c r="D2499" i="6" s="1"/>
  <c r="C2498" i="6"/>
  <c r="D2498" i="6" s="1"/>
  <c r="C2497" i="6"/>
  <c r="D2497" i="6" s="1"/>
  <c r="C2496" i="6"/>
  <c r="D2496" i="6" s="1"/>
  <c r="C2495" i="6"/>
  <c r="D2495" i="6" s="1"/>
  <c r="C2494" i="6"/>
  <c r="D2494" i="6" s="1"/>
  <c r="C2493" i="6"/>
  <c r="D2493" i="6" s="1"/>
  <c r="C2492" i="6"/>
  <c r="D2492" i="6" s="1"/>
  <c r="C2491" i="6"/>
  <c r="D2491" i="6" s="1"/>
  <c r="C2490" i="6"/>
  <c r="D2490" i="6" s="1"/>
  <c r="C2489" i="6"/>
  <c r="D2489" i="6" s="1"/>
  <c r="C2488" i="6"/>
  <c r="D2488" i="6" s="1"/>
  <c r="C2487" i="6"/>
  <c r="D2487" i="6" s="1"/>
  <c r="C2486" i="6"/>
  <c r="D2486" i="6" s="1"/>
  <c r="C2485" i="6"/>
  <c r="D2485" i="6" s="1"/>
  <c r="C2484" i="6"/>
  <c r="D2484" i="6" s="1"/>
  <c r="C2483" i="6"/>
  <c r="D2483" i="6" s="1"/>
  <c r="C2482" i="6"/>
  <c r="D2482" i="6" s="1"/>
  <c r="C2481" i="6"/>
  <c r="D2481" i="6" s="1"/>
  <c r="C2480" i="6"/>
  <c r="D2480" i="6" s="1"/>
  <c r="C2479" i="6"/>
  <c r="D2479" i="6" s="1"/>
  <c r="C2478" i="6"/>
  <c r="D2478" i="6" s="1"/>
  <c r="C2477" i="6"/>
  <c r="D2477" i="6" s="1"/>
  <c r="C2476" i="6"/>
  <c r="D2476" i="6" s="1"/>
  <c r="C2475" i="6"/>
  <c r="D2475" i="6" s="1"/>
  <c r="C2474" i="6"/>
  <c r="D2474" i="6" s="1"/>
  <c r="C2473" i="6"/>
  <c r="D2473" i="6" s="1"/>
  <c r="C2472" i="6"/>
  <c r="D2472" i="6" s="1"/>
  <c r="C2471" i="6"/>
  <c r="D2471" i="6" s="1"/>
  <c r="C2470" i="6"/>
  <c r="D2470" i="6" s="1"/>
  <c r="C2469" i="6"/>
  <c r="D2469" i="6" s="1"/>
  <c r="C2468" i="6"/>
  <c r="D2468" i="6" s="1"/>
  <c r="C2467" i="6"/>
  <c r="D2467" i="6" s="1"/>
  <c r="C2466" i="6"/>
  <c r="D2466" i="6" s="1"/>
  <c r="C2465" i="6"/>
  <c r="D2465" i="6" s="1"/>
  <c r="C2464" i="6"/>
  <c r="D2464" i="6" s="1"/>
  <c r="C2463" i="6"/>
  <c r="D2463" i="6" s="1"/>
  <c r="C2462" i="6"/>
  <c r="D2462" i="6" s="1"/>
  <c r="C2461" i="6"/>
  <c r="D2461" i="6" s="1"/>
  <c r="C2460" i="6"/>
  <c r="D2460" i="6" s="1"/>
  <c r="C2459" i="6"/>
  <c r="D2459" i="6" s="1"/>
  <c r="C2458" i="6"/>
  <c r="D2458" i="6" s="1"/>
  <c r="C2457" i="6"/>
  <c r="D2457" i="6" s="1"/>
  <c r="C2456" i="6"/>
  <c r="D2456" i="6" s="1"/>
  <c r="C2455" i="6"/>
  <c r="D2455" i="6" s="1"/>
  <c r="C2454" i="6"/>
  <c r="D2454" i="6" s="1"/>
  <c r="C2453" i="6"/>
  <c r="D2453" i="6" s="1"/>
  <c r="C2452" i="6"/>
  <c r="D2452" i="6" s="1"/>
  <c r="C2451" i="6"/>
  <c r="D2451" i="6" s="1"/>
  <c r="C2450" i="6"/>
  <c r="D2450" i="6" s="1"/>
  <c r="C2449" i="6"/>
  <c r="D2449" i="6" s="1"/>
  <c r="C2448" i="6"/>
  <c r="D2448" i="6" s="1"/>
  <c r="C2447" i="6"/>
  <c r="D2447" i="6" s="1"/>
  <c r="C2446" i="6"/>
  <c r="D2446" i="6" s="1"/>
  <c r="C2445" i="6"/>
  <c r="D2445" i="6" s="1"/>
  <c r="C2444" i="6"/>
  <c r="D2444" i="6" s="1"/>
  <c r="C2443" i="6"/>
  <c r="D2443" i="6" s="1"/>
  <c r="C2442" i="6"/>
  <c r="D2442" i="6" s="1"/>
  <c r="C2441" i="6"/>
  <c r="D2441" i="6" s="1"/>
  <c r="C2440" i="6"/>
  <c r="D2440" i="6" s="1"/>
  <c r="C2439" i="6"/>
  <c r="D2439" i="6" s="1"/>
  <c r="C2438" i="6"/>
  <c r="D2438" i="6" s="1"/>
  <c r="C2437" i="6"/>
  <c r="D2437" i="6" s="1"/>
  <c r="C2436" i="6"/>
  <c r="D2436" i="6" s="1"/>
  <c r="C2435" i="6"/>
  <c r="D2435" i="6" s="1"/>
  <c r="C2434" i="6"/>
  <c r="D2434" i="6" s="1"/>
  <c r="C2433" i="6"/>
  <c r="D2433" i="6" s="1"/>
  <c r="C2432" i="6"/>
  <c r="D2432" i="6" s="1"/>
  <c r="C2431" i="6"/>
  <c r="D2431" i="6" s="1"/>
  <c r="C2430" i="6"/>
  <c r="D2430" i="6" s="1"/>
  <c r="C2429" i="6"/>
  <c r="D2429" i="6" s="1"/>
  <c r="C2428" i="6"/>
  <c r="D2428" i="6" s="1"/>
  <c r="C2427" i="6"/>
  <c r="D2427" i="6" s="1"/>
  <c r="C2426" i="6"/>
  <c r="D2426" i="6" s="1"/>
  <c r="C2425" i="6"/>
  <c r="D2425" i="6" s="1"/>
  <c r="C2424" i="6"/>
  <c r="D2424" i="6" s="1"/>
  <c r="C2423" i="6"/>
  <c r="D2423" i="6" s="1"/>
  <c r="C2422" i="6"/>
  <c r="D2422" i="6" s="1"/>
  <c r="C2421" i="6"/>
  <c r="D2421" i="6" s="1"/>
  <c r="C2420" i="6"/>
  <c r="D2420" i="6" s="1"/>
  <c r="C2419" i="6"/>
  <c r="D2419" i="6" s="1"/>
  <c r="C2418" i="6"/>
  <c r="D2418" i="6" s="1"/>
  <c r="C2417" i="6"/>
  <c r="D2417" i="6" s="1"/>
  <c r="C2416" i="6"/>
  <c r="D2416" i="6" s="1"/>
  <c r="C2415" i="6"/>
  <c r="D2415" i="6" s="1"/>
  <c r="C2414" i="6"/>
  <c r="D2414" i="6" s="1"/>
  <c r="C2413" i="6"/>
  <c r="D2413" i="6" s="1"/>
  <c r="C2412" i="6"/>
  <c r="D2412" i="6" s="1"/>
  <c r="C2411" i="6"/>
  <c r="D2411" i="6" s="1"/>
  <c r="C2410" i="6"/>
  <c r="D2410" i="6" s="1"/>
  <c r="C2409" i="6"/>
  <c r="D2409" i="6" s="1"/>
  <c r="C2408" i="6"/>
  <c r="D2408" i="6" s="1"/>
  <c r="C2407" i="6"/>
  <c r="D2407" i="6" s="1"/>
  <c r="C2406" i="6"/>
  <c r="D2406" i="6" s="1"/>
  <c r="C2405" i="6"/>
  <c r="D2405" i="6" s="1"/>
  <c r="C2404" i="6"/>
  <c r="D2404" i="6" s="1"/>
  <c r="C2403" i="6"/>
  <c r="D2403" i="6" s="1"/>
  <c r="C2402" i="6"/>
  <c r="D2402" i="6" s="1"/>
  <c r="C2401" i="6"/>
  <c r="D2401" i="6" s="1"/>
  <c r="C2400" i="6"/>
  <c r="D2400" i="6" s="1"/>
  <c r="C2399" i="6"/>
  <c r="D2399" i="6" s="1"/>
  <c r="C2398" i="6"/>
  <c r="D2398" i="6" s="1"/>
  <c r="C2397" i="6"/>
  <c r="D2397" i="6" s="1"/>
  <c r="C2396" i="6"/>
  <c r="D2396" i="6" s="1"/>
  <c r="C2395" i="6"/>
  <c r="D2395" i="6" s="1"/>
  <c r="C2394" i="6"/>
  <c r="D2394" i="6" s="1"/>
  <c r="C2393" i="6"/>
  <c r="D2393" i="6" s="1"/>
  <c r="C2392" i="6"/>
  <c r="D2392" i="6" s="1"/>
  <c r="C2391" i="6"/>
  <c r="D2391" i="6" s="1"/>
  <c r="C2390" i="6"/>
  <c r="D2390" i="6" s="1"/>
  <c r="C2389" i="6"/>
  <c r="D2389" i="6" s="1"/>
  <c r="C2388" i="6"/>
  <c r="D2388" i="6" s="1"/>
  <c r="C2387" i="6"/>
  <c r="D2387" i="6" s="1"/>
  <c r="C2386" i="6"/>
  <c r="D2386" i="6" s="1"/>
  <c r="C2385" i="6"/>
  <c r="D2385" i="6" s="1"/>
  <c r="C2384" i="6"/>
  <c r="D2384" i="6" s="1"/>
  <c r="C2383" i="6"/>
  <c r="D2383" i="6" s="1"/>
  <c r="C2382" i="6"/>
  <c r="D2382" i="6" s="1"/>
  <c r="C2381" i="6"/>
  <c r="D2381" i="6" s="1"/>
  <c r="C2380" i="6"/>
  <c r="D2380" i="6" s="1"/>
  <c r="C2379" i="6"/>
  <c r="D2379" i="6" s="1"/>
  <c r="C2378" i="6"/>
  <c r="D2378" i="6" s="1"/>
  <c r="C2377" i="6"/>
  <c r="D2377" i="6" s="1"/>
  <c r="C2376" i="6"/>
  <c r="D2376" i="6" s="1"/>
  <c r="C2375" i="6"/>
  <c r="D2375" i="6" s="1"/>
  <c r="C2374" i="6"/>
  <c r="D2374" i="6" s="1"/>
  <c r="C2373" i="6"/>
  <c r="D2373" i="6" s="1"/>
  <c r="C2372" i="6"/>
  <c r="D2372" i="6" s="1"/>
  <c r="C2371" i="6"/>
  <c r="D2371" i="6" s="1"/>
  <c r="C2370" i="6"/>
  <c r="D2370" i="6" s="1"/>
  <c r="C2369" i="6"/>
  <c r="D2369" i="6" s="1"/>
  <c r="C2368" i="6"/>
  <c r="D2368" i="6" s="1"/>
  <c r="C2367" i="6"/>
  <c r="D2367" i="6" s="1"/>
  <c r="C2366" i="6"/>
  <c r="D2366" i="6" s="1"/>
  <c r="C2365" i="6"/>
  <c r="D2365" i="6" s="1"/>
  <c r="C2364" i="6"/>
  <c r="D2364" i="6" s="1"/>
  <c r="C2363" i="6"/>
  <c r="D2363" i="6" s="1"/>
  <c r="C2362" i="6"/>
  <c r="D2362" i="6" s="1"/>
  <c r="C2361" i="6"/>
  <c r="D2361" i="6" s="1"/>
  <c r="C2360" i="6"/>
  <c r="D2360" i="6" s="1"/>
  <c r="C2359" i="6"/>
  <c r="D2359" i="6" s="1"/>
  <c r="C2358" i="6"/>
  <c r="D2358" i="6" s="1"/>
  <c r="C2357" i="6"/>
  <c r="D2357" i="6" s="1"/>
  <c r="C2356" i="6"/>
  <c r="D2356" i="6" s="1"/>
  <c r="C2355" i="6"/>
  <c r="D2355" i="6" s="1"/>
  <c r="C2354" i="6"/>
  <c r="D2354" i="6" s="1"/>
  <c r="C2353" i="6"/>
  <c r="D2353" i="6" s="1"/>
  <c r="C2352" i="6"/>
  <c r="D2352" i="6" s="1"/>
  <c r="C2351" i="6"/>
  <c r="D2351" i="6" s="1"/>
  <c r="C2350" i="6"/>
  <c r="D2350" i="6" s="1"/>
  <c r="C2349" i="6"/>
  <c r="D2349" i="6" s="1"/>
  <c r="C2348" i="6"/>
  <c r="D2348" i="6" s="1"/>
  <c r="C2347" i="6"/>
  <c r="D2347" i="6" s="1"/>
  <c r="C2346" i="6"/>
  <c r="D2346" i="6" s="1"/>
  <c r="C2345" i="6"/>
  <c r="D2345" i="6" s="1"/>
  <c r="C2344" i="6"/>
  <c r="D2344" i="6" s="1"/>
  <c r="C2343" i="6"/>
  <c r="D2343" i="6" s="1"/>
  <c r="C2342" i="6"/>
  <c r="D2342" i="6" s="1"/>
  <c r="C2341" i="6"/>
  <c r="D2341" i="6" s="1"/>
  <c r="C2340" i="6"/>
  <c r="D2340" i="6" s="1"/>
  <c r="C2339" i="6"/>
  <c r="D2339" i="6" s="1"/>
  <c r="C2338" i="6"/>
  <c r="D2338" i="6" s="1"/>
  <c r="C2337" i="6"/>
  <c r="D2337" i="6" s="1"/>
  <c r="C2336" i="6"/>
  <c r="D2336" i="6" s="1"/>
  <c r="C2335" i="6"/>
  <c r="D2335" i="6" s="1"/>
  <c r="C2334" i="6"/>
  <c r="D2334" i="6" s="1"/>
  <c r="C2333" i="6"/>
  <c r="D2333" i="6" s="1"/>
  <c r="C2332" i="6"/>
  <c r="D2332" i="6" s="1"/>
  <c r="C2331" i="6"/>
  <c r="D2331" i="6" s="1"/>
  <c r="C2330" i="6"/>
  <c r="D2330" i="6" s="1"/>
  <c r="C2329" i="6"/>
  <c r="D2329" i="6" s="1"/>
  <c r="C2328" i="6"/>
  <c r="D2328" i="6" s="1"/>
  <c r="C2327" i="6"/>
  <c r="D2327" i="6" s="1"/>
  <c r="C2326" i="6"/>
  <c r="D2326" i="6" s="1"/>
  <c r="C2325" i="6"/>
  <c r="D2325" i="6" s="1"/>
  <c r="C2324" i="6"/>
  <c r="D2324" i="6" s="1"/>
  <c r="C2323" i="6"/>
  <c r="D2323" i="6" s="1"/>
  <c r="C2322" i="6"/>
  <c r="D2322" i="6" s="1"/>
  <c r="C2321" i="6"/>
  <c r="D2321" i="6" s="1"/>
  <c r="C2320" i="6"/>
  <c r="D2320" i="6" s="1"/>
  <c r="C2319" i="6"/>
  <c r="D2319" i="6" s="1"/>
  <c r="C2318" i="6"/>
  <c r="D2318" i="6" s="1"/>
  <c r="C2317" i="6"/>
  <c r="D2317" i="6" s="1"/>
  <c r="C2316" i="6"/>
  <c r="D2316" i="6" s="1"/>
  <c r="C2315" i="6"/>
  <c r="D2315" i="6" s="1"/>
  <c r="C2314" i="6"/>
  <c r="D2314" i="6" s="1"/>
  <c r="C2313" i="6"/>
  <c r="D2313" i="6" s="1"/>
  <c r="C2312" i="6"/>
  <c r="D2312" i="6" s="1"/>
  <c r="C2311" i="6"/>
  <c r="D2311" i="6" s="1"/>
  <c r="C2310" i="6"/>
  <c r="D2310" i="6" s="1"/>
  <c r="C2309" i="6"/>
  <c r="D2309" i="6" s="1"/>
  <c r="C2308" i="6"/>
  <c r="D2308" i="6" s="1"/>
  <c r="C2307" i="6"/>
  <c r="D2307" i="6" s="1"/>
  <c r="C2306" i="6"/>
  <c r="D2306" i="6" s="1"/>
  <c r="C2305" i="6"/>
  <c r="D2305" i="6" s="1"/>
  <c r="C2304" i="6"/>
  <c r="D2304" i="6" s="1"/>
  <c r="C2303" i="6"/>
  <c r="D2303" i="6" s="1"/>
  <c r="C2302" i="6"/>
  <c r="D2302" i="6" s="1"/>
  <c r="C2301" i="6"/>
  <c r="D2301" i="6" s="1"/>
  <c r="C2300" i="6"/>
  <c r="D2300" i="6" s="1"/>
  <c r="C2299" i="6"/>
  <c r="D2299" i="6" s="1"/>
  <c r="C2298" i="6"/>
  <c r="D2298" i="6" s="1"/>
  <c r="C2297" i="6"/>
  <c r="D2297" i="6" s="1"/>
  <c r="C2296" i="6"/>
  <c r="D2296" i="6" s="1"/>
  <c r="C2295" i="6"/>
  <c r="D2295" i="6" s="1"/>
  <c r="C2294" i="6"/>
  <c r="D2294" i="6" s="1"/>
  <c r="C2293" i="6"/>
  <c r="D2293" i="6" s="1"/>
  <c r="C2292" i="6"/>
  <c r="D2292" i="6" s="1"/>
  <c r="C2291" i="6"/>
  <c r="D2291" i="6" s="1"/>
  <c r="C2290" i="6"/>
  <c r="D2290" i="6" s="1"/>
  <c r="C2289" i="6"/>
  <c r="D2289" i="6" s="1"/>
  <c r="C2288" i="6"/>
  <c r="D2288" i="6" s="1"/>
  <c r="C2287" i="6"/>
  <c r="D2287" i="6" s="1"/>
  <c r="C2286" i="6"/>
  <c r="D2286" i="6" s="1"/>
  <c r="C2285" i="6"/>
  <c r="D2285" i="6" s="1"/>
  <c r="C2284" i="6"/>
  <c r="D2284" i="6" s="1"/>
  <c r="C2283" i="6"/>
  <c r="D2283" i="6" s="1"/>
  <c r="C2282" i="6"/>
  <c r="D2282" i="6" s="1"/>
  <c r="C2281" i="6"/>
  <c r="D2281" i="6" s="1"/>
  <c r="C2280" i="6"/>
  <c r="D2280" i="6" s="1"/>
  <c r="C2279" i="6"/>
  <c r="D2279" i="6" s="1"/>
  <c r="C2278" i="6"/>
  <c r="D2278" i="6" s="1"/>
  <c r="C2277" i="6"/>
  <c r="D2277" i="6" s="1"/>
  <c r="C2276" i="6"/>
  <c r="D2276" i="6" s="1"/>
  <c r="C2275" i="6"/>
  <c r="D2275" i="6" s="1"/>
  <c r="C2274" i="6"/>
  <c r="D2274" i="6" s="1"/>
  <c r="C2273" i="6"/>
  <c r="D2273" i="6" s="1"/>
  <c r="C2272" i="6"/>
  <c r="D2272" i="6" s="1"/>
  <c r="C2271" i="6"/>
  <c r="D2271" i="6" s="1"/>
  <c r="C2270" i="6"/>
  <c r="D2270" i="6" s="1"/>
  <c r="C2269" i="6"/>
  <c r="D2269" i="6" s="1"/>
  <c r="C2268" i="6"/>
  <c r="D2268" i="6" s="1"/>
  <c r="C2267" i="6"/>
  <c r="D2267" i="6" s="1"/>
  <c r="C2266" i="6"/>
  <c r="D2266" i="6" s="1"/>
  <c r="C2265" i="6"/>
  <c r="D2265" i="6" s="1"/>
  <c r="C2264" i="6"/>
  <c r="D2264" i="6" s="1"/>
  <c r="C2263" i="6"/>
  <c r="D2263" i="6" s="1"/>
  <c r="C2262" i="6"/>
  <c r="D2262" i="6" s="1"/>
  <c r="C2261" i="6"/>
  <c r="D2261" i="6" s="1"/>
  <c r="C2260" i="6"/>
  <c r="D2260" i="6" s="1"/>
  <c r="C2259" i="6"/>
  <c r="D2259" i="6" s="1"/>
  <c r="C2258" i="6"/>
  <c r="D2258" i="6" s="1"/>
  <c r="C2257" i="6"/>
  <c r="D2257" i="6" s="1"/>
  <c r="C2256" i="6"/>
  <c r="D2256" i="6" s="1"/>
  <c r="C2255" i="6"/>
  <c r="D2255" i="6" s="1"/>
  <c r="C2254" i="6"/>
  <c r="D2254" i="6" s="1"/>
  <c r="C2253" i="6"/>
  <c r="D2253" i="6" s="1"/>
  <c r="C2252" i="6"/>
  <c r="D2252" i="6" s="1"/>
  <c r="C2251" i="6"/>
  <c r="D2251" i="6" s="1"/>
  <c r="C2250" i="6"/>
  <c r="D2250" i="6" s="1"/>
  <c r="C2249" i="6"/>
  <c r="D2249" i="6" s="1"/>
  <c r="C2248" i="6"/>
  <c r="D2248" i="6" s="1"/>
  <c r="C2247" i="6"/>
  <c r="D2247" i="6" s="1"/>
  <c r="C2246" i="6"/>
  <c r="D2246" i="6" s="1"/>
  <c r="C2245" i="6"/>
  <c r="D2245" i="6" s="1"/>
  <c r="C2244" i="6"/>
  <c r="D2244" i="6" s="1"/>
  <c r="C2243" i="6"/>
  <c r="D2243" i="6" s="1"/>
  <c r="C2242" i="6"/>
  <c r="D2242" i="6" s="1"/>
  <c r="C2241" i="6"/>
  <c r="D2241" i="6" s="1"/>
  <c r="C2240" i="6"/>
  <c r="D2240" i="6" s="1"/>
  <c r="C2239" i="6"/>
  <c r="D2239" i="6" s="1"/>
  <c r="C2238" i="6"/>
  <c r="D2238" i="6" s="1"/>
  <c r="C2237" i="6"/>
  <c r="D2237" i="6" s="1"/>
  <c r="C2236" i="6"/>
  <c r="D2236" i="6" s="1"/>
  <c r="C2235" i="6"/>
  <c r="D2235" i="6" s="1"/>
  <c r="C2234" i="6"/>
  <c r="D2234" i="6" s="1"/>
  <c r="C2233" i="6"/>
  <c r="D2233" i="6" s="1"/>
  <c r="C2232" i="6"/>
  <c r="D2232" i="6" s="1"/>
  <c r="C2231" i="6"/>
  <c r="D2231" i="6" s="1"/>
  <c r="C2230" i="6"/>
  <c r="D2230" i="6" s="1"/>
  <c r="C2229" i="6"/>
  <c r="D2229" i="6" s="1"/>
  <c r="C2228" i="6"/>
  <c r="D2228" i="6" s="1"/>
  <c r="C2227" i="6"/>
  <c r="D2227" i="6" s="1"/>
  <c r="C2226" i="6"/>
  <c r="D2226" i="6" s="1"/>
  <c r="C2225" i="6"/>
  <c r="D2225" i="6" s="1"/>
  <c r="C2224" i="6"/>
  <c r="D2224" i="6" s="1"/>
  <c r="C2223" i="6"/>
  <c r="D2223" i="6" s="1"/>
  <c r="C2222" i="6"/>
  <c r="D2222" i="6" s="1"/>
  <c r="C2221" i="6"/>
  <c r="D2221" i="6" s="1"/>
  <c r="C2220" i="6"/>
  <c r="D2220" i="6" s="1"/>
  <c r="C2219" i="6"/>
  <c r="D2219" i="6" s="1"/>
  <c r="C2218" i="6"/>
  <c r="D2218" i="6" s="1"/>
  <c r="C2217" i="6"/>
  <c r="D2217" i="6" s="1"/>
  <c r="C2216" i="6"/>
  <c r="D2216" i="6" s="1"/>
  <c r="C2215" i="6"/>
  <c r="D2215" i="6" s="1"/>
  <c r="C2214" i="6"/>
  <c r="D2214" i="6" s="1"/>
  <c r="C2213" i="6"/>
  <c r="D2213" i="6" s="1"/>
  <c r="C2212" i="6"/>
  <c r="D2212" i="6" s="1"/>
  <c r="C2211" i="6"/>
  <c r="D2211" i="6" s="1"/>
  <c r="C2210" i="6"/>
  <c r="D2210" i="6" s="1"/>
  <c r="C2209" i="6"/>
  <c r="D2209" i="6" s="1"/>
  <c r="C2208" i="6"/>
  <c r="D2208" i="6" s="1"/>
  <c r="C2207" i="6"/>
  <c r="D2207" i="6" s="1"/>
  <c r="C2206" i="6"/>
  <c r="D2206" i="6" s="1"/>
  <c r="C2205" i="6"/>
  <c r="D2205" i="6" s="1"/>
  <c r="C2204" i="6"/>
  <c r="D2204" i="6" s="1"/>
  <c r="C2203" i="6"/>
  <c r="D2203" i="6" s="1"/>
  <c r="C2202" i="6"/>
  <c r="D2202" i="6" s="1"/>
  <c r="C2201" i="6"/>
  <c r="D2201" i="6" s="1"/>
  <c r="C2200" i="6"/>
  <c r="D2200" i="6" s="1"/>
  <c r="C2199" i="6"/>
  <c r="D2199" i="6" s="1"/>
  <c r="C2198" i="6"/>
  <c r="D2198" i="6" s="1"/>
  <c r="C2197" i="6"/>
  <c r="D2197" i="6" s="1"/>
  <c r="C2196" i="6"/>
  <c r="D2196" i="6" s="1"/>
  <c r="C2195" i="6"/>
  <c r="D2195" i="6" s="1"/>
  <c r="C2194" i="6"/>
  <c r="D2194" i="6" s="1"/>
  <c r="C2193" i="6"/>
  <c r="D2193" i="6" s="1"/>
  <c r="C2192" i="6"/>
  <c r="D2192" i="6" s="1"/>
  <c r="C2191" i="6"/>
  <c r="D2191" i="6" s="1"/>
  <c r="C2190" i="6"/>
  <c r="D2190" i="6" s="1"/>
  <c r="C2189" i="6"/>
  <c r="D2189" i="6" s="1"/>
  <c r="C2188" i="6"/>
  <c r="D2188" i="6" s="1"/>
  <c r="C2187" i="6"/>
  <c r="D2187" i="6" s="1"/>
  <c r="C2186" i="6"/>
  <c r="D2186" i="6" s="1"/>
  <c r="C2185" i="6"/>
  <c r="D2185" i="6" s="1"/>
  <c r="C2184" i="6"/>
  <c r="D2184" i="6" s="1"/>
  <c r="C2183" i="6"/>
  <c r="D2183" i="6" s="1"/>
  <c r="C2182" i="6"/>
  <c r="D2182" i="6" s="1"/>
  <c r="C2181" i="6"/>
  <c r="D2181" i="6" s="1"/>
  <c r="C2180" i="6"/>
  <c r="D2180" i="6" s="1"/>
  <c r="C2179" i="6"/>
  <c r="D2179" i="6" s="1"/>
  <c r="C2178" i="6"/>
  <c r="D2178" i="6" s="1"/>
  <c r="C2177" i="6"/>
  <c r="D2177" i="6" s="1"/>
  <c r="C2176" i="6"/>
  <c r="D2176" i="6" s="1"/>
  <c r="C2175" i="6"/>
  <c r="D2175" i="6" s="1"/>
  <c r="C2174" i="6"/>
  <c r="D2174" i="6" s="1"/>
  <c r="C2173" i="6"/>
  <c r="D2173" i="6" s="1"/>
  <c r="C2172" i="6"/>
  <c r="D2172" i="6" s="1"/>
  <c r="C2171" i="6"/>
  <c r="D2171" i="6" s="1"/>
  <c r="C2170" i="6"/>
  <c r="D2170" i="6" s="1"/>
  <c r="C2169" i="6"/>
  <c r="D2169" i="6" s="1"/>
  <c r="C2168" i="6"/>
  <c r="D2168" i="6" s="1"/>
  <c r="C2167" i="6"/>
  <c r="D2167" i="6" s="1"/>
  <c r="C2166" i="6"/>
  <c r="D2166" i="6" s="1"/>
  <c r="C2165" i="6"/>
  <c r="D2165" i="6" s="1"/>
  <c r="C2164" i="6"/>
  <c r="D2164" i="6" s="1"/>
  <c r="C2163" i="6"/>
  <c r="D2163" i="6" s="1"/>
  <c r="C2162" i="6"/>
  <c r="D2162" i="6" s="1"/>
  <c r="C2161" i="6"/>
  <c r="D2161" i="6" s="1"/>
  <c r="C2160" i="6"/>
  <c r="D2160" i="6" s="1"/>
  <c r="C2159" i="6"/>
  <c r="D2159" i="6" s="1"/>
  <c r="C2158" i="6"/>
  <c r="D2158" i="6" s="1"/>
  <c r="C2157" i="6"/>
  <c r="D2157" i="6" s="1"/>
  <c r="C2156" i="6"/>
  <c r="D2156" i="6" s="1"/>
  <c r="C2155" i="6"/>
  <c r="D2155" i="6" s="1"/>
  <c r="C2154" i="6"/>
  <c r="D2154" i="6" s="1"/>
  <c r="C2153" i="6"/>
  <c r="D2153" i="6" s="1"/>
  <c r="C2152" i="6"/>
  <c r="D2152" i="6" s="1"/>
  <c r="C2151" i="6"/>
  <c r="D2151" i="6" s="1"/>
  <c r="C2150" i="6"/>
  <c r="D2150" i="6" s="1"/>
  <c r="C2149" i="6"/>
  <c r="D2149" i="6" s="1"/>
  <c r="C2148" i="6"/>
  <c r="D2148" i="6" s="1"/>
  <c r="C2147" i="6"/>
  <c r="D2147" i="6" s="1"/>
  <c r="C2146" i="6"/>
  <c r="D2146" i="6" s="1"/>
  <c r="C2145" i="6"/>
  <c r="D2145" i="6" s="1"/>
  <c r="C2144" i="6"/>
  <c r="D2144" i="6" s="1"/>
  <c r="C2143" i="6"/>
  <c r="D2143" i="6" s="1"/>
  <c r="C2142" i="6"/>
  <c r="D2142" i="6" s="1"/>
  <c r="C2141" i="6"/>
  <c r="D2141" i="6" s="1"/>
  <c r="C2140" i="6"/>
  <c r="D2140" i="6" s="1"/>
  <c r="C2139" i="6"/>
  <c r="D2139" i="6" s="1"/>
  <c r="C2138" i="6"/>
  <c r="D2138" i="6" s="1"/>
  <c r="C2137" i="6"/>
  <c r="D2137" i="6" s="1"/>
  <c r="C2136" i="6"/>
  <c r="D2136" i="6" s="1"/>
  <c r="C2135" i="6"/>
  <c r="D2135" i="6" s="1"/>
  <c r="C2134" i="6"/>
  <c r="D2134" i="6" s="1"/>
  <c r="C2133" i="6"/>
  <c r="D2133" i="6" s="1"/>
  <c r="C2132" i="6"/>
  <c r="D2132" i="6" s="1"/>
  <c r="C2131" i="6"/>
  <c r="D2131" i="6" s="1"/>
  <c r="C2130" i="6"/>
  <c r="D2130" i="6" s="1"/>
  <c r="C2129" i="6"/>
  <c r="D2129" i="6" s="1"/>
  <c r="C2128" i="6"/>
  <c r="D2128" i="6" s="1"/>
  <c r="C2127" i="6"/>
  <c r="D2127" i="6" s="1"/>
  <c r="C2126" i="6"/>
  <c r="D2126" i="6" s="1"/>
  <c r="C2125" i="6"/>
  <c r="D2125" i="6" s="1"/>
  <c r="C2124" i="6"/>
  <c r="D2124" i="6" s="1"/>
  <c r="C2123" i="6"/>
  <c r="D2123" i="6" s="1"/>
  <c r="C2122" i="6"/>
  <c r="D2122" i="6" s="1"/>
  <c r="C2121" i="6"/>
  <c r="D2121" i="6" s="1"/>
  <c r="C2120" i="6"/>
  <c r="D2120" i="6" s="1"/>
  <c r="C2119" i="6"/>
  <c r="D2119" i="6" s="1"/>
  <c r="C2118" i="6"/>
  <c r="D2118" i="6" s="1"/>
  <c r="C2117" i="6"/>
  <c r="D2117" i="6" s="1"/>
  <c r="C2116" i="6"/>
  <c r="D2116" i="6" s="1"/>
  <c r="C2115" i="6"/>
  <c r="D2115" i="6" s="1"/>
  <c r="C2114" i="6"/>
  <c r="D2114" i="6" s="1"/>
  <c r="C2113" i="6"/>
  <c r="D2113" i="6" s="1"/>
  <c r="C2112" i="6"/>
  <c r="D2112" i="6" s="1"/>
  <c r="C2111" i="6"/>
  <c r="D2111" i="6" s="1"/>
  <c r="C2110" i="6"/>
  <c r="D2110" i="6" s="1"/>
  <c r="C2109" i="6"/>
  <c r="D2109" i="6" s="1"/>
  <c r="C2108" i="6"/>
  <c r="D2108" i="6" s="1"/>
  <c r="C2107" i="6"/>
  <c r="D2107" i="6" s="1"/>
  <c r="C2106" i="6"/>
  <c r="D2106" i="6" s="1"/>
  <c r="C2105" i="6"/>
  <c r="D2105" i="6" s="1"/>
  <c r="C2104" i="6"/>
  <c r="D2104" i="6" s="1"/>
  <c r="C2103" i="6"/>
  <c r="D2103" i="6" s="1"/>
  <c r="C2102" i="6"/>
  <c r="D2102" i="6" s="1"/>
  <c r="C2101" i="6"/>
  <c r="D2101" i="6" s="1"/>
  <c r="C2100" i="6"/>
  <c r="D2100" i="6" s="1"/>
  <c r="C2099" i="6"/>
  <c r="D2099" i="6" s="1"/>
  <c r="C2098" i="6"/>
  <c r="D2098" i="6" s="1"/>
  <c r="C2097" i="6"/>
  <c r="D2097" i="6" s="1"/>
  <c r="C2096" i="6"/>
  <c r="D2096" i="6" s="1"/>
  <c r="C2095" i="6"/>
  <c r="D2095" i="6" s="1"/>
  <c r="C2094" i="6"/>
  <c r="D2094" i="6" s="1"/>
  <c r="C2093" i="6"/>
  <c r="D2093" i="6" s="1"/>
  <c r="C2092" i="6"/>
  <c r="D2092" i="6" s="1"/>
  <c r="C2091" i="6"/>
  <c r="D2091" i="6" s="1"/>
  <c r="C2090" i="6"/>
  <c r="D2090" i="6" s="1"/>
  <c r="C2089" i="6"/>
  <c r="D2089" i="6" s="1"/>
  <c r="C2088" i="6"/>
  <c r="D2088" i="6" s="1"/>
  <c r="C2087" i="6"/>
  <c r="D2087" i="6" s="1"/>
  <c r="C2086" i="6"/>
  <c r="D2086" i="6" s="1"/>
  <c r="C2085" i="6"/>
  <c r="D2085" i="6" s="1"/>
  <c r="C2084" i="6"/>
  <c r="D2084" i="6" s="1"/>
  <c r="C2083" i="6"/>
  <c r="D2083" i="6" s="1"/>
  <c r="C2082" i="6"/>
  <c r="D2082" i="6" s="1"/>
  <c r="C2081" i="6"/>
  <c r="D2081" i="6" s="1"/>
  <c r="C2080" i="6"/>
  <c r="D2080" i="6" s="1"/>
  <c r="C2079" i="6"/>
  <c r="D2079" i="6" s="1"/>
  <c r="C2078" i="6"/>
  <c r="D2078" i="6" s="1"/>
  <c r="C2077" i="6"/>
  <c r="D2077" i="6" s="1"/>
  <c r="C2076" i="6"/>
  <c r="D2076" i="6" s="1"/>
  <c r="C2075" i="6"/>
  <c r="D2075" i="6" s="1"/>
  <c r="C2074" i="6"/>
  <c r="D2074" i="6" s="1"/>
  <c r="C2073" i="6"/>
  <c r="D2073" i="6" s="1"/>
  <c r="C2072" i="6"/>
  <c r="D2072" i="6" s="1"/>
  <c r="C2071" i="6"/>
  <c r="D2071" i="6" s="1"/>
  <c r="C2070" i="6"/>
  <c r="D2070" i="6" s="1"/>
  <c r="C2069" i="6"/>
  <c r="D2069" i="6" s="1"/>
  <c r="C2068" i="6"/>
  <c r="D2068" i="6" s="1"/>
  <c r="C2067" i="6"/>
  <c r="D2067" i="6" s="1"/>
  <c r="C2066" i="6"/>
  <c r="D2066" i="6" s="1"/>
  <c r="C2065" i="6"/>
  <c r="D2065" i="6" s="1"/>
  <c r="C2064" i="6"/>
  <c r="D2064" i="6" s="1"/>
  <c r="C2063" i="6"/>
  <c r="D2063" i="6" s="1"/>
  <c r="C2062" i="6"/>
  <c r="D2062" i="6" s="1"/>
  <c r="C2061" i="6"/>
  <c r="D2061" i="6" s="1"/>
  <c r="C2060" i="6"/>
  <c r="D2060" i="6" s="1"/>
  <c r="C2059" i="6"/>
  <c r="D2059" i="6" s="1"/>
  <c r="C2058" i="6"/>
  <c r="D2058" i="6" s="1"/>
  <c r="C2057" i="6"/>
  <c r="D2057" i="6" s="1"/>
  <c r="C2056" i="6"/>
  <c r="D2056" i="6" s="1"/>
  <c r="C2055" i="6"/>
  <c r="D2055" i="6" s="1"/>
  <c r="C2054" i="6"/>
  <c r="D2054" i="6" s="1"/>
  <c r="C2053" i="6"/>
  <c r="D2053" i="6" s="1"/>
  <c r="C2052" i="6"/>
  <c r="D2052" i="6" s="1"/>
  <c r="C2051" i="6"/>
  <c r="D2051" i="6" s="1"/>
  <c r="C2050" i="6"/>
  <c r="D2050" i="6" s="1"/>
  <c r="C2049" i="6"/>
  <c r="D2049" i="6" s="1"/>
  <c r="C2048" i="6"/>
  <c r="D2048" i="6" s="1"/>
  <c r="C2047" i="6"/>
  <c r="D2047" i="6" s="1"/>
  <c r="C2046" i="6"/>
  <c r="D2046" i="6" s="1"/>
  <c r="C2045" i="6"/>
  <c r="D2045" i="6" s="1"/>
  <c r="C2044" i="6"/>
  <c r="D2044" i="6" s="1"/>
  <c r="C2043" i="6"/>
  <c r="D2043" i="6" s="1"/>
  <c r="C2042" i="6"/>
  <c r="D2042" i="6" s="1"/>
  <c r="C2041" i="6"/>
  <c r="D2041" i="6" s="1"/>
  <c r="C2040" i="6"/>
  <c r="D2040" i="6" s="1"/>
  <c r="C2039" i="6"/>
  <c r="D2039" i="6" s="1"/>
  <c r="C2038" i="6"/>
  <c r="D2038" i="6" s="1"/>
  <c r="C2037" i="6"/>
  <c r="D2037" i="6" s="1"/>
  <c r="C2036" i="6"/>
  <c r="D2036" i="6" s="1"/>
  <c r="C2035" i="6"/>
  <c r="D2035" i="6" s="1"/>
  <c r="C2034" i="6"/>
  <c r="D2034" i="6" s="1"/>
  <c r="C2033" i="6"/>
  <c r="D2033" i="6" s="1"/>
  <c r="C2032" i="6"/>
  <c r="D2032" i="6" s="1"/>
  <c r="C2031" i="6"/>
  <c r="D2031" i="6" s="1"/>
  <c r="C2030" i="6"/>
  <c r="D2030" i="6" s="1"/>
  <c r="C2029" i="6"/>
  <c r="D2029" i="6" s="1"/>
  <c r="C2028" i="6"/>
  <c r="D2028" i="6" s="1"/>
  <c r="C2027" i="6"/>
  <c r="D2027" i="6" s="1"/>
  <c r="C2026" i="6"/>
  <c r="D2026" i="6" s="1"/>
  <c r="C2025" i="6"/>
  <c r="D2025" i="6" s="1"/>
  <c r="C2024" i="6"/>
  <c r="D2024" i="6" s="1"/>
  <c r="C2023" i="6"/>
  <c r="D2023" i="6" s="1"/>
  <c r="C2022" i="6"/>
  <c r="D2022" i="6" s="1"/>
  <c r="C2021" i="6"/>
  <c r="D2021" i="6" s="1"/>
  <c r="C2020" i="6"/>
  <c r="D2020" i="6" s="1"/>
  <c r="C2019" i="6"/>
  <c r="D2019" i="6" s="1"/>
  <c r="C2018" i="6"/>
  <c r="D2018" i="6" s="1"/>
  <c r="C2017" i="6"/>
  <c r="D2017" i="6" s="1"/>
  <c r="C2016" i="6"/>
  <c r="D2016" i="6" s="1"/>
  <c r="C2015" i="6"/>
  <c r="D2015" i="6" s="1"/>
  <c r="C2014" i="6"/>
  <c r="D2014" i="6" s="1"/>
  <c r="C2013" i="6"/>
  <c r="D2013" i="6" s="1"/>
  <c r="C2012" i="6"/>
  <c r="D2012" i="6" s="1"/>
  <c r="C2011" i="6"/>
  <c r="D2011" i="6" s="1"/>
  <c r="C2010" i="6"/>
  <c r="D2010" i="6" s="1"/>
  <c r="C2009" i="6"/>
  <c r="D2009" i="6" s="1"/>
  <c r="C2008" i="6"/>
  <c r="D2008" i="6" s="1"/>
  <c r="C2007" i="6"/>
  <c r="D2007" i="6" s="1"/>
  <c r="C2006" i="6"/>
  <c r="D2006" i="6" s="1"/>
  <c r="C2005" i="6"/>
  <c r="D2005" i="6" s="1"/>
  <c r="C2004" i="6"/>
  <c r="D2004" i="6" s="1"/>
  <c r="C2003" i="6"/>
  <c r="D2003" i="6" s="1"/>
  <c r="C2002" i="6"/>
  <c r="D2002" i="6" s="1"/>
  <c r="C2001" i="6"/>
  <c r="D2001" i="6" s="1"/>
  <c r="C2000" i="6"/>
  <c r="D2000" i="6" s="1"/>
  <c r="C1999" i="6"/>
  <c r="D1999" i="6" s="1"/>
  <c r="C1998" i="6"/>
  <c r="D1998" i="6" s="1"/>
  <c r="C1997" i="6"/>
  <c r="D1997" i="6" s="1"/>
  <c r="C1996" i="6"/>
  <c r="D1996" i="6" s="1"/>
  <c r="C1995" i="6"/>
  <c r="D1995" i="6" s="1"/>
  <c r="C1994" i="6"/>
  <c r="D1994" i="6" s="1"/>
  <c r="C1993" i="6"/>
  <c r="D1993" i="6" s="1"/>
  <c r="C1992" i="6"/>
  <c r="D1992" i="6" s="1"/>
  <c r="C1991" i="6"/>
  <c r="D1991" i="6" s="1"/>
  <c r="C1990" i="6"/>
  <c r="D1990" i="6" s="1"/>
  <c r="C1989" i="6"/>
  <c r="D1989" i="6" s="1"/>
  <c r="C1988" i="6"/>
  <c r="D1988" i="6" s="1"/>
  <c r="C1987" i="6"/>
  <c r="D1987" i="6" s="1"/>
  <c r="C1986" i="6"/>
  <c r="D1986" i="6" s="1"/>
  <c r="C1985" i="6"/>
  <c r="D1985" i="6" s="1"/>
  <c r="C1984" i="6"/>
  <c r="D1984" i="6" s="1"/>
  <c r="C1983" i="6"/>
  <c r="D1983" i="6" s="1"/>
  <c r="C1982" i="6"/>
  <c r="D1982" i="6" s="1"/>
  <c r="C1981" i="6"/>
  <c r="D1981" i="6" s="1"/>
  <c r="C1980" i="6"/>
  <c r="D1980" i="6" s="1"/>
  <c r="C1979" i="6"/>
  <c r="D1979" i="6" s="1"/>
  <c r="C1978" i="6"/>
  <c r="D1978" i="6" s="1"/>
  <c r="C1977" i="6"/>
  <c r="D1977" i="6" s="1"/>
  <c r="C1976" i="6"/>
  <c r="D1976" i="6" s="1"/>
  <c r="C1975" i="6"/>
  <c r="D1975" i="6" s="1"/>
  <c r="C1974" i="6"/>
  <c r="D1974" i="6" s="1"/>
  <c r="C1973" i="6"/>
  <c r="D1973" i="6" s="1"/>
  <c r="C1972" i="6"/>
  <c r="D1972" i="6" s="1"/>
  <c r="C1971" i="6"/>
  <c r="D1971" i="6" s="1"/>
  <c r="C1970" i="6"/>
  <c r="D1970" i="6" s="1"/>
  <c r="C1969" i="6"/>
  <c r="D1969" i="6" s="1"/>
  <c r="C1968" i="6"/>
  <c r="D1968" i="6" s="1"/>
  <c r="C1967" i="6"/>
  <c r="D1967" i="6" s="1"/>
  <c r="C1966" i="6"/>
  <c r="D1966" i="6" s="1"/>
  <c r="C1965" i="6"/>
  <c r="D1965" i="6" s="1"/>
  <c r="C1964" i="6"/>
  <c r="D1964" i="6" s="1"/>
  <c r="C1963" i="6"/>
  <c r="D1963" i="6" s="1"/>
  <c r="C1962" i="6"/>
  <c r="D1962" i="6" s="1"/>
  <c r="C1961" i="6"/>
  <c r="D1961" i="6" s="1"/>
  <c r="C1960" i="6"/>
  <c r="D1960" i="6" s="1"/>
  <c r="C1959" i="6"/>
  <c r="D1959" i="6" s="1"/>
  <c r="C1958" i="6"/>
  <c r="D1958" i="6" s="1"/>
  <c r="C1957" i="6"/>
  <c r="D1957" i="6" s="1"/>
  <c r="C1956" i="6"/>
  <c r="D1956" i="6" s="1"/>
  <c r="C1955" i="6"/>
  <c r="D1955" i="6" s="1"/>
  <c r="C1954" i="6"/>
  <c r="D1954" i="6" s="1"/>
  <c r="C1953" i="6"/>
  <c r="D1953" i="6" s="1"/>
  <c r="C1952" i="6"/>
  <c r="D1952" i="6" s="1"/>
  <c r="C1951" i="6"/>
  <c r="D1951" i="6" s="1"/>
  <c r="C1950" i="6"/>
  <c r="D1950" i="6" s="1"/>
  <c r="C1949" i="6"/>
  <c r="D1949" i="6" s="1"/>
  <c r="C1948" i="6"/>
  <c r="D1948" i="6" s="1"/>
  <c r="C1947" i="6"/>
  <c r="D1947" i="6" s="1"/>
  <c r="C1946" i="6"/>
  <c r="D1946" i="6" s="1"/>
  <c r="C1945" i="6"/>
  <c r="D1945" i="6" s="1"/>
  <c r="C1944" i="6"/>
  <c r="D1944" i="6" s="1"/>
  <c r="C1943" i="6"/>
  <c r="D1943" i="6" s="1"/>
  <c r="C1942" i="6"/>
  <c r="D1942" i="6" s="1"/>
  <c r="C1941" i="6"/>
  <c r="D1941" i="6" s="1"/>
  <c r="C1940" i="6"/>
  <c r="D1940" i="6" s="1"/>
  <c r="C1939" i="6"/>
  <c r="D1939" i="6" s="1"/>
  <c r="C1938" i="6"/>
  <c r="D1938" i="6" s="1"/>
  <c r="C1937" i="6"/>
  <c r="D1937" i="6" s="1"/>
  <c r="C1936" i="6"/>
  <c r="D1936" i="6" s="1"/>
  <c r="C1935" i="6"/>
  <c r="D1935" i="6" s="1"/>
  <c r="C1934" i="6"/>
  <c r="D1934" i="6" s="1"/>
  <c r="C1933" i="6"/>
  <c r="D1933" i="6" s="1"/>
  <c r="C1932" i="6"/>
  <c r="D1932" i="6" s="1"/>
  <c r="C1931" i="6"/>
  <c r="D1931" i="6" s="1"/>
  <c r="C1930" i="6"/>
  <c r="D1930" i="6" s="1"/>
  <c r="C1929" i="6"/>
  <c r="D1929" i="6" s="1"/>
  <c r="C1928" i="6"/>
  <c r="D1928" i="6" s="1"/>
  <c r="C1927" i="6"/>
  <c r="D1927" i="6" s="1"/>
  <c r="C1926" i="6"/>
  <c r="D1926" i="6" s="1"/>
  <c r="C1925" i="6"/>
  <c r="D1925" i="6" s="1"/>
  <c r="C1924" i="6"/>
  <c r="D1924" i="6" s="1"/>
  <c r="C1923" i="6"/>
  <c r="D1923" i="6" s="1"/>
  <c r="C1922" i="6"/>
  <c r="D1922" i="6" s="1"/>
  <c r="C1921" i="6"/>
  <c r="D1921" i="6" s="1"/>
  <c r="C1920" i="6"/>
  <c r="D1920" i="6" s="1"/>
  <c r="C1919" i="6"/>
  <c r="D1919" i="6" s="1"/>
  <c r="C1918" i="6"/>
  <c r="D1918" i="6" s="1"/>
  <c r="C1917" i="6"/>
  <c r="D1917" i="6" s="1"/>
  <c r="C1916" i="6"/>
  <c r="D1916" i="6" s="1"/>
  <c r="C1915" i="6"/>
  <c r="D1915" i="6" s="1"/>
  <c r="C1914" i="6"/>
  <c r="D1914" i="6" s="1"/>
  <c r="C1913" i="6"/>
  <c r="D1913" i="6" s="1"/>
  <c r="C1912" i="6"/>
  <c r="D1912" i="6" s="1"/>
  <c r="C1911" i="6"/>
  <c r="D1911" i="6" s="1"/>
  <c r="C1910" i="6"/>
  <c r="D1910" i="6" s="1"/>
  <c r="C1909" i="6"/>
  <c r="D1909" i="6" s="1"/>
  <c r="C1908" i="6"/>
  <c r="D1908" i="6" s="1"/>
  <c r="C1907" i="6"/>
  <c r="D1907" i="6" s="1"/>
  <c r="C1906" i="6"/>
  <c r="D1906" i="6" s="1"/>
  <c r="C1905" i="6"/>
  <c r="D1905" i="6" s="1"/>
  <c r="C1904" i="6"/>
  <c r="D1904" i="6" s="1"/>
  <c r="C1903" i="6"/>
  <c r="D1903" i="6" s="1"/>
  <c r="C1902" i="6"/>
  <c r="D1902" i="6" s="1"/>
  <c r="C1901" i="6"/>
  <c r="D1901" i="6" s="1"/>
  <c r="C1900" i="6"/>
  <c r="D1900" i="6" s="1"/>
  <c r="C1899" i="6"/>
  <c r="D1899" i="6" s="1"/>
  <c r="C1898" i="6"/>
  <c r="D1898" i="6" s="1"/>
  <c r="C1897" i="6"/>
  <c r="D1897" i="6" s="1"/>
  <c r="C1896" i="6"/>
  <c r="D1896" i="6" s="1"/>
  <c r="C1895" i="6"/>
  <c r="D1895" i="6" s="1"/>
  <c r="C1894" i="6"/>
  <c r="D1894" i="6" s="1"/>
  <c r="C1893" i="6"/>
  <c r="D1893" i="6" s="1"/>
  <c r="C1892" i="6"/>
  <c r="D1892" i="6" s="1"/>
  <c r="C1891" i="6"/>
  <c r="D1891" i="6" s="1"/>
  <c r="C1890" i="6"/>
  <c r="D1890" i="6" s="1"/>
  <c r="C1889" i="6"/>
  <c r="D1889" i="6" s="1"/>
  <c r="C1888" i="6"/>
  <c r="D1888" i="6" s="1"/>
  <c r="C1887" i="6"/>
  <c r="D1887" i="6" s="1"/>
  <c r="C1886" i="6"/>
  <c r="D1886" i="6" s="1"/>
  <c r="C1885" i="6"/>
  <c r="D1885" i="6" s="1"/>
  <c r="C1884" i="6"/>
  <c r="D1884" i="6" s="1"/>
  <c r="C1883" i="6"/>
  <c r="D1883" i="6" s="1"/>
  <c r="C1882" i="6"/>
  <c r="D1882" i="6" s="1"/>
  <c r="C1881" i="6"/>
  <c r="D1881" i="6" s="1"/>
  <c r="C1880" i="6"/>
  <c r="D1880" i="6" s="1"/>
  <c r="C1879" i="6"/>
  <c r="D1879" i="6" s="1"/>
  <c r="C1878" i="6"/>
  <c r="D1878" i="6" s="1"/>
  <c r="C1877" i="6"/>
  <c r="D1877" i="6" s="1"/>
  <c r="C1876" i="6"/>
  <c r="D1876" i="6" s="1"/>
  <c r="C1875" i="6"/>
  <c r="D1875" i="6" s="1"/>
  <c r="C1874" i="6"/>
  <c r="D1874" i="6" s="1"/>
  <c r="C1873" i="6"/>
  <c r="D1873" i="6" s="1"/>
  <c r="C1872" i="6"/>
  <c r="D1872" i="6" s="1"/>
  <c r="C1871" i="6"/>
  <c r="D1871" i="6" s="1"/>
  <c r="C1870" i="6"/>
  <c r="D1870" i="6" s="1"/>
  <c r="C1869" i="6"/>
  <c r="D1869" i="6" s="1"/>
  <c r="C1868" i="6"/>
  <c r="D1868" i="6" s="1"/>
  <c r="C1867" i="6"/>
  <c r="D1867" i="6" s="1"/>
  <c r="C1866" i="6"/>
  <c r="D1866" i="6" s="1"/>
  <c r="C1865" i="6"/>
  <c r="D1865" i="6" s="1"/>
  <c r="C1864" i="6"/>
  <c r="D1864" i="6" s="1"/>
  <c r="C1863" i="6"/>
  <c r="D1863" i="6" s="1"/>
  <c r="C1862" i="6"/>
  <c r="D1862" i="6" s="1"/>
  <c r="C1861" i="6"/>
  <c r="D1861" i="6" s="1"/>
  <c r="C1860" i="6"/>
  <c r="D1860" i="6" s="1"/>
  <c r="C1859" i="6"/>
  <c r="D1859" i="6" s="1"/>
  <c r="C1858" i="6"/>
  <c r="D1858" i="6" s="1"/>
  <c r="C1857" i="6"/>
  <c r="D1857" i="6" s="1"/>
  <c r="C1856" i="6"/>
  <c r="D1856" i="6" s="1"/>
  <c r="C1855" i="6"/>
  <c r="D1855" i="6" s="1"/>
  <c r="C1854" i="6"/>
  <c r="D1854" i="6" s="1"/>
  <c r="C1853" i="6"/>
  <c r="D1853" i="6" s="1"/>
  <c r="C1852" i="6"/>
  <c r="D1852" i="6" s="1"/>
  <c r="C1851" i="6"/>
  <c r="D1851" i="6" s="1"/>
  <c r="C1850" i="6"/>
  <c r="D1850" i="6" s="1"/>
  <c r="C1849" i="6"/>
  <c r="D1849" i="6" s="1"/>
  <c r="C1848" i="6"/>
  <c r="D1848" i="6" s="1"/>
  <c r="C1847" i="6"/>
  <c r="D1847" i="6" s="1"/>
  <c r="C1846" i="6"/>
  <c r="D1846" i="6" s="1"/>
  <c r="C1845" i="6"/>
  <c r="D1845" i="6" s="1"/>
  <c r="C1844" i="6"/>
  <c r="D1844" i="6" s="1"/>
  <c r="C1843" i="6"/>
  <c r="D1843" i="6" s="1"/>
  <c r="C1842" i="6"/>
  <c r="D1842" i="6" s="1"/>
  <c r="C1841" i="6"/>
  <c r="D1841" i="6" s="1"/>
  <c r="C1840" i="6"/>
  <c r="D1840" i="6" s="1"/>
  <c r="C1839" i="6"/>
  <c r="D1839" i="6" s="1"/>
  <c r="C1838" i="6"/>
  <c r="D1838" i="6" s="1"/>
  <c r="C1837" i="6"/>
  <c r="D1837" i="6" s="1"/>
  <c r="C1836" i="6"/>
  <c r="D1836" i="6" s="1"/>
  <c r="C1835" i="6"/>
  <c r="D1835" i="6" s="1"/>
  <c r="C1834" i="6"/>
  <c r="D1834" i="6" s="1"/>
  <c r="C1833" i="6"/>
  <c r="D1833" i="6" s="1"/>
  <c r="C1832" i="6"/>
  <c r="D1832" i="6" s="1"/>
  <c r="C1831" i="6"/>
  <c r="D1831" i="6" s="1"/>
  <c r="C1830" i="6"/>
  <c r="D1830" i="6" s="1"/>
  <c r="C1829" i="6"/>
  <c r="D1829" i="6" s="1"/>
  <c r="C1828" i="6"/>
  <c r="D1828" i="6" s="1"/>
  <c r="C1827" i="6"/>
  <c r="D1827" i="6" s="1"/>
  <c r="C1826" i="6"/>
  <c r="D1826" i="6" s="1"/>
  <c r="C1825" i="6"/>
  <c r="D1825" i="6" s="1"/>
  <c r="C1824" i="6"/>
  <c r="D1824" i="6" s="1"/>
  <c r="C1823" i="6"/>
  <c r="D1823" i="6" s="1"/>
  <c r="C1822" i="6"/>
  <c r="D1822" i="6" s="1"/>
  <c r="C1821" i="6"/>
  <c r="D1821" i="6" s="1"/>
  <c r="C1820" i="6"/>
  <c r="D1820" i="6" s="1"/>
  <c r="C1819" i="6"/>
  <c r="D1819" i="6" s="1"/>
  <c r="C1818" i="6"/>
  <c r="D1818" i="6" s="1"/>
  <c r="C1817" i="6"/>
  <c r="D1817" i="6" s="1"/>
  <c r="C1816" i="6"/>
  <c r="D1816" i="6" s="1"/>
  <c r="C1815" i="6"/>
  <c r="D1815" i="6" s="1"/>
  <c r="C1814" i="6"/>
  <c r="D1814" i="6" s="1"/>
  <c r="C1813" i="6"/>
  <c r="D1813" i="6" s="1"/>
  <c r="C1812" i="6"/>
  <c r="D1812" i="6" s="1"/>
  <c r="C1811" i="6"/>
  <c r="D1811" i="6" s="1"/>
  <c r="C1810" i="6"/>
  <c r="D1810" i="6" s="1"/>
  <c r="C1809" i="6"/>
  <c r="D1809" i="6" s="1"/>
  <c r="C1808" i="6"/>
  <c r="D1808" i="6" s="1"/>
  <c r="C1807" i="6"/>
  <c r="D1807" i="6" s="1"/>
  <c r="C1806" i="6"/>
  <c r="D1806" i="6" s="1"/>
  <c r="C1805" i="6"/>
  <c r="D1805" i="6" s="1"/>
  <c r="C1804" i="6"/>
  <c r="D1804" i="6" s="1"/>
  <c r="C1803" i="6"/>
  <c r="D1803" i="6" s="1"/>
  <c r="C1802" i="6"/>
  <c r="D1802" i="6" s="1"/>
  <c r="C1801" i="6"/>
  <c r="D1801" i="6" s="1"/>
  <c r="C1800" i="6"/>
  <c r="D1800" i="6" s="1"/>
  <c r="C1799" i="6"/>
  <c r="D1799" i="6" s="1"/>
  <c r="C1798" i="6"/>
  <c r="D1798" i="6" s="1"/>
  <c r="C1797" i="6"/>
  <c r="D1797" i="6" s="1"/>
  <c r="C1796" i="6"/>
  <c r="D1796" i="6" s="1"/>
  <c r="C1795" i="6"/>
  <c r="D1795" i="6" s="1"/>
  <c r="C1794" i="6"/>
  <c r="D1794" i="6" s="1"/>
  <c r="C1793" i="6"/>
  <c r="D1793" i="6" s="1"/>
  <c r="C1792" i="6"/>
  <c r="D1792" i="6" s="1"/>
  <c r="C1791" i="6"/>
  <c r="D1791" i="6" s="1"/>
  <c r="C1790" i="6"/>
  <c r="D1790" i="6" s="1"/>
  <c r="C1789" i="6"/>
  <c r="D1789" i="6" s="1"/>
  <c r="C1788" i="6"/>
  <c r="D1788" i="6" s="1"/>
  <c r="C1787" i="6"/>
  <c r="D1787" i="6" s="1"/>
  <c r="C1786" i="6"/>
  <c r="D1786" i="6" s="1"/>
  <c r="C1785" i="6"/>
  <c r="D1785" i="6" s="1"/>
  <c r="C1784" i="6"/>
  <c r="D1784" i="6" s="1"/>
  <c r="C1783" i="6"/>
  <c r="D1783" i="6" s="1"/>
  <c r="C1782" i="6"/>
  <c r="D1782" i="6" s="1"/>
  <c r="C1781" i="6"/>
  <c r="D1781" i="6" s="1"/>
  <c r="C1780" i="6"/>
  <c r="D1780" i="6" s="1"/>
  <c r="C1779" i="6"/>
  <c r="D1779" i="6" s="1"/>
  <c r="C1778" i="6"/>
  <c r="D1778" i="6" s="1"/>
  <c r="C1777" i="6"/>
  <c r="D1777" i="6" s="1"/>
  <c r="C1776" i="6"/>
  <c r="D1776" i="6" s="1"/>
  <c r="C1775" i="6"/>
  <c r="D1775" i="6" s="1"/>
  <c r="C1774" i="6"/>
  <c r="D1774" i="6" s="1"/>
  <c r="C1773" i="6"/>
  <c r="D1773" i="6" s="1"/>
  <c r="C1772" i="6"/>
  <c r="D1772" i="6" s="1"/>
  <c r="C1771" i="6"/>
  <c r="D1771" i="6" s="1"/>
  <c r="C1770" i="6"/>
  <c r="D1770" i="6" s="1"/>
  <c r="C1769" i="6"/>
  <c r="D1769" i="6" s="1"/>
  <c r="C1768" i="6"/>
  <c r="D1768" i="6" s="1"/>
  <c r="C1767" i="6"/>
  <c r="D1767" i="6" s="1"/>
  <c r="C1766" i="6"/>
  <c r="D1766" i="6" s="1"/>
  <c r="C1765" i="6"/>
  <c r="D1765" i="6" s="1"/>
  <c r="C1764" i="6"/>
  <c r="D1764" i="6" s="1"/>
  <c r="C1763" i="6"/>
  <c r="D1763" i="6" s="1"/>
  <c r="C1762" i="6"/>
  <c r="D1762" i="6" s="1"/>
  <c r="C1761" i="6"/>
  <c r="D1761" i="6" s="1"/>
  <c r="C1760" i="6"/>
  <c r="D1760" i="6" s="1"/>
  <c r="C1759" i="6"/>
  <c r="D1759" i="6" s="1"/>
  <c r="C1758" i="6"/>
  <c r="D1758" i="6" s="1"/>
  <c r="C1757" i="6"/>
  <c r="D1757" i="6" s="1"/>
  <c r="C1756" i="6"/>
  <c r="D1756" i="6" s="1"/>
  <c r="C1755" i="6"/>
  <c r="D1755" i="6" s="1"/>
  <c r="C1754" i="6"/>
  <c r="D1754" i="6" s="1"/>
  <c r="C1753" i="6"/>
  <c r="D1753" i="6" s="1"/>
  <c r="C1752" i="6"/>
  <c r="D1752" i="6" s="1"/>
  <c r="C1751" i="6"/>
  <c r="D1751" i="6" s="1"/>
  <c r="C1750" i="6"/>
  <c r="D1750" i="6" s="1"/>
  <c r="C1749" i="6"/>
  <c r="D1749" i="6" s="1"/>
  <c r="C1748" i="6"/>
  <c r="D1748" i="6" s="1"/>
  <c r="C1747" i="6"/>
  <c r="D1747" i="6" s="1"/>
  <c r="C1746" i="6"/>
  <c r="D1746" i="6" s="1"/>
  <c r="C1745" i="6"/>
  <c r="D1745" i="6" s="1"/>
  <c r="C1744" i="6"/>
  <c r="D1744" i="6" s="1"/>
  <c r="C1743" i="6"/>
  <c r="D1743" i="6" s="1"/>
  <c r="C1742" i="6"/>
  <c r="D1742" i="6" s="1"/>
  <c r="C1741" i="6"/>
  <c r="D1741" i="6" s="1"/>
  <c r="C1740" i="6"/>
  <c r="D1740" i="6" s="1"/>
  <c r="C1739" i="6"/>
  <c r="D1739" i="6" s="1"/>
  <c r="C1738" i="6"/>
  <c r="D1738" i="6" s="1"/>
  <c r="C1737" i="6"/>
  <c r="D1737" i="6" s="1"/>
  <c r="C1736" i="6"/>
  <c r="D1736" i="6" s="1"/>
  <c r="C1735" i="6"/>
  <c r="D1735" i="6" s="1"/>
  <c r="C1734" i="6"/>
  <c r="D1734" i="6" s="1"/>
  <c r="C1733" i="6"/>
  <c r="D1733" i="6" s="1"/>
  <c r="C1732" i="6"/>
  <c r="D1732" i="6" s="1"/>
  <c r="C1731" i="6"/>
  <c r="D1731" i="6" s="1"/>
  <c r="C1730" i="6"/>
  <c r="D1730" i="6" s="1"/>
  <c r="C1729" i="6"/>
  <c r="D1729" i="6" s="1"/>
  <c r="C1728" i="6"/>
  <c r="D1728" i="6" s="1"/>
  <c r="C1727" i="6"/>
  <c r="D1727" i="6" s="1"/>
  <c r="C1726" i="6"/>
  <c r="D1726" i="6" s="1"/>
  <c r="C1725" i="6"/>
  <c r="D1725" i="6" s="1"/>
  <c r="C1724" i="6"/>
  <c r="D1724" i="6" s="1"/>
  <c r="C1723" i="6"/>
  <c r="D1723" i="6" s="1"/>
  <c r="C1722" i="6"/>
  <c r="D1722" i="6" s="1"/>
  <c r="C1721" i="6"/>
  <c r="D1721" i="6" s="1"/>
  <c r="C1720" i="6"/>
  <c r="D1720" i="6" s="1"/>
  <c r="C1719" i="6"/>
  <c r="D1719" i="6" s="1"/>
  <c r="C1718" i="6"/>
  <c r="D1718" i="6" s="1"/>
  <c r="C1717" i="6"/>
  <c r="D1717" i="6" s="1"/>
  <c r="C1716" i="6"/>
  <c r="D1716" i="6" s="1"/>
  <c r="C1715" i="6"/>
  <c r="D1715" i="6" s="1"/>
  <c r="C1714" i="6"/>
  <c r="D1714" i="6" s="1"/>
  <c r="C1713" i="6"/>
  <c r="D1713" i="6" s="1"/>
  <c r="C1712" i="6"/>
  <c r="D1712" i="6" s="1"/>
  <c r="C1711" i="6"/>
  <c r="D1711" i="6" s="1"/>
  <c r="C1710" i="6"/>
  <c r="D1710" i="6" s="1"/>
  <c r="C1709" i="6"/>
  <c r="D1709" i="6" s="1"/>
  <c r="C1708" i="6"/>
  <c r="D1708" i="6" s="1"/>
  <c r="C1707" i="6"/>
  <c r="D1707" i="6" s="1"/>
  <c r="C1706" i="6"/>
  <c r="D1706" i="6" s="1"/>
  <c r="C1705" i="6"/>
  <c r="D1705" i="6" s="1"/>
  <c r="C1704" i="6"/>
  <c r="D1704" i="6" s="1"/>
  <c r="C1703" i="6"/>
  <c r="D1703" i="6" s="1"/>
  <c r="C1702" i="6"/>
  <c r="D1702" i="6" s="1"/>
  <c r="C1701" i="6"/>
  <c r="D1701" i="6" s="1"/>
  <c r="C1700" i="6"/>
  <c r="D1700" i="6" s="1"/>
  <c r="C1699" i="6"/>
  <c r="D1699" i="6" s="1"/>
  <c r="C1698" i="6"/>
  <c r="D1698" i="6" s="1"/>
  <c r="C1697" i="6"/>
  <c r="D1697" i="6" s="1"/>
  <c r="C1696" i="6"/>
  <c r="D1696" i="6" s="1"/>
  <c r="C1695" i="6"/>
  <c r="D1695" i="6" s="1"/>
  <c r="C1694" i="6"/>
  <c r="D1694" i="6" s="1"/>
  <c r="C1693" i="6"/>
  <c r="D1693" i="6" s="1"/>
  <c r="C1692" i="6"/>
  <c r="D1692" i="6" s="1"/>
  <c r="C1691" i="6"/>
  <c r="D1691" i="6" s="1"/>
  <c r="C1690" i="6"/>
  <c r="D1690" i="6" s="1"/>
  <c r="C1689" i="6"/>
  <c r="D1689" i="6" s="1"/>
  <c r="C1688" i="6"/>
  <c r="D1688" i="6" s="1"/>
  <c r="C1687" i="6"/>
  <c r="D1687" i="6" s="1"/>
  <c r="C1686" i="6"/>
  <c r="D1686" i="6" s="1"/>
  <c r="C1685" i="6"/>
  <c r="D1685" i="6" s="1"/>
  <c r="C1684" i="6"/>
  <c r="D1684" i="6" s="1"/>
  <c r="C1683" i="6"/>
  <c r="D1683" i="6" s="1"/>
  <c r="C1682" i="6"/>
  <c r="D1682" i="6" s="1"/>
  <c r="C1681" i="6"/>
  <c r="D1681" i="6" s="1"/>
  <c r="C1680" i="6"/>
  <c r="D1680" i="6" s="1"/>
  <c r="C1679" i="6"/>
  <c r="D1679" i="6" s="1"/>
  <c r="C1678" i="6"/>
  <c r="D1678" i="6" s="1"/>
  <c r="C1677" i="6"/>
  <c r="D1677" i="6" s="1"/>
  <c r="C1676" i="6"/>
  <c r="D1676" i="6" s="1"/>
  <c r="C1675" i="6"/>
  <c r="D1675" i="6" s="1"/>
  <c r="C1674" i="6"/>
  <c r="D1674" i="6" s="1"/>
  <c r="C1673" i="6"/>
  <c r="D1673" i="6" s="1"/>
  <c r="C1672" i="6"/>
  <c r="D1672" i="6" s="1"/>
  <c r="C1671" i="6"/>
  <c r="D1671" i="6" s="1"/>
  <c r="C1670" i="6"/>
  <c r="D1670" i="6" s="1"/>
  <c r="C1669" i="6"/>
  <c r="D1669" i="6" s="1"/>
  <c r="C1668" i="6"/>
  <c r="D1668" i="6" s="1"/>
  <c r="C1667" i="6"/>
  <c r="D1667" i="6" s="1"/>
  <c r="C1666" i="6"/>
  <c r="D1666" i="6" s="1"/>
  <c r="C1665" i="6"/>
  <c r="D1665" i="6" s="1"/>
  <c r="C1664" i="6"/>
  <c r="D1664" i="6" s="1"/>
  <c r="C1663" i="6"/>
  <c r="D1663" i="6" s="1"/>
  <c r="C1662" i="6"/>
  <c r="D1662" i="6" s="1"/>
  <c r="C1661" i="6"/>
  <c r="D1661" i="6" s="1"/>
  <c r="C1660" i="6"/>
  <c r="D1660" i="6" s="1"/>
  <c r="C1659" i="6"/>
  <c r="D1659" i="6" s="1"/>
  <c r="C1658" i="6"/>
  <c r="D1658" i="6" s="1"/>
  <c r="C1657" i="6"/>
  <c r="D1657" i="6" s="1"/>
  <c r="C1656" i="6"/>
  <c r="D1656" i="6" s="1"/>
  <c r="C1655" i="6"/>
  <c r="D1655" i="6" s="1"/>
  <c r="C1654" i="6"/>
  <c r="D1654" i="6" s="1"/>
  <c r="C1653" i="6"/>
  <c r="D1653" i="6" s="1"/>
  <c r="C1652" i="6"/>
  <c r="D1652" i="6" s="1"/>
  <c r="C1651" i="6"/>
  <c r="D1651" i="6" s="1"/>
  <c r="C1650" i="6"/>
  <c r="D1650" i="6" s="1"/>
  <c r="C1649" i="6"/>
  <c r="D1649" i="6" s="1"/>
  <c r="C1648" i="6"/>
  <c r="D1648" i="6" s="1"/>
  <c r="C1647" i="6"/>
  <c r="D1647" i="6" s="1"/>
  <c r="C1646" i="6"/>
  <c r="D1646" i="6" s="1"/>
  <c r="C1645" i="6"/>
  <c r="D1645" i="6" s="1"/>
  <c r="C1644" i="6"/>
  <c r="D1644" i="6" s="1"/>
  <c r="C1643" i="6"/>
  <c r="D1643" i="6" s="1"/>
  <c r="C1642" i="6"/>
  <c r="D1642" i="6" s="1"/>
  <c r="C1641" i="6"/>
  <c r="D1641" i="6" s="1"/>
  <c r="C1640" i="6"/>
  <c r="D1640" i="6" s="1"/>
  <c r="C1639" i="6"/>
  <c r="D1639" i="6" s="1"/>
  <c r="C1638" i="6"/>
  <c r="D1638" i="6" s="1"/>
  <c r="C1637" i="6"/>
  <c r="D1637" i="6" s="1"/>
  <c r="C1636" i="6"/>
  <c r="D1636" i="6" s="1"/>
  <c r="C1635" i="6"/>
  <c r="D1635" i="6" s="1"/>
  <c r="C1634" i="6"/>
  <c r="D1634" i="6" s="1"/>
  <c r="C1633" i="6"/>
  <c r="D1633" i="6" s="1"/>
  <c r="C1632" i="6"/>
  <c r="D1632" i="6" s="1"/>
  <c r="C1631" i="6"/>
  <c r="D1631" i="6" s="1"/>
  <c r="C1630" i="6"/>
  <c r="D1630" i="6" s="1"/>
  <c r="C1629" i="6"/>
  <c r="D1629" i="6" s="1"/>
  <c r="C1628" i="6"/>
  <c r="D1628" i="6" s="1"/>
  <c r="C1627" i="6"/>
  <c r="D1627" i="6" s="1"/>
  <c r="C1626" i="6"/>
  <c r="D1626" i="6" s="1"/>
  <c r="C1625" i="6"/>
  <c r="D1625" i="6" s="1"/>
  <c r="C1624" i="6"/>
  <c r="D1624" i="6" s="1"/>
  <c r="C1623" i="6"/>
  <c r="D1623" i="6" s="1"/>
  <c r="C1622" i="6"/>
  <c r="D1622" i="6" s="1"/>
  <c r="C1621" i="6"/>
  <c r="D1621" i="6" s="1"/>
  <c r="C1620" i="6"/>
  <c r="D1620" i="6" s="1"/>
  <c r="C1619" i="6"/>
  <c r="D1619" i="6" s="1"/>
  <c r="C1618" i="6"/>
  <c r="D1618" i="6" s="1"/>
  <c r="C1617" i="6"/>
  <c r="D1617" i="6" s="1"/>
  <c r="C1616" i="6"/>
  <c r="D1616" i="6" s="1"/>
  <c r="C1615" i="6"/>
  <c r="D1615" i="6" s="1"/>
  <c r="C1614" i="6"/>
  <c r="D1614" i="6" s="1"/>
  <c r="C1613" i="6"/>
  <c r="D1613" i="6" s="1"/>
  <c r="C1612" i="6"/>
  <c r="D1612" i="6" s="1"/>
  <c r="C1611" i="6"/>
  <c r="D1611" i="6" s="1"/>
  <c r="C1610" i="6"/>
  <c r="D1610" i="6" s="1"/>
  <c r="C1609" i="6"/>
  <c r="D1609" i="6" s="1"/>
  <c r="C1608" i="6"/>
  <c r="D1608" i="6" s="1"/>
  <c r="C1607" i="6"/>
  <c r="D1607" i="6" s="1"/>
  <c r="C1606" i="6"/>
  <c r="D1606" i="6" s="1"/>
  <c r="C1605" i="6"/>
  <c r="D1605" i="6" s="1"/>
  <c r="C1604" i="6"/>
  <c r="D1604" i="6" s="1"/>
  <c r="C1603" i="6"/>
  <c r="D1603" i="6" s="1"/>
  <c r="C1602" i="6"/>
  <c r="D1602" i="6" s="1"/>
  <c r="C1601" i="6"/>
  <c r="D1601" i="6" s="1"/>
  <c r="C1600" i="6"/>
  <c r="D1600" i="6" s="1"/>
  <c r="C1599" i="6"/>
  <c r="D1599" i="6" s="1"/>
  <c r="C1598" i="6"/>
  <c r="D1598" i="6" s="1"/>
  <c r="C1597" i="6"/>
  <c r="D1597" i="6" s="1"/>
  <c r="C1596" i="6"/>
  <c r="D1596" i="6" s="1"/>
  <c r="C1595" i="6"/>
  <c r="D1595" i="6" s="1"/>
  <c r="C1594" i="6"/>
  <c r="D1594" i="6" s="1"/>
  <c r="C1593" i="6"/>
  <c r="D1593" i="6" s="1"/>
  <c r="C1592" i="6"/>
  <c r="D1592" i="6" s="1"/>
  <c r="C1591" i="6"/>
  <c r="D1591" i="6" s="1"/>
  <c r="C1590" i="6"/>
  <c r="D1590" i="6" s="1"/>
  <c r="C1589" i="6"/>
  <c r="D1589" i="6" s="1"/>
  <c r="C1588" i="6"/>
  <c r="D1588" i="6" s="1"/>
  <c r="C1587" i="6"/>
  <c r="D1587" i="6" s="1"/>
  <c r="C1586" i="6"/>
  <c r="D1586" i="6" s="1"/>
  <c r="C1585" i="6"/>
  <c r="D1585" i="6" s="1"/>
  <c r="C1584" i="6"/>
  <c r="D1584" i="6" s="1"/>
  <c r="C1583" i="6"/>
  <c r="D1583" i="6" s="1"/>
  <c r="C1582" i="6"/>
  <c r="D1582" i="6" s="1"/>
  <c r="C1581" i="6"/>
  <c r="D1581" i="6" s="1"/>
  <c r="C1580" i="6"/>
  <c r="D1580" i="6" s="1"/>
  <c r="C1579" i="6"/>
  <c r="D1579" i="6" s="1"/>
  <c r="C1578" i="6"/>
  <c r="D1578" i="6" s="1"/>
  <c r="C1577" i="6"/>
  <c r="D1577" i="6" s="1"/>
  <c r="C1576" i="6"/>
  <c r="D1576" i="6" s="1"/>
  <c r="C1575" i="6"/>
  <c r="D1575" i="6" s="1"/>
  <c r="C1574" i="6"/>
  <c r="D1574" i="6" s="1"/>
  <c r="C1573" i="6"/>
  <c r="D1573" i="6" s="1"/>
  <c r="C1572" i="6"/>
  <c r="D1572" i="6" s="1"/>
  <c r="C1571" i="6"/>
  <c r="D1571" i="6" s="1"/>
  <c r="C1570" i="6"/>
  <c r="D1570" i="6" s="1"/>
  <c r="C1569" i="6"/>
  <c r="D1569" i="6" s="1"/>
  <c r="C1568" i="6"/>
  <c r="D1568" i="6" s="1"/>
  <c r="C1567" i="6"/>
  <c r="D1567" i="6" s="1"/>
  <c r="C1566" i="6"/>
  <c r="D1566" i="6" s="1"/>
  <c r="C1565" i="6"/>
  <c r="D1565" i="6" s="1"/>
  <c r="C1564" i="6"/>
  <c r="D1564" i="6" s="1"/>
  <c r="C1563" i="6"/>
  <c r="D1563" i="6" s="1"/>
  <c r="C1562" i="6"/>
  <c r="D1562" i="6" s="1"/>
  <c r="C1561" i="6"/>
  <c r="D1561" i="6" s="1"/>
  <c r="C1560" i="6"/>
  <c r="D1560" i="6" s="1"/>
  <c r="C1559" i="6"/>
  <c r="D1559" i="6" s="1"/>
  <c r="C1558" i="6"/>
  <c r="D1558" i="6" s="1"/>
  <c r="C1557" i="6"/>
  <c r="D1557" i="6" s="1"/>
  <c r="C1556" i="6"/>
  <c r="D1556" i="6" s="1"/>
  <c r="C1555" i="6"/>
  <c r="D1555" i="6" s="1"/>
  <c r="C1554" i="6"/>
  <c r="D1554" i="6" s="1"/>
  <c r="C1553" i="6"/>
  <c r="D1553" i="6" s="1"/>
  <c r="C1552" i="6"/>
  <c r="D1552" i="6" s="1"/>
  <c r="C1551" i="6"/>
  <c r="D1551" i="6" s="1"/>
  <c r="C1550" i="6"/>
  <c r="D1550" i="6" s="1"/>
  <c r="C1549" i="6"/>
  <c r="D1549" i="6" s="1"/>
  <c r="C1548" i="6"/>
  <c r="D1548" i="6" s="1"/>
  <c r="C1547" i="6"/>
  <c r="D1547" i="6" s="1"/>
  <c r="C1546" i="6"/>
  <c r="D1546" i="6" s="1"/>
  <c r="C1545" i="6"/>
  <c r="D1545" i="6" s="1"/>
  <c r="C1544" i="6"/>
  <c r="D1544" i="6" s="1"/>
  <c r="C1543" i="6"/>
  <c r="D1543" i="6" s="1"/>
  <c r="C1542" i="6"/>
  <c r="D1542" i="6" s="1"/>
  <c r="C1541" i="6"/>
  <c r="D1541" i="6" s="1"/>
  <c r="C1540" i="6"/>
  <c r="D1540" i="6" s="1"/>
  <c r="C1539" i="6"/>
  <c r="D1539" i="6" s="1"/>
  <c r="C1538" i="6"/>
  <c r="D1538" i="6" s="1"/>
  <c r="C1537" i="6"/>
  <c r="D1537" i="6" s="1"/>
  <c r="C1536" i="6"/>
  <c r="D1536" i="6" s="1"/>
  <c r="C1535" i="6"/>
  <c r="D1535" i="6" s="1"/>
  <c r="C1534" i="6"/>
  <c r="D1534" i="6" s="1"/>
  <c r="C1533" i="6"/>
  <c r="D1533" i="6" s="1"/>
  <c r="C1532" i="6"/>
  <c r="D1532" i="6" s="1"/>
  <c r="C1531" i="6"/>
  <c r="D1531" i="6" s="1"/>
  <c r="C1530" i="6"/>
  <c r="D1530" i="6" s="1"/>
  <c r="C1529" i="6"/>
  <c r="D1529" i="6" s="1"/>
  <c r="C1528" i="6"/>
  <c r="D1528" i="6" s="1"/>
  <c r="C1527" i="6"/>
  <c r="D1527" i="6" s="1"/>
  <c r="C1526" i="6"/>
  <c r="D1526" i="6" s="1"/>
  <c r="C1525" i="6"/>
  <c r="D1525" i="6" s="1"/>
  <c r="C1524" i="6"/>
  <c r="D1524" i="6" s="1"/>
  <c r="C1523" i="6"/>
  <c r="D1523" i="6" s="1"/>
  <c r="C1522" i="6"/>
  <c r="D1522" i="6" s="1"/>
  <c r="C1521" i="6"/>
  <c r="D1521" i="6" s="1"/>
  <c r="C1520" i="6"/>
  <c r="D1520" i="6" s="1"/>
  <c r="C1519" i="6"/>
  <c r="D1519" i="6" s="1"/>
  <c r="C1518" i="6"/>
  <c r="D1518" i="6" s="1"/>
  <c r="C1517" i="6"/>
  <c r="D1517" i="6" s="1"/>
  <c r="C1516" i="6"/>
  <c r="D1516" i="6" s="1"/>
  <c r="C1515" i="6"/>
  <c r="D1515" i="6" s="1"/>
  <c r="C1514" i="6"/>
  <c r="D1514" i="6" s="1"/>
  <c r="C1513" i="6"/>
  <c r="D1513" i="6" s="1"/>
  <c r="C1512" i="6"/>
  <c r="D1512" i="6" s="1"/>
  <c r="C1511" i="6"/>
  <c r="D1511" i="6" s="1"/>
  <c r="C1510" i="6"/>
  <c r="D1510" i="6" s="1"/>
  <c r="C1509" i="6"/>
  <c r="D1509" i="6" s="1"/>
  <c r="C1508" i="6"/>
  <c r="D1508" i="6" s="1"/>
  <c r="C1507" i="6"/>
  <c r="D1507" i="6" s="1"/>
  <c r="C1506" i="6"/>
  <c r="D1506" i="6" s="1"/>
  <c r="C1505" i="6"/>
  <c r="D1505" i="6" s="1"/>
  <c r="C1504" i="6"/>
  <c r="D1504" i="6" s="1"/>
  <c r="C1503" i="6"/>
  <c r="D1503" i="6" s="1"/>
  <c r="C1502" i="6"/>
  <c r="D1502" i="6" s="1"/>
  <c r="C1501" i="6"/>
  <c r="D1501" i="6" s="1"/>
  <c r="C1500" i="6"/>
  <c r="D1500" i="6" s="1"/>
  <c r="C1499" i="6"/>
  <c r="D1499" i="6" s="1"/>
  <c r="C1498" i="6"/>
  <c r="D1498" i="6" s="1"/>
  <c r="C1497" i="6"/>
  <c r="D1497" i="6" s="1"/>
  <c r="C1496" i="6"/>
  <c r="D1496" i="6" s="1"/>
  <c r="C1495" i="6"/>
  <c r="D1495" i="6" s="1"/>
  <c r="C1494" i="6"/>
  <c r="D1494" i="6" s="1"/>
  <c r="C1493" i="6"/>
  <c r="D1493" i="6" s="1"/>
  <c r="C1492" i="6"/>
  <c r="D1492" i="6" s="1"/>
  <c r="C1491" i="6"/>
  <c r="D1491" i="6" s="1"/>
  <c r="C1490" i="6"/>
  <c r="D1490" i="6" s="1"/>
  <c r="C1489" i="6"/>
  <c r="D1489" i="6" s="1"/>
  <c r="C1488" i="6"/>
  <c r="D1488" i="6" s="1"/>
  <c r="C1487" i="6"/>
  <c r="D1487" i="6" s="1"/>
  <c r="C1486" i="6"/>
  <c r="D1486" i="6" s="1"/>
  <c r="C1485" i="6"/>
  <c r="D1485" i="6" s="1"/>
  <c r="C1484" i="6"/>
  <c r="D1484" i="6" s="1"/>
  <c r="C1483" i="6"/>
  <c r="D1483" i="6" s="1"/>
  <c r="C1482" i="6"/>
  <c r="D1482" i="6" s="1"/>
  <c r="C1481" i="6"/>
  <c r="D1481" i="6" s="1"/>
  <c r="C1480" i="6"/>
  <c r="D1480" i="6" s="1"/>
  <c r="C1479" i="6"/>
  <c r="D1479" i="6" s="1"/>
  <c r="C1478" i="6"/>
  <c r="D1478" i="6" s="1"/>
  <c r="C1477" i="6"/>
  <c r="D1477" i="6" s="1"/>
  <c r="C1476" i="6"/>
  <c r="D1476" i="6" s="1"/>
  <c r="C1475" i="6"/>
  <c r="D1475" i="6" s="1"/>
  <c r="C1474" i="6"/>
  <c r="D1474" i="6" s="1"/>
  <c r="C1473" i="6"/>
  <c r="D1473" i="6" s="1"/>
  <c r="C1472" i="6"/>
  <c r="D1472" i="6" s="1"/>
  <c r="C1471" i="6"/>
  <c r="D1471" i="6" s="1"/>
  <c r="C1470" i="6"/>
  <c r="D1470" i="6" s="1"/>
  <c r="C1469" i="6"/>
  <c r="D1469" i="6" s="1"/>
  <c r="C1468" i="6"/>
  <c r="D1468" i="6" s="1"/>
  <c r="C1467" i="6"/>
  <c r="D1467" i="6" s="1"/>
  <c r="C1466" i="6"/>
  <c r="D1466" i="6" s="1"/>
  <c r="C1465" i="6"/>
  <c r="D1465" i="6" s="1"/>
  <c r="C1464" i="6"/>
  <c r="D1464" i="6" s="1"/>
  <c r="C1463" i="6"/>
  <c r="D1463" i="6" s="1"/>
  <c r="C1462" i="6"/>
  <c r="D1462" i="6" s="1"/>
  <c r="C1461" i="6"/>
  <c r="D1461" i="6" s="1"/>
  <c r="C1460" i="6"/>
  <c r="D1460" i="6" s="1"/>
  <c r="C1459" i="6"/>
  <c r="D1459" i="6" s="1"/>
  <c r="C1458" i="6"/>
  <c r="D1458" i="6" s="1"/>
  <c r="C1457" i="6"/>
  <c r="D1457" i="6" s="1"/>
  <c r="C1456" i="6"/>
  <c r="D1456" i="6" s="1"/>
  <c r="C1455" i="6"/>
  <c r="D1455" i="6" s="1"/>
  <c r="C1454" i="6"/>
  <c r="D1454" i="6" s="1"/>
  <c r="C1453" i="6"/>
  <c r="D1453" i="6" s="1"/>
  <c r="C1452" i="6"/>
  <c r="D1452" i="6" s="1"/>
  <c r="C1451" i="6"/>
  <c r="D1451" i="6" s="1"/>
  <c r="C1450" i="6"/>
  <c r="D1450" i="6" s="1"/>
  <c r="C1449" i="6"/>
  <c r="D1449" i="6" s="1"/>
  <c r="C1448" i="6"/>
  <c r="D1448" i="6" s="1"/>
  <c r="C1447" i="6"/>
  <c r="D1447" i="6" s="1"/>
  <c r="C1446" i="6"/>
  <c r="D1446" i="6" s="1"/>
  <c r="C1445" i="6"/>
  <c r="D1445" i="6" s="1"/>
  <c r="C1444" i="6"/>
  <c r="D1444" i="6" s="1"/>
  <c r="C1443" i="6"/>
  <c r="D1443" i="6" s="1"/>
  <c r="C1442" i="6"/>
  <c r="D1442" i="6" s="1"/>
  <c r="C1441" i="6"/>
  <c r="D1441" i="6" s="1"/>
  <c r="C1440" i="6"/>
  <c r="D1440" i="6" s="1"/>
  <c r="C1439" i="6"/>
  <c r="D1439" i="6" s="1"/>
  <c r="C1438" i="6"/>
  <c r="D1438" i="6" s="1"/>
  <c r="C1437" i="6"/>
  <c r="D1437" i="6" s="1"/>
  <c r="C1436" i="6"/>
  <c r="D1436" i="6" s="1"/>
  <c r="C1435" i="6"/>
  <c r="D1435" i="6" s="1"/>
  <c r="C1434" i="6"/>
  <c r="D1434" i="6" s="1"/>
  <c r="C1433" i="6"/>
  <c r="D1433" i="6" s="1"/>
  <c r="C1432" i="6"/>
  <c r="D1432" i="6" s="1"/>
  <c r="C1431" i="6"/>
  <c r="D1431" i="6" s="1"/>
  <c r="C1430" i="6"/>
  <c r="D1430" i="6" s="1"/>
  <c r="C1429" i="6"/>
  <c r="D1429" i="6" s="1"/>
  <c r="C1428" i="6"/>
  <c r="D1428" i="6" s="1"/>
  <c r="C1427" i="6"/>
  <c r="D1427" i="6" s="1"/>
  <c r="C1426" i="6"/>
  <c r="D1426" i="6" s="1"/>
  <c r="C1425" i="6"/>
  <c r="D1425" i="6" s="1"/>
  <c r="C1424" i="6"/>
  <c r="D1424" i="6" s="1"/>
  <c r="C1423" i="6"/>
  <c r="D1423" i="6" s="1"/>
  <c r="C1422" i="6"/>
  <c r="D1422" i="6" s="1"/>
  <c r="C1421" i="6"/>
  <c r="D1421" i="6" s="1"/>
  <c r="C1420" i="6"/>
  <c r="D1420" i="6" s="1"/>
  <c r="C1419" i="6"/>
  <c r="D1419" i="6" s="1"/>
  <c r="C1418" i="6"/>
  <c r="D1418" i="6" s="1"/>
  <c r="C1417" i="6"/>
  <c r="D1417" i="6" s="1"/>
  <c r="C1416" i="6"/>
  <c r="D1416" i="6" s="1"/>
  <c r="C1415" i="6"/>
  <c r="D1415" i="6" s="1"/>
  <c r="C1414" i="6"/>
  <c r="D1414" i="6" s="1"/>
  <c r="C1413" i="6"/>
  <c r="D1413" i="6" s="1"/>
  <c r="C1412" i="6"/>
  <c r="D1412" i="6" s="1"/>
  <c r="C1411" i="6"/>
  <c r="D1411" i="6" s="1"/>
  <c r="C1410" i="6"/>
  <c r="D1410" i="6" s="1"/>
  <c r="C1409" i="6"/>
  <c r="D1409" i="6" s="1"/>
  <c r="C1408" i="6"/>
  <c r="D1408" i="6" s="1"/>
  <c r="C1407" i="6"/>
  <c r="D1407" i="6" s="1"/>
  <c r="C1406" i="6"/>
  <c r="D1406" i="6" s="1"/>
  <c r="C1405" i="6"/>
  <c r="D1405" i="6" s="1"/>
  <c r="C1404" i="6"/>
  <c r="D1404" i="6" s="1"/>
  <c r="C1403" i="6"/>
  <c r="D1403" i="6" s="1"/>
  <c r="C1402" i="6"/>
  <c r="D1402" i="6" s="1"/>
  <c r="C1401" i="6"/>
  <c r="D1401" i="6" s="1"/>
  <c r="C1400" i="6"/>
  <c r="D1400" i="6" s="1"/>
  <c r="C1399" i="6"/>
  <c r="D1399" i="6" s="1"/>
  <c r="C1398" i="6"/>
  <c r="D1398" i="6" s="1"/>
  <c r="C1397" i="6"/>
  <c r="D1397" i="6" s="1"/>
  <c r="C1396" i="6"/>
  <c r="D1396" i="6" s="1"/>
  <c r="C1395" i="6"/>
  <c r="D1395" i="6" s="1"/>
  <c r="C1394" i="6"/>
  <c r="D1394" i="6" s="1"/>
  <c r="C1393" i="6"/>
  <c r="D1393" i="6" s="1"/>
  <c r="C1392" i="6"/>
  <c r="D1392" i="6" s="1"/>
  <c r="C1391" i="6"/>
  <c r="D1391" i="6" s="1"/>
  <c r="C1390" i="6"/>
  <c r="D1390" i="6" s="1"/>
  <c r="C1389" i="6"/>
  <c r="D1389" i="6" s="1"/>
  <c r="C1388" i="6"/>
  <c r="D1388" i="6" s="1"/>
  <c r="C1387" i="6"/>
  <c r="D1387" i="6" s="1"/>
  <c r="C1386" i="6"/>
  <c r="D1386" i="6" s="1"/>
  <c r="C1385" i="6"/>
  <c r="D1385" i="6" s="1"/>
  <c r="C1384" i="6"/>
  <c r="D1384" i="6" s="1"/>
  <c r="C1383" i="6"/>
  <c r="D1383" i="6" s="1"/>
  <c r="C1382" i="6"/>
  <c r="D1382" i="6" s="1"/>
  <c r="C1381" i="6"/>
  <c r="D1381" i="6" s="1"/>
  <c r="C1380" i="6"/>
  <c r="D1380" i="6" s="1"/>
  <c r="C1379" i="6"/>
  <c r="D1379" i="6" s="1"/>
  <c r="C1378" i="6"/>
  <c r="D1378" i="6" s="1"/>
  <c r="C1377" i="6"/>
  <c r="D1377" i="6" s="1"/>
  <c r="C1376" i="6"/>
  <c r="D1376" i="6" s="1"/>
  <c r="C1375" i="6"/>
  <c r="D1375" i="6" s="1"/>
  <c r="C1374" i="6"/>
  <c r="D1374" i="6" s="1"/>
  <c r="C1373" i="6"/>
  <c r="D1373" i="6" s="1"/>
  <c r="C1372" i="6"/>
  <c r="D1372" i="6" s="1"/>
  <c r="C1371" i="6"/>
  <c r="D1371" i="6" s="1"/>
  <c r="C1370" i="6"/>
  <c r="D1370" i="6" s="1"/>
  <c r="C1369" i="6"/>
  <c r="D1369" i="6" s="1"/>
  <c r="C1368" i="6"/>
  <c r="D1368" i="6" s="1"/>
  <c r="C1367" i="6"/>
  <c r="D1367" i="6" s="1"/>
  <c r="C1366" i="6"/>
  <c r="D1366" i="6" s="1"/>
  <c r="C1365" i="6"/>
  <c r="D1365" i="6" s="1"/>
  <c r="C1364" i="6"/>
  <c r="D1364" i="6" s="1"/>
  <c r="C1363" i="6"/>
  <c r="D1363" i="6" s="1"/>
  <c r="C1362" i="6"/>
  <c r="D1362" i="6" s="1"/>
  <c r="C1361" i="6"/>
  <c r="D1361" i="6" s="1"/>
  <c r="C1360" i="6"/>
  <c r="D1360" i="6" s="1"/>
  <c r="C1359" i="6"/>
  <c r="D1359" i="6" s="1"/>
  <c r="C1358" i="6"/>
  <c r="D1358" i="6" s="1"/>
  <c r="C1357" i="6"/>
  <c r="D1357" i="6" s="1"/>
  <c r="C1356" i="6"/>
  <c r="D1356" i="6" s="1"/>
  <c r="C1355" i="6"/>
  <c r="D1355" i="6" s="1"/>
  <c r="C1354" i="6"/>
  <c r="D1354" i="6" s="1"/>
  <c r="C1353" i="6"/>
  <c r="D1353" i="6" s="1"/>
  <c r="C1352" i="6"/>
  <c r="D1352" i="6" s="1"/>
  <c r="C1351" i="6"/>
  <c r="D1351" i="6" s="1"/>
  <c r="C1350" i="6"/>
  <c r="D1350" i="6" s="1"/>
  <c r="C1349" i="6"/>
  <c r="D1349" i="6" s="1"/>
  <c r="C1348" i="6"/>
  <c r="D1348" i="6" s="1"/>
  <c r="C1347" i="6"/>
  <c r="D1347" i="6" s="1"/>
  <c r="C1346" i="6"/>
  <c r="D1346" i="6" s="1"/>
  <c r="C1345" i="6"/>
  <c r="D1345" i="6" s="1"/>
  <c r="C1344" i="6"/>
  <c r="D1344" i="6" s="1"/>
  <c r="C1343" i="6"/>
  <c r="D1343" i="6" s="1"/>
  <c r="C1342" i="6"/>
  <c r="D1342" i="6" s="1"/>
  <c r="C1341" i="6"/>
  <c r="D1341" i="6" s="1"/>
  <c r="C1340" i="6"/>
  <c r="D1340" i="6" s="1"/>
  <c r="C1339" i="6"/>
  <c r="D1339" i="6" s="1"/>
  <c r="C1338" i="6"/>
  <c r="D1338" i="6" s="1"/>
  <c r="C1337" i="6"/>
  <c r="D1337" i="6" s="1"/>
  <c r="C1336" i="6"/>
  <c r="D1336" i="6" s="1"/>
  <c r="C1335" i="6"/>
  <c r="D1335" i="6" s="1"/>
  <c r="C1334" i="6"/>
  <c r="D1334" i="6" s="1"/>
  <c r="C1333" i="6"/>
  <c r="D1333" i="6" s="1"/>
  <c r="C1332" i="6"/>
  <c r="D1332" i="6" s="1"/>
  <c r="C1331" i="6"/>
  <c r="D1331" i="6" s="1"/>
  <c r="C1330" i="6"/>
  <c r="D1330" i="6" s="1"/>
  <c r="C1329" i="6"/>
  <c r="D1329" i="6" s="1"/>
  <c r="C1328" i="6"/>
  <c r="D1328" i="6" s="1"/>
  <c r="C1327" i="6"/>
  <c r="D1327" i="6" s="1"/>
  <c r="C1326" i="6"/>
  <c r="D1326" i="6" s="1"/>
  <c r="C1325" i="6"/>
  <c r="D1325" i="6" s="1"/>
  <c r="C1324" i="6"/>
  <c r="D1324" i="6" s="1"/>
  <c r="C1323" i="6"/>
  <c r="D1323" i="6" s="1"/>
  <c r="C1322" i="6"/>
  <c r="D1322" i="6" s="1"/>
  <c r="C1321" i="6"/>
  <c r="D1321" i="6" s="1"/>
  <c r="C1320" i="6"/>
  <c r="D1320" i="6" s="1"/>
  <c r="C1319" i="6"/>
  <c r="D1319" i="6" s="1"/>
  <c r="C1318" i="6"/>
  <c r="D1318" i="6" s="1"/>
  <c r="C1317" i="6"/>
  <c r="D1317" i="6" s="1"/>
  <c r="C1316" i="6"/>
  <c r="D1316" i="6" s="1"/>
  <c r="C1315" i="6"/>
  <c r="D1315" i="6" s="1"/>
  <c r="C1314" i="6"/>
  <c r="D1314" i="6" s="1"/>
  <c r="C1313" i="6"/>
  <c r="D1313" i="6" s="1"/>
  <c r="C1312" i="6"/>
  <c r="D1312" i="6" s="1"/>
  <c r="C1311" i="6"/>
  <c r="D1311" i="6" s="1"/>
  <c r="C1310" i="6"/>
  <c r="D1310" i="6" s="1"/>
  <c r="C1309" i="6"/>
  <c r="D1309" i="6" s="1"/>
  <c r="C1308" i="6"/>
  <c r="D1308" i="6" s="1"/>
  <c r="C1307" i="6"/>
  <c r="D1307" i="6" s="1"/>
  <c r="C1306" i="6"/>
  <c r="D1306" i="6" s="1"/>
  <c r="C1305" i="6"/>
  <c r="D1305" i="6" s="1"/>
  <c r="C1304" i="6"/>
  <c r="D1304" i="6" s="1"/>
  <c r="C1303" i="6"/>
  <c r="D1303" i="6" s="1"/>
  <c r="C1302" i="6"/>
  <c r="D1302" i="6" s="1"/>
  <c r="C1301" i="6"/>
  <c r="D1301" i="6" s="1"/>
  <c r="C1300" i="6"/>
  <c r="D1300" i="6" s="1"/>
  <c r="C1299" i="6"/>
  <c r="D1299" i="6" s="1"/>
  <c r="C1298" i="6"/>
  <c r="D1298" i="6" s="1"/>
  <c r="C1297" i="6"/>
  <c r="D1297" i="6" s="1"/>
  <c r="C1296" i="6"/>
  <c r="D1296" i="6" s="1"/>
  <c r="C1295" i="6"/>
  <c r="D1295" i="6" s="1"/>
  <c r="C1294" i="6"/>
  <c r="D1294" i="6" s="1"/>
  <c r="C1293" i="6"/>
  <c r="D1293" i="6" s="1"/>
  <c r="C1292" i="6"/>
  <c r="D1292" i="6" s="1"/>
  <c r="C1291" i="6"/>
  <c r="D1291" i="6" s="1"/>
  <c r="C1290" i="6"/>
  <c r="D1290" i="6" s="1"/>
  <c r="C1289" i="6"/>
  <c r="D1289" i="6" s="1"/>
  <c r="C1288" i="6"/>
  <c r="D1288" i="6" s="1"/>
  <c r="C1287" i="6"/>
  <c r="D1287" i="6" s="1"/>
  <c r="C1286" i="6"/>
  <c r="D1286" i="6" s="1"/>
  <c r="C1285" i="6"/>
  <c r="D1285" i="6" s="1"/>
  <c r="C1284" i="6"/>
  <c r="D1284" i="6" s="1"/>
  <c r="C1283" i="6"/>
  <c r="D1283" i="6" s="1"/>
  <c r="C1282" i="6"/>
  <c r="D1282" i="6" s="1"/>
  <c r="C1281" i="6"/>
  <c r="D1281" i="6" s="1"/>
  <c r="C1280" i="6"/>
  <c r="D1280" i="6" s="1"/>
  <c r="C1279" i="6"/>
  <c r="D1279" i="6" s="1"/>
  <c r="C1278" i="6"/>
  <c r="D1278" i="6" s="1"/>
  <c r="C1277" i="6"/>
  <c r="D1277" i="6" s="1"/>
  <c r="C1276" i="6"/>
  <c r="D1276" i="6" s="1"/>
  <c r="C1275" i="6"/>
  <c r="D1275" i="6" s="1"/>
  <c r="C1274" i="6"/>
  <c r="D1274" i="6" s="1"/>
  <c r="C1273" i="6"/>
  <c r="D1273" i="6" s="1"/>
  <c r="C1272" i="6"/>
  <c r="D1272" i="6" s="1"/>
  <c r="C1271" i="6"/>
  <c r="D1271" i="6" s="1"/>
  <c r="C1270" i="6"/>
  <c r="D1270" i="6" s="1"/>
  <c r="C1269" i="6"/>
  <c r="D1269" i="6" s="1"/>
  <c r="C1268" i="6"/>
  <c r="D1268" i="6" s="1"/>
  <c r="C1267" i="6"/>
  <c r="D1267" i="6" s="1"/>
  <c r="C1266" i="6"/>
  <c r="D1266" i="6" s="1"/>
  <c r="C1265" i="6"/>
  <c r="D1265" i="6" s="1"/>
  <c r="C1264" i="6"/>
  <c r="D1264" i="6" s="1"/>
  <c r="C1263" i="6"/>
  <c r="D1263" i="6" s="1"/>
  <c r="C1262" i="6"/>
  <c r="D1262" i="6" s="1"/>
  <c r="C1261" i="6"/>
  <c r="D1261" i="6" s="1"/>
  <c r="C1260" i="6"/>
  <c r="D1260" i="6" s="1"/>
  <c r="C1259" i="6"/>
  <c r="D1259" i="6" s="1"/>
  <c r="C1258" i="6"/>
  <c r="D1258" i="6" s="1"/>
  <c r="C1257" i="6"/>
  <c r="D1257" i="6" s="1"/>
  <c r="C1256" i="6"/>
  <c r="D1256" i="6" s="1"/>
  <c r="C1255" i="6"/>
  <c r="D1255" i="6" s="1"/>
  <c r="C1254" i="6"/>
  <c r="D1254" i="6" s="1"/>
  <c r="C1253" i="6"/>
  <c r="D1253" i="6" s="1"/>
  <c r="C1252" i="6"/>
  <c r="D1252" i="6" s="1"/>
  <c r="C1251" i="6"/>
  <c r="D1251" i="6" s="1"/>
  <c r="C1250" i="6"/>
  <c r="D1250" i="6" s="1"/>
  <c r="C1249" i="6"/>
  <c r="D1249" i="6" s="1"/>
  <c r="C1248" i="6"/>
  <c r="D1248" i="6" s="1"/>
  <c r="C1247" i="6"/>
  <c r="D1247" i="6" s="1"/>
  <c r="C1246" i="6"/>
  <c r="D1246" i="6" s="1"/>
  <c r="C1245" i="6"/>
  <c r="D1245" i="6" s="1"/>
  <c r="C1244" i="6"/>
  <c r="D1244" i="6" s="1"/>
  <c r="C1243" i="6"/>
  <c r="D1243" i="6" s="1"/>
  <c r="C1242" i="6"/>
  <c r="D1242" i="6" s="1"/>
  <c r="C1241" i="6"/>
  <c r="D1241" i="6" s="1"/>
  <c r="C1240" i="6"/>
  <c r="D1240" i="6" s="1"/>
  <c r="C1239" i="6"/>
  <c r="D1239" i="6" s="1"/>
  <c r="C1238" i="6"/>
  <c r="D1238" i="6" s="1"/>
  <c r="C1237" i="6"/>
  <c r="D1237" i="6" s="1"/>
  <c r="C1236" i="6"/>
  <c r="D1236" i="6" s="1"/>
  <c r="C1235" i="6"/>
  <c r="D1235" i="6" s="1"/>
  <c r="C1234" i="6"/>
  <c r="D1234" i="6" s="1"/>
  <c r="C1233" i="6"/>
  <c r="D1233" i="6" s="1"/>
  <c r="C1232" i="6"/>
  <c r="D1232" i="6" s="1"/>
  <c r="C1231" i="6"/>
  <c r="D1231" i="6" s="1"/>
  <c r="C1230" i="6"/>
  <c r="D1230" i="6" s="1"/>
  <c r="C1229" i="6"/>
  <c r="D1229" i="6" s="1"/>
  <c r="C1228" i="6"/>
  <c r="D1228" i="6" s="1"/>
  <c r="C1227" i="6"/>
  <c r="D1227" i="6" s="1"/>
  <c r="C1226" i="6"/>
  <c r="D1226" i="6" s="1"/>
  <c r="C1225" i="6"/>
  <c r="D1225" i="6" s="1"/>
  <c r="C1224" i="6"/>
  <c r="D1224" i="6" s="1"/>
  <c r="C1223" i="6"/>
  <c r="D1223" i="6" s="1"/>
  <c r="C1222" i="6"/>
  <c r="D1222" i="6" s="1"/>
  <c r="C1221" i="6"/>
  <c r="D1221" i="6" s="1"/>
  <c r="C1220" i="6"/>
  <c r="D1220" i="6" s="1"/>
  <c r="C1219" i="6"/>
  <c r="D1219" i="6" s="1"/>
  <c r="C1218" i="6"/>
  <c r="D1218" i="6" s="1"/>
  <c r="C1217" i="6"/>
  <c r="D1217" i="6" s="1"/>
  <c r="C1216" i="6"/>
  <c r="D1216" i="6" s="1"/>
  <c r="C1215" i="6"/>
  <c r="D1215" i="6" s="1"/>
  <c r="C1214" i="6"/>
  <c r="D1214" i="6" s="1"/>
  <c r="C1213" i="6"/>
  <c r="D1213" i="6" s="1"/>
  <c r="C1212" i="6"/>
  <c r="D1212" i="6" s="1"/>
  <c r="C1211" i="6"/>
  <c r="D1211" i="6" s="1"/>
  <c r="C1210" i="6"/>
  <c r="D1210" i="6" s="1"/>
  <c r="C1209" i="6"/>
  <c r="D1209" i="6" s="1"/>
  <c r="C1208" i="6"/>
  <c r="D1208" i="6" s="1"/>
  <c r="C1207" i="6"/>
  <c r="D1207" i="6" s="1"/>
  <c r="C1206" i="6"/>
  <c r="D1206" i="6" s="1"/>
  <c r="C1205" i="6"/>
  <c r="D1205" i="6" s="1"/>
  <c r="C1204" i="6"/>
  <c r="D1204" i="6" s="1"/>
  <c r="C1203" i="6"/>
  <c r="D1203" i="6" s="1"/>
  <c r="C1202" i="6"/>
  <c r="D1202" i="6" s="1"/>
  <c r="C1201" i="6"/>
  <c r="D1201" i="6" s="1"/>
  <c r="C1200" i="6"/>
  <c r="D1200" i="6" s="1"/>
  <c r="C1199" i="6"/>
  <c r="D1199" i="6" s="1"/>
  <c r="C1198" i="6"/>
  <c r="D1198" i="6" s="1"/>
  <c r="C1197" i="6"/>
  <c r="D1197" i="6" s="1"/>
  <c r="C1196" i="6"/>
  <c r="D1196" i="6" s="1"/>
  <c r="C1195" i="6"/>
  <c r="D1195" i="6" s="1"/>
  <c r="C1194" i="6"/>
  <c r="D1194" i="6" s="1"/>
  <c r="C1193" i="6"/>
  <c r="D1193" i="6" s="1"/>
  <c r="C1192" i="6"/>
  <c r="D1192" i="6" s="1"/>
  <c r="C1191" i="6"/>
  <c r="D1191" i="6" s="1"/>
  <c r="C1190" i="6"/>
  <c r="D1190" i="6" s="1"/>
  <c r="C1189" i="6"/>
  <c r="D1189" i="6" s="1"/>
  <c r="C1188" i="6"/>
  <c r="D1188" i="6" s="1"/>
  <c r="C1187" i="6"/>
  <c r="D1187" i="6" s="1"/>
  <c r="C1186" i="6"/>
  <c r="D1186" i="6" s="1"/>
  <c r="C1185" i="6"/>
  <c r="D1185" i="6" s="1"/>
  <c r="C1184" i="6"/>
  <c r="D1184" i="6" s="1"/>
  <c r="C1183" i="6"/>
  <c r="D1183" i="6" s="1"/>
  <c r="C1182" i="6"/>
  <c r="D1182" i="6" s="1"/>
  <c r="C1181" i="6"/>
  <c r="D1181" i="6" s="1"/>
  <c r="C1180" i="6"/>
  <c r="D1180" i="6" s="1"/>
  <c r="C1179" i="6"/>
  <c r="D1179" i="6" s="1"/>
  <c r="C1178" i="6"/>
  <c r="D1178" i="6" s="1"/>
  <c r="C1177" i="6"/>
  <c r="D1177" i="6" s="1"/>
  <c r="C1176" i="6"/>
  <c r="D1176" i="6" s="1"/>
  <c r="C1175" i="6"/>
  <c r="D1175" i="6" s="1"/>
  <c r="C1174" i="6"/>
  <c r="D1174" i="6" s="1"/>
  <c r="C1173" i="6"/>
  <c r="D1173" i="6" s="1"/>
  <c r="C1172" i="6"/>
  <c r="D1172" i="6" s="1"/>
  <c r="C1171" i="6"/>
  <c r="D1171" i="6" s="1"/>
  <c r="C1170" i="6"/>
  <c r="D1170" i="6" s="1"/>
  <c r="C1169" i="6"/>
  <c r="D1169" i="6" s="1"/>
  <c r="C1168" i="6"/>
  <c r="D1168" i="6" s="1"/>
  <c r="C1167" i="6"/>
  <c r="D1167" i="6" s="1"/>
  <c r="C1166" i="6"/>
  <c r="D1166" i="6" s="1"/>
  <c r="C1165" i="6"/>
  <c r="D1165" i="6" s="1"/>
  <c r="C1164" i="6"/>
  <c r="D1164" i="6" s="1"/>
  <c r="C1163" i="6"/>
  <c r="D1163" i="6" s="1"/>
  <c r="C1162" i="6"/>
  <c r="D1162" i="6" s="1"/>
  <c r="C1161" i="6"/>
  <c r="D1161" i="6" s="1"/>
  <c r="C1160" i="6"/>
  <c r="D1160" i="6" s="1"/>
  <c r="C1159" i="6"/>
  <c r="D1159" i="6" s="1"/>
  <c r="C1158" i="6"/>
  <c r="D1158" i="6" s="1"/>
  <c r="C1157" i="6"/>
  <c r="D1157" i="6" s="1"/>
  <c r="C1156" i="6"/>
  <c r="D1156" i="6" s="1"/>
  <c r="C1155" i="6"/>
  <c r="D1155" i="6" s="1"/>
  <c r="C1154" i="6"/>
  <c r="D1154" i="6" s="1"/>
  <c r="C1153" i="6"/>
  <c r="D1153" i="6" s="1"/>
  <c r="C1152" i="6"/>
  <c r="D1152" i="6" s="1"/>
  <c r="C1151" i="6"/>
  <c r="D1151" i="6" s="1"/>
  <c r="C1150" i="6"/>
  <c r="D1150" i="6" s="1"/>
  <c r="C1149" i="6"/>
  <c r="D1149" i="6" s="1"/>
  <c r="C1148" i="6"/>
  <c r="D1148" i="6" s="1"/>
  <c r="C1147" i="6"/>
  <c r="D1147" i="6" s="1"/>
  <c r="C1146" i="6"/>
  <c r="D1146" i="6" s="1"/>
  <c r="C1145" i="6"/>
  <c r="D1145" i="6" s="1"/>
  <c r="C1144" i="6"/>
  <c r="D1144" i="6" s="1"/>
  <c r="C1143" i="6"/>
  <c r="D1143" i="6" s="1"/>
  <c r="C1142" i="6"/>
  <c r="D1142" i="6" s="1"/>
  <c r="C1141" i="6"/>
  <c r="D1141" i="6" s="1"/>
  <c r="C1140" i="6"/>
  <c r="D1140" i="6" s="1"/>
  <c r="C1139" i="6"/>
  <c r="D1139" i="6" s="1"/>
  <c r="C1138" i="6"/>
  <c r="D1138" i="6" s="1"/>
  <c r="C1137" i="6"/>
  <c r="D1137" i="6" s="1"/>
  <c r="C1136" i="6"/>
  <c r="D1136" i="6" s="1"/>
  <c r="C1135" i="6"/>
  <c r="D1135" i="6" s="1"/>
  <c r="C1134" i="6"/>
  <c r="D1134" i="6" s="1"/>
  <c r="C1133" i="6"/>
  <c r="D1133" i="6" s="1"/>
  <c r="C1132" i="6"/>
  <c r="D1132" i="6" s="1"/>
  <c r="C1131" i="6"/>
  <c r="D1131" i="6" s="1"/>
  <c r="C1130" i="6"/>
  <c r="D1130" i="6" s="1"/>
  <c r="C1129" i="6"/>
  <c r="D1129" i="6" s="1"/>
  <c r="C1128" i="6"/>
  <c r="D1128" i="6" s="1"/>
  <c r="C1127" i="6"/>
  <c r="D1127" i="6" s="1"/>
  <c r="C1126" i="6"/>
  <c r="D1126" i="6" s="1"/>
  <c r="C1125" i="6"/>
  <c r="D1125" i="6" s="1"/>
  <c r="C1124" i="6"/>
  <c r="D1124" i="6" s="1"/>
  <c r="C1123" i="6"/>
  <c r="D1123" i="6" s="1"/>
  <c r="C1122" i="6"/>
  <c r="D1122" i="6" s="1"/>
  <c r="C1121" i="6"/>
  <c r="D1121" i="6" s="1"/>
  <c r="C1120" i="6"/>
  <c r="D1120" i="6" s="1"/>
  <c r="C1119" i="6"/>
  <c r="D1119" i="6" s="1"/>
  <c r="C1118" i="6"/>
  <c r="D1118" i="6" s="1"/>
  <c r="C1117" i="6"/>
  <c r="D1117" i="6" s="1"/>
  <c r="C1116" i="6"/>
  <c r="D1116" i="6" s="1"/>
  <c r="C1115" i="6"/>
  <c r="D1115" i="6" s="1"/>
  <c r="C1114" i="6"/>
  <c r="D1114" i="6" s="1"/>
  <c r="C1113" i="6"/>
  <c r="D1113" i="6" s="1"/>
  <c r="C1112" i="6"/>
  <c r="D1112" i="6" s="1"/>
  <c r="C1111" i="6"/>
  <c r="D1111" i="6" s="1"/>
  <c r="C1110" i="6"/>
  <c r="D1110" i="6" s="1"/>
  <c r="C1109" i="6"/>
  <c r="D1109" i="6" s="1"/>
  <c r="C1108" i="6"/>
  <c r="D1108" i="6" s="1"/>
  <c r="C1107" i="6"/>
  <c r="D1107" i="6" s="1"/>
  <c r="C1106" i="6"/>
  <c r="D1106" i="6" s="1"/>
  <c r="C1105" i="6"/>
  <c r="D1105" i="6" s="1"/>
  <c r="C1104" i="6"/>
  <c r="D1104" i="6" s="1"/>
  <c r="C1103" i="6"/>
  <c r="D1103" i="6" s="1"/>
  <c r="C1102" i="6"/>
  <c r="D1102" i="6" s="1"/>
  <c r="C1101" i="6"/>
  <c r="D1101" i="6" s="1"/>
  <c r="C1100" i="6"/>
  <c r="D1100" i="6" s="1"/>
  <c r="C1099" i="6"/>
  <c r="D1099" i="6" s="1"/>
  <c r="C1098" i="6"/>
  <c r="D1098" i="6" s="1"/>
  <c r="C1097" i="6"/>
  <c r="D1097" i="6" s="1"/>
  <c r="C1096" i="6"/>
  <c r="D1096" i="6" s="1"/>
  <c r="C1095" i="6"/>
  <c r="D1095" i="6" s="1"/>
  <c r="C1094" i="6"/>
  <c r="D1094" i="6" s="1"/>
  <c r="C1093" i="6"/>
  <c r="D1093" i="6" s="1"/>
  <c r="C1092" i="6"/>
  <c r="D1092" i="6" s="1"/>
  <c r="C1091" i="6"/>
  <c r="D1091" i="6" s="1"/>
  <c r="C1090" i="6"/>
  <c r="D1090" i="6" s="1"/>
  <c r="C1089" i="6"/>
  <c r="D1089" i="6" s="1"/>
  <c r="C1088" i="6"/>
  <c r="D1088" i="6" s="1"/>
  <c r="C1087" i="6"/>
  <c r="D1087" i="6" s="1"/>
  <c r="C1086" i="6"/>
  <c r="D1086" i="6" s="1"/>
  <c r="C1085" i="6"/>
  <c r="D1085" i="6" s="1"/>
  <c r="C1084" i="6"/>
  <c r="D1084" i="6" s="1"/>
  <c r="C1083" i="6"/>
  <c r="D1083" i="6" s="1"/>
  <c r="C1082" i="6"/>
  <c r="D1082" i="6" s="1"/>
  <c r="C1081" i="6"/>
  <c r="D1081" i="6" s="1"/>
  <c r="C1080" i="6"/>
  <c r="D1080" i="6" s="1"/>
  <c r="C1079" i="6"/>
  <c r="D1079" i="6" s="1"/>
  <c r="C1078" i="6"/>
  <c r="D1078" i="6" s="1"/>
  <c r="C1077" i="6"/>
  <c r="D1077" i="6" s="1"/>
  <c r="C1076" i="6"/>
  <c r="D1076" i="6" s="1"/>
  <c r="C1075" i="6"/>
  <c r="D1075" i="6" s="1"/>
  <c r="C1074" i="6"/>
  <c r="D1074" i="6" s="1"/>
  <c r="C1073" i="6"/>
  <c r="D1073" i="6" s="1"/>
  <c r="C1072" i="6"/>
  <c r="D1072" i="6" s="1"/>
  <c r="C1071" i="6"/>
  <c r="D1071" i="6" s="1"/>
  <c r="C1070" i="6"/>
  <c r="D1070" i="6" s="1"/>
  <c r="C1069" i="6"/>
  <c r="D1069" i="6" s="1"/>
  <c r="C1068" i="6"/>
  <c r="D1068" i="6" s="1"/>
  <c r="C1067" i="6"/>
  <c r="D1067" i="6" s="1"/>
  <c r="C1066" i="6"/>
  <c r="D1066" i="6" s="1"/>
  <c r="C1065" i="6"/>
  <c r="D1065" i="6" s="1"/>
  <c r="C1064" i="6"/>
  <c r="D1064" i="6" s="1"/>
  <c r="C1063" i="6"/>
  <c r="D1063" i="6" s="1"/>
  <c r="C1062" i="6"/>
  <c r="D1062" i="6" s="1"/>
  <c r="C1061" i="6"/>
  <c r="D1061" i="6" s="1"/>
  <c r="C1060" i="6"/>
  <c r="D1060" i="6" s="1"/>
  <c r="C1059" i="6"/>
  <c r="D1059" i="6" s="1"/>
  <c r="C1058" i="6"/>
  <c r="D1058" i="6" s="1"/>
  <c r="C1057" i="6"/>
  <c r="D1057" i="6" s="1"/>
  <c r="C1056" i="6"/>
  <c r="D1056" i="6" s="1"/>
  <c r="C1055" i="6"/>
  <c r="D1055" i="6" s="1"/>
  <c r="C1054" i="6"/>
  <c r="D1054" i="6" s="1"/>
  <c r="C1053" i="6"/>
  <c r="D1053" i="6" s="1"/>
  <c r="C1052" i="6"/>
  <c r="D1052" i="6" s="1"/>
  <c r="C1051" i="6"/>
  <c r="D1051" i="6" s="1"/>
  <c r="C1050" i="6"/>
  <c r="D1050" i="6" s="1"/>
  <c r="C1049" i="6"/>
  <c r="D1049" i="6" s="1"/>
  <c r="C1048" i="6"/>
  <c r="D1048" i="6" s="1"/>
  <c r="C1047" i="6"/>
  <c r="D1047" i="6" s="1"/>
  <c r="C1046" i="6"/>
  <c r="D1046" i="6" s="1"/>
  <c r="C1045" i="6"/>
  <c r="D1045" i="6" s="1"/>
  <c r="C1044" i="6"/>
  <c r="D1044" i="6" s="1"/>
  <c r="C1043" i="6"/>
  <c r="D1043" i="6" s="1"/>
  <c r="C1042" i="6"/>
  <c r="D1042" i="6" s="1"/>
  <c r="C1041" i="6"/>
  <c r="D1041" i="6" s="1"/>
  <c r="C1040" i="6"/>
  <c r="D1040" i="6" s="1"/>
  <c r="C1039" i="6"/>
  <c r="D1039" i="6" s="1"/>
  <c r="C1038" i="6"/>
  <c r="D1038" i="6" s="1"/>
  <c r="C1037" i="6"/>
  <c r="D1037" i="6" s="1"/>
  <c r="C1036" i="6"/>
  <c r="D1036" i="6" s="1"/>
  <c r="C1035" i="6"/>
  <c r="D1035" i="6" s="1"/>
  <c r="C1034" i="6"/>
  <c r="D1034" i="6" s="1"/>
  <c r="C1033" i="6"/>
  <c r="D1033" i="6" s="1"/>
  <c r="C1032" i="6"/>
  <c r="D1032" i="6" s="1"/>
  <c r="C1031" i="6"/>
  <c r="D1031" i="6" s="1"/>
  <c r="C1030" i="6"/>
  <c r="D1030" i="6" s="1"/>
  <c r="C1029" i="6"/>
  <c r="D1029" i="6" s="1"/>
  <c r="C1028" i="6"/>
  <c r="D1028" i="6" s="1"/>
  <c r="C1027" i="6"/>
  <c r="D1027" i="6" s="1"/>
  <c r="C1026" i="6"/>
  <c r="D1026" i="6" s="1"/>
  <c r="C1025" i="6"/>
  <c r="D1025" i="6" s="1"/>
  <c r="C1024" i="6"/>
  <c r="D1024" i="6" s="1"/>
  <c r="C1023" i="6"/>
  <c r="D1023" i="6" s="1"/>
  <c r="C1022" i="6"/>
  <c r="D1022" i="6" s="1"/>
  <c r="C1021" i="6"/>
  <c r="D1021" i="6" s="1"/>
  <c r="C1020" i="6"/>
  <c r="D1020" i="6" s="1"/>
  <c r="C1019" i="6"/>
  <c r="D1019" i="6" s="1"/>
  <c r="C1018" i="6"/>
  <c r="D1018" i="6" s="1"/>
  <c r="C1017" i="6"/>
  <c r="D1017" i="6" s="1"/>
  <c r="C1016" i="6"/>
  <c r="D1016" i="6" s="1"/>
  <c r="C1015" i="6"/>
  <c r="D1015" i="6" s="1"/>
  <c r="C1014" i="6"/>
  <c r="D1014" i="6" s="1"/>
  <c r="C1013" i="6"/>
  <c r="D1013" i="6" s="1"/>
  <c r="C1012" i="6"/>
  <c r="D1012" i="6" s="1"/>
  <c r="C1011" i="6"/>
  <c r="D1011" i="6" s="1"/>
  <c r="C1010" i="6"/>
  <c r="D1010" i="6" s="1"/>
  <c r="C1009" i="6"/>
  <c r="D1009" i="6" s="1"/>
  <c r="C1008" i="6"/>
  <c r="D1008" i="6" s="1"/>
  <c r="C1007" i="6"/>
  <c r="D1007" i="6" s="1"/>
  <c r="C1006" i="6"/>
  <c r="D1006" i="6" s="1"/>
  <c r="C1005" i="6"/>
  <c r="D1005" i="6" s="1"/>
  <c r="C1004" i="6"/>
  <c r="D1004" i="6" s="1"/>
  <c r="C1003" i="6"/>
  <c r="D1003" i="6" s="1"/>
  <c r="C1002" i="6"/>
  <c r="D1002" i="6" s="1"/>
  <c r="C1001" i="6"/>
  <c r="D1001" i="6" s="1"/>
  <c r="C1000" i="6"/>
  <c r="D1000" i="6" s="1"/>
  <c r="C999" i="6"/>
  <c r="D999" i="6" s="1"/>
  <c r="C998" i="6"/>
  <c r="D998" i="6" s="1"/>
  <c r="C997" i="6"/>
  <c r="D997" i="6" s="1"/>
  <c r="C996" i="6"/>
  <c r="D996" i="6" s="1"/>
  <c r="C995" i="6"/>
  <c r="D995" i="6" s="1"/>
  <c r="C994" i="6"/>
  <c r="D994" i="6" s="1"/>
  <c r="C993" i="6"/>
  <c r="D993" i="6" s="1"/>
  <c r="C992" i="6"/>
  <c r="D992" i="6" s="1"/>
  <c r="C991" i="6"/>
  <c r="D991" i="6" s="1"/>
  <c r="C990" i="6"/>
  <c r="D990" i="6" s="1"/>
  <c r="C989" i="6"/>
  <c r="D989" i="6" s="1"/>
  <c r="C988" i="6"/>
  <c r="D988" i="6" s="1"/>
  <c r="C987" i="6"/>
  <c r="D987" i="6" s="1"/>
  <c r="C986" i="6"/>
  <c r="D986" i="6" s="1"/>
  <c r="C985" i="6"/>
  <c r="D985" i="6" s="1"/>
  <c r="C984" i="6"/>
  <c r="D984" i="6" s="1"/>
  <c r="C983" i="6"/>
  <c r="D983" i="6" s="1"/>
  <c r="C982" i="6"/>
  <c r="D982" i="6" s="1"/>
  <c r="C981" i="6"/>
  <c r="D981" i="6" s="1"/>
  <c r="C980" i="6"/>
  <c r="D980" i="6" s="1"/>
  <c r="C979" i="6"/>
  <c r="D979" i="6" s="1"/>
  <c r="C978" i="6"/>
  <c r="D978" i="6" s="1"/>
  <c r="C977" i="6"/>
  <c r="D977" i="6" s="1"/>
  <c r="C976" i="6"/>
  <c r="D976" i="6" s="1"/>
  <c r="C975" i="6"/>
  <c r="D975" i="6" s="1"/>
  <c r="C974" i="6"/>
  <c r="D974" i="6" s="1"/>
  <c r="C973" i="6"/>
  <c r="D973" i="6" s="1"/>
  <c r="C972" i="6"/>
  <c r="D972" i="6" s="1"/>
  <c r="C971" i="6"/>
  <c r="D971" i="6" s="1"/>
  <c r="C970" i="6"/>
  <c r="D970" i="6" s="1"/>
  <c r="C969" i="6"/>
  <c r="D969" i="6" s="1"/>
  <c r="C968" i="6"/>
  <c r="D968" i="6" s="1"/>
  <c r="C967" i="6"/>
  <c r="D967" i="6" s="1"/>
  <c r="C966" i="6"/>
  <c r="D966" i="6" s="1"/>
  <c r="C965" i="6"/>
  <c r="D965" i="6" s="1"/>
  <c r="C964" i="6"/>
  <c r="D964" i="6" s="1"/>
  <c r="C963" i="6"/>
  <c r="D963" i="6" s="1"/>
  <c r="C962" i="6"/>
  <c r="D962" i="6" s="1"/>
  <c r="C961" i="6"/>
  <c r="D961" i="6" s="1"/>
  <c r="C960" i="6"/>
  <c r="D960" i="6" s="1"/>
  <c r="C959" i="6"/>
  <c r="D959" i="6" s="1"/>
  <c r="C958" i="6"/>
  <c r="D958" i="6" s="1"/>
  <c r="C957" i="6"/>
  <c r="D957" i="6" s="1"/>
  <c r="C956" i="6"/>
  <c r="D956" i="6" s="1"/>
  <c r="C955" i="6"/>
  <c r="D955" i="6" s="1"/>
  <c r="C954" i="6"/>
  <c r="D954" i="6" s="1"/>
  <c r="C953" i="6"/>
  <c r="D953" i="6" s="1"/>
  <c r="C952" i="6"/>
  <c r="D952" i="6" s="1"/>
  <c r="C951" i="6"/>
  <c r="D951" i="6" s="1"/>
  <c r="C950" i="6"/>
  <c r="D950" i="6" s="1"/>
  <c r="C949" i="6"/>
  <c r="D949" i="6" s="1"/>
  <c r="C948" i="6"/>
  <c r="D948" i="6" s="1"/>
  <c r="C947" i="6"/>
  <c r="D947" i="6" s="1"/>
  <c r="C946" i="6"/>
  <c r="D946" i="6" s="1"/>
  <c r="C945" i="6"/>
  <c r="D945" i="6" s="1"/>
  <c r="C944" i="6"/>
  <c r="D944" i="6" s="1"/>
  <c r="C943" i="6"/>
  <c r="D943" i="6" s="1"/>
  <c r="C942" i="6"/>
  <c r="D942" i="6" s="1"/>
  <c r="C941" i="6"/>
  <c r="D941" i="6" s="1"/>
  <c r="C940" i="6"/>
  <c r="D940" i="6" s="1"/>
  <c r="C939" i="6"/>
  <c r="D939" i="6" s="1"/>
  <c r="C938" i="6"/>
  <c r="D938" i="6" s="1"/>
  <c r="C937" i="6"/>
  <c r="D937" i="6" s="1"/>
  <c r="C936" i="6"/>
  <c r="D936" i="6" s="1"/>
  <c r="C935" i="6"/>
  <c r="D935" i="6" s="1"/>
  <c r="C934" i="6"/>
  <c r="D934" i="6" s="1"/>
  <c r="C933" i="6"/>
  <c r="D933" i="6" s="1"/>
  <c r="C932" i="6"/>
  <c r="D932" i="6" s="1"/>
  <c r="C931" i="6"/>
  <c r="D931" i="6" s="1"/>
  <c r="C930" i="6"/>
  <c r="D930" i="6" s="1"/>
  <c r="C929" i="6"/>
  <c r="D929" i="6" s="1"/>
  <c r="C928" i="6"/>
  <c r="D928" i="6" s="1"/>
  <c r="C927" i="6"/>
  <c r="D927" i="6" s="1"/>
  <c r="C926" i="6"/>
  <c r="D926" i="6" s="1"/>
  <c r="C925" i="6"/>
  <c r="D925" i="6" s="1"/>
  <c r="C924" i="6"/>
  <c r="D924" i="6" s="1"/>
  <c r="C923" i="6"/>
  <c r="D923" i="6" s="1"/>
  <c r="C922" i="6"/>
  <c r="D922" i="6" s="1"/>
  <c r="C921" i="6"/>
  <c r="D921" i="6" s="1"/>
  <c r="C920" i="6"/>
  <c r="D920" i="6" s="1"/>
  <c r="C919" i="6"/>
  <c r="D919" i="6" s="1"/>
  <c r="C918" i="6"/>
  <c r="D918" i="6" s="1"/>
  <c r="C917" i="6"/>
  <c r="D917" i="6" s="1"/>
  <c r="C916" i="6"/>
  <c r="D916" i="6" s="1"/>
  <c r="C915" i="6"/>
  <c r="D915" i="6" s="1"/>
  <c r="C914" i="6"/>
  <c r="D914" i="6" s="1"/>
  <c r="C913" i="6"/>
  <c r="D913" i="6" s="1"/>
  <c r="C912" i="6"/>
  <c r="D912" i="6" s="1"/>
  <c r="C911" i="6"/>
  <c r="D911" i="6" s="1"/>
  <c r="C910" i="6"/>
  <c r="D910" i="6" s="1"/>
  <c r="C909" i="6"/>
  <c r="D909" i="6" s="1"/>
  <c r="C908" i="6"/>
  <c r="D908" i="6" s="1"/>
  <c r="C907" i="6"/>
  <c r="D907" i="6" s="1"/>
  <c r="C906" i="6"/>
  <c r="D906" i="6" s="1"/>
  <c r="C905" i="6"/>
  <c r="D905" i="6" s="1"/>
  <c r="C904" i="6"/>
  <c r="D904" i="6" s="1"/>
  <c r="C903" i="6"/>
  <c r="D903" i="6" s="1"/>
  <c r="C902" i="6"/>
  <c r="D902" i="6" s="1"/>
  <c r="C901" i="6"/>
  <c r="D901" i="6" s="1"/>
  <c r="C900" i="6"/>
  <c r="D900" i="6" s="1"/>
  <c r="C899" i="6"/>
  <c r="D899" i="6" s="1"/>
  <c r="C898" i="6"/>
  <c r="D898" i="6" s="1"/>
  <c r="C897" i="6"/>
  <c r="D897" i="6" s="1"/>
  <c r="C896" i="6"/>
  <c r="D896" i="6" s="1"/>
  <c r="C895" i="6"/>
  <c r="D895" i="6" s="1"/>
  <c r="C894" i="6"/>
  <c r="D894" i="6" s="1"/>
  <c r="C893" i="6"/>
  <c r="D893" i="6" s="1"/>
  <c r="C892" i="6"/>
  <c r="D892" i="6" s="1"/>
  <c r="C891" i="6"/>
  <c r="D891" i="6" s="1"/>
  <c r="C890" i="6"/>
  <c r="D890" i="6" s="1"/>
  <c r="C889" i="6"/>
  <c r="D889" i="6" s="1"/>
  <c r="C888" i="6"/>
  <c r="D888" i="6" s="1"/>
  <c r="C887" i="6"/>
  <c r="D887" i="6" s="1"/>
  <c r="C886" i="6"/>
  <c r="D886" i="6" s="1"/>
  <c r="C885" i="6"/>
  <c r="D885" i="6" s="1"/>
  <c r="C884" i="6"/>
  <c r="D884" i="6" s="1"/>
  <c r="C883" i="6"/>
  <c r="D883" i="6" s="1"/>
  <c r="C882" i="6"/>
  <c r="D882" i="6" s="1"/>
  <c r="C881" i="6"/>
  <c r="D881" i="6" s="1"/>
  <c r="C880" i="6"/>
  <c r="D880" i="6" s="1"/>
  <c r="C879" i="6"/>
  <c r="D879" i="6" s="1"/>
  <c r="C878" i="6"/>
  <c r="D878" i="6" s="1"/>
  <c r="C877" i="6"/>
  <c r="D877" i="6" s="1"/>
  <c r="C876" i="6"/>
  <c r="D876" i="6" s="1"/>
  <c r="C875" i="6"/>
  <c r="D875" i="6" s="1"/>
  <c r="C874" i="6"/>
  <c r="D874" i="6" s="1"/>
  <c r="C873" i="6"/>
  <c r="D873" i="6" s="1"/>
  <c r="C872" i="6"/>
  <c r="D872" i="6" s="1"/>
  <c r="C871" i="6"/>
  <c r="D871" i="6" s="1"/>
  <c r="C870" i="6"/>
  <c r="D870" i="6" s="1"/>
  <c r="C869" i="6"/>
  <c r="D869" i="6" s="1"/>
  <c r="C868" i="6"/>
  <c r="D868" i="6" s="1"/>
  <c r="C867" i="6"/>
  <c r="D867" i="6" s="1"/>
  <c r="C866" i="6"/>
  <c r="D866" i="6" s="1"/>
  <c r="C865" i="6"/>
  <c r="D865" i="6" s="1"/>
  <c r="C864" i="6"/>
  <c r="D864" i="6" s="1"/>
  <c r="C863" i="6"/>
  <c r="D863" i="6" s="1"/>
  <c r="C862" i="6"/>
  <c r="D862" i="6" s="1"/>
  <c r="C861" i="6"/>
  <c r="D861" i="6" s="1"/>
  <c r="C860" i="6"/>
  <c r="D860" i="6" s="1"/>
  <c r="C859" i="6"/>
  <c r="D859" i="6" s="1"/>
  <c r="C858" i="6"/>
  <c r="D858" i="6" s="1"/>
  <c r="C857" i="6"/>
  <c r="D857" i="6" s="1"/>
  <c r="C856" i="6"/>
  <c r="D856" i="6" s="1"/>
  <c r="C855" i="6"/>
  <c r="D855" i="6" s="1"/>
  <c r="C854" i="6"/>
  <c r="D854" i="6" s="1"/>
  <c r="C853" i="6"/>
  <c r="D853" i="6" s="1"/>
  <c r="C852" i="6"/>
  <c r="D852" i="6" s="1"/>
  <c r="C851" i="6"/>
  <c r="D851" i="6" s="1"/>
  <c r="C850" i="6"/>
  <c r="D850" i="6" s="1"/>
  <c r="C849" i="6"/>
  <c r="D849" i="6" s="1"/>
  <c r="C848" i="6"/>
  <c r="D848" i="6" s="1"/>
  <c r="C847" i="6"/>
  <c r="D847" i="6" s="1"/>
  <c r="C846" i="6"/>
  <c r="D846" i="6" s="1"/>
  <c r="C845" i="6"/>
  <c r="D845" i="6" s="1"/>
  <c r="C844" i="6"/>
  <c r="D844" i="6" s="1"/>
  <c r="C843" i="6"/>
  <c r="D843" i="6" s="1"/>
  <c r="C842" i="6"/>
  <c r="D842" i="6" s="1"/>
  <c r="C841" i="6"/>
  <c r="D841" i="6" s="1"/>
  <c r="C840" i="6"/>
  <c r="D840" i="6" s="1"/>
  <c r="C839" i="6"/>
  <c r="D839" i="6" s="1"/>
  <c r="C838" i="6"/>
  <c r="D838" i="6" s="1"/>
  <c r="C837" i="6"/>
  <c r="D837" i="6" s="1"/>
  <c r="C836" i="6"/>
  <c r="D836" i="6" s="1"/>
  <c r="C835" i="6"/>
  <c r="D835" i="6" s="1"/>
  <c r="C834" i="6"/>
  <c r="D834" i="6" s="1"/>
  <c r="C833" i="6"/>
  <c r="D833" i="6" s="1"/>
  <c r="C832" i="6"/>
  <c r="D832" i="6" s="1"/>
  <c r="C831" i="6"/>
  <c r="D831" i="6" s="1"/>
  <c r="C830" i="6"/>
  <c r="D830" i="6" s="1"/>
  <c r="C829" i="6"/>
  <c r="D829" i="6" s="1"/>
  <c r="C828" i="6"/>
  <c r="D828" i="6" s="1"/>
  <c r="C827" i="6"/>
  <c r="D827" i="6" s="1"/>
  <c r="C826" i="6"/>
  <c r="D826" i="6" s="1"/>
  <c r="C825" i="6"/>
  <c r="D825" i="6" s="1"/>
  <c r="C824" i="6"/>
  <c r="D824" i="6" s="1"/>
  <c r="C823" i="6"/>
  <c r="D823" i="6" s="1"/>
  <c r="C822" i="6"/>
  <c r="D822" i="6" s="1"/>
  <c r="C821" i="6"/>
  <c r="D821" i="6" s="1"/>
  <c r="C820" i="6"/>
  <c r="D820" i="6" s="1"/>
  <c r="C819" i="6"/>
  <c r="D819" i="6" s="1"/>
  <c r="C818" i="6"/>
  <c r="D818" i="6" s="1"/>
  <c r="C817" i="6"/>
  <c r="D817" i="6" s="1"/>
  <c r="C816" i="6"/>
  <c r="D816" i="6" s="1"/>
  <c r="C815" i="6"/>
  <c r="D815" i="6" s="1"/>
  <c r="C814" i="6"/>
  <c r="D814" i="6" s="1"/>
  <c r="C813" i="6"/>
  <c r="D813" i="6" s="1"/>
  <c r="C812" i="6"/>
  <c r="D812" i="6" s="1"/>
  <c r="C811" i="6"/>
  <c r="D811" i="6" s="1"/>
  <c r="C810" i="6"/>
  <c r="D810" i="6" s="1"/>
  <c r="C809" i="6"/>
  <c r="D809" i="6" s="1"/>
  <c r="C808" i="6"/>
  <c r="D808" i="6" s="1"/>
  <c r="C807" i="6"/>
  <c r="D807" i="6" s="1"/>
  <c r="C806" i="6"/>
  <c r="D806" i="6" s="1"/>
  <c r="C805" i="6"/>
  <c r="D805" i="6" s="1"/>
  <c r="C804" i="6"/>
  <c r="D804" i="6" s="1"/>
  <c r="C803" i="6"/>
  <c r="D803" i="6" s="1"/>
  <c r="C802" i="6"/>
  <c r="D802" i="6" s="1"/>
  <c r="C801" i="6"/>
  <c r="D801" i="6" s="1"/>
  <c r="C800" i="6"/>
  <c r="D800" i="6" s="1"/>
  <c r="C799" i="6"/>
  <c r="D799" i="6" s="1"/>
  <c r="C798" i="6"/>
  <c r="D798" i="6" s="1"/>
  <c r="C797" i="6"/>
  <c r="D797" i="6" s="1"/>
  <c r="C796" i="6"/>
  <c r="D796" i="6" s="1"/>
  <c r="C795" i="6"/>
  <c r="D795" i="6" s="1"/>
  <c r="C794" i="6"/>
  <c r="D794" i="6" s="1"/>
  <c r="C793" i="6"/>
  <c r="D793" i="6" s="1"/>
  <c r="C792" i="6"/>
  <c r="D792" i="6" s="1"/>
  <c r="C791" i="6"/>
  <c r="D791" i="6" s="1"/>
  <c r="C790" i="6"/>
  <c r="D790" i="6" s="1"/>
  <c r="C789" i="6"/>
  <c r="D789" i="6" s="1"/>
  <c r="C788" i="6"/>
  <c r="D788" i="6" s="1"/>
  <c r="C787" i="6"/>
  <c r="D787" i="6" s="1"/>
  <c r="C786" i="6"/>
  <c r="D786" i="6" s="1"/>
  <c r="C785" i="6"/>
  <c r="D785" i="6" s="1"/>
  <c r="C784" i="6"/>
  <c r="D784" i="6" s="1"/>
  <c r="C783" i="6"/>
  <c r="D783" i="6" s="1"/>
  <c r="C782" i="6"/>
  <c r="D782" i="6" s="1"/>
  <c r="C781" i="6"/>
  <c r="D781" i="6" s="1"/>
  <c r="C780" i="6"/>
  <c r="D780" i="6" s="1"/>
  <c r="C779" i="6"/>
  <c r="D779" i="6" s="1"/>
  <c r="C778" i="6"/>
  <c r="D778" i="6" s="1"/>
  <c r="C777" i="6"/>
  <c r="D777" i="6" s="1"/>
  <c r="C776" i="6"/>
  <c r="D776" i="6" s="1"/>
  <c r="C775" i="6"/>
  <c r="D775" i="6" s="1"/>
  <c r="C774" i="6"/>
  <c r="D774" i="6" s="1"/>
  <c r="C773" i="6"/>
  <c r="D773" i="6" s="1"/>
  <c r="C772" i="6"/>
  <c r="D772" i="6" s="1"/>
  <c r="C771" i="6"/>
  <c r="D771" i="6" s="1"/>
  <c r="C770" i="6"/>
  <c r="D770" i="6" s="1"/>
  <c r="C769" i="6"/>
  <c r="D769" i="6" s="1"/>
  <c r="C768" i="6"/>
  <c r="D768" i="6" s="1"/>
  <c r="C767" i="6"/>
  <c r="D767" i="6" s="1"/>
  <c r="C766" i="6"/>
  <c r="D766" i="6" s="1"/>
  <c r="C765" i="6"/>
  <c r="D765" i="6" s="1"/>
  <c r="C764" i="6"/>
  <c r="D764" i="6" s="1"/>
  <c r="C763" i="6"/>
  <c r="D763" i="6" s="1"/>
  <c r="C762" i="6"/>
  <c r="D762" i="6" s="1"/>
  <c r="C761" i="6"/>
  <c r="D761" i="6" s="1"/>
  <c r="C760" i="6"/>
  <c r="D760" i="6" s="1"/>
  <c r="C759" i="6"/>
  <c r="D759" i="6" s="1"/>
  <c r="C758" i="6"/>
  <c r="D758" i="6" s="1"/>
  <c r="C757" i="6"/>
  <c r="D757" i="6" s="1"/>
  <c r="C756" i="6"/>
  <c r="D756" i="6" s="1"/>
  <c r="C755" i="6"/>
  <c r="D755" i="6" s="1"/>
  <c r="C754" i="6"/>
  <c r="D754" i="6" s="1"/>
  <c r="C753" i="6"/>
  <c r="D753" i="6" s="1"/>
  <c r="C752" i="6"/>
  <c r="D752" i="6" s="1"/>
  <c r="C751" i="6"/>
  <c r="D751" i="6" s="1"/>
  <c r="C750" i="6"/>
  <c r="D750" i="6" s="1"/>
  <c r="C749" i="6"/>
  <c r="D749" i="6" s="1"/>
  <c r="C748" i="6"/>
  <c r="D748" i="6" s="1"/>
  <c r="C747" i="6"/>
  <c r="D747" i="6" s="1"/>
  <c r="C746" i="6"/>
  <c r="D746" i="6" s="1"/>
  <c r="C745" i="6"/>
  <c r="D745" i="6" s="1"/>
  <c r="C744" i="6"/>
  <c r="D744" i="6" s="1"/>
  <c r="C743" i="6"/>
  <c r="D743" i="6" s="1"/>
  <c r="C742" i="6"/>
  <c r="D742" i="6" s="1"/>
  <c r="C741" i="6"/>
  <c r="D741" i="6" s="1"/>
  <c r="C740" i="6"/>
  <c r="D740" i="6" s="1"/>
  <c r="C739" i="6"/>
  <c r="D739" i="6" s="1"/>
  <c r="C738" i="6"/>
  <c r="D738" i="6" s="1"/>
  <c r="C737" i="6"/>
  <c r="D737" i="6" s="1"/>
  <c r="C736" i="6"/>
  <c r="D736" i="6" s="1"/>
  <c r="C735" i="6"/>
  <c r="D735" i="6" s="1"/>
  <c r="C734" i="6"/>
  <c r="D734" i="6" s="1"/>
  <c r="C733" i="6"/>
  <c r="D733" i="6" s="1"/>
  <c r="C732" i="6"/>
  <c r="D732" i="6" s="1"/>
  <c r="C731" i="6"/>
  <c r="D731" i="6" s="1"/>
  <c r="C730" i="6"/>
  <c r="D730" i="6" s="1"/>
  <c r="C729" i="6"/>
  <c r="D729" i="6" s="1"/>
  <c r="C728" i="6"/>
  <c r="D728" i="6" s="1"/>
  <c r="C727" i="6"/>
  <c r="D727" i="6" s="1"/>
  <c r="C726" i="6"/>
  <c r="D726" i="6" s="1"/>
  <c r="C725" i="6"/>
  <c r="D725" i="6" s="1"/>
  <c r="C724" i="6"/>
  <c r="D724" i="6" s="1"/>
  <c r="C723" i="6"/>
  <c r="D723" i="6" s="1"/>
  <c r="C722" i="6"/>
  <c r="D722" i="6" s="1"/>
  <c r="C721" i="6"/>
  <c r="D721" i="6" s="1"/>
  <c r="C720" i="6"/>
  <c r="D720" i="6" s="1"/>
  <c r="C719" i="6"/>
  <c r="D719" i="6" s="1"/>
  <c r="C718" i="6"/>
  <c r="D718" i="6" s="1"/>
  <c r="C717" i="6"/>
  <c r="D717" i="6" s="1"/>
  <c r="C716" i="6"/>
  <c r="D716" i="6" s="1"/>
  <c r="C715" i="6"/>
  <c r="D715" i="6" s="1"/>
  <c r="C714" i="6"/>
  <c r="D714" i="6" s="1"/>
  <c r="C713" i="6"/>
  <c r="D713" i="6" s="1"/>
  <c r="C712" i="6"/>
  <c r="D712" i="6" s="1"/>
  <c r="C711" i="6"/>
  <c r="D711" i="6" s="1"/>
  <c r="C710" i="6"/>
  <c r="D710" i="6" s="1"/>
  <c r="C709" i="6"/>
  <c r="D709" i="6" s="1"/>
  <c r="C708" i="6"/>
  <c r="D708" i="6" s="1"/>
  <c r="C707" i="6"/>
  <c r="D707" i="6" s="1"/>
  <c r="C706" i="6"/>
  <c r="D706" i="6" s="1"/>
  <c r="C705" i="6"/>
  <c r="D705" i="6" s="1"/>
  <c r="C704" i="6"/>
  <c r="D704" i="6" s="1"/>
  <c r="C703" i="6"/>
  <c r="D703" i="6" s="1"/>
  <c r="C702" i="6"/>
  <c r="D702" i="6" s="1"/>
  <c r="C701" i="6"/>
  <c r="D701" i="6" s="1"/>
  <c r="C700" i="6"/>
  <c r="D700" i="6" s="1"/>
  <c r="C699" i="6"/>
  <c r="D699" i="6" s="1"/>
  <c r="C698" i="6"/>
  <c r="D698" i="6" s="1"/>
  <c r="C697" i="6"/>
  <c r="D697" i="6" s="1"/>
  <c r="C696" i="6"/>
  <c r="D696" i="6" s="1"/>
  <c r="C695" i="6"/>
  <c r="D695" i="6" s="1"/>
  <c r="C694" i="6"/>
  <c r="D694" i="6" s="1"/>
  <c r="C693" i="6"/>
  <c r="D693" i="6" s="1"/>
  <c r="C692" i="6"/>
  <c r="D692" i="6" s="1"/>
  <c r="C691" i="6"/>
  <c r="D691" i="6" s="1"/>
  <c r="C690" i="6"/>
  <c r="D690" i="6" s="1"/>
  <c r="C689" i="6"/>
  <c r="D689" i="6" s="1"/>
  <c r="C688" i="6"/>
  <c r="D688" i="6" s="1"/>
  <c r="C687" i="6"/>
  <c r="D687" i="6" s="1"/>
  <c r="C686" i="6"/>
  <c r="D686" i="6" s="1"/>
  <c r="C685" i="6"/>
  <c r="D685" i="6" s="1"/>
  <c r="C684" i="6"/>
  <c r="D684" i="6" s="1"/>
  <c r="C683" i="6"/>
  <c r="D683" i="6" s="1"/>
  <c r="C682" i="6"/>
  <c r="D682" i="6" s="1"/>
  <c r="C681" i="6"/>
  <c r="D681" i="6" s="1"/>
  <c r="C680" i="6"/>
  <c r="D680" i="6" s="1"/>
  <c r="C679" i="6"/>
  <c r="D679" i="6" s="1"/>
  <c r="C678" i="6"/>
  <c r="D678" i="6" s="1"/>
  <c r="C677" i="6"/>
  <c r="D677" i="6" s="1"/>
  <c r="C676" i="6"/>
  <c r="D676" i="6" s="1"/>
  <c r="C675" i="6"/>
  <c r="D675" i="6" s="1"/>
  <c r="C674" i="6"/>
  <c r="D674" i="6" s="1"/>
  <c r="C673" i="6"/>
  <c r="D673" i="6" s="1"/>
  <c r="C672" i="6"/>
  <c r="D672" i="6" s="1"/>
  <c r="C671" i="6"/>
  <c r="D671" i="6" s="1"/>
  <c r="C670" i="6"/>
  <c r="D670" i="6" s="1"/>
  <c r="C669" i="6"/>
  <c r="D669" i="6" s="1"/>
  <c r="C668" i="6"/>
  <c r="D668" i="6" s="1"/>
  <c r="C667" i="6"/>
  <c r="D667" i="6" s="1"/>
  <c r="C666" i="6"/>
  <c r="D666" i="6" s="1"/>
  <c r="C665" i="6"/>
  <c r="D665" i="6" s="1"/>
  <c r="C664" i="6"/>
  <c r="D664" i="6" s="1"/>
  <c r="C663" i="6"/>
  <c r="D663" i="6" s="1"/>
  <c r="C662" i="6"/>
  <c r="D662" i="6" s="1"/>
  <c r="C661" i="6"/>
  <c r="D661" i="6" s="1"/>
  <c r="C660" i="6"/>
  <c r="D660" i="6" s="1"/>
  <c r="C659" i="6"/>
  <c r="D659" i="6" s="1"/>
  <c r="C658" i="6"/>
  <c r="D658" i="6" s="1"/>
  <c r="C657" i="6"/>
  <c r="D657" i="6" s="1"/>
  <c r="C656" i="6"/>
  <c r="D656" i="6" s="1"/>
  <c r="C655" i="6"/>
  <c r="D655" i="6" s="1"/>
  <c r="C654" i="6"/>
  <c r="D654" i="6" s="1"/>
  <c r="C653" i="6"/>
  <c r="D653" i="6" s="1"/>
  <c r="C652" i="6"/>
  <c r="D652" i="6" s="1"/>
  <c r="C651" i="6"/>
  <c r="D651" i="6" s="1"/>
  <c r="C650" i="6"/>
  <c r="D650" i="6" s="1"/>
  <c r="C649" i="6"/>
  <c r="D649" i="6" s="1"/>
  <c r="C648" i="6"/>
  <c r="D648" i="6" s="1"/>
  <c r="C647" i="6"/>
  <c r="D647" i="6" s="1"/>
  <c r="C646" i="6"/>
  <c r="D646" i="6" s="1"/>
  <c r="C645" i="6"/>
  <c r="D645" i="6" s="1"/>
  <c r="C644" i="6"/>
  <c r="D644" i="6" s="1"/>
  <c r="C643" i="6"/>
  <c r="D643" i="6" s="1"/>
  <c r="C642" i="6"/>
  <c r="D642" i="6" s="1"/>
  <c r="C641" i="6"/>
  <c r="D641" i="6" s="1"/>
  <c r="C640" i="6"/>
  <c r="D640" i="6" s="1"/>
  <c r="C639" i="6"/>
  <c r="D639" i="6" s="1"/>
  <c r="C638" i="6"/>
  <c r="D638" i="6" s="1"/>
  <c r="C637" i="6"/>
  <c r="D637" i="6" s="1"/>
  <c r="C636" i="6"/>
  <c r="D636" i="6" s="1"/>
  <c r="C635" i="6"/>
  <c r="D635" i="6" s="1"/>
  <c r="C634" i="6"/>
  <c r="D634" i="6" s="1"/>
  <c r="C633" i="6"/>
  <c r="D633" i="6" s="1"/>
  <c r="C632" i="6"/>
  <c r="D632" i="6" s="1"/>
  <c r="C631" i="6"/>
  <c r="D631" i="6" s="1"/>
  <c r="C630" i="6"/>
  <c r="D630" i="6" s="1"/>
  <c r="C629" i="6"/>
  <c r="D629" i="6" s="1"/>
  <c r="C628" i="6"/>
  <c r="D628" i="6" s="1"/>
  <c r="C627" i="6"/>
  <c r="D627" i="6" s="1"/>
  <c r="C626" i="6"/>
  <c r="D626" i="6" s="1"/>
  <c r="C625" i="6"/>
  <c r="D625" i="6" s="1"/>
  <c r="C624" i="6"/>
  <c r="D624" i="6" s="1"/>
  <c r="C623" i="6"/>
  <c r="D623" i="6" s="1"/>
  <c r="C622" i="6"/>
  <c r="D622" i="6" s="1"/>
  <c r="C621" i="6"/>
  <c r="D621" i="6" s="1"/>
  <c r="C620" i="6"/>
  <c r="D620" i="6" s="1"/>
  <c r="C619" i="6"/>
  <c r="D619" i="6" s="1"/>
  <c r="C618" i="6"/>
  <c r="D618" i="6" s="1"/>
  <c r="C617" i="6"/>
  <c r="D617" i="6" s="1"/>
  <c r="C616" i="6"/>
  <c r="D616" i="6" s="1"/>
  <c r="C615" i="6"/>
  <c r="D615" i="6" s="1"/>
  <c r="C614" i="6"/>
  <c r="D614" i="6" s="1"/>
  <c r="C613" i="6"/>
  <c r="D613" i="6" s="1"/>
  <c r="C612" i="6"/>
  <c r="D612" i="6" s="1"/>
  <c r="C611" i="6"/>
  <c r="D611" i="6" s="1"/>
  <c r="C610" i="6"/>
  <c r="D610" i="6" s="1"/>
  <c r="C609" i="6"/>
  <c r="D609" i="6" s="1"/>
  <c r="C608" i="6"/>
  <c r="D608" i="6" s="1"/>
  <c r="C607" i="6"/>
  <c r="D607" i="6" s="1"/>
  <c r="C606" i="6"/>
  <c r="D606" i="6" s="1"/>
  <c r="C605" i="6"/>
  <c r="D605" i="6" s="1"/>
  <c r="C604" i="6"/>
  <c r="D604" i="6" s="1"/>
  <c r="C603" i="6"/>
  <c r="D603" i="6" s="1"/>
  <c r="C602" i="6"/>
  <c r="D602" i="6" s="1"/>
  <c r="C601" i="6"/>
  <c r="D601" i="6" s="1"/>
  <c r="C600" i="6"/>
  <c r="D600" i="6" s="1"/>
  <c r="C599" i="6"/>
  <c r="D599" i="6" s="1"/>
  <c r="C598" i="6"/>
  <c r="D598" i="6" s="1"/>
  <c r="C597" i="6"/>
  <c r="D597" i="6" s="1"/>
  <c r="C596" i="6"/>
  <c r="D596" i="6" s="1"/>
  <c r="C595" i="6"/>
  <c r="D595" i="6" s="1"/>
  <c r="C594" i="6"/>
  <c r="D594" i="6" s="1"/>
  <c r="C593" i="6"/>
  <c r="D593" i="6" s="1"/>
  <c r="C592" i="6"/>
  <c r="D592" i="6" s="1"/>
  <c r="C591" i="6"/>
  <c r="D591" i="6" s="1"/>
  <c r="C590" i="6"/>
  <c r="D590" i="6" s="1"/>
  <c r="C589" i="6"/>
  <c r="D589" i="6" s="1"/>
  <c r="C588" i="6"/>
  <c r="D588" i="6" s="1"/>
  <c r="C587" i="6"/>
  <c r="D587" i="6" s="1"/>
  <c r="C586" i="6"/>
  <c r="D586" i="6" s="1"/>
  <c r="C585" i="6"/>
  <c r="D585" i="6" s="1"/>
  <c r="C584" i="6"/>
  <c r="D584" i="6" s="1"/>
  <c r="C583" i="6"/>
  <c r="D583" i="6" s="1"/>
  <c r="C582" i="6"/>
  <c r="D582" i="6" s="1"/>
  <c r="C581" i="6"/>
  <c r="D581" i="6" s="1"/>
  <c r="C580" i="6"/>
  <c r="D580" i="6" s="1"/>
  <c r="C579" i="6"/>
  <c r="D579" i="6" s="1"/>
  <c r="C578" i="6"/>
  <c r="D578" i="6" s="1"/>
  <c r="C577" i="6"/>
  <c r="D577" i="6" s="1"/>
  <c r="C576" i="6"/>
  <c r="D576" i="6" s="1"/>
  <c r="C575" i="6"/>
  <c r="D575" i="6" s="1"/>
  <c r="C574" i="6"/>
  <c r="D574" i="6" s="1"/>
  <c r="C573" i="6"/>
  <c r="D573" i="6" s="1"/>
  <c r="C572" i="6"/>
  <c r="D572" i="6" s="1"/>
  <c r="C571" i="6"/>
  <c r="D571" i="6" s="1"/>
  <c r="C570" i="6"/>
  <c r="D570" i="6" s="1"/>
  <c r="C569" i="6"/>
  <c r="D569" i="6" s="1"/>
  <c r="C568" i="6"/>
  <c r="D568" i="6" s="1"/>
  <c r="C567" i="6"/>
  <c r="D567" i="6" s="1"/>
  <c r="C566" i="6"/>
  <c r="D566" i="6" s="1"/>
  <c r="C565" i="6"/>
  <c r="D565" i="6" s="1"/>
  <c r="C564" i="6"/>
  <c r="D564" i="6" s="1"/>
  <c r="C563" i="6"/>
  <c r="D563" i="6" s="1"/>
  <c r="C562" i="6"/>
  <c r="D562" i="6" s="1"/>
  <c r="C561" i="6"/>
  <c r="D561" i="6" s="1"/>
  <c r="C560" i="6"/>
  <c r="D560" i="6" s="1"/>
  <c r="C559" i="6"/>
  <c r="D559" i="6" s="1"/>
  <c r="C558" i="6"/>
  <c r="D558" i="6" s="1"/>
  <c r="C557" i="6"/>
  <c r="D557" i="6" s="1"/>
  <c r="C556" i="6"/>
  <c r="D556" i="6" s="1"/>
  <c r="C555" i="6"/>
  <c r="D555" i="6" s="1"/>
  <c r="C554" i="6"/>
  <c r="D554" i="6" s="1"/>
  <c r="C553" i="6"/>
  <c r="D553" i="6" s="1"/>
  <c r="C552" i="6"/>
  <c r="D552" i="6" s="1"/>
  <c r="C551" i="6"/>
  <c r="D551" i="6" s="1"/>
  <c r="C550" i="6"/>
  <c r="D550" i="6" s="1"/>
  <c r="C549" i="6"/>
  <c r="D549" i="6" s="1"/>
  <c r="C548" i="6"/>
  <c r="D548" i="6" s="1"/>
  <c r="C547" i="6"/>
  <c r="D547" i="6" s="1"/>
  <c r="C546" i="6"/>
  <c r="D546" i="6" s="1"/>
  <c r="C545" i="6"/>
  <c r="D545" i="6" s="1"/>
  <c r="C544" i="6"/>
  <c r="D544" i="6" s="1"/>
  <c r="C543" i="6"/>
  <c r="D543" i="6" s="1"/>
  <c r="C542" i="6"/>
  <c r="D542" i="6" s="1"/>
  <c r="C541" i="6"/>
  <c r="D541" i="6" s="1"/>
  <c r="C540" i="6"/>
  <c r="D540" i="6" s="1"/>
  <c r="C539" i="6"/>
  <c r="D539" i="6" s="1"/>
  <c r="C538" i="6"/>
  <c r="D538" i="6" s="1"/>
  <c r="C537" i="6"/>
  <c r="D537" i="6" s="1"/>
  <c r="C536" i="6"/>
  <c r="D536" i="6" s="1"/>
  <c r="C535" i="6"/>
  <c r="D535" i="6" s="1"/>
  <c r="C534" i="6"/>
  <c r="D534" i="6" s="1"/>
  <c r="C533" i="6"/>
  <c r="D533" i="6" s="1"/>
  <c r="C532" i="6"/>
  <c r="D532" i="6" s="1"/>
  <c r="C531" i="6"/>
  <c r="D531" i="6" s="1"/>
  <c r="C530" i="6"/>
  <c r="D530" i="6" s="1"/>
  <c r="C529" i="6"/>
  <c r="D529" i="6" s="1"/>
  <c r="C528" i="6"/>
  <c r="D528" i="6" s="1"/>
  <c r="C527" i="6"/>
  <c r="D527" i="6" s="1"/>
  <c r="C526" i="6"/>
  <c r="D526" i="6" s="1"/>
  <c r="C525" i="6"/>
  <c r="D525" i="6" s="1"/>
  <c r="C524" i="6"/>
  <c r="D524" i="6" s="1"/>
  <c r="C523" i="6"/>
  <c r="D523" i="6" s="1"/>
  <c r="C522" i="6"/>
  <c r="D522" i="6" s="1"/>
  <c r="C521" i="6"/>
  <c r="D521" i="6" s="1"/>
  <c r="C520" i="6"/>
  <c r="D520" i="6" s="1"/>
  <c r="C519" i="6"/>
  <c r="D519" i="6" s="1"/>
  <c r="C518" i="6"/>
  <c r="D518" i="6" s="1"/>
  <c r="C517" i="6"/>
  <c r="D517" i="6" s="1"/>
  <c r="C516" i="6"/>
  <c r="D516" i="6" s="1"/>
  <c r="C515" i="6"/>
  <c r="D515" i="6" s="1"/>
  <c r="C514" i="6"/>
  <c r="D514" i="6" s="1"/>
  <c r="C513" i="6"/>
  <c r="D513" i="6" s="1"/>
  <c r="C512" i="6"/>
  <c r="D512" i="6" s="1"/>
  <c r="C511" i="6"/>
  <c r="D511" i="6" s="1"/>
  <c r="C510" i="6"/>
  <c r="D510" i="6" s="1"/>
  <c r="C509" i="6"/>
  <c r="D509" i="6" s="1"/>
  <c r="C508" i="6"/>
  <c r="D508" i="6" s="1"/>
  <c r="C507" i="6"/>
  <c r="D507" i="6" s="1"/>
  <c r="C506" i="6"/>
  <c r="D506" i="6" s="1"/>
  <c r="C505" i="6"/>
  <c r="D505" i="6" s="1"/>
  <c r="C504" i="6"/>
  <c r="D504" i="6" s="1"/>
  <c r="C503" i="6"/>
  <c r="D503" i="6" s="1"/>
  <c r="C502" i="6"/>
  <c r="D502" i="6" s="1"/>
  <c r="C501" i="6"/>
  <c r="D501" i="6" s="1"/>
  <c r="C500" i="6"/>
  <c r="D500" i="6" s="1"/>
  <c r="C499" i="6"/>
  <c r="D499" i="6" s="1"/>
  <c r="C498" i="6"/>
  <c r="D498" i="6" s="1"/>
  <c r="C497" i="6"/>
  <c r="D497" i="6" s="1"/>
  <c r="C496" i="6"/>
  <c r="D496" i="6" s="1"/>
  <c r="C495" i="6"/>
  <c r="D495" i="6" s="1"/>
  <c r="C494" i="6"/>
  <c r="D494" i="6" s="1"/>
  <c r="C493" i="6"/>
  <c r="D493" i="6" s="1"/>
  <c r="C492" i="6"/>
  <c r="D492" i="6" s="1"/>
  <c r="C491" i="6"/>
  <c r="D491" i="6" s="1"/>
  <c r="C490" i="6"/>
  <c r="D490" i="6" s="1"/>
  <c r="C489" i="6"/>
  <c r="D489" i="6" s="1"/>
  <c r="C488" i="6"/>
  <c r="D488" i="6" s="1"/>
  <c r="C487" i="6"/>
  <c r="D487" i="6" s="1"/>
  <c r="C486" i="6"/>
  <c r="D486" i="6" s="1"/>
  <c r="C485" i="6"/>
  <c r="D485" i="6" s="1"/>
  <c r="C484" i="6"/>
  <c r="D484" i="6" s="1"/>
  <c r="C483" i="6"/>
  <c r="D483" i="6" s="1"/>
  <c r="C482" i="6"/>
  <c r="D482" i="6" s="1"/>
  <c r="C481" i="6"/>
  <c r="D481" i="6" s="1"/>
  <c r="C480" i="6"/>
  <c r="D480" i="6" s="1"/>
  <c r="C479" i="6"/>
  <c r="D479" i="6" s="1"/>
  <c r="C478" i="6"/>
  <c r="D478" i="6" s="1"/>
  <c r="C477" i="6"/>
  <c r="D477" i="6" s="1"/>
  <c r="C476" i="6"/>
  <c r="D476" i="6" s="1"/>
  <c r="C475" i="6"/>
  <c r="D475" i="6" s="1"/>
  <c r="C474" i="6"/>
  <c r="D474" i="6" s="1"/>
  <c r="C473" i="6"/>
  <c r="D473" i="6" s="1"/>
  <c r="C472" i="6"/>
  <c r="D472" i="6" s="1"/>
  <c r="C471" i="6"/>
  <c r="D471" i="6" s="1"/>
  <c r="C470" i="6"/>
  <c r="D470" i="6" s="1"/>
  <c r="C469" i="6"/>
  <c r="D469" i="6" s="1"/>
  <c r="C468" i="6"/>
  <c r="D468" i="6" s="1"/>
  <c r="C467" i="6"/>
  <c r="D467" i="6" s="1"/>
  <c r="C466" i="6"/>
  <c r="D466" i="6" s="1"/>
  <c r="C465" i="6"/>
  <c r="D465" i="6" s="1"/>
  <c r="C464" i="6"/>
  <c r="D464" i="6" s="1"/>
  <c r="C463" i="6"/>
  <c r="D463" i="6" s="1"/>
  <c r="C462" i="6"/>
  <c r="D462" i="6" s="1"/>
  <c r="C461" i="6"/>
  <c r="D461" i="6" s="1"/>
  <c r="C460" i="6"/>
  <c r="D460" i="6" s="1"/>
  <c r="C459" i="6"/>
  <c r="D459" i="6" s="1"/>
  <c r="C458" i="6"/>
  <c r="D458" i="6" s="1"/>
  <c r="C457" i="6"/>
  <c r="D457" i="6" s="1"/>
  <c r="C456" i="6"/>
  <c r="D456" i="6" s="1"/>
  <c r="C455" i="6"/>
  <c r="D455" i="6" s="1"/>
  <c r="C454" i="6"/>
  <c r="D454" i="6" s="1"/>
  <c r="C453" i="6"/>
  <c r="D453" i="6" s="1"/>
  <c r="C452" i="6"/>
  <c r="D452" i="6" s="1"/>
  <c r="C451" i="6"/>
  <c r="D451" i="6" s="1"/>
  <c r="C450" i="6"/>
  <c r="D450" i="6" s="1"/>
  <c r="C449" i="6"/>
  <c r="D449" i="6" s="1"/>
  <c r="C448" i="6"/>
  <c r="D448" i="6" s="1"/>
  <c r="C447" i="6"/>
  <c r="D447" i="6" s="1"/>
  <c r="C446" i="6"/>
  <c r="D446" i="6" s="1"/>
  <c r="C445" i="6"/>
  <c r="D445" i="6" s="1"/>
  <c r="C444" i="6"/>
  <c r="D444" i="6" s="1"/>
  <c r="C443" i="6"/>
  <c r="D443" i="6" s="1"/>
  <c r="C442" i="6"/>
  <c r="D442" i="6" s="1"/>
  <c r="C441" i="6"/>
  <c r="D441" i="6" s="1"/>
  <c r="C440" i="6"/>
  <c r="D440" i="6" s="1"/>
  <c r="C439" i="6"/>
  <c r="D439" i="6" s="1"/>
  <c r="C438" i="6"/>
  <c r="D438" i="6" s="1"/>
  <c r="C437" i="6"/>
  <c r="D437" i="6" s="1"/>
  <c r="C436" i="6"/>
  <c r="D436" i="6" s="1"/>
  <c r="C435" i="6"/>
  <c r="D435" i="6" s="1"/>
  <c r="C434" i="6"/>
  <c r="D434" i="6" s="1"/>
  <c r="C433" i="6"/>
  <c r="D433" i="6" s="1"/>
  <c r="C432" i="6"/>
  <c r="D432" i="6" s="1"/>
  <c r="C431" i="6"/>
  <c r="D431" i="6" s="1"/>
  <c r="C430" i="6"/>
  <c r="D430" i="6" s="1"/>
  <c r="C429" i="6"/>
  <c r="D429" i="6" s="1"/>
  <c r="C428" i="6"/>
  <c r="D428" i="6" s="1"/>
  <c r="C427" i="6"/>
  <c r="D427" i="6" s="1"/>
  <c r="C426" i="6"/>
  <c r="D426" i="6" s="1"/>
  <c r="C425" i="6"/>
  <c r="D425" i="6" s="1"/>
  <c r="C424" i="6"/>
  <c r="D424" i="6" s="1"/>
  <c r="C423" i="6"/>
  <c r="D423" i="6" s="1"/>
  <c r="C422" i="6"/>
  <c r="D422" i="6" s="1"/>
  <c r="C421" i="6"/>
  <c r="D421" i="6" s="1"/>
  <c r="C420" i="6"/>
  <c r="D420" i="6" s="1"/>
  <c r="C419" i="6"/>
  <c r="D419" i="6" s="1"/>
  <c r="C418" i="6"/>
  <c r="D418" i="6" s="1"/>
  <c r="C417" i="6"/>
  <c r="D417" i="6" s="1"/>
  <c r="C416" i="6"/>
  <c r="D416" i="6" s="1"/>
  <c r="C415" i="6"/>
  <c r="D415" i="6" s="1"/>
  <c r="C414" i="6"/>
  <c r="D414" i="6" s="1"/>
  <c r="C413" i="6"/>
  <c r="D413" i="6" s="1"/>
  <c r="C412" i="6"/>
  <c r="D412" i="6" s="1"/>
  <c r="C411" i="6"/>
  <c r="D411" i="6" s="1"/>
  <c r="C410" i="6"/>
  <c r="D410" i="6" s="1"/>
  <c r="C409" i="6"/>
  <c r="D409" i="6" s="1"/>
  <c r="C408" i="6"/>
  <c r="D408" i="6" s="1"/>
  <c r="C407" i="6"/>
  <c r="D407" i="6" s="1"/>
  <c r="C406" i="6"/>
  <c r="D406" i="6" s="1"/>
  <c r="C405" i="6"/>
  <c r="D405" i="6" s="1"/>
  <c r="C404" i="6"/>
  <c r="D404" i="6" s="1"/>
  <c r="C403" i="6"/>
  <c r="D403" i="6" s="1"/>
  <c r="C402" i="6"/>
  <c r="D402" i="6" s="1"/>
  <c r="C401" i="6"/>
  <c r="D401" i="6" s="1"/>
  <c r="C400" i="6"/>
  <c r="D400" i="6" s="1"/>
  <c r="C399" i="6"/>
  <c r="D399" i="6" s="1"/>
  <c r="C398" i="6"/>
  <c r="D398" i="6" s="1"/>
  <c r="C397" i="6"/>
  <c r="D397" i="6" s="1"/>
  <c r="C396" i="6"/>
  <c r="D396" i="6" s="1"/>
  <c r="C395" i="6"/>
  <c r="D395" i="6" s="1"/>
  <c r="C394" i="6"/>
  <c r="D394" i="6" s="1"/>
  <c r="C393" i="6"/>
  <c r="D393" i="6" s="1"/>
  <c r="C392" i="6"/>
  <c r="D392" i="6" s="1"/>
  <c r="C391" i="6"/>
  <c r="D391" i="6" s="1"/>
  <c r="C390" i="6"/>
  <c r="D390" i="6" s="1"/>
  <c r="C389" i="6"/>
  <c r="D389" i="6" s="1"/>
  <c r="C388" i="6"/>
  <c r="D388" i="6" s="1"/>
  <c r="C387" i="6"/>
  <c r="D387" i="6" s="1"/>
  <c r="C386" i="6"/>
  <c r="D386" i="6" s="1"/>
  <c r="C385" i="6"/>
  <c r="D385" i="6" s="1"/>
  <c r="C384" i="6"/>
  <c r="D384" i="6" s="1"/>
  <c r="C383" i="6"/>
  <c r="D383" i="6" s="1"/>
  <c r="C382" i="6"/>
  <c r="D382" i="6" s="1"/>
  <c r="C381" i="6"/>
  <c r="D381" i="6" s="1"/>
  <c r="C380" i="6"/>
  <c r="D380" i="6" s="1"/>
  <c r="C379" i="6"/>
  <c r="D379" i="6" s="1"/>
  <c r="C378" i="6"/>
  <c r="D378" i="6" s="1"/>
  <c r="C377" i="6"/>
  <c r="D377" i="6" s="1"/>
  <c r="C376" i="6"/>
  <c r="D376" i="6" s="1"/>
  <c r="C375" i="6"/>
  <c r="D375" i="6" s="1"/>
  <c r="C374" i="6"/>
  <c r="D374" i="6" s="1"/>
  <c r="C373" i="6"/>
  <c r="D373" i="6" s="1"/>
  <c r="C372" i="6"/>
  <c r="D372" i="6" s="1"/>
  <c r="C371" i="6"/>
  <c r="D371" i="6" s="1"/>
  <c r="C370" i="6"/>
  <c r="D370" i="6" s="1"/>
  <c r="C369" i="6"/>
  <c r="D369" i="6" s="1"/>
  <c r="C368" i="6"/>
  <c r="D368" i="6" s="1"/>
  <c r="C367" i="6"/>
  <c r="D367" i="6" s="1"/>
  <c r="C366" i="6"/>
  <c r="D366" i="6" s="1"/>
  <c r="C365" i="6"/>
  <c r="D365" i="6" s="1"/>
  <c r="C364" i="6"/>
  <c r="D364" i="6" s="1"/>
  <c r="C363" i="6"/>
  <c r="D363" i="6" s="1"/>
  <c r="C362" i="6"/>
  <c r="D362" i="6" s="1"/>
  <c r="C361" i="6"/>
  <c r="D361" i="6" s="1"/>
  <c r="C360" i="6"/>
  <c r="D360" i="6" s="1"/>
  <c r="C359" i="6"/>
  <c r="D359" i="6" s="1"/>
  <c r="C358" i="6"/>
  <c r="D358" i="6" s="1"/>
  <c r="C357" i="6"/>
  <c r="D357" i="6" s="1"/>
  <c r="C356" i="6"/>
  <c r="D356" i="6" s="1"/>
  <c r="C355" i="6"/>
  <c r="D355" i="6" s="1"/>
  <c r="C354" i="6"/>
  <c r="D354" i="6" s="1"/>
  <c r="C353" i="6"/>
  <c r="D353" i="6" s="1"/>
  <c r="C352" i="6"/>
  <c r="D352" i="6" s="1"/>
  <c r="C351" i="6"/>
  <c r="D351" i="6" s="1"/>
  <c r="C350" i="6"/>
  <c r="D350" i="6" s="1"/>
  <c r="C349" i="6"/>
  <c r="D349" i="6" s="1"/>
  <c r="C348" i="6"/>
  <c r="D348" i="6" s="1"/>
  <c r="C347" i="6"/>
  <c r="D347" i="6" s="1"/>
  <c r="C346" i="6"/>
  <c r="D346" i="6" s="1"/>
  <c r="C345" i="6"/>
  <c r="D345" i="6" s="1"/>
  <c r="C344" i="6"/>
  <c r="D344" i="6" s="1"/>
  <c r="C343" i="6"/>
  <c r="D343" i="6" s="1"/>
  <c r="C342" i="6"/>
  <c r="D342" i="6" s="1"/>
  <c r="C341" i="6"/>
  <c r="D341" i="6" s="1"/>
  <c r="C340" i="6"/>
  <c r="D340" i="6" s="1"/>
  <c r="C339" i="6"/>
  <c r="D339" i="6" s="1"/>
  <c r="C338" i="6"/>
  <c r="D338" i="6" s="1"/>
  <c r="C337" i="6"/>
  <c r="D337" i="6" s="1"/>
  <c r="C336" i="6"/>
  <c r="D336" i="6" s="1"/>
  <c r="C335" i="6"/>
  <c r="D335" i="6" s="1"/>
  <c r="C334" i="6"/>
  <c r="D334" i="6" s="1"/>
  <c r="C333" i="6"/>
  <c r="D333" i="6" s="1"/>
  <c r="C332" i="6"/>
  <c r="D332" i="6" s="1"/>
  <c r="C331" i="6"/>
  <c r="D331" i="6" s="1"/>
  <c r="C330" i="6"/>
  <c r="D330" i="6" s="1"/>
  <c r="C329" i="6"/>
  <c r="D329" i="6" s="1"/>
  <c r="C328" i="6"/>
  <c r="D328" i="6" s="1"/>
  <c r="C327" i="6"/>
  <c r="D327" i="6" s="1"/>
  <c r="C326" i="6"/>
  <c r="D326" i="6" s="1"/>
  <c r="C325" i="6"/>
  <c r="D325" i="6" s="1"/>
  <c r="C324" i="6"/>
  <c r="D324" i="6" s="1"/>
  <c r="C323" i="6"/>
  <c r="D323" i="6" s="1"/>
  <c r="C322" i="6"/>
  <c r="D322" i="6" s="1"/>
  <c r="C321" i="6"/>
  <c r="D321" i="6" s="1"/>
  <c r="C320" i="6"/>
  <c r="D320" i="6" s="1"/>
  <c r="C319" i="6"/>
  <c r="D319" i="6" s="1"/>
  <c r="C318" i="6"/>
  <c r="D318" i="6" s="1"/>
  <c r="C317" i="6"/>
  <c r="D317" i="6" s="1"/>
  <c r="C316" i="6"/>
  <c r="D316" i="6" s="1"/>
  <c r="C315" i="6"/>
  <c r="D315" i="6" s="1"/>
  <c r="C314" i="6"/>
  <c r="D314" i="6" s="1"/>
  <c r="C313" i="6"/>
  <c r="D313" i="6" s="1"/>
  <c r="C312" i="6"/>
  <c r="D312" i="6" s="1"/>
  <c r="C311" i="6"/>
  <c r="D311" i="6" s="1"/>
  <c r="C310" i="6"/>
  <c r="D310" i="6" s="1"/>
  <c r="C309" i="6"/>
  <c r="D309" i="6" s="1"/>
  <c r="C308" i="6"/>
  <c r="D308" i="6" s="1"/>
  <c r="C307" i="6"/>
  <c r="D307" i="6" s="1"/>
  <c r="C306" i="6"/>
  <c r="D306" i="6" s="1"/>
  <c r="C305" i="6"/>
  <c r="D305" i="6" s="1"/>
  <c r="C304" i="6"/>
  <c r="D304" i="6" s="1"/>
  <c r="C303" i="6"/>
  <c r="D303" i="6" s="1"/>
  <c r="C302" i="6"/>
  <c r="D302" i="6" s="1"/>
  <c r="C301" i="6"/>
  <c r="D301" i="6" s="1"/>
  <c r="C300" i="6"/>
  <c r="D300" i="6" s="1"/>
  <c r="C299" i="6"/>
  <c r="D299" i="6" s="1"/>
  <c r="C298" i="6"/>
  <c r="D298" i="6" s="1"/>
  <c r="C297" i="6"/>
  <c r="D297" i="6" s="1"/>
  <c r="C296" i="6"/>
  <c r="D296" i="6" s="1"/>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C1" i="6"/>
  <c r="D1" i="6" s="1"/>
  <c r="E499" i="1"/>
  <c r="F499" i="1" s="1"/>
  <c r="E498" i="1"/>
  <c r="F498" i="1" s="1"/>
  <c r="E497" i="1"/>
  <c r="F497" i="1" s="1"/>
  <c r="E496" i="1"/>
  <c r="F496" i="1" s="1"/>
  <c r="E495" i="1"/>
  <c r="F495" i="1" s="1"/>
  <c r="E494" i="1"/>
  <c r="F494" i="1" s="1"/>
  <c r="E493" i="1"/>
  <c r="F493" i="1" s="1"/>
  <c r="E492" i="1"/>
  <c r="F492" i="1" s="1"/>
  <c r="E491" i="1"/>
  <c r="F491" i="1" s="1"/>
  <c r="E490" i="1"/>
  <c r="F490" i="1" s="1"/>
  <c r="E489" i="1"/>
  <c r="F489" i="1" s="1"/>
  <c r="E488" i="1"/>
  <c r="F488" i="1" s="1"/>
  <c r="E487" i="1"/>
  <c r="F487" i="1" s="1"/>
  <c r="E486" i="1"/>
  <c r="F486" i="1" s="1"/>
  <c r="E485" i="1"/>
  <c r="F485" i="1" s="1"/>
  <c r="E484" i="1"/>
  <c r="F484" i="1" s="1"/>
  <c r="E483" i="1"/>
  <c r="F483" i="1" s="1"/>
  <c r="E482" i="1"/>
  <c r="F482" i="1" s="1"/>
  <c r="E481" i="1"/>
  <c r="F481" i="1" s="1"/>
  <c r="E480" i="1"/>
  <c r="F480" i="1" s="1"/>
  <c r="E479" i="1"/>
  <c r="F479"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E458" i="1"/>
  <c r="F458" i="1" s="1"/>
  <c r="E457" i="1"/>
  <c r="F457" i="1" s="1"/>
  <c r="E456" i="1"/>
  <c r="F456" i="1" s="1"/>
  <c r="E455" i="1"/>
  <c r="F455" i="1" s="1"/>
  <c r="E454" i="1"/>
  <c r="F454" i="1" s="1"/>
  <c r="E453" i="1"/>
  <c r="F453" i="1" s="1"/>
  <c r="E452" i="1"/>
  <c r="F452" i="1" s="1"/>
  <c r="E451" i="1"/>
  <c r="F451" i="1" s="1"/>
  <c r="E450" i="1"/>
  <c r="F450" i="1" s="1"/>
  <c r="E449" i="1"/>
  <c r="F449" i="1" s="1"/>
  <c r="E448" i="1"/>
  <c r="F448" i="1" s="1"/>
  <c r="E447" i="1"/>
  <c r="F447" i="1" s="1"/>
  <c r="E446" i="1"/>
  <c r="F446" i="1" s="1"/>
  <c r="E445" i="1"/>
  <c r="F445" i="1" s="1"/>
  <c r="E444" i="1"/>
  <c r="F444" i="1" s="1"/>
  <c r="E443" i="1"/>
  <c r="F443" i="1" s="1"/>
  <c r="E442" i="1"/>
  <c r="F442" i="1" s="1"/>
  <c r="E441" i="1"/>
  <c r="F441"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E420" i="1"/>
  <c r="F420" i="1" s="1"/>
  <c r="E419" i="1"/>
  <c r="F419" i="1" s="1"/>
  <c r="E418" i="1"/>
  <c r="F418" i="1" s="1"/>
  <c r="E417" i="1"/>
  <c r="F417" i="1" s="1"/>
  <c r="E416" i="1"/>
  <c r="F416" i="1" s="1"/>
  <c r="E415" i="1"/>
  <c r="F415" i="1" s="1"/>
  <c r="E414" i="1"/>
  <c r="F414" i="1" s="1"/>
  <c r="E413" i="1"/>
  <c r="F413" i="1" s="1"/>
  <c r="E412" i="1"/>
  <c r="F412" i="1" s="1"/>
  <c r="E411" i="1"/>
  <c r="F411" i="1" s="1"/>
  <c r="E410" i="1"/>
  <c r="F410" i="1" s="1"/>
  <c r="E409" i="1"/>
  <c r="F409" i="1" s="1"/>
  <c r="E408" i="1"/>
  <c r="F408" i="1" s="1"/>
  <c r="E407" i="1"/>
  <c r="F407" i="1" s="1"/>
  <c r="E406" i="1"/>
  <c r="F406" i="1" s="1"/>
  <c r="E405" i="1"/>
  <c r="F405" i="1" s="1"/>
  <c r="E404" i="1"/>
  <c r="F404" i="1" s="1"/>
  <c r="E403" i="1"/>
  <c r="F403"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E382" i="1"/>
  <c r="F382" i="1" s="1"/>
  <c r="E381" i="1"/>
  <c r="F381" i="1" s="1"/>
  <c r="E380" i="1"/>
  <c r="F380" i="1" s="1"/>
  <c r="E379" i="1"/>
  <c r="F379" i="1" s="1"/>
  <c r="E378" i="1"/>
  <c r="F378" i="1" s="1"/>
  <c r="E377" i="1"/>
  <c r="F377" i="1" s="1"/>
  <c r="E376" i="1"/>
  <c r="F376" i="1" s="1"/>
  <c r="E375" i="1"/>
  <c r="F375" i="1" s="1"/>
  <c r="E374" i="1"/>
  <c r="F374" i="1" s="1"/>
  <c r="E373" i="1"/>
  <c r="F373" i="1" s="1"/>
  <c r="E372" i="1"/>
  <c r="F372" i="1" s="1"/>
  <c r="E371" i="1"/>
  <c r="F371" i="1" s="1"/>
  <c r="E370" i="1"/>
  <c r="F370" i="1" s="1"/>
  <c r="E369" i="1"/>
  <c r="F369" i="1" s="1"/>
  <c r="E368" i="1"/>
  <c r="F368" i="1" s="1"/>
  <c r="E367" i="1"/>
  <c r="F367" i="1" s="1"/>
  <c r="E366" i="1"/>
  <c r="F366" i="1" s="1"/>
  <c r="E365" i="1"/>
  <c r="F365"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E344" i="1"/>
  <c r="F344" i="1" s="1"/>
  <c r="E343" i="1"/>
  <c r="F343" i="1" s="1"/>
  <c r="E342" i="1"/>
  <c r="F342" i="1" s="1"/>
  <c r="E341" i="1"/>
  <c r="F341" i="1" s="1"/>
  <c r="E340" i="1"/>
  <c r="F340" i="1" s="1"/>
  <c r="E339" i="1"/>
  <c r="F339" i="1" s="1"/>
  <c r="E338" i="1"/>
  <c r="F338" i="1" s="1"/>
  <c r="E337" i="1"/>
  <c r="F337" i="1" s="1"/>
  <c r="E336" i="1"/>
  <c r="F336" i="1" s="1"/>
  <c r="E335" i="1"/>
  <c r="F335" i="1" s="1"/>
  <c r="E334" i="1"/>
  <c r="F334" i="1" s="1"/>
  <c r="E333" i="1"/>
  <c r="F333" i="1" s="1"/>
  <c r="E332" i="1"/>
  <c r="F332" i="1" s="1"/>
  <c r="E331" i="1"/>
  <c r="F331" i="1" s="1"/>
  <c r="E330" i="1"/>
  <c r="F330" i="1" s="1"/>
  <c r="E329" i="1"/>
  <c r="F329" i="1" s="1"/>
  <c r="E328" i="1"/>
  <c r="F328" i="1" s="1"/>
  <c r="E327" i="1"/>
  <c r="F327"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E306" i="1"/>
  <c r="F306" i="1" s="1"/>
  <c r="E305" i="1"/>
  <c r="F305" i="1" s="1"/>
  <c r="E304" i="1"/>
  <c r="F304" i="1" s="1"/>
  <c r="E303" i="1"/>
  <c r="F303" i="1" s="1"/>
  <c r="E302" i="1"/>
  <c r="F302" i="1" s="1"/>
  <c r="E301" i="1"/>
  <c r="F301" i="1" s="1"/>
  <c r="E300" i="1"/>
  <c r="F300" i="1" s="1"/>
  <c r="E299" i="1"/>
  <c r="F299" i="1" s="1"/>
  <c r="E298" i="1"/>
  <c r="F298" i="1" s="1"/>
  <c r="E297" i="1"/>
  <c r="F297" i="1" s="1"/>
  <c r="E296" i="1"/>
  <c r="F296" i="1" s="1"/>
  <c r="E295" i="1"/>
  <c r="F295" i="1" s="1"/>
  <c r="E294" i="1"/>
  <c r="F294" i="1" s="1"/>
  <c r="E293" i="1"/>
  <c r="F293" i="1" s="1"/>
  <c r="E292" i="1"/>
  <c r="F292" i="1" s="1"/>
  <c r="E291" i="1"/>
  <c r="F291" i="1" s="1"/>
  <c r="E290" i="1"/>
  <c r="F290" i="1" s="1"/>
  <c r="E289" i="1"/>
  <c r="F289"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E268" i="1"/>
  <c r="F268" i="1" s="1"/>
  <c r="E267" i="1"/>
  <c r="F267" i="1" s="1"/>
  <c r="E266" i="1"/>
  <c r="F266" i="1" s="1"/>
  <c r="E265" i="1"/>
  <c r="F265" i="1" s="1"/>
  <c r="E264" i="1"/>
  <c r="F264" i="1" s="1"/>
  <c r="E263" i="1"/>
  <c r="F263" i="1" s="1"/>
  <c r="E262" i="1"/>
  <c r="F262" i="1" s="1"/>
  <c r="E261" i="1"/>
  <c r="F261" i="1" s="1"/>
  <c r="E260" i="1"/>
  <c r="F260" i="1" s="1"/>
  <c r="E259" i="1"/>
  <c r="F259" i="1" s="1"/>
  <c r="E258" i="1"/>
  <c r="F258" i="1" s="1"/>
  <c r="E257" i="1"/>
  <c r="F257" i="1" s="1"/>
  <c r="E256" i="1"/>
  <c r="F256" i="1" s="1"/>
  <c r="E255" i="1"/>
  <c r="F255" i="1" s="1"/>
  <c r="E254" i="1"/>
  <c r="F254" i="1" s="1"/>
  <c r="E253" i="1"/>
  <c r="F253" i="1" s="1"/>
  <c r="E252" i="1"/>
  <c r="F252" i="1" s="1"/>
  <c r="E251" i="1"/>
  <c r="F251"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E230" i="1"/>
  <c r="F230" i="1" s="1"/>
  <c r="E229" i="1"/>
  <c r="F229" i="1" s="1"/>
  <c r="E228" i="1"/>
  <c r="F228" i="1" s="1"/>
  <c r="E227" i="1"/>
  <c r="F227" i="1" s="1"/>
  <c r="E226" i="1"/>
  <c r="F226" i="1" s="1"/>
  <c r="E225" i="1"/>
  <c r="F225" i="1" s="1"/>
  <c r="E224" i="1"/>
  <c r="F224" i="1" s="1"/>
  <c r="E223" i="1"/>
  <c r="F223" i="1" s="1"/>
  <c r="E222" i="1"/>
  <c r="F222" i="1" s="1"/>
  <c r="E221" i="1"/>
  <c r="F221" i="1" s="1"/>
  <c r="E220" i="1"/>
  <c r="F220" i="1" s="1"/>
  <c r="E219" i="1"/>
  <c r="F219" i="1" s="1"/>
  <c r="E218" i="1"/>
  <c r="F218" i="1" s="1"/>
  <c r="E217" i="1"/>
  <c r="F217" i="1" s="1"/>
  <c r="E216" i="1"/>
  <c r="F216" i="1" s="1"/>
  <c r="E215" i="1"/>
  <c r="F215" i="1" s="1"/>
  <c r="E214" i="1"/>
  <c r="F214" i="1" s="1"/>
  <c r="E213" i="1"/>
  <c r="F213"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E192" i="1"/>
  <c r="F192" i="1" s="1"/>
  <c r="E191" i="1"/>
  <c r="F191" i="1" s="1"/>
  <c r="E190" i="1"/>
  <c r="F190" i="1" s="1"/>
  <c r="E189" i="1"/>
  <c r="F189" i="1" s="1"/>
  <c r="E188" i="1"/>
  <c r="F188" i="1" s="1"/>
  <c r="E187" i="1"/>
  <c r="F187" i="1" s="1"/>
  <c r="E186" i="1"/>
  <c r="F186" i="1" s="1"/>
  <c r="E185" i="1"/>
  <c r="F185" i="1" s="1"/>
  <c r="E184" i="1"/>
  <c r="F184" i="1" s="1"/>
  <c r="E183" i="1"/>
  <c r="F183" i="1" s="1"/>
  <c r="E182" i="1"/>
  <c r="F182" i="1" s="1"/>
  <c r="E181" i="1"/>
  <c r="F181" i="1" s="1"/>
  <c r="E180" i="1"/>
  <c r="F180" i="1" s="1"/>
  <c r="E179" i="1"/>
  <c r="F179" i="1" s="1"/>
  <c r="E178" i="1"/>
  <c r="F178" i="1" s="1"/>
  <c r="E177" i="1"/>
  <c r="F177" i="1" s="1"/>
  <c r="E176" i="1"/>
  <c r="F176" i="1" s="1"/>
  <c r="E175" i="1"/>
  <c r="F175"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E154" i="1"/>
  <c r="F154" i="1" s="1"/>
  <c r="E153" i="1"/>
  <c r="F153" i="1" s="1"/>
  <c r="E152" i="1"/>
  <c r="F152" i="1" s="1"/>
  <c r="E151" i="1"/>
  <c r="F151" i="1" s="1"/>
  <c r="E150" i="1"/>
  <c r="F150" i="1" s="1"/>
  <c r="E149" i="1"/>
  <c r="F149" i="1" s="1"/>
  <c r="E148" i="1"/>
  <c r="F148" i="1" s="1"/>
  <c r="E147" i="1"/>
  <c r="F147" i="1" s="1"/>
  <c r="E146" i="1"/>
  <c r="F146" i="1" s="1"/>
  <c r="E145" i="1"/>
  <c r="F145" i="1" s="1"/>
  <c r="E144" i="1"/>
  <c r="F144" i="1" s="1"/>
  <c r="E143" i="1"/>
  <c r="F143" i="1" s="1"/>
  <c r="E142" i="1"/>
  <c r="F142" i="1" s="1"/>
  <c r="E141" i="1"/>
  <c r="F141" i="1" s="1"/>
  <c r="E140" i="1"/>
  <c r="F140" i="1" s="1"/>
  <c r="E139" i="1"/>
  <c r="F139" i="1" s="1"/>
  <c r="E138" i="1"/>
  <c r="F138" i="1" s="1"/>
  <c r="E137" i="1"/>
  <c r="F137"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E116" i="1"/>
  <c r="F116" i="1" s="1"/>
  <c r="E115" i="1"/>
  <c r="F115" i="1" s="1"/>
  <c r="E114" i="1"/>
  <c r="F114" i="1" s="1"/>
  <c r="E113" i="1"/>
  <c r="F113" i="1" s="1"/>
  <c r="E112" i="1"/>
  <c r="F112" i="1" s="1"/>
  <c r="E111" i="1"/>
  <c r="F111" i="1" s="1"/>
  <c r="E110" i="1"/>
  <c r="F110" i="1" s="1"/>
  <c r="E109" i="1"/>
  <c r="F109" i="1" s="1"/>
  <c r="E108" i="1"/>
  <c r="F108" i="1" s="1"/>
  <c r="E107" i="1"/>
  <c r="F107" i="1" s="1"/>
  <c r="E106" i="1"/>
  <c r="F106" i="1" s="1"/>
  <c r="E105" i="1"/>
  <c r="F105" i="1" s="1"/>
  <c r="E104" i="1"/>
  <c r="F104" i="1" s="1"/>
  <c r="E103" i="1"/>
  <c r="F103" i="1" s="1"/>
  <c r="E102" i="1"/>
  <c r="F102" i="1" s="1"/>
  <c r="E101" i="1"/>
  <c r="F101" i="1" s="1"/>
  <c r="E100" i="1"/>
  <c r="F100" i="1" s="1"/>
  <c r="E99" i="1"/>
  <c r="F99" i="1" s="1"/>
  <c r="E98" i="1"/>
  <c r="F98" i="1" s="1"/>
  <c r="E97" i="1"/>
  <c r="F97" i="1" s="1"/>
  <c r="E96" i="1"/>
  <c r="F96" i="1" s="1"/>
  <c r="E95" i="1"/>
  <c r="F95" i="1" s="1"/>
  <c r="E94" i="1"/>
  <c r="F94" i="1" s="1"/>
  <c r="E93" i="1"/>
  <c r="F93" i="1" s="1"/>
  <c r="E92" i="1"/>
  <c r="F92" i="1" s="1"/>
  <c r="E91" i="1"/>
  <c r="F91" i="1" s="1"/>
  <c r="E90" i="1"/>
  <c r="F90" i="1" s="1"/>
  <c r="E89" i="1"/>
  <c r="F89" i="1" s="1"/>
  <c r="E88" i="1"/>
  <c r="F88" i="1" s="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E1" i="1"/>
  <c r="F1" i="1" s="1"/>
  <c r="C23" i="4"/>
  <c r="G39" i="4" s="1" a="1"/>
  <c r="G39" i="4" s="1"/>
  <c r="F41" i="4" s="1"/>
  <c r="D94" i="4" s="1"/>
  <c r="C2" i="2"/>
  <c r="S7" i="118" l="1"/>
  <c r="U3" i="118"/>
  <c r="U6" i="118" s="1"/>
  <c r="S9" i="118"/>
  <c r="S4" i="118"/>
  <c r="S8" i="118"/>
  <c r="S2" i="118" s="1"/>
  <c r="S5" i="118"/>
  <c r="F87" i="1"/>
  <c r="F86" i="1"/>
  <c r="F85" i="1"/>
  <c r="F84" i="1"/>
  <c r="F81" i="1"/>
  <c r="F83" i="1"/>
  <c r="F82" i="1"/>
  <c r="F80" i="1"/>
  <c r="F79" i="1"/>
  <c r="D211" i="6"/>
  <c r="D202" i="6"/>
  <c r="D218" i="6"/>
  <c r="D234" i="6"/>
  <c r="D250" i="6"/>
  <c r="D266" i="6"/>
  <c r="D203" i="6"/>
  <c r="D219" i="6"/>
  <c r="D235" i="6"/>
  <c r="D251" i="6"/>
  <c r="D267" i="6"/>
  <c r="D283" i="6"/>
  <c r="D204" i="6"/>
  <c r="D220" i="6"/>
  <c r="D236" i="6"/>
  <c r="D252" i="6"/>
  <c r="D268" i="6"/>
  <c r="D284" i="6"/>
  <c r="D205" i="6"/>
  <c r="D221" i="6"/>
  <c r="D237" i="6"/>
  <c r="D253" i="6"/>
  <c r="D269" i="6"/>
  <c r="D285" i="6"/>
  <c r="D206" i="6"/>
  <c r="D222" i="6"/>
  <c r="D238" i="6"/>
  <c r="D254" i="6"/>
  <c r="D270" i="6"/>
  <c r="D286" i="6"/>
  <c r="D207" i="6"/>
  <c r="D223" i="6"/>
  <c r="D239" i="6"/>
  <c r="D255" i="6"/>
  <c r="D271" i="6"/>
  <c r="D287" i="6"/>
  <c r="D192" i="6"/>
  <c r="D208" i="6"/>
  <c r="D224" i="6"/>
  <c r="D240" i="6"/>
  <c r="D256" i="6"/>
  <c r="D272" i="6"/>
  <c r="D288" i="6"/>
  <c r="D193" i="6"/>
  <c r="D209" i="6"/>
  <c r="D225" i="6"/>
  <c r="D241" i="6"/>
  <c r="D257" i="6"/>
  <c r="D273" i="6"/>
  <c r="D289" i="6"/>
  <c r="D194" i="6"/>
  <c r="D210" i="6"/>
  <c r="D226" i="6"/>
  <c r="D242" i="6"/>
  <c r="D258" i="6"/>
  <c r="D274" i="6"/>
  <c r="D290" i="6"/>
  <c r="D195" i="6"/>
  <c r="D227" i="6"/>
  <c r="D243" i="6"/>
  <c r="D259" i="6"/>
  <c r="D275" i="6"/>
  <c r="D291" i="6"/>
  <c r="D196" i="6"/>
  <c r="D212" i="6"/>
  <c r="D228" i="6"/>
  <c r="D244" i="6"/>
  <c r="D260" i="6"/>
  <c r="D276" i="6"/>
  <c r="D292" i="6"/>
  <c r="D197" i="6"/>
  <c r="D213" i="6"/>
  <c r="D229" i="6"/>
  <c r="D245" i="6"/>
  <c r="D261" i="6"/>
  <c r="D277" i="6"/>
  <c r="D293" i="6"/>
  <c r="D198" i="6"/>
  <c r="D214" i="6"/>
  <c r="D230" i="6"/>
  <c r="D246" i="6"/>
  <c r="D262" i="6"/>
  <c r="D278" i="6"/>
  <c r="D294" i="6"/>
  <c r="D199" i="6"/>
  <c r="D215" i="6"/>
  <c r="D231" i="6"/>
  <c r="D247" i="6"/>
  <c r="D263" i="6"/>
  <c r="D279" i="6"/>
  <c r="D295" i="6"/>
  <c r="D200" i="6"/>
  <c r="D216" i="6"/>
  <c r="D232" i="6"/>
  <c r="D248" i="6"/>
  <c r="D264" i="6"/>
  <c r="D280" i="6"/>
  <c r="D201" i="6"/>
  <c r="D217" i="6"/>
  <c r="D233" i="6"/>
  <c r="D249" i="6"/>
  <c r="D265" i="6"/>
  <c r="D281" i="6"/>
  <c r="D107" i="6"/>
  <c r="D7" i="6"/>
  <c r="D14" i="6"/>
  <c r="D110" i="6"/>
  <c r="D150" i="6"/>
  <c r="D91" i="6"/>
  <c r="D55" i="6"/>
  <c r="D111" i="6"/>
  <c r="D19" i="6"/>
  <c r="D75" i="6"/>
  <c r="D28" i="6"/>
  <c r="D44" i="6"/>
  <c r="D6" i="6"/>
  <c r="D20" i="6"/>
  <c r="D35" i="6"/>
  <c r="D51" i="6"/>
  <c r="D66" i="6"/>
  <c r="D82" i="6"/>
  <c r="D98" i="6"/>
  <c r="D112" i="6"/>
  <c r="D128" i="6"/>
  <c r="D144" i="6"/>
  <c r="D159" i="6"/>
  <c r="D174" i="6"/>
  <c r="D190" i="6"/>
  <c r="D21" i="6"/>
  <c r="D36" i="6"/>
  <c r="D52" i="6"/>
  <c r="D67" i="6"/>
  <c r="D83" i="6"/>
  <c r="D99" i="6"/>
  <c r="D113" i="6"/>
  <c r="D129" i="6"/>
  <c r="D145" i="6"/>
  <c r="D160" i="6"/>
  <c r="D175" i="6"/>
  <c r="D191" i="6"/>
  <c r="D8" i="6"/>
  <c r="D22" i="6"/>
  <c r="D37" i="6"/>
  <c r="D53" i="6"/>
  <c r="D68" i="6"/>
  <c r="D84" i="6"/>
  <c r="D100" i="6"/>
  <c r="D114" i="6"/>
  <c r="D130" i="6"/>
  <c r="D146" i="6"/>
  <c r="D161" i="6"/>
  <c r="D176" i="6"/>
  <c r="D9" i="6"/>
  <c r="D23" i="6"/>
  <c r="D38" i="6"/>
  <c r="D54" i="6"/>
  <c r="D69" i="6"/>
  <c r="D85" i="6"/>
  <c r="D101" i="6"/>
  <c r="D115" i="6"/>
  <c r="D131" i="6"/>
  <c r="D147" i="6"/>
  <c r="D162" i="6"/>
  <c r="D177" i="6"/>
  <c r="D10" i="6"/>
  <c r="D24" i="6"/>
  <c r="D39" i="6"/>
  <c r="D70" i="6"/>
  <c r="D86" i="6"/>
  <c r="D102" i="6"/>
  <c r="D116" i="6"/>
  <c r="D132" i="6"/>
  <c r="D148" i="6"/>
  <c r="D163" i="6"/>
  <c r="D178" i="6"/>
  <c r="D11" i="6"/>
  <c r="D25" i="6"/>
  <c r="D40" i="6"/>
  <c r="D71" i="6"/>
  <c r="D87" i="6"/>
  <c r="D103" i="6"/>
  <c r="D117" i="6"/>
  <c r="D133" i="6"/>
  <c r="D149" i="6"/>
  <c r="D164" i="6"/>
  <c r="D179" i="6"/>
  <c r="D12" i="6"/>
  <c r="D26" i="6"/>
  <c r="D41" i="6"/>
  <c r="D56" i="6"/>
  <c r="D72" i="6"/>
  <c r="D88" i="6"/>
  <c r="D104" i="6"/>
  <c r="D118" i="6"/>
  <c r="D134" i="6"/>
  <c r="D165" i="6"/>
  <c r="D180" i="6"/>
  <c r="D13" i="6"/>
  <c r="D42" i="6"/>
  <c r="D57" i="6"/>
  <c r="D73" i="6"/>
  <c r="D89" i="6"/>
  <c r="D105" i="6"/>
  <c r="D119" i="6"/>
  <c r="D135" i="6"/>
  <c r="D181" i="6"/>
  <c r="D27" i="6"/>
  <c r="D43" i="6"/>
  <c r="D58" i="6"/>
  <c r="D74" i="6"/>
  <c r="D90" i="6"/>
  <c r="D106" i="6"/>
  <c r="D120" i="6"/>
  <c r="D136" i="6"/>
  <c r="D151" i="6"/>
  <c r="D166" i="6"/>
  <c r="D182" i="6"/>
  <c r="D137" i="6"/>
  <c r="D183" i="6"/>
  <c r="D15" i="6"/>
  <c r="D29" i="6"/>
  <c r="D45" i="6"/>
  <c r="D60" i="6"/>
  <c r="D76" i="6"/>
  <c r="D92" i="6"/>
  <c r="D108" i="6"/>
  <c r="D122" i="6"/>
  <c r="D138" i="6"/>
  <c r="D153" i="6"/>
  <c r="D168" i="6"/>
  <c r="D184" i="6"/>
  <c r="D16" i="6"/>
  <c r="D30" i="6"/>
  <c r="D46" i="6"/>
  <c r="D61" i="6"/>
  <c r="D77" i="6"/>
  <c r="D93" i="6"/>
  <c r="D109" i="6"/>
  <c r="D123" i="6"/>
  <c r="D139" i="6"/>
  <c r="D154" i="6"/>
  <c r="D169" i="6"/>
  <c r="D185" i="6"/>
  <c r="D121" i="6"/>
  <c r="D2" i="6"/>
  <c r="D17" i="6"/>
  <c r="D31" i="6"/>
  <c r="D47" i="6"/>
  <c r="D62" i="6"/>
  <c r="D78" i="6"/>
  <c r="D94" i="6"/>
  <c r="D124" i="6"/>
  <c r="D140" i="6"/>
  <c r="D155" i="6"/>
  <c r="D170" i="6"/>
  <c r="D186" i="6"/>
  <c r="D3" i="6"/>
  <c r="D18" i="6"/>
  <c r="D32" i="6"/>
  <c r="D48" i="6"/>
  <c r="D63" i="6"/>
  <c r="D79" i="6"/>
  <c r="D95" i="6"/>
  <c r="D125" i="6"/>
  <c r="D141" i="6"/>
  <c r="D156" i="6"/>
  <c r="D171" i="6"/>
  <c r="D187" i="6"/>
  <c r="D167" i="6"/>
  <c r="D4" i="6"/>
  <c r="D33" i="6"/>
  <c r="D49" i="6"/>
  <c r="D64" i="6"/>
  <c r="D80" i="6"/>
  <c r="D96" i="6"/>
  <c r="D126" i="6"/>
  <c r="D142" i="6"/>
  <c r="D157" i="6"/>
  <c r="D172" i="6"/>
  <c r="D188" i="6"/>
  <c r="D152" i="6"/>
  <c r="D5" i="6"/>
  <c r="D34" i="6"/>
  <c r="D50" i="6"/>
  <c r="D65" i="6"/>
  <c r="D81" i="6"/>
  <c r="D97" i="6"/>
  <c r="D127" i="6"/>
  <c r="D143" i="6"/>
  <c r="D158" i="6"/>
  <c r="D173" i="6"/>
  <c r="D189" i="6"/>
  <c r="D59" i="6"/>
  <c r="D282" i="6"/>
  <c r="F78" i="1"/>
  <c r="F77" i="1"/>
  <c r="F76" i="1"/>
  <c r="F75" i="1"/>
  <c r="F74" i="1"/>
  <c r="F73" i="1"/>
  <c r="F72" i="1"/>
  <c r="F71" i="1"/>
  <c r="F70" i="1"/>
  <c r="F69" i="1"/>
  <c r="F68" i="1"/>
  <c r="F67" i="1"/>
  <c r="F66" i="1"/>
  <c r="F63" i="1"/>
  <c r="F65" i="1"/>
  <c r="F61" i="1"/>
  <c r="F58" i="1"/>
  <c r="F60" i="1"/>
  <c r="F9" i="1"/>
  <c r="F25" i="1"/>
  <c r="F57" i="1"/>
  <c r="F59" i="1"/>
  <c r="F62" i="1"/>
  <c r="F64" i="1"/>
  <c r="F43" i="1"/>
  <c r="F26" i="1"/>
  <c r="F12" i="1"/>
  <c r="F13" i="1"/>
  <c r="F28" i="1"/>
  <c r="F29" i="1"/>
  <c r="F14" i="1"/>
  <c r="F30" i="1"/>
  <c r="F46" i="1"/>
  <c r="F27" i="1"/>
  <c r="F44" i="1"/>
  <c r="F45" i="1"/>
  <c r="F15" i="1"/>
  <c r="F31" i="1"/>
  <c r="F42" i="1"/>
  <c r="F48" i="1"/>
  <c r="F10" i="1"/>
  <c r="F33" i="1"/>
  <c r="F49" i="1"/>
  <c r="F32" i="1"/>
  <c r="F50" i="1"/>
  <c r="F3" i="1"/>
  <c r="F19" i="1"/>
  <c r="F35" i="1"/>
  <c r="F51" i="1"/>
  <c r="F34" i="1"/>
  <c r="F4" i="1"/>
  <c r="F36" i="1"/>
  <c r="F52" i="1"/>
  <c r="F2" i="1"/>
  <c r="F5" i="1"/>
  <c r="F21" i="1"/>
  <c r="F53" i="1"/>
  <c r="F17" i="1"/>
  <c r="F16" i="1"/>
  <c r="F18" i="1"/>
  <c r="F6" i="1"/>
  <c r="F54" i="1"/>
  <c r="F7" i="1"/>
  <c r="F23" i="1"/>
  <c r="F39" i="1"/>
  <c r="F55" i="1"/>
  <c r="F22" i="1"/>
  <c r="F8" i="1"/>
  <c r="F24" i="1"/>
  <c r="F56" i="1"/>
  <c r="F20" i="1"/>
  <c r="F47" i="1"/>
  <c r="F37" i="1"/>
  <c r="F38" i="1"/>
  <c r="F40" i="1"/>
  <c r="F41" i="1"/>
  <c r="F11" i="1"/>
  <c r="J198" i="2"/>
  <c r="J182" i="2"/>
  <c r="J104" i="2"/>
  <c r="J88" i="2"/>
  <c r="J72" i="2"/>
  <c r="J56" i="2"/>
  <c r="J185" i="2"/>
  <c r="J111" i="2"/>
  <c r="J95" i="2"/>
  <c r="J79" i="2"/>
  <c r="J63" i="2"/>
  <c r="J188" i="2"/>
  <c r="J172" i="2"/>
  <c r="J169" i="2"/>
  <c r="J102" i="2"/>
  <c r="J86" i="2"/>
  <c r="J70" i="2"/>
  <c r="J54" i="2"/>
  <c r="J191" i="2"/>
  <c r="J175" i="2"/>
  <c r="J109" i="2"/>
  <c r="J93" i="2"/>
  <c r="J77" i="2"/>
  <c r="J61" i="2"/>
  <c r="J194" i="2"/>
  <c r="J178" i="2"/>
  <c r="J100" i="2"/>
  <c r="J84" i="2"/>
  <c r="J68" i="2"/>
  <c r="J52" i="2"/>
  <c r="J197" i="2"/>
  <c r="J181" i="2"/>
  <c r="J107" i="2"/>
  <c r="J91" i="2"/>
  <c r="J75" i="2"/>
  <c r="J59" i="2"/>
  <c r="J200" i="2"/>
  <c r="J184" i="2"/>
  <c r="J98" i="2"/>
  <c r="J82" i="2"/>
  <c r="J66" i="2"/>
  <c r="J50" i="2"/>
  <c r="J187" i="2"/>
  <c r="J171" i="2"/>
  <c r="J168" i="2"/>
  <c r="J166" i="2"/>
  <c r="J164" i="2"/>
  <c r="J162" i="2"/>
  <c r="J160" i="2"/>
  <c r="J158" i="2"/>
  <c r="J156" i="2"/>
  <c r="J154" i="2"/>
  <c r="J152" i="2"/>
  <c r="J150" i="2"/>
  <c r="J148" i="2"/>
  <c r="J146" i="2"/>
  <c r="J144" i="2"/>
  <c r="J142" i="2"/>
  <c r="J140" i="2"/>
  <c r="J138" i="2"/>
  <c r="J136" i="2"/>
  <c r="J134" i="2"/>
  <c r="J132" i="2"/>
  <c r="J130" i="2"/>
  <c r="J128" i="2"/>
  <c r="J126" i="2"/>
  <c r="J124" i="2"/>
  <c r="J122" i="2"/>
  <c r="J120" i="2"/>
  <c r="J118" i="2"/>
  <c r="J116" i="2"/>
  <c r="J114" i="2"/>
  <c r="J105" i="2"/>
  <c r="J89" i="2"/>
  <c r="J73" i="2"/>
  <c r="J57" i="2"/>
  <c r="J190" i="2"/>
  <c r="J174" i="2"/>
  <c r="J112" i="2"/>
  <c r="J96" i="2"/>
  <c r="J80" i="2"/>
  <c r="J64" i="2"/>
  <c r="J48" i="2"/>
  <c r="J193" i="2"/>
  <c r="J177" i="2"/>
  <c r="J103" i="2"/>
  <c r="J87" i="2"/>
  <c r="J71" i="2"/>
  <c r="J55" i="2"/>
  <c r="J196" i="2"/>
  <c r="J180" i="2"/>
  <c r="J110" i="2"/>
  <c r="J94" i="2"/>
  <c r="J78" i="2"/>
  <c r="J62" i="2"/>
  <c r="J46" i="2"/>
  <c r="J199" i="2"/>
  <c r="J183" i="2"/>
  <c r="J101" i="2"/>
  <c r="J85" i="2"/>
  <c r="J69" i="2"/>
  <c r="J186" i="2"/>
  <c r="J170" i="2"/>
  <c r="J108" i="2"/>
  <c r="J92" i="2"/>
  <c r="J76" i="2"/>
  <c r="J60" i="2"/>
  <c r="J189" i="2"/>
  <c r="J173" i="2"/>
  <c r="J99" i="2"/>
  <c r="J67" i="2"/>
  <c r="J34" i="2"/>
  <c r="J18" i="2"/>
  <c r="J2" i="2"/>
  <c r="J195" i="2"/>
  <c r="J153" i="2"/>
  <c r="J137" i="2"/>
  <c r="J121" i="2"/>
  <c r="J41" i="2"/>
  <c r="J25" i="2"/>
  <c r="J9" i="2"/>
  <c r="J192" i="2"/>
  <c r="J32" i="2"/>
  <c r="J16" i="2"/>
  <c r="J167" i="2"/>
  <c r="J151" i="2"/>
  <c r="J135" i="2"/>
  <c r="J119" i="2"/>
  <c r="J39" i="2"/>
  <c r="J23" i="2"/>
  <c r="J7" i="2"/>
  <c r="J129" i="2"/>
  <c r="J51" i="2"/>
  <c r="J30" i="2"/>
  <c r="J14" i="2"/>
  <c r="J145" i="2"/>
  <c r="J165" i="2"/>
  <c r="J149" i="2"/>
  <c r="J133" i="2"/>
  <c r="J117" i="2"/>
  <c r="J37" i="2"/>
  <c r="J21" i="2"/>
  <c r="J5" i="2"/>
  <c r="J97" i="2"/>
  <c r="J65" i="2"/>
  <c r="J47" i="2"/>
  <c r="J44" i="2"/>
  <c r="J28" i="2"/>
  <c r="J12" i="2"/>
  <c r="J33" i="2"/>
  <c r="J163" i="2"/>
  <c r="J147" i="2"/>
  <c r="J131" i="2"/>
  <c r="J115" i="2"/>
  <c r="J106" i="2"/>
  <c r="J90" i="2"/>
  <c r="J35" i="2"/>
  <c r="J19" i="2"/>
  <c r="J3" i="2"/>
  <c r="J83" i="2"/>
  <c r="J42" i="2"/>
  <c r="J26" i="2"/>
  <c r="J10" i="2"/>
  <c r="J161" i="2"/>
  <c r="J113" i="2"/>
  <c r="J58" i="2"/>
  <c r="J40" i="2"/>
  <c r="J24" i="2"/>
  <c r="J8" i="2"/>
  <c r="J1" i="2"/>
  <c r="K1" i="2" s="1"/>
  <c r="J17" i="2"/>
  <c r="J179" i="2"/>
  <c r="J159" i="2"/>
  <c r="J143" i="2"/>
  <c r="J127" i="2"/>
  <c r="J31" i="2"/>
  <c r="J15" i="2"/>
  <c r="J176" i="2"/>
  <c r="J53" i="2"/>
  <c r="J38" i="2"/>
  <c r="J22" i="2"/>
  <c r="J6" i="2"/>
  <c r="J157" i="2"/>
  <c r="J141" i="2"/>
  <c r="J125" i="2"/>
  <c r="J49" i="2"/>
  <c r="J29" i="2"/>
  <c r="J13" i="2"/>
  <c r="J81" i="2"/>
  <c r="J36" i="2"/>
  <c r="J20" i="2"/>
  <c r="J4" i="2"/>
  <c r="J155" i="2"/>
  <c r="J139" i="2"/>
  <c r="J123" i="2"/>
  <c r="J74" i="2"/>
  <c r="J45" i="2"/>
  <c r="J43" i="2"/>
  <c r="J27" i="2"/>
  <c r="J11" i="2"/>
  <c r="U7" i="118" l="1"/>
  <c r="U4" i="118"/>
  <c r="U5" i="118"/>
  <c r="U8" i="118"/>
  <c r="U2" i="118" s="1"/>
  <c r="W3" i="118"/>
  <c r="W6" i="118" s="1"/>
  <c r="U9" i="118"/>
  <c r="E25" i="6"/>
  <c r="E4" i="6"/>
  <c r="E9" i="6"/>
  <c r="E39" i="6"/>
  <c r="E30" i="6"/>
  <c r="E23" i="6"/>
  <c r="E46" i="6"/>
  <c r="E7" i="6"/>
  <c r="E14" i="6"/>
  <c r="E81" i="6"/>
  <c r="E35" i="6"/>
  <c r="E17" i="6"/>
  <c r="E3" i="6"/>
  <c r="E1" i="6"/>
  <c r="E40" i="6"/>
  <c r="E38" i="6"/>
  <c r="E24" i="6"/>
  <c r="E22" i="6"/>
  <c r="E8" i="6"/>
  <c r="E27" i="6"/>
  <c r="E44" i="6"/>
  <c r="E21" i="6"/>
  <c r="E45" i="6"/>
  <c r="E26" i="6"/>
  <c r="E29" i="6"/>
  <c r="E10" i="6"/>
  <c r="E5" i="6"/>
  <c r="E34" i="6"/>
  <c r="E18" i="6"/>
  <c r="E31" i="6"/>
  <c r="E2" i="6"/>
  <c r="E20" i="6"/>
  <c r="E41" i="6"/>
  <c r="E12" i="6"/>
  <c r="E19" i="6"/>
  <c r="E13" i="6"/>
  <c r="E28" i="6"/>
  <c r="E11" i="6"/>
  <c r="E33" i="6"/>
  <c r="E856" i="6"/>
  <c r="E149" i="6"/>
  <c r="E993" i="6"/>
  <c r="E16" i="6"/>
  <c r="E1267" i="6"/>
  <c r="E788" i="6"/>
  <c r="E99" i="6"/>
  <c r="E54" i="6"/>
  <c r="E1215" i="6"/>
  <c r="E937" i="6"/>
  <c r="E190" i="6"/>
  <c r="E962" i="6"/>
  <c r="E1246" i="6"/>
  <c r="E756" i="6"/>
  <c r="E72" i="6"/>
  <c r="E1482" i="6"/>
  <c r="E1146" i="6"/>
  <c r="E814" i="6"/>
  <c r="E127" i="6"/>
  <c r="E171" i="6"/>
  <c r="E83" i="6"/>
  <c r="E56" i="6"/>
  <c r="E195" i="6"/>
  <c r="E175" i="6"/>
  <c r="E137" i="6"/>
  <c r="E65" i="6"/>
  <c r="E949" i="6"/>
  <c r="E1282" i="6"/>
  <c r="E968" i="6"/>
  <c r="E872" i="6"/>
  <c r="E1283" i="6"/>
  <c r="E1005" i="6"/>
  <c r="E862" i="6"/>
  <c r="E1317" i="6"/>
  <c r="E1193" i="6"/>
  <c r="E1583" i="6"/>
  <c r="E200" i="6"/>
  <c r="E1577" i="6"/>
  <c r="E1143" i="6"/>
  <c r="E1652" i="6"/>
  <c r="E2084" i="6"/>
  <c r="E105" i="6"/>
  <c r="E158" i="6"/>
  <c r="E67" i="6"/>
  <c r="E163" i="6"/>
  <c r="E169" i="6"/>
  <c r="E131" i="6"/>
  <c r="E49" i="6"/>
  <c r="E986" i="6"/>
  <c r="E1290" i="6"/>
  <c r="E980" i="6"/>
  <c r="E888" i="6"/>
  <c r="E1307" i="6"/>
  <c r="E1018" i="6"/>
  <c r="E878" i="6"/>
  <c r="E144" i="6"/>
  <c r="E1213" i="6"/>
  <c r="E746" i="6"/>
  <c r="E753" i="6"/>
  <c r="E1517" i="6"/>
  <c r="E1361" i="6"/>
  <c r="E1894" i="6"/>
  <c r="E820" i="6"/>
  <c r="E89" i="6"/>
  <c r="E121" i="6"/>
  <c r="E51" i="6"/>
  <c r="E114" i="6"/>
  <c r="E143" i="6"/>
  <c r="E108" i="6"/>
  <c r="E754" i="6"/>
  <c r="E1004" i="6"/>
  <c r="E1298" i="6"/>
  <c r="E992" i="6"/>
  <c r="E904" i="6"/>
  <c r="E1441" i="6"/>
  <c r="E1024" i="6"/>
  <c r="E894" i="6"/>
  <c r="E160" i="6"/>
  <c r="E970" i="6"/>
  <c r="E995" i="6"/>
  <c r="E960" i="6"/>
  <c r="E1870" i="6"/>
  <c r="E1866" i="6"/>
  <c r="E1466" i="6"/>
  <c r="E1888" i="6"/>
  <c r="E1636" i="6"/>
  <c r="E1380" i="6"/>
  <c r="E2070" i="6"/>
  <c r="E2023" i="6"/>
  <c r="E1737" i="6"/>
  <c r="E1970" i="6"/>
  <c r="E1656" i="6"/>
  <c r="E1400" i="6"/>
  <c r="E2089" i="6"/>
  <c r="E1708" i="6"/>
  <c r="E1452" i="6"/>
  <c r="E1961" i="6"/>
  <c r="E1657" i="6"/>
  <c r="E1587" i="6"/>
  <c r="E1858" i="6"/>
  <c r="E1355" i="6"/>
  <c r="E1127" i="6"/>
  <c r="E1873" i="6"/>
  <c r="E1472" i="6"/>
  <c r="E1212" i="6"/>
  <c r="E1778" i="6"/>
  <c r="E1319" i="6"/>
  <c r="E1485" i="6"/>
  <c r="E1254" i="6"/>
  <c r="E998" i="6"/>
  <c r="E1599" i="6"/>
  <c r="E1710" i="6"/>
  <c r="E1390" i="6"/>
  <c r="E1497" i="6"/>
  <c r="E1237" i="6"/>
  <c r="E1813" i="6"/>
  <c r="E1510" i="6"/>
  <c r="E1550" i="6"/>
  <c r="E1199" i="6"/>
  <c r="E943" i="6"/>
  <c r="E1536" i="6"/>
  <c r="E1665" i="6"/>
  <c r="E1542" i="6"/>
  <c r="E1851" i="6"/>
  <c r="E1375" i="6"/>
  <c r="E1609" i="6"/>
  <c r="E1338" i="6"/>
  <c r="E1049" i="6"/>
  <c r="E1339" i="6"/>
  <c r="E1089" i="6"/>
  <c r="E796" i="6"/>
  <c r="E948" i="6"/>
  <c r="E184" i="6"/>
  <c r="E1108" i="6"/>
  <c r="E790" i="6"/>
  <c r="E1121" i="6"/>
  <c r="E832" i="6"/>
  <c r="E917" i="6"/>
  <c r="E1293" i="6"/>
  <c r="E958" i="6"/>
  <c r="E1326" i="6"/>
  <c r="E911" i="6"/>
  <c r="E1529" i="6"/>
  <c r="E1072" i="6"/>
  <c r="E1139" i="6"/>
  <c r="E809" i="6"/>
  <c r="E1172" i="6"/>
  <c r="E846" i="6"/>
  <c r="E1091" i="6"/>
  <c r="E819" i="6"/>
  <c r="E1104" i="6"/>
  <c r="E1275" i="6"/>
  <c r="E1920" i="6"/>
  <c r="E1706" i="6"/>
  <c r="E1450" i="6"/>
  <c r="E1863" i="6"/>
  <c r="E1620" i="6"/>
  <c r="E1364" i="6"/>
  <c r="E2043" i="6"/>
  <c r="E2002" i="6"/>
  <c r="E1726" i="6"/>
  <c r="E1963" i="6"/>
  <c r="E1640" i="6"/>
  <c r="E1384" i="6"/>
  <c r="E2082" i="6"/>
  <c r="E1692" i="6"/>
  <c r="E1436" i="6"/>
  <c r="E1928" i="6"/>
  <c r="E1601" i="6"/>
  <c r="E1581" i="6"/>
  <c r="E1794" i="6"/>
  <c r="E1349" i="6"/>
  <c r="E1111" i="6"/>
  <c r="E1849" i="6"/>
  <c r="E1458" i="6"/>
  <c r="E1196" i="6"/>
  <c r="E1742" i="6"/>
  <c r="E1313" i="6"/>
  <c r="E1478" i="6"/>
  <c r="E1238" i="6"/>
  <c r="E982" i="6"/>
  <c r="E1585" i="6"/>
  <c r="E1689" i="6"/>
  <c r="E1347" i="6"/>
  <c r="E1470" i="6"/>
  <c r="E1221" i="6"/>
  <c r="E1806" i="6"/>
  <c r="E1463" i="6"/>
  <c r="E1503" i="6"/>
  <c r="E1183" i="6"/>
  <c r="E927" i="6"/>
  <c r="E1522" i="6"/>
  <c r="E1645" i="6"/>
  <c r="E1495" i="6"/>
  <c r="E1781" i="6"/>
  <c r="E1369" i="6"/>
  <c r="E1575" i="6"/>
  <c r="E1304" i="6"/>
  <c r="E1010" i="6"/>
  <c r="E1322" i="6"/>
  <c r="E1042" i="6"/>
  <c r="E780" i="6"/>
  <c r="E936" i="6"/>
  <c r="E168" i="6"/>
  <c r="E1088" i="6"/>
  <c r="E774" i="6"/>
  <c r="E1074" i="6"/>
  <c r="E816" i="6"/>
  <c r="E901" i="6"/>
  <c r="E1249" i="6"/>
  <c r="E940" i="6"/>
  <c r="E1318" i="6"/>
  <c r="E895" i="6"/>
  <c r="E1455" i="6"/>
  <c r="E1038" i="6"/>
  <c r="E1085" i="6"/>
  <c r="E793" i="6"/>
  <c r="E1152" i="6"/>
  <c r="E830" i="6"/>
  <c r="E1037" i="6"/>
  <c r="E803" i="6"/>
  <c r="E1070" i="6"/>
  <c r="E2066" i="6"/>
  <c r="E2065" i="6"/>
  <c r="E2047" i="6"/>
  <c r="E1990" i="6"/>
  <c r="E1941" i="6"/>
  <c r="E2073" i="6"/>
  <c r="E1751" i="6"/>
  <c r="E1483" i="6"/>
  <c r="E1883" i="6"/>
  <c r="E1690" i="6"/>
  <c r="E1434" i="6"/>
  <c r="E1857" i="6"/>
  <c r="E1604" i="6"/>
  <c r="E1348" i="6"/>
  <c r="E2017" i="6"/>
  <c r="E1957" i="6"/>
  <c r="E1715" i="6"/>
  <c r="E1950" i="6"/>
  <c r="E1624" i="6"/>
  <c r="E1368" i="6"/>
  <c r="E2068" i="6"/>
  <c r="E1676" i="6"/>
  <c r="E1420" i="6"/>
  <c r="E1915" i="6"/>
  <c r="E1561" i="6"/>
  <c r="E1574" i="6"/>
  <c r="E1771" i="6"/>
  <c r="E1343" i="6"/>
  <c r="E1095" i="6"/>
  <c r="E1756" i="6"/>
  <c r="E1445" i="6"/>
  <c r="E1180" i="6"/>
  <c r="E1719" i="6"/>
  <c r="E1297" i="6"/>
  <c r="E1431" i="6"/>
  <c r="E1222" i="6"/>
  <c r="E966" i="6"/>
  <c r="E1545" i="6"/>
  <c r="E1681" i="6"/>
  <c r="E1341" i="6"/>
  <c r="E1423" i="6"/>
  <c r="E1205" i="6"/>
  <c r="E1775" i="6"/>
  <c r="E1456" i="6"/>
  <c r="E1489" i="6"/>
  <c r="E1167" i="6"/>
  <c r="E1994" i="6"/>
  <c r="E1509" i="6"/>
  <c r="E1638" i="6"/>
  <c r="E1488" i="6"/>
  <c r="E1758" i="6"/>
  <c r="E1327" i="6"/>
  <c r="E1568" i="6"/>
  <c r="E1288" i="6"/>
  <c r="E973" i="6"/>
  <c r="E1289" i="6"/>
  <c r="E1035" i="6"/>
  <c r="E764" i="6"/>
  <c r="E930" i="6"/>
  <c r="E152" i="6"/>
  <c r="E1054" i="6"/>
  <c r="E758" i="6"/>
  <c r="E1067" i="6"/>
  <c r="E800" i="6"/>
  <c r="E885" i="6"/>
  <c r="E1235" i="6"/>
  <c r="E928" i="6"/>
  <c r="E1309" i="6"/>
  <c r="E879" i="6"/>
  <c r="E1345" i="6"/>
  <c r="E1032" i="6"/>
  <c r="E1065" i="6"/>
  <c r="E777" i="6"/>
  <c r="E1118" i="6"/>
  <c r="E2060" i="6"/>
  <c r="E2054" i="6"/>
  <c r="E2036" i="6"/>
  <c r="E1962" i="6"/>
  <c r="E1934" i="6"/>
  <c r="E2059" i="6"/>
  <c r="E1723" i="6"/>
  <c r="E1467" i="6"/>
  <c r="E2086" i="6"/>
  <c r="E1674" i="6"/>
  <c r="E1418" i="6"/>
  <c r="E1840" i="6"/>
  <c r="E1588" i="6"/>
  <c r="E1332" i="6"/>
  <c r="E1944" i="6"/>
  <c r="E1917" i="6"/>
  <c r="E1699" i="6"/>
  <c r="E1911" i="6"/>
  <c r="E1608" i="6"/>
  <c r="E1352" i="6"/>
  <c r="E2034" i="6"/>
  <c r="E1660" i="6"/>
  <c r="E1404" i="6"/>
  <c r="E1909" i="6"/>
  <c r="E1534" i="6"/>
  <c r="E1527" i="6"/>
  <c r="E1735" i="6"/>
  <c r="E1337" i="6"/>
  <c r="E1079" i="6"/>
  <c r="E1749" i="6"/>
  <c r="E1411" i="6"/>
  <c r="E1164" i="6"/>
  <c r="E1682" i="6"/>
  <c r="E1997" i="6"/>
  <c r="E1424" i="6"/>
  <c r="E1206" i="6"/>
  <c r="E950" i="6"/>
  <c r="E1518" i="6"/>
  <c r="E1661" i="6"/>
  <c r="E1312" i="6"/>
  <c r="E1409" i="6"/>
  <c r="E1189" i="6"/>
  <c r="E1760" i="6"/>
  <c r="E1442" i="6"/>
  <c r="E1449" i="6"/>
  <c r="E1151" i="6"/>
  <c r="E1952" i="6"/>
  <c r="E1475" i="6"/>
  <c r="E1631" i="6"/>
  <c r="E1474" i="6"/>
  <c r="E1730" i="6"/>
  <c r="E1321" i="6"/>
  <c r="E1554" i="6"/>
  <c r="E1272" i="6"/>
  <c r="E961" i="6"/>
  <c r="E1281" i="6"/>
  <c r="E1022" i="6"/>
  <c r="E748" i="6"/>
  <c r="E924" i="6"/>
  <c r="E136" i="6"/>
  <c r="E1048" i="6"/>
  <c r="E742" i="6"/>
  <c r="E1060" i="6"/>
  <c r="E784" i="6"/>
  <c r="E869" i="6"/>
  <c r="E1214" i="6"/>
  <c r="E906" i="6"/>
  <c r="E1242" i="6"/>
  <c r="E863" i="6"/>
  <c r="E2049" i="6"/>
  <c r="E2026" i="6"/>
  <c r="E2008" i="6"/>
  <c r="E1951" i="6"/>
  <c r="E1896" i="6"/>
  <c r="E2052" i="6"/>
  <c r="E1707" i="6"/>
  <c r="E1451" i="6"/>
  <c r="E2032" i="6"/>
  <c r="E1658" i="6"/>
  <c r="E1402" i="6"/>
  <c r="E1834" i="6"/>
  <c r="E1572" i="6"/>
  <c r="E1316" i="6"/>
  <c r="E1924" i="6"/>
  <c r="E1905" i="6"/>
  <c r="E1683" i="6"/>
  <c r="E1886" i="6"/>
  <c r="E1592" i="6"/>
  <c r="E2075" i="6"/>
  <c r="E2014" i="6"/>
  <c r="E1644" i="6"/>
  <c r="E1388" i="6"/>
  <c r="E1884" i="6"/>
  <c r="E1487" i="6"/>
  <c r="E1520" i="6"/>
  <c r="E1712" i="6"/>
  <c r="E1331" i="6"/>
  <c r="E1063" i="6"/>
  <c r="E1705" i="6"/>
  <c r="E1405" i="6"/>
  <c r="E1148" i="6"/>
  <c r="E1669" i="6"/>
  <c r="E1982" i="6"/>
  <c r="E1410" i="6"/>
  <c r="E1190" i="6"/>
  <c r="E934" i="6"/>
  <c r="E1471" i="6"/>
  <c r="E1654" i="6"/>
  <c r="E1296" i="6"/>
  <c r="E1377" i="6"/>
  <c r="E1173" i="6"/>
  <c r="E1739" i="6"/>
  <c r="E1429" i="6"/>
  <c r="E1422" i="6"/>
  <c r="E1135" i="6"/>
  <c r="E1869" i="6"/>
  <c r="E1469" i="6"/>
  <c r="E2011" i="6"/>
  <c r="E1461" i="6"/>
  <c r="E1693" i="6"/>
  <c r="E1315" i="6"/>
  <c r="E1541" i="6"/>
  <c r="E1256" i="6"/>
  <c r="E955" i="6"/>
  <c r="E1274" i="6"/>
  <c r="E1016" i="6"/>
  <c r="E1502" i="6"/>
  <c r="E913" i="6"/>
  <c r="E120" i="6"/>
  <c r="E1041" i="6"/>
  <c r="E1394" i="6"/>
  <c r="E1040" i="6"/>
  <c r="E768" i="6"/>
  <c r="E853" i="6"/>
  <c r="E1208" i="6"/>
  <c r="E890" i="6"/>
  <c r="E1194" i="6"/>
  <c r="E847" i="6"/>
  <c r="E1262" i="6"/>
  <c r="E1006" i="6"/>
  <c r="E2015" i="6"/>
  <c r="E1980" i="6"/>
  <c r="E1940" i="6"/>
  <c r="E1890" i="6"/>
  <c r="E2033" i="6"/>
  <c r="E1691" i="6"/>
  <c r="E1435" i="6"/>
  <c r="E1985" i="6"/>
  <c r="E1642" i="6"/>
  <c r="E2057" i="6"/>
  <c r="E1816" i="6"/>
  <c r="E1556" i="6"/>
  <c r="E2063" i="6"/>
  <c r="E1874" i="6"/>
  <c r="E1899" i="6"/>
  <c r="E1667" i="6"/>
  <c r="E1867" i="6"/>
  <c r="E1576" i="6"/>
  <c r="E2061" i="6"/>
  <c r="E2000" i="6"/>
  <c r="E1628" i="6"/>
  <c r="E1372" i="6"/>
  <c r="E1878" i="6"/>
  <c r="E1473" i="6"/>
  <c r="E1506" i="6"/>
  <c r="E1677" i="6"/>
  <c r="E1303" i="6"/>
  <c r="E1047" i="6"/>
  <c r="E1697" i="6"/>
  <c r="E1398" i="6"/>
  <c r="E1132" i="6"/>
  <c r="E1662" i="6"/>
  <c r="E1945" i="6"/>
  <c r="E1397" i="6"/>
  <c r="E1174" i="6"/>
  <c r="E2044" i="6"/>
  <c r="E1457" i="6"/>
  <c r="E1647" i="6"/>
  <c r="E2025" i="6"/>
  <c r="E1371" i="6"/>
  <c r="E1157" i="6"/>
  <c r="E1695" i="6"/>
  <c r="E1383" i="6"/>
  <c r="E1395" i="6"/>
  <c r="E1119" i="6"/>
  <c r="E1846" i="6"/>
  <c r="E1462" i="6"/>
  <c r="E1895" i="6"/>
  <c r="E1427" i="6"/>
  <c r="E1650" i="6"/>
  <c r="E1299" i="6"/>
  <c r="E1507" i="6"/>
  <c r="E1240" i="6"/>
  <c r="E903" i="6"/>
  <c r="E1266" i="6"/>
  <c r="E997" i="6"/>
  <c r="E1305" i="6"/>
  <c r="E897" i="6"/>
  <c r="E1376" i="6"/>
  <c r="E990" i="6"/>
  <c r="E1328" i="6"/>
  <c r="E1027" i="6"/>
  <c r="E752" i="6"/>
  <c r="E837" i="6"/>
  <c r="E1201" i="6"/>
  <c r="E874" i="6"/>
  <c r="E1187" i="6"/>
  <c r="E831" i="6"/>
  <c r="E1248" i="6"/>
  <c r="E988" i="6"/>
  <c r="E1000" i="6"/>
  <c r="E2010" i="6"/>
  <c r="E2004" i="6"/>
  <c r="E1969" i="6"/>
  <c r="E2078" i="6"/>
  <c r="E1865" i="6"/>
  <c r="E2020" i="6"/>
  <c r="E1675" i="6"/>
  <c r="E1419" i="6"/>
  <c r="E1979" i="6"/>
  <c r="E1626" i="6"/>
  <c r="E2050" i="6"/>
  <c r="E1788" i="6"/>
  <c r="E1540" i="6"/>
  <c r="E2037" i="6"/>
  <c r="E1845" i="6"/>
  <c r="E1893" i="6"/>
  <c r="E1651" i="6"/>
  <c r="E1850" i="6"/>
  <c r="E1560" i="6"/>
  <c r="E2022" i="6"/>
  <c r="E1903" i="6"/>
  <c r="E1612" i="6"/>
  <c r="E1356" i="6"/>
  <c r="E1854" i="6"/>
  <c r="E1433" i="6"/>
  <c r="E1493" i="6"/>
  <c r="E1670" i="6"/>
  <c r="E1287" i="6"/>
  <c r="E1031" i="6"/>
  <c r="E1634" i="6"/>
  <c r="E1379" i="6"/>
  <c r="E1116" i="6"/>
  <c r="E1648" i="6"/>
  <c r="E1841" i="6"/>
  <c r="E1391" i="6"/>
  <c r="E1158" i="6"/>
  <c r="E1814" i="6"/>
  <c r="E1417" i="6"/>
  <c r="E1571" i="6"/>
  <c r="E1847" i="6"/>
  <c r="E1365" i="6"/>
  <c r="E1141" i="6"/>
  <c r="E1666" i="6"/>
  <c r="E1346" i="6"/>
  <c r="E1389" i="6"/>
  <c r="E1103" i="6"/>
  <c r="E1828" i="6"/>
  <c r="E1415" i="6"/>
  <c r="E1868" i="6"/>
  <c r="E1421" i="6"/>
  <c r="E1637" i="6"/>
  <c r="E1922" i="6"/>
  <c r="E1501" i="6"/>
  <c r="E1370" i="6"/>
  <c r="E887" i="6"/>
  <c r="E1259" i="6"/>
  <c r="E985" i="6"/>
  <c r="E1210" i="6"/>
  <c r="E881" i="6"/>
  <c r="E1280" i="6"/>
  <c r="E972" i="6"/>
  <c r="E1320" i="6"/>
  <c r="E1002" i="6"/>
  <c r="E1257" i="6"/>
  <c r="E821" i="6"/>
  <c r="E1154" i="6"/>
  <c r="E858" i="6"/>
  <c r="E1133" i="6"/>
  <c r="E815" i="6"/>
  <c r="E1795" i="6"/>
  <c r="E1999" i="6"/>
  <c r="E1976" i="6"/>
  <c r="E1958" i="6"/>
  <c r="E2055" i="6"/>
  <c r="E1842" i="6"/>
  <c r="E2006" i="6"/>
  <c r="E1659" i="6"/>
  <c r="E1403" i="6"/>
  <c r="E1959" i="6"/>
  <c r="E1610" i="6"/>
  <c r="E2031" i="6"/>
  <c r="E1777" i="6"/>
  <c r="E1524" i="6"/>
  <c r="E1996" i="6"/>
  <c r="E1804" i="6"/>
  <c r="E1862" i="6"/>
  <c r="E1635" i="6"/>
  <c r="E1809" i="6"/>
  <c r="E1544" i="6"/>
  <c r="E1949" i="6"/>
  <c r="E1872" i="6"/>
  <c r="E1596" i="6"/>
  <c r="E1340" i="6"/>
  <c r="E2048" i="6"/>
  <c r="E1406" i="6"/>
  <c r="E1459" i="6"/>
  <c r="E1663" i="6"/>
  <c r="E1271" i="6"/>
  <c r="E1015" i="6"/>
  <c r="E1621" i="6"/>
  <c r="E1373" i="6"/>
  <c r="E1100" i="6"/>
  <c r="E1607" i="6"/>
  <c r="E1734" i="6"/>
  <c r="E1378" i="6"/>
  <c r="E1142" i="6"/>
  <c r="E1808" i="6"/>
  <c r="E2064" i="6"/>
  <c r="E1565" i="6"/>
  <c r="E1822" i="6"/>
  <c r="E1359" i="6"/>
  <c r="E1125" i="6"/>
  <c r="E1653" i="6"/>
  <c r="E1943" i="6"/>
  <c r="E1358" i="6"/>
  <c r="E1087" i="6"/>
  <c r="E1805" i="6"/>
  <c r="E1408" i="6"/>
  <c r="E1835" i="6"/>
  <c r="E1414" i="6"/>
  <c r="E1630" i="6"/>
  <c r="E1844" i="6"/>
  <c r="E1494" i="6"/>
  <c r="E1314" i="6"/>
  <c r="E871" i="6"/>
  <c r="E1230" i="6"/>
  <c r="E979" i="6"/>
  <c r="E1203" i="6"/>
  <c r="E865" i="6"/>
  <c r="E1273" i="6"/>
  <c r="E954" i="6"/>
  <c r="E1264" i="6"/>
  <c r="E965" i="6"/>
  <c r="E1181" i="6"/>
  <c r="E805" i="6"/>
  <c r="E1147" i="6"/>
  <c r="E842" i="6"/>
  <c r="E1113" i="6"/>
  <c r="E799" i="6"/>
  <c r="E1227" i="6"/>
  <c r="E933" i="6"/>
  <c r="E1988" i="6"/>
  <c r="E1948" i="6"/>
  <c r="E1930" i="6"/>
  <c r="E2027" i="6"/>
  <c r="E1836" i="6"/>
  <c r="E1967" i="6"/>
  <c r="E1643" i="6"/>
  <c r="E1387" i="6"/>
  <c r="E1913" i="6"/>
  <c r="E1594" i="6"/>
  <c r="E2024" i="6"/>
  <c r="E1766" i="6"/>
  <c r="E1508" i="6"/>
  <c r="E1984" i="6"/>
  <c r="E1793" i="6"/>
  <c r="E1856" i="6"/>
  <c r="E1619" i="6"/>
  <c r="E1798" i="6"/>
  <c r="E1528" i="6"/>
  <c r="E1929" i="6"/>
  <c r="E1837" i="6"/>
  <c r="E1580" i="6"/>
  <c r="E1324" i="6"/>
  <c r="E1992" i="6"/>
  <c r="E1975" i="6"/>
  <c r="E1453" i="6"/>
  <c r="E1567" i="6"/>
  <c r="E1255" i="6"/>
  <c r="E999" i="6"/>
  <c r="E1614" i="6"/>
  <c r="E1367" i="6"/>
  <c r="E1084" i="6"/>
  <c r="E1593" i="6"/>
  <c r="E1711" i="6"/>
  <c r="E1366" i="6"/>
  <c r="E1126" i="6"/>
  <c r="E1792" i="6"/>
  <c r="E1989" i="6"/>
  <c r="E1558" i="6"/>
  <c r="E1799" i="6"/>
  <c r="E1353" i="6"/>
  <c r="E1109" i="6"/>
  <c r="E1646" i="6"/>
  <c r="E1783" i="6"/>
  <c r="E1334" i="6"/>
  <c r="E1071" i="6"/>
  <c r="E1767" i="6"/>
  <c r="E2041" i="6"/>
  <c r="E1819" i="6"/>
  <c r="E1363" i="6"/>
  <c r="E1616" i="6"/>
  <c r="E1803" i="6"/>
  <c r="E1447" i="6"/>
  <c r="E1306" i="6"/>
  <c r="E855" i="6"/>
  <c r="E1224" i="6"/>
  <c r="E942" i="6"/>
  <c r="E1149" i="6"/>
  <c r="E849" i="6"/>
  <c r="E1265" i="6"/>
  <c r="E918" i="6"/>
  <c r="E1250" i="6"/>
  <c r="E953" i="6"/>
  <c r="E1161" i="6"/>
  <c r="E789" i="6"/>
  <c r="E1140" i="6"/>
  <c r="E826" i="6"/>
  <c r="E1066" i="6"/>
  <c r="E783" i="6"/>
  <c r="E1220" i="6"/>
  <c r="E916" i="6"/>
  <c r="E945" i="6"/>
  <c r="E1960" i="6"/>
  <c r="E1937" i="6"/>
  <c r="E1919" i="6"/>
  <c r="E2016" i="6"/>
  <c r="E1818" i="6"/>
  <c r="E1914" i="6"/>
  <c r="E1627" i="6"/>
  <c r="E2045" i="6"/>
  <c r="E1852" i="6"/>
  <c r="E1578" i="6"/>
  <c r="E2018" i="6"/>
  <c r="E1738" i="6"/>
  <c r="E1492" i="6"/>
  <c r="E1964" i="6"/>
  <c r="E1782" i="6"/>
  <c r="E1839" i="6"/>
  <c r="E1603" i="6"/>
  <c r="E1770" i="6"/>
  <c r="E1512" i="6"/>
  <c r="E1916" i="6"/>
  <c r="E1831" i="6"/>
  <c r="E1564" i="6"/>
  <c r="E2081" i="6"/>
  <c r="E1826" i="6"/>
  <c r="E1810" i="6"/>
  <c r="E1446" i="6"/>
  <c r="E1553" i="6"/>
  <c r="E1239" i="6"/>
  <c r="E983" i="6"/>
  <c r="E1600" i="6"/>
  <c r="E1325" i="6"/>
  <c r="E1068" i="6"/>
  <c r="E1566" i="6"/>
  <c r="E1655" i="6"/>
  <c r="E1360" i="6"/>
  <c r="E1110" i="6"/>
  <c r="E1755" i="6"/>
  <c r="E1972" i="6"/>
  <c r="E1511" i="6"/>
  <c r="E1733" i="6"/>
  <c r="E1335" i="6"/>
  <c r="E1093" i="6"/>
  <c r="E1632" i="6"/>
  <c r="E1753" i="6"/>
  <c r="E1311" i="6"/>
  <c r="E1055" i="6"/>
  <c r="E1701" i="6"/>
  <c r="E1942" i="6"/>
  <c r="E1797" i="6"/>
  <c r="E1357" i="6"/>
  <c r="E1582" i="6"/>
  <c r="E1736" i="6"/>
  <c r="E1440" i="6"/>
  <c r="E1252" i="6"/>
  <c r="E839" i="6"/>
  <c r="E1217" i="6"/>
  <c r="E908" i="6"/>
  <c r="E1129" i="6"/>
  <c r="E833" i="6"/>
  <c r="E1251" i="6"/>
  <c r="E902" i="6"/>
  <c r="E1243" i="6"/>
  <c r="E947" i="6"/>
  <c r="E1114" i="6"/>
  <c r="E773" i="6"/>
  <c r="E1120" i="6"/>
  <c r="E810" i="6"/>
  <c r="E1059" i="6"/>
  <c r="E767" i="6"/>
  <c r="E1200" i="6"/>
  <c r="E900" i="6"/>
  <c r="E939" i="6"/>
  <c r="E128" i="6"/>
  <c r="E969" i="6"/>
  <c r="E1268" i="6"/>
  <c r="E926" i="6"/>
  <c r="E1232" i="6"/>
  <c r="E1747" i="6"/>
  <c r="E1932" i="6"/>
  <c r="E1926" i="6"/>
  <c r="E1908" i="6"/>
  <c r="E2005" i="6"/>
  <c r="E1807" i="6"/>
  <c r="E1902" i="6"/>
  <c r="E1611" i="6"/>
  <c r="E2039" i="6"/>
  <c r="E1829" i="6"/>
  <c r="E1562" i="6"/>
  <c r="E1991" i="6"/>
  <c r="E1727" i="6"/>
  <c r="E1476" i="6"/>
  <c r="E1938" i="6"/>
  <c r="E1754" i="6"/>
  <c r="E1833" i="6"/>
  <c r="E2069" i="6"/>
  <c r="E1759" i="6"/>
  <c r="E1496" i="6"/>
  <c r="E1904" i="6"/>
  <c r="E1825" i="6"/>
  <c r="E1548" i="6"/>
  <c r="E2053" i="6"/>
  <c r="E1817" i="6"/>
  <c r="E1786" i="6"/>
  <c r="E1399" i="6"/>
  <c r="E1513" i="6"/>
  <c r="E1223" i="6"/>
  <c r="E967" i="6"/>
  <c r="E1586" i="6"/>
  <c r="E1308" i="6"/>
  <c r="E1052" i="6"/>
  <c r="E1519" i="6"/>
  <c r="E1641" i="6"/>
  <c r="E1354" i="6"/>
  <c r="E1094" i="6"/>
  <c r="E1741" i="6"/>
  <c r="E1936" i="6"/>
  <c r="E1504" i="6"/>
  <c r="E1703" i="6"/>
  <c r="E1329" i="6"/>
  <c r="E1077" i="6"/>
  <c r="E1591" i="6"/>
  <c r="E1746" i="6"/>
  <c r="E1295" i="6"/>
  <c r="E1039" i="6"/>
  <c r="E1694" i="6"/>
  <c r="E1877" i="6"/>
  <c r="E1745" i="6"/>
  <c r="E1351" i="6"/>
  <c r="E1535" i="6"/>
  <c r="E1721" i="6"/>
  <c r="E1426" i="6"/>
  <c r="E1245" i="6"/>
  <c r="E823" i="6"/>
  <c r="E1170" i="6"/>
  <c r="E892" i="6"/>
  <c r="E1082" i="6"/>
  <c r="E817" i="6"/>
  <c r="E1216" i="6"/>
  <c r="E886" i="6"/>
  <c r="E1202" i="6"/>
  <c r="E923" i="6"/>
  <c r="E1107" i="6"/>
  <c r="E757" i="6"/>
  <c r="E1086" i="6"/>
  <c r="E794" i="6"/>
  <c r="E1026" i="6"/>
  <c r="E751" i="6"/>
  <c r="E1166" i="6"/>
  <c r="E884" i="6"/>
  <c r="E905" i="6"/>
  <c r="E1401" i="6"/>
  <c r="E1731" i="6"/>
  <c r="E1921" i="6"/>
  <c r="E1898" i="6"/>
  <c r="E1880" i="6"/>
  <c r="E1977" i="6"/>
  <c r="E1796" i="6"/>
  <c r="E1853" i="6"/>
  <c r="E1595" i="6"/>
  <c r="E1986" i="6"/>
  <c r="E1823" i="6"/>
  <c r="E1546" i="6"/>
  <c r="E1978" i="6"/>
  <c r="E1716" i="6"/>
  <c r="E1460" i="6"/>
  <c r="E1931" i="6"/>
  <c r="E1743" i="6"/>
  <c r="E1821" i="6"/>
  <c r="E2062" i="6"/>
  <c r="E1748" i="6"/>
  <c r="E1480" i="6"/>
  <c r="E1885" i="6"/>
  <c r="E1802" i="6"/>
  <c r="E1532" i="6"/>
  <c r="E2021" i="6"/>
  <c r="E1764" i="6"/>
  <c r="E1728" i="6"/>
  <c r="E1386" i="6"/>
  <c r="E1486" i="6"/>
  <c r="E1207" i="6"/>
  <c r="E951" i="6"/>
  <c r="E1573" i="6"/>
  <c r="E1292" i="6"/>
  <c r="E1036" i="6"/>
  <c r="E1505" i="6"/>
  <c r="E1559" i="6"/>
  <c r="E1336" i="6"/>
  <c r="E1078" i="6"/>
  <c r="E1725" i="6"/>
  <c r="E1889" i="6"/>
  <c r="E1490" i="6"/>
  <c r="E1618" i="6"/>
  <c r="E1323" i="6"/>
  <c r="E1061" i="6"/>
  <c r="E1584" i="6"/>
  <c r="E1709" i="6"/>
  <c r="E1279" i="6"/>
  <c r="E1023" i="6"/>
  <c r="E1673" i="6"/>
  <c r="E1812" i="6"/>
  <c r="E1679" i="6"/>
  <c r="E1333" i="6"/>
  <c r="E1521" i="6"/>
  <c r="E1713" i="6"/>
  <c r="E1413" i="6"/>
  <c r="E1197" i="6"/>
  <c r="E807" i="6"/>
  <c r="E1163" i="6"/>
  <c r="E876" i="6"/>
  <c r="E1075" i="6"/>
  <c r="E801" i="6"/>
  <c r="E1182" i="6"/>
  <c r="E870" i="6"/>
  <c r="E1195" i="6"/>
  <c r="E912" i="6"/>
  <c r="E1053" i="6"/>
  <c r="E741" i="6"/>
  <c r="E1080" i="6"/>
  <c r="E778" i="6"/>
  <c r="E976" i="6"/>
  <c r="E198" i="6"/>
  <c r="E1160" i="6"/>
  <c r="E1284" i="6"/>
  <c r="E889" i="6"/>
  <c r="E1887" i="6"/>
  <c r="E2092" i="6"/>
  <c r="E1966" i="6"/>
  <c r="E1768" i="6"/>
  <c r="E1830" i="6"/>
  <c r="E1579" i="6"/>
  <c r="E1973" i="6"/>
  <c r="E1800" i="6"/>
  <c r="E1530" i="6"/>
  <c r="E1925" i="6"/>
  <c r="E1700" i="6"/>
  <c r="E1444" i="6"/>
  <c r="E1918" i="6"/>
  <c r="E1732" i="6"/>
  <c r="E1815" i="6"/>
  <c r="E2042" i="6"/>
  <c r="E1720" i="6"/>
  <c r="E1464" i="6"/>
  <c r="E1879" i="6"/>
  <c r="E1791" i="6"/>
  <c r="E1516" i="6"/>
  <c r="E2007" i="6"/>
  <c r="E1757" i="6"/>
  <c r="E1649" i="6"/>
  <c r="E2029" i="6"/>
  <c r="E1439" i="6"/>
  <c r="E1191" i="6"/>
  <c r="E935" i="6"/>
  <c r="E1539" i="6"/>
  <c r="E1276" i="6"/>
  <c r="E1020" i="6"/>
  <c r="E1465" i="6"/>
  <c r="E1552" i="6"/>
  <c r="E1330" i="6"/>
  <c r="E1062" i="6"/>
  <c r="E1696" i="6"/>
  <c r="E1864" i="6"/>
  <c r="E1477" i="6"/>
  <c r="E1605" i="6"/>
  <c r="E1301" i="6"/>
  <c r="E1045" i="6"/>
  <c r="E1570" i="6"/>
  <c r="E1680" i="6"/>
  <c r="E1263" i="6"/>
  <c r="E1007" i="6"/>
  <c r="E1617" i="6"/>
  <c r="E1789" i="6"/>
  <c r="E1602" i="6"/>
  <c r="E1310" i="6"/>
  <c r="E1481" i="6"/>
  <c r="E1685" i="6"/>
  <c r="E1393" i="6"/>
  <c r="E1177" i="6"/>
  <c r="E791" i="6"/>
  <c r="E1156" i="6"/>
  <c r="E860" i="6"/>
  <c r="E1028" i="6"/>
  <c r="E785" i="6"/>
  <c r="E1176" i="6"/>
  <c r="E854" i="6"/>
  <c r="E1188" i="6"/>
  <c r="E896" i="6"/>
  <c r="E1033" i="6"/>
  <c r="E188" i="6"/>
  <c r="E1073" i="6"/>
  <c r="E762" i="6"/>
  <c r="E964" i="6"/>
  <c r="E182" i="6"/>
  <c r="E1153" i="6"/>
  <c r="E1241" i="6"/>
  <c r="E141" i="6"/>
  <c r="E148" i="6"/>
  <c r="E1955" i="6"/>
  <c r="E2071" i="6"/>
  <c r="E1882" i="6"/>
  <c r="E1876" i="6"/>
  <c r="E2080" i="6"/>
  <c r="E2046" i="6"/>
  <c r="E1740" i="6"/>
  <c r="E1824" i="6"/>
  <c r="E1563" i="6"/>
  <c r="E1953" i="6"/>
  <c r="E1772" i="6"/>
  <c r="E1514" i="6"/>
  <c r="E1906" i="6"/>
  <c r="E1684" i="6"/>
  <c r="E1428" i="6"/>
  <c r="E1912" i="6"/>
  <c r="E2076" i="6"/>
  <c r="E1787" i="6"/>
  <c r="E2009" i="6"/>
  <c r="E1704" i="6"/>
  <c r="E1448" i="6"/>
  <c r="E1861" i="6"/>
  <c r="E1780" i="6"/>
  <c r="E1500" i="6"/>
  <c r="E1981" i="6"/>
  <c r="E1744" i="6"/>
  <c r="E1629" i="6"/>
  <c r="E1901" i="6"/>
  <c r="E1425" i="6"/>
  <c r="E1175" i="6"/>
  <c r="E919" i="6"/>
  <c r="E1533" i="6"/>
  <c r="E1260" i="6"/>
  <c r="E2028" i="6"/>
  <c r="E1438" i="6"/>
  <c r="E1538" i="6"/>
  <c r="E1302" i="6"/>
  <c r="E1046" i="6"/>
  <c r="E1633" i="6"/>
  <c r="E1784" i="6"/>
  <c r="E1443" i="6"/>
  <c r="E1598" i="6"/>
  <c r="E1285" i="6"/>
  <c r="E1935" i="6"/>
  <c r="E1557" i="6"/>
  <c r="E1639" i="6"/>
  <c r="E1247" i="6"/>
  <c r="E991" i="6"/>
  <c r="E1597" i="6"/>
  <c r="E1774" i="6"/>
  <c r="E1589" i="6"/>
  <c r="E1294" i="6"/>
  <c r="E1454" i="6"/>
  <c r="E1678" i="6"/>
  <c r="E1362" i="6"/>
  <c r="E1130" i="6"/>
  <c r="E775" i="6"/>
  <c r="E1136" i="6"/>
  <c r="E844" i="6"/>
  <c r="E1009" i="6"/>
  <c r="E769" i="6"/>
  <c r="E1169" i="6"/>
  <c r="E838" i="6"/>
  <c r="E1168" i="6"/>
  <c r="E880" i="6"/>
  <c r="E989" i="6"/>
  <c r="E172" i="6"/>
  <c r="E1013" i="6"/>
  <c r="E116" i="6"/>
  <c r="E779" i="6"/>
  <c r="E173" i="6"/>
  <c r="E161" i="6"/>
  <c r="E1939" i="6"/>
  <c r="E2085" i="6"/>
  <c r="E1871" i="6"/>
  <c r="E1848" i="6"/>
  <c r="E2074" i="6"/>
  <c r="E2013" i="6"/>
  <c r="E1729" i="6"/>
  <c r="E1801" i="6"/>
  <c r="E1547" i="6"/>
  <c r="E1946" i="6"/>
  <c r="E1761" i="6"/>
  <c r="E1498" i="6"/>
  <c r="E1900" i="6"/>
  <c r="E1668" i="6"/>
  <c r="E1412" i="6"/>
  <c r="E1881" i="6"/>
  <c r="E2056" i="6"/>
  <c r="E1776" i="6"/>
  <c r="E1995" i="6"/>
  <c r="E1688" i="6"/>
  <c r="E1432" i="6"/>
  <c r="E1855" i="6"/>
  <c r="E1752" i="6"/>
  <c r="E1484" i="6"/>
  <c r="E1974" i="6"/>
  <c r="E1698" i="6"/>
  <c r="E1622" i="6"/>
  <c r="E1892" i="6"/>
  <c r="E1392" i="6"/>
  <c r="E1159" i="6"/>
  <c r="E1998" i="6"/>
  <c r="E1526" i="6"/>
  <c r="E1244" i="6"/>
  <c r="E1956" i="6"/>
  <c r="E1385" i="6"/>
  <c r="E1525" i="6"/>
  <c r="E1286" i="6"/>
  <c r="E1030" i="6"/>
  <c r="E1613" i="6"/>
  <c r="E1769" i="6"/>
  <c r="E1437" i="6"/>
  <c r="E1551" i="6"/>
  <c r="E1269" i="6"/>
  <c r="E1897" i="6"/>
  <c r="E1523" i="6"/>
  <c r="E1625" i="6"/>
  <c r="E1231" i="6"/>
  <c r="E975" i="6"/>
  <c r="E1590" i="6"/>
  <c r="E1714" i="6"/>
  <c r="E1555" i="6"/>
  <c r="E1278" i="6"/>
  <c r="E1407" i="6"/>
  <c r="E1664" i="6"/>
  <c r="E1350" i="6"/>
  <c r="E1123" i="6"/>
  <c r="E759" i="6"/>
  <c r="E1102" i="6"/>
  <c r="E828" i="6"/>
  <c r="E1003" i="6"/>
  <c r="E73" i="6"/>
  <c r="E78" i="6"/>
  <c r="E98" i="6"/>
  <c r="E125" i="6"/>
  <c r="E92" i="6"/>
  <c r="E770" i="6"/>
  <c r="E1029" i="6"/>
  <c r="E749" i="6"/>
  <c r="E1017" i="6"/>
  <c r="E938" i="6"/>
  <c r="E755" i="6"/>
  <c r="E1098" i="6"/>
  <c r="E910" i="6"/>
  <c r="E176" i="6"/>
  <c r="E1019" i="6"/>
  <c r="E1001" i="6"/>
  <c r="E812" i="6"/>
  <c r="E1253" i="6"/>
  <c r="E1615" i="6"/>
  <c r="E1750" i="6"/>
  <c r="E57" i="6"/>
  <c r="E82" i="6"/>
  <c r="E119" i="6"/>
  <c r="E76" i="6"/>
  <c r="E786" i="6"/>
  <c r="E1056" i="6"/>
  <c r="E765" i="6"/>
  <c r="E1043" i="6"/>
  <c r="E956" i="6"/>
  <c r="E771" i="6"/>
  <c r="E1145" i="6"/>
  <c r="E921" i="6"/>
  <c r="E192" i="6"/>
  <c r="E1092" i="6"/>
  <c r="E1374" i="6"/>
  <c r="E1096" i="6"/>
  <c r="E1537" i="6"/>
  <c r="E1671" i="6"/>
  <c r="E1933" i="6"/>
  <c r="E1034" i="6"/>
  <c r="E189" i="6"/>
  <c r="E50" i="6"/>
  <c r="E103" i="6"/>
  <c r="E187" i="6"/>
  <c r="E802" i="6"/>
  <c r="E1076" i="6"/>
  <c r="E781" i="6"/>
  <c r="E1050" i="6"/>
  <c r="E974" i="6"/>
  <c r="E787" i="6"/>
  <c r="E1165" i="6"/>
  <c r="E963" i="6"/>
  <c r="E745" i="6"/>
  <c r="E1099" i="6"/>
  <c r="E156" i="6"/>
  <c r="E743" i="6"/>
  <c r="E1430" i="6"/>
  <c r="E1968" i="6"/>
  <c r="E1531" i="6"/>
  <c r="E146" i="6"/>
  <c r="E1122" i="6"/>
  <c r="E1008" i="6"/>
  <c r="E978" i="6"/>
  <c r="E157" i="6"/>
  <c r="E87" i="6"/>
  <c r="E1081" i="6"/>
  <c r="E174" i="6"/>
  <c r="E818" i="6"/>
  <c r="E1083" i="6"/>
  <c r="E797" i="6"/>
  <c r="E1097" i="6"/>
  <c r="E1011" i="6"/>
  <c r="E835" i="6"/>
  <c r="E1219" i="6"/>
  <c r="E981" i="6"/>
  <c r="E761" i="6"/>
  <c r="E1106" i="6"/>
  <c r="E971" i="6"/>
  <c r="E1069" i="6"/>
  <c r="E1717" i="6"/>
  <c r="E1468" i="6"/>
  <c r="E1790" i="6"/>
  <c r="E836" i="6"/>
  <c r="E795" i="6"/>
  <c r="E138" i="6"/>
  <c r="E71" i="6"/>
  <c r="E1101" i="6"/>
  <c r="E155" i="6"/>
  <c r="E834" i="6"/>
  <c r="E1090" i="6"/>
  <c r="E813" i="6"/>
  <c r="E1117" i="6"/>
  <c r="E1057" i="6"/>
  <c r="E851" i="6"/>
  <c r="E1226" i="6"/>
  <c r="E1044" i="6"/>
  <c r="E825" i="6"/>
  <c r="E1234" i="6"/>
  <c r="E977" i="6"/>
  <c r="E1344" i="6"/>
  <c r="E1606" i="6"/>
  <c r="E1724" i="6"/>
  <c r="E1718" i="6"/>
  <c r="E63" i="6"/>
  <c r="E1396" i="6"/>
  <c r="E133" i="6"/>
  <c r="E776" i="6"/>
  <c r="E747" i="6"/>
  <c r="E132" i="6"/>
  <c r="E60" i="6"/>
  <c r="E55" i="6"/>
  <c r="E984" i="6"/>
  <c r="E142" i="6"/>
  <c r="E850" i="6"/>
  <c r="E1137" i="6"/>
  <c r="E829" i="6"/>
  <c r="E1171" i="6"/>
  <c r="E1064" i="6"/>
  <c r="E867" i="6"/>
  <c r="E1261" i="6"/>
  <c r="E1051" i="6"/>
  <c r="E841" i="6"/>
  <c r="E1277" i="6"/>
  <c r="E848" i="6"/>
  <c r="E1623" i="6"/>
  <c r="E1014" i="6"/>
  <c r="E1838" i="6"/>
  <c r="E1993" i="6"/>
  <c r="E110" i="6"/>
  <c r="E196" i="6"/>
  <c r="E183" i="6"/>
  <c r="E109" i="6"/>
  <c r="E891" i="6"/>
  <c r="E130" i="6"/>
  <c r="E866" i="6"/>
  <c r="E1144" i="6"/>
  <c r="E845" i="6"/>
  <c r="E1178" i="6"/>
  <c r="E1124" i="6"/>
  <c r="E883" i="6"/>
  <c r="E1291" i="6"/>
  <c r="E1058" i="6"/>
  <c r="E857" i="6"/>
  <c r="E134" i="6"/>
  <c r="E864" i="6"/>
  <c r="E1381" i="6"/>
  <c r="E1270" i="6"/>
  <c r="E1416" i="6"/>
  <c r="E2040" i="6"/>
  <c r="E140" i="6"/>
  <c r="E1300" i="6"/>
  <c r="E1382" i="6"/>
  <c r="E1965" i="6"/>
  <c r="E94" i="6"/>
  <c r="E177" i="6"/>
  <c r="E170" i="6"/>
  <c r="E93" i="6"/>
  <c r="E996" i="6"/>
  <c r="E852" i="6"/>
  <c r="E124" i="6"/>
  <c r="E882" i="6"/>
  <c r="E1150" i="6"/>
  <c r="E861" i="6"/>
  <c r="E1225" i="6"/>
  <c r="E1131" i="6"/>
  <c r="E899" i="6"/>
  <c r="E1569" i="6"/>
  <c r="E1105" i="6"/>
  <c r="E873" i="6"/>
  <c r="E150" i="6"/>
  <c r="E1128" i="6"/>
  <c r="E2079" i="6"/>
  <c r="E1491" i="6"/>
  <c r="E1672" i="6"/>
  <c r="E1820" i="6"/>
  <c r="E62" i="6"/>
  <c r="E164" i="6"/>
  <c r="E151" i="6"/>
  <c r="E77" i="6"/>
  <c r="E843" i="6"/>
  <c r="E763" i="6"/>
  <c r="E118" i="6"/>
  <c r="E898" i="6"/>
  <c r="E1184" i="6"/>
  <c r="E877" i="6"/>
  <c r="E792" i="6"/>
  <c r="E1138" i="6"/>
  <c r="E915" i="6"/>
  <c r="E750" i="6"/>
  <c r="E1112" i="6"/>
  <c r="E957" i="6"/>
  <c r="E166" i="6"/>
  <c r="E1134" i="6"/>
  <c r="E1549" i="6"/>
  <c r="E1342" i="6"/>
  <c r="E1983" i="6"/>
  <c r="E1860" i="6"/>
  <c r="E145" i="6"/>
  <c r="E126" i="6"/>
  <c r="E61" i="6"/>
  <c r="E66" i="6"/>
  <c r="E194" i="6"/>
  <c r="E744" i="6"/>
  <c r="E102" i="6"/>
  <c r="E914" i="6"/>
  <c r="E1204" i="6"/>
  <c r="E893" i="6"/>
  <c r="E808" i="6"/>
  <c r="E1185" i="6"/>
  <c r="E932" i="6"/>
  <c r="E766" i="6"/>
  <c r="E1179" i="6"/>
  <c r="E994" i="6"/>
  <c r="E922" i="6"/>
  <c r="E806" i="6"/>
  <c r="E1687" i="6"/>
  <c r="E1785" i="6"/>
  <c r="E1765" i="6"/>
  <c r="E2090" i="6"/>
  <c r="E1258" i="6"/>
  <c r="E875" i="6"/>
  <c r="E139" i="6"/>
  <c r="E104" i="6"/>
  <c r="E181" i="6"/>
  <c r="E113" i="6"/>
  <c r="E86" i="6"/>
  <c r="E925" i="6"/>
  <c r="E1211" i="6"/>
  <c r="E909" i="6"/>
  <c r="E824" i="6"/>
  <c r="E1192" i="6"/>
  <c r="E944" i="6"/>
  <c r="E782" i="6"/>
  <c r="E1186" i="6"/>
  <c r="E1012" i="6"/>
  <c r="E946" i="6"/>
  <c r="E822" i="6"/>
  <c r="E1543" i="6"/>
  <c r="E1228" i="6"/>
  <c r="E2030" i="6"/>
  <c r="E1923" i="6"/>
  <c r="E1236" i="6"/>
  <c r="E740" i="6"/>
  <c r="E115" i="6"/>
  <c r="E88" i="6"/>
  <c r="E804" i="6"/>
  <c r="E162" i="6"/>
  <c r="E97" i="6"/>
  <c r="E70" i="6"/>
  <c r="E931" i="6"/>
  <c r="E1218" i="6"/>
  <c r="E920" i="6"/>
  <c r="E840" i="6"/>
  <c r="E1198" i="6"/>
  <c r="E987" i="6"/>
  <c r="E798" i="6"/>
  <c r="E1233" i="6"/>
  <c r="E1025" i="6"/>
  <c r="E952" i="6"/>
  <c r="E1115" i="6"/>
  <c r="E959" i="6"/>
  <c r="E1479" i="6"/>
  <c r="E2091" i="6"/>
  <c r="E180" i="6"/>
  <c r="E760" i="6"/>
  <c r="E1162" i="6"/>
  <c r="E100" i="6"/>
  <c r="E1910" i="6"/>
  <c r="E2087" i="6"/>
  <c r="E1971" i="6"/>
  <c r="E107" i="6"/>
  <c r="E135" i="6"/>
  <c r="E179" i="6"/>
  <c r="E929" i="6"/>
  <c r="E84" i="6"/>
  <c r="E1987" i="6"/>
  <c r="E91" i="6"/>
  <c r="E129" i="6"/>
  <c r="E147" i="6"/>
  <c r="E868" i="6"/>
  <c r="E68" i="6"/>
  <c r="E2003" i="6"/>
  <c r="E75" i="6"/>
  <c r="E123" i="6"/>
  <c r="E106" i="6"/>
  <c r="E191" i="6"/>
  <c r="E52" i="6"/>
  <c r="E1763" i="6"/>
  <c r="E2019" i="6"/>
  <c r="E59" i="6"/>
  <c r="E117" i="6"/>
  <c r="E90" i="6"/>
  <c r="E185" i="6"/>
  <c r="E36" i="6"/>
  <c r="E1779" i="6"/>
  <c r="E2035" i="6"/>
  <c r="E43" i="6"/>
  <c r="E101" i="6"/>
  <c r="E74" i="6"/>
  <c r="E159" i="6"/>
  <c r="E2051" i="6"/>
  <c r="E85" i="6"/>
  <c r="E58" i="6"/>
  <c r="E47" i="6"/>
  <c r="E1811" i="6"/>
  <c r="E2067" i="6"/>
  <c r="E69" i="6"/>
  <c r="E42" i="6"/>
  <c r="E1021" i="6"/>
  <c r="E2038" i="6"/>
  <c r="E1827" i="6"/>
  <c r="E2083" i="6"/>
  <c r="E859" i="6"/>
  <c r="E53" i="6"/>
  <c r="E907" i="6"/>
  <c r="E80" i="6"/>
  <c r="E1843" i="6"/>
  <c r="E1155" i="6"/>
  <c r="E772" i="6"/>
  <c r="E37" i="6"/>
  <c r="E827" i="6"/>
  <c r="E96" i="6"/>
  <c r="E1859" i="6"/>
  <c r="E941" i="6"/>
  <c r="E199" i="6"/>
  <c r="E153" i="6"/>
  <c r="E197" i="6"/>
  <c r="E64" i="6"/>
  <c r="E1875" i="6"/>
  <c r="E811" i="6"/>
  <c r="E186" i="6"/>
  <c r="E122" i="6"/>
  <c r="E178" i="6"/>
  <c r="E112" i="6"/>
  <c r="E1499" i="6"/>
  <c r="E1762" i="6"/>
  <c r="E1686" i="6"/>
  <c r="E1947" i="6"/>
  <c r="E2001" i="6"/>
  <c r="E2058" i="6"/>
  <c r="E2077" i="6"/>
  <c r="E2072" i="6"/>
  <c r="E1891" i="6"/>
  <c r="E1229" i="6"/>
  <c r="E167" i="6"/>
  <c r="E79" i="6"/>
  <c r="E111" i="6"/>
  <c r="E165" i="6"/>
  <c r="E1209" i="6"/>
  <c r="E1722" i="6"/>
  <c r="E1927" i="6"/>
  <c r="E1515" i="6"/>
  <c r="E1773" i="6"/>
  <c r="E1702" i="6"/>
  <c r="E1954" i="6"/>
  <c r="E2012" i="6"/>
  <c r="E2088" i="6"/>
  <c r="E1832" i="6"/>
  <c r="E1907" i="6"/>
  <c r="E193" i="6"/>
  <c r="E154" i="6"/>
  <c r="E15" i="6"/>
  <c r="E95" i="6"/>
  <c r="E6" i="6"/>
  <c r="E48" i="6"/>
  <c r="E32" i="6"/>
  <c r="K123" i="2"/>
  <c r="K176" i="2"/>
  <c r="K143" i="2"/>
  <c r="K127" i="2"/>
  <c r="K179" i="2"/>
  <c r="K155" i="2"/>
  <c r="K139" i="2"/>
  <c r="K125" i="2"/>
  <c r="K159" i="2"/>
  <c r="K157" i="2"/>
  <c r="K141" i="2"/>
  <c r="K161" i="2"/>
  <c r="K129" i="2"/>
  <c r="K153" i="2"/>
  <c r="K193" i="2"/>
  <c r="K122" i="2"/>
  <c r="K154" i="2"/>
  <c r="K175" i="2"/>
  <c r="K195" i="2"/>
  <c r="K124" i="2"/>
  <c r="K156" i="2"/>
  <c r="K191" i="2"/>
  <c r="K183" i="2"/>
  <c r="K126" i="2"/>
  <c r="K158" i="2"/>
  <c r="K182" i="2"/>
  <c r="K199" i="2"/>
  <c r="K128" i="2"/>
  <c r="K160" i="2"/>
  <c r="K198" i="2"/>
  <c r="K119" i="2"/>
  <c r="K130" i="2"/>
  <c r="K162" i="2"/>
  <c r="K181" i="2"/>
  <c r="K135" i="2"/>
  <c r="K132" i="2"/>
  <c r="K164" i="2"/>
  <c r="K197" i="2"/>
  <c r="K151" i="2"/>
  <c r="K174" i="2"/>
  <c r="K134" i="2"/>
  <c r="K166" i="2"/>
  <c r="K169" i="2"/>
  <c r="K167" i="2"/>
  <c r="K173" i="2"/>
  <c r="K190" i="2"/>
  <c r="K136" i="2"/>
  <c r="K168" i="2"/>
  <c r="K172" i="2"/>
  <c r="K117" i="2"/>
  <c r="K189" i="2"/>
  <c r="K138" i="2"/>
  <c r="K171" i="2"/>
  <c r="K188" i="2"/>
  <c r="K133" i="2"/>
  <c r="K180" i="2"/>
  <c r="K140" i="2"/>
  <c r="K187" i="2"/>
  <c r="K115" i="2"/>
  <c r="K149" i="2"/>
  <c r="K192" i="2"/>
  <c r="K196" i="2"/>
  <c r="K142" i="2"/>
  <c r="K178" i="2"/>
  <c r="K131" i="2"/>
  <c r="K165" i="2"/>
  <c r="K144" i="2"/>
  <c r="K194" i="2"/>
  <c r="K147" i="2"/>
  <c r="K145" i="2"/>
  <c r="K114" i="2"/>
  <c r="K146" i="2"/>
  <c r="K163" i="2"/>
  <c r="K170" i="2"/>
  <c r="K116" i="2"/>
  <c r="K148" i="2"/>
  <c r="K185" i="2"/>
  <c r="K121" i="2"/>
  <c r="K186" i="2"/>
  <c r="K118" i="2"/>
  <c r="K150" i="2"/>
  <c r="K184" i="2"/>
  <c r="K137" i="2"/>
  <c r="K177" i="2"/>
  <c r="K120" i="2"/>
  <c r="K152" i="2"/>
  <c r="K200" i="2"/>
  <c r="K112" i="2"/>
  <c r="K113" i="2"/>
  <c r="K111" i="2"/>
  <c r="K98" i="2"/>
  <c r="K97" i="2"/>
  <c r="K96" i="2"/>
  <c r="K95" i="2"/>
  <c r="K110" i="2"/>
  <c r="K109" i="2"/>
  <c r="K102" i="2"/>
  <c r="K100" i="2"/>
  <c r="K101" i="2"/>
  <c r="K99" i="2"/>
  <c r="K103" i="2"/>
  <c r="K104" i="2"/>
  <c r="K105" i="2"/>
  <c r="G166" i="1"/>
  <c r="G222" i="1"/>
  <c r="G321" i="1"/>
  <c r="G219" i="1"/>
  <c r="G405" i="1"/>
  <c r="G79" i="1"/>
  <c r="G372" i="1"/>
  <c r="G328" i="1"/>
  <c r="G429" i="1"/>
  <c r="G82" i="1"/>
  <c r="G121" i="1"/>
  <c r="G80" i="1"/>
  <c r="G446" i="1"/>
  <c r="G162" i="1"/>
  <c r="G181" i="1"/>
  <c r="G174" i="1"/>
  <c r="G359" i="1"/>
  <c r="G133" i="1"/>
  <c r="G67" i="1"/>
  <c r="G135" i="1"/>
  <c r="G490" i="1"/>
  <c r="G355" i="1"/>
  <c r="G87" i="1"/>
  <c r="G314" i="1"/>
  <c r="G259" i="1"/>
  <c r="G396" i="1"/>
  <c r="G374" i="1"/>
  <c r="G218" i="1"/>
  <c r="G147" i="1"/>
  <c r="G28" i="1"/>
  <c r="G278" i="1"/>
  <c r="G106" i="1"/>
  <c r="G408" i="1"/>
  <c r="G401" i="1"/>
  <c r="G443" i="1"/>
  <c r="G431" i="1"/>
  <c r="G184" i="1"/>
  <c r="G47" i="1"/>
  <c r="G363" i="1"/>
  <c r="G271" i="1"/>
  <c r="G477" i="1"/>
  <c r="G32" i="1"/>
  <c r="G324" i="1"/>
  <c r="G301" i="1"/>
  <c r="G480" i="1"/>
  <c r="G393" i="1"/>
  <c r="G93" i="1"/>
  <c r="G352" i="1"/>
  <c r="G185" i="1"/>
  <c r="G13" i="1"/>
  <c r="G144" i="1"/>
  <c r="G402" i="1"/>
  <c r="G336" i="1"/>
  <c r="G430" i="1"/>
  <c r="G285" i="1"/>
  <c r="G118" i="1"/>
  <c r="G187" i="1"/>
  <c r="G272" i="1"/>
  <c r="G341" i="1"/>
  <c r="G458" i="1"/>
  <c r="G58" i="1"/>
  <c r="G239" i="1"/>
  <c r="G313" i="1"/>
  <c r="G382" i="1"/>
  <c r="G499" i="1"/>
  <c r="G99" i="1"/>
  <c r="G152" i="1"/>
  <c r="G221" i="1"/>
  <c r="G322" i="1"/>
  <c r="G295" i="1"/>
  <c r="G332" i="1"/>
  <c r="G97" i="1"/>
  <c r="G380" i="1"/>
  <c r="G102" i="1"/>
  <c r="G171" i="1"/>
  <c r="G256" i="1"/>
  <c r="G325" i="1"/>
  <c r="G442" i="1"/>
  <c r="G42" i="1"/>
  <c r="G207" i="1"/>
  <c r="G297" i="1"/>
  <c r="G366" i="1"/>
  <c r="G483" i="1"/>
  <c r="G83" i="1"/>
  <c r="G136" i="1"/>
  <c r="G205" i="1"/>
  <c r="G290" i="1"/>
  <c r="G279" i="1"/>
  <c r="G316" i="1"/>
  <c r="G81" i="1"/>
  <c r="G150" i="1"/>
  <c r="G90" i="1"/>
  <c r="G51" i="1"/>
  <c r="G343" i="1"/>
  <c r="G6" i="1"/>
  <c r="G123" i="1"/>
  <c r="G240" i="1"/>
  <c r="G293" i="1"/>
  <c r="G426" i="1"/>
  <c r="G191" i="1"/>
  <c r="G63" i="1"/>
  <c r="G281" i="1"/>
  <c r="G334" i="1"/>
  <c r="G467" i="1"/>
  <c r="G472" i="1"/>
  <c r="G88" i="1"/>
  <c r="G189" i="1"/>
  <c r="G274" i="1"/>
  <c r="G247" i="1"/>
  <c r="G284" i="1"/>
  <c r="G65" i="1"/>
  <c r="G203" i="1"/>
  <c r="G255" i="1"/>
  <c r="G257" i="1"/>
  <c r="G470" i="1"/>
  <c r="G491" i="1"/>
  <c r="G107" i="1"/>
  <c r="G224" i="1"/>
  <c r="G277" i="1"/>
  <c r="G410" i="1"/>
  <c r="G159" i="1"/>
  <c r="G484" i="1"/>
  <c r="G265" i="1"/>
  <c r="G318" i="1"/>
  <c r="G451" i="1"/>
  <c r="G456" i="1"/>
  <c r="G72" i="1"/>
  <c r="G173" i="1"/>
  <c r="G210" i="1"/>
  <c r="G231" i="1"/>
  <c r="G268" i="1"/>
  <c r="G17" i="1"/>
  <c r="G474" i="1"/>
  <c r="G168" i="1"/>
  <c r="G422" i="1"/>
  <c r="G475" i="1"/>
  <c r="G75" i="1"/>
  <c r="G208" i="1"/>
  <c r="G213" i="1"/>
  <c r="G362" i="1"/>
  <c r="G143" i="1"/>
  <c r="G452" i="1"/>
  <c r="G249" i="1"/>
  <c r="G254" i="1"/>
  <c r="G403" i="1"/>
  <c r="G440" i="1"/>
  <c r="G40" i="1"/>
  <c r="G157" i="1"/>
  <c r="G194" i="1"/>
  <c r="G167" i="1"/>
  <c r="G188" i="1"/>
  <c r="G1" i="1"/>
  <c r="G389" i="1"/>
  <c r="G377" i="1"/>
  <c r="G131" i="1"/>
  <c r="G338" i="1"/>
  <c r="G406" i="1"/>
  <c r="G459" i="1"/>
  <c r="G59" i="1"/>
  <c r="G192" i="1"/>
  <c r="G197" i="1"/>
  <c r="G346" i="1"/>
  <c r="G95" i="1"/>
  <c r="G436" i="1"/>
  <c r="G233" i="1"/>
  <c r="G238" i="1"/>
  <c r="G387" i="1"/>
  <c r="G424" i="1"/>
  <c r="G24" i="1"/>
  <c r="G141" i="1"/>
  <c r="G178" i="1"/>
  <c r="G151" i="1"/>
  <c r="G60" i="1"/>
  <c r="G196" i="1"/>
  <c r="G2" i="1"/>
  <c r="G427" i="1"/>
  <c r="G128" i="1"/>
  <c r="G298" i="1"/>
  <c r="G495" i="1"/>
  <c r="G356" i="1"/>
  <c r="G169" i="1"/>
  <c r="G339" i="1"/>
  <c r="G392" i="1"/>
  <c r="G461" i="1"/>
  <c r="G77" i="1"/>
  <c r="G146" i="1"/>
  <c r="G119" i="1"/>
  <c r="G481" i="1"/>
  <c r="G9" i="1"/>
  <c r="G358" i="1"/>
  <c r="G16" i="1"/>
  <c r="G165" i="1"/>
  <c r="G206" i="1"/>
  <c r="G294" i="1"/>
  <c r="G379" i="1"/>
  <c r="G496" i="1"/>
  <c r="G96" i="1"/>
  <c r="G149" i="1"/>
  <c r="G234" i="1"/>
  <c r="G447" i="1"/>
  <c r="G340" i="1"/>
  <c r="G137" i="1"/>
  <c r="G190" i="1"/>
  <c r="G275" i="1"/>
  <c r="G344" i="1"/>
  <c r="G445" i="1"/>
  <c r="G45" i="1"/>
  <c r="G130" i="1"/>
  <c r="G103" i="1"/>
  <c r="G465" i="1"/>
  <c r="G244" i="1"/>
  <c r="G262" i="1"/>
  <c r="G464" i="1"/>
  <c r="G399" i="1"/>
  <c r="G308" i="1"/>
  <c r="G57" i="1"/>
  <c r="G126" i="1"/>
  <c r="G296" i="1"/>
  <c r="G66" i="1"/>
  <c r="G460" i="1"/>
  <c r="G385" i="1"/>
  <c r="G469" i="1"/>
  <c r="G466" i="1"/>
  <c r="G246" i="1"/>
  <c r="G315" i="1"/>
  <c r="G448" i="1"/>
  <c r="G453" i="1"/>
  <c r="G69" i="1"/>
  <c r="G186" i="1"/>
  <c r="G383" i="1"/>
  <c r="G489" i="1"/>
  <c r="G494" i="1"/>
  <c r="G110" i="1"/>
  <c r="G227" i="1"/>
  <c r="G280" i="1"/>
  <c r="G397" i="1"/>
  <c r="G450" i="1"/>
  <c r="G18" i="1"/>
  <c r="G444" i="1"/>
  <c r="G369" i="1"/>
  <c r="G331" i="1"/>
  <c r="G202" i="1"/>
  <c r="G243" i="1"/>
  <c r="G230" i="1"/>
  <c r="G251" i="1"/>
  <c r="G400" i="1"/>
  <c r="G437" i="1"/>
  <c r="G37" i="1"/>
  <c r="G170" i="1"/>
  <c r="G319" i="1"/>
  <c r="G441" i="1"/>
  <c r="G478" i="1"/>
  <c r="G78" i="1"/>
  <c r="G211" i="1"/>
  <c r="G216" i="1"/>
  <c r="G349" i="1"/>
  <c r="G434" i="1"/>
  <c r="G487" i="1"/>
  <c r="G428" i="1"/>
  <c r="G353" i="1"/>
  <c r="G85" i="1"/>
  <c r="G413" i="1"/>
  <c r="G214" i="1"/>
  <c r="G235" i="1"/>
  <c r="G384" i="1"/>
  <c r="G421" i="1"/>
  <c r="G21" i="1"/>
  <c r="G154" i="1"/>
  <c r="G287" i="1"/>
  <c r="G425" i="1"/>
  <c r="G462" i="1"/>
  <c r="G62" i="1"/>
  <c r="G195" i="1"/>
  <c r="G200" i="1"/>
  <c r="G333" i="1"/>
  <c r="G418" i="1"/>
  <c r="G423" i="1"/>
  <c r="G412" i="1"/>
  <c r="G337" i="1"/>
  <c r="G52" i="1"/>
  <c r="G204" i="1"/>
  <c r="G273" i="1"/>
  <c r="G68" i="1"/>
  <c r="G39" i="1"/>
  <c r="G172" i="1"/>
  <c r="G225" i="1"/>
  <c r="G386" i="1"/>
  <c r="G407" i="1"/>
  <c r="G23" i="1"/>
  <c r="G156" i="1"/>
  <c r="G145" i="1"/>
  <c r="G391" i="1"/>
  <c r="G76" i="1"/>
  <c r="G140" i="1"/>
  <c r="G129" i="1"/>
  <c r="G375" i="1"/>
  <c r="G44" i="1"/>
  <c r="G124" i="1"/>
  <c r="G113" i="1"/>
  <c r="G116" i="1"/>
  <c r="G390" i="1"/>
  <c r="G134" i="1"/>
  <c r="G347" i="1"/>
  <c r="G91" i="1"/>
  <c r="G368" i="1"/>
  <c r="G112" i="1"/>
  <c r="G309" i="1"/>
  <c r="G53" i="1"/>
  <c r="G330" i="1"/>
  <c r="G74" i="1"/>
  <c r="G415" i="1"/>
  <c r="G468" i="1"/>
  <c r="G409" i="1"/>
  <c r="G153" i="1"/>
  <c r="G350" i="1"/>
  <c r="G94" i="1"/>
  <c r="G371" i="1"/>
  <c r="G115" i="1"/>
  <c r="G312" i="1"/>
  <c r="G56" i="1"/>
  <c r="G317" i="1"/>
  <c r="G61" i="1"/>
  <c r="G306" i="1"/>
  <c r="G34" i="1"/>
  <c r="G263" i="1"/>
  <c r="G7" i="1"/>
  <c r="G300" i="1"/>
  <c r="G497" i="1"/>
  <c r="G241" i="1"/>
  <c r="G54" i="1"/>
  <c r="G3" i="1"/>
  <c r="G22" i="1"/>
  <c r="G25" i="1"/>
  <c r="G209" i="1"/>
  <c r="G15" i="1"/>
  <c r="G41" i="1"/>
  <c r="G342" i="1"/>
  <c r="G86" i="1"/>
  <c r="G299" i="1"/>
  <c r="G43" i="1"/>
  <c r="G320" i="1"/>
  <c r="G64" i="1"/>
  <c r="G261" i="1"/>
  <c r="G5" i="1"/>
  <c r="G282" i="1"/>
  <c r="G26" i="1"/>
  <c r="G367" i="1"/>
  <c r="G420" i="1"/>
  <c r="G361" i="1"/>
  <c r="G105" i="1"/>
  <c r="G302" i="1"/>
  <c r="G46" i="1"/>
  <c r="G323" i="1"/>
  <c r="G35" i="1"/>
  <c r="G264" i="1"/>
  <c r="G8" i="1"/>
  <c r="G269" i="1"/>
  <c r="G50" i="1"/>
  <c r="G258" i="1"/>
  <c r="G471" i="1"/>
  <c r="G215" i="1"/>
  <c r="G12" i="1"/>
  <c r="G252" i="1"/>
  <c r="G449" i="1"/>
  <c r="G193" i="1"/>
  <c r="G20" i="1"/>
  <c r="G212" i="1"/>
  <c r="G326" i="1"/>
  <c r="G70" i="1"/>
  <c r="G283" i="1"/>
  <c r="G27" i="1"/>
  <c r="G304" i="1"/>
  <c r="G48" i="1"/>
  <c r="G245" i="1"/>
  <c r="G303" i="1"/>
  <c r="G266" i="1"/>
  <c r="G10" i="1"/>
  <c r="G351" i="1"/>
  <c r="G404" i="1"/>
  <c r="G345" i="1"/>
  <c r="G89" i="1"/>
  <c r="G286" i="1"/>
  <c r="G30" i="1"/>
  <c r="G307" i="1"/>
  <c r="G19" i="1"/>
  <c r="G248" i="1"/>
  <c r="G29" i="1"/>
  <c r="G253" i="1"/>
  <c r="G498" i="1"/>
  <c r="G242" i="1"/>
  <c r="G455" i="1"/>
  <c r="G199" i="1"/>
  <c r="G492" i="1"/>
  <c r="G236" i="1"/>
  <c r="G433" i="1"/>
  <c r="G177" i="1"/>
  <c r="G180" i="1"/>
  <c r="G292" i="1"/>
  <c r="G310" i="1"/>
  <c r="G38" i="1"/>
  <c r="G267" i="1"/>
  <c r="G11" i="1"/>
  <c r="G288" i="1"/>
  <c r="G485" i="1"/>
  <c r="G229" i="1"/>
  <c r="G127" i="1"/>
  <c r="G250" i="1"/>
  <c r="G223" i="1"/>
  <c r="G335" i="1"/>
  <c r="G388" i="1"/>
  <c r="G329" i="1"/>
  <c r="G73" i="1"/>
  <c r="G270" i="1"/>
  <c r="G14" i="1"/>
  <c r="G291" i="1"/>
  <c r="G488" i="1"/>
  <c r="G232" i="1"/>
  <c r="G493" i="1"/>
  <c r="G237" i="1"/>
  <c r="G482" i="1"/>
  <c r="G226" i="1"/>
  <c r="G439" i="1"/>
  <c r="G183" i="1"/>
  <c r="G476" i="1"/>
  <c r="G220" i="1"/>
  <c r="G417" i="1"/>
  <c r="G161" i="1"/>
  <c r="G36" i="1"/>
  <c r="G84" i="1"/>
  <c r="G132" i="1"/>
  <c r="G228" i="1"/>
  <c r="G4" i="1"/>
  <c r="G148" i="1"/>
  <c r="G31" i="1"/>
  <c r="G486" i="1"/>
  <c r="G454" i="1"/>
  <c r="G198" i="1"/>
  <c r="G411" i="1"/>
  <c r="G155" i="1"/>
  <c r="G432" i="1"/>
  <c r="G176" i="1"/>
  <c r="G373" i="1"/>
  <c r="G117" i="1"/>
  <c r="G394" i="1"/>
  <c r="G138" i="1"/>
  <c r="G479" i="1"/>
  <c r="G175" i="1"/>
  <c r="G473" i="1"/>
  <c r="G217" i="1"/>
  <c r="G414" i="1"/>
  <c r="G158" i="1"/>
  <c r="G435" i="1"/>
  <c r="G179" i="1"/>
  <c r="G376" i="1"/>
  <c r="G120" i="1"/>
  <c r="G381" i="1"/>
  <c r="G125" i="1"/>
  <c r="G370" i="1"/>
  <c r="G114" i="1"/>
  <c r="G327" i="1"/>
  <c r="G71" i="1"/>
  <c r="G364" i="1"/>
  <c r="G108" i="1"/>
  <c r="G305" i="1"/>
  <c r="G49" i="1"/>
  <c r="G276" i="1"/>
  <c r="G438" i="1"/>
  <c r="G182" i="1"/>
  <c r="G395" i="1"/>
  <c r="G139" i="1"/>
  <c r="G416" i="1"/>
  <c r="G160" i="1"/>
  <c r="G357" i="1"/>
  <c r="G101" i="1"/>
  <c r="G378" i="1"/>
  <c r="G122" i="1"/>
  <c r="G463" i="1"/>
  <c r="G111" i="1"/>
  <c r="G457" i="1"/>
  <c r="G201" i="1"/>
  <c r="G398" i="1"/>
  <c r="G142" i="1"/>
  <c r="G419" i="1"/>
  <c r="G163" i="1"/>
  <c r="G360" i="1"/>
  <c r="G104" i="1"/>
  <c r="G365" i="1"/>
  <c r="G109" i="1"/>
  <c r="G354" i="1"/>
  <c r="G98" i="1"/>
  <c r="G311" i="1"/>
  <c r="G55" i="1"/>
  <c r="G348" i="1"/>
  <c r="G92" i="1"/>
  <c r="G289" i="1"/>
  <c r="G33" i="1"/>
  <c r="G100" i="1"/>
  <c r="K45" i="2"/>
  <c r="K22" i="2"/>
  <c r="K12" i="2"/>
  <c r="K51" i="2"/>
  <c r="K72" i="2"/>
  <c r="K31" i="2"/>
  <c r="K34" i="2"/>
  <c r="K46" i="2"/>
  <c r="K20" i="2"/>
  <c r="K67" i="2"/>
  <c r="K62" i="2"/>
  <c r="K69" i="2"/>
  <c r="K19" i="2"/>
  <c r="K68" i="2"/>
  <c r="K13" i="2"/>
  <c r="K29" i="2"/>
  <c r="K17" i="2"/>
  <c r="K32" i="2"/>
  <c r="K60" i="2"/>
  <c r="K73" i="2"/>
  <c r="K63" i="2"/>
  <c r="K21" i="2"/>
  <c r="K16" i="2"/>
  <c r="K57" i="2"/>
  <c r="K49" i="2"/>
  <c r="K76" i="2"/>
  <c r="K50" i="2"/>
  <c r="K79" i="2"/>
  <c r="K52" i="2"/>
  <c r="K9" i="2"/>
  <c r="K55" i="2"/>
  <c r="K66" i="2"/>
  <c r="K36" i="2"/>
  <c r="K37" i="2"/>
  <c r="K11" i="2"/>
  <c r="K24" i="2"/>
  <c r="K61" i="2"/>
  <c r="K27" i="2"/>
  <c r="K40" i="2"/>
  <c r="K14" i="2"/>
  <c r="K41" i="2"/>
  <c r="K77" i="2"/>
  <c r="K78" i="2"/>
  <c r="K35" i="2"/>
  <c r="K25" i="2"/>
  <c r="K71" i="2"/>
  <c r="K43" i="2"/>
  <c r="K58" i="2"/>
  <c r="K33" i="2"/>
  <c r="K30" i="2"/>
  <c r="K56" i="2"/>
  <c r="K74" i="2"/>
  <c r="K38" i="2"/>
  <c r="K28" i="2"/>
  <c r="K59" i="2"/>
  <c r="K53" i="2"/>
  <c r="K48" i="2"/>
  <c r="K75" i="2"/>
  <c r="K26" i="2"/>
  <c r="K47" i="2"/>
  <c r="K23" i="2"/>
  <c r="K64" i="2"/>
  <c r="K54" i="2"/>
  <c r="K15" i="2"/>
  <c r="K42" i="2"/>
  <c r="K65" i="2"/>
  <c r="K18" i="2"/>
  <c r="K80" i="2"/>
  <c r="K70" i="2"/>
  <c r="G164" i="1"/>
  <c r="G260" i="1"/>
  <c r="K4" i="2"/>
  <c r="K3" i="2"/>
  <c r="K106" i="2"/>
  <c r="K81" i="2"/>
  <c r="K94" i="2"/>
  <c r="K92" i="2"/>
  <c r="K93" i="2"/>
  <c r="K91" i="2"/>
  <c r="K8" i="2"/>
  <c r="K6" i="2"/>
  <c r="K5" i="2"/>
  <c r="K7" i="2"/>
  <c r="K2" i="2"/>
  <c r="K108" i="2"/>
  <c r="K10" i="2"/>
  <c r="K44" i="2"/>
  <c r="K39" i="2"/>
  <c r="K107" i="2"/>
  <c r="K83" i="2"/>
  <c r="K86" i="2"/>
  <c r="K90" i="2"/>
  <c r="K84" i="2"/>
  <c r="K89" i="2"/>
  <c r="K87" i="2"/>
  <c r="K85" i="2"/>
  <c r="K88" i="2"/>
  <c r="K82" i="2"/>
  <c r="Y3" i="118" l="1"/>
  <c r="Y6" i="118" s="1"/>
  <c r="W9" i="118"/>
  <c r="W5" i="118"/>
  <c r="W7" i="118"/>
  <c r="W4" i="118"/>
  <c r="W8" i="118"/>
  <c r="W2" i="118" s="1"/>
  <c r="Y9" i="118"/>
  <c r="Y7" i="118"/>
  <c r="Y5" i="118"/>
  <c r="AA3" i="118"/>
  <c r="AA6" i="118" s="1"/>
  <c r="Y4" i="118"/>
  <c r="Y8" i="118"/>
  <c r="Y2" i="118" s="1"/>
  <c r="L380" i="2"/>
  <c r="M380" i="2" s="1"/>
  <c r="O380" i="2" s="1"/>
  <c r="P380" i="2" s="1"/>
  <c r="L71" i="2"/>
  <c r="M71" i="2" s="1"/>
  <c r="O71" i="2" s="1"/>
  <c r="L265" i="2"/>
  <c r="M265" i="2" s="1"/>
  <c r="O265" i="2" s="1"/>
  <c r="P265" i="2" s="1"/>
  <c r="L288" i="2"/>
  <c r="M288" i="2" s="1"/>
  <c r="O288" i="2" s="1"/>
  <c r="P288" i="2" s="1"/>
  <c r="L292" i="2"/>
  <c r="M292" i="2" s="1"/>
  <c r="O292" i="2" s="1"/>
  <c r="P292" i="2" s="1"/>
  <c r="L204" i="2"/>
  <c r="M204" i="2" s="1"/>
  <c r="O204" i="2" s="1"/>
  <c r="P204" i="2" s="1"/>
  <c r="L6" i="2"/>
  <c r="M6" i="2" s="1"/>
  <c r="O6" i="2" s="1"/>
  <c r="L344" i="2"/>
  <c r="M344" i="2" s="1"/>
  <c r="O344" i="2" s="1"/>
  <c r="P344" i="2" s="1"/>
  <c r="L443" i="2"/>
  <c r="M443" i="2" s="1"/>
  <c r="O443" i="2" s="1"/>
  <c r="P443" i="2" s="1"/>
  <c r="L79" i="2"/>
  <c r="M79" i="2" s="1"/>
  <c r="O79" i="2" s="1"/>
  <c r="L115" i="2"/>
  <c r="M115" i="2" s="1"/>
  <c r="O115" i="2" s="1"/>
  <c r="P115" i="2" s="1"/>
  <c r="L227" i="2"/>
  <c r="M227" i="2" s="1"/>
  <c r="O227" i="2" s="1"/>
  <c r="P227" i="2" s="1"/>
  <c r="L130" i="2"/>
  <c r="M130" i="2" s="1"/>
  <c r="O130" i="2" s="1"/>
  <c r="P130" i="2" s="1"/>
  <c r="L3" i="2"/>
  <c r="M3" i="2" s="1"/>
  <c r="O3" i="2" s="1"/>
  <c r="L147" i="2"/>
  <c r="M147" i="2" s="1"/>
  <c r="O147" i="2" s="1"/>
  <c r="P147" i="2" s="1"/>
  <c r="L441" i="2"/>
  <c r="M441" i="2" s="1"/>
  <c r="O441" i="2" s="1"/>
  <c r="P441" i="2" s="1"/>
  <c r="L301" i="2"/>
  <c r="M301" i="2" s="1"/>
  <c r="O301" i="2" s="1"/>
  <c r="P301" i="2" s="1"/>
  <c r="L286" i="2"/>
  <c r="M286" i="2" s="1"/>
  <c r="O286" i="2" s="1"/>
  <c r="P286" i="2" s="1"/>
  <c r="L58" i="2"/>
  <c r="M58" i="2" s="1"/>
  <c r="O58" i="2" s="1"/>
  <c r="L319" i="2"/>
  <c r="M319" i="2" s="1"/>
  <c r="O319" i="2" s="1"/>
  <c r="P319" i="2" s="1"/>
  <c r="L45" i="2"/>
  <c r="M45" i="2" s="1"/>
  <c r="O45" i="2" s="1"/>
  <c r="L264" i="2"/>
  <c r="M264" i="2" s="1"/>
  <c r="O264" i="2" s="1"/>
  <c r="P264" i="2" s="1"/>
  <c r="L60" i="2"/>
  <c r="M60" i="2" s="1"/>
  <c r="O60" i="2" s="1"/>
  <c r="L346" i="2"/>
  <c r="M346" i="2" s="1"/>
  <c r="O346" i="2" s="1"/>
  <c r="P346" i="2" s="1"/>
  <c r="L162" i="2"/>
  <c r="M162" i="2" s="1"/>
  <c r="O162" i="2" s="1"/>
  <c r="P162" i="2" s="1"/>
  <c r="L75" i="2"/>
  <c r="M75" i="2" s="1"/>
  <c r="O75" i="2" s="1"/>
  <c r="L482" i="2"/>
  <c r="M482" i="2" s="1"/>
  <c r="O482" i="2" s="1"/>
  <c r="P482" i="2" s="1"/>
  <c r="L228" i="2"/>
  <c r="M228" i="2" s="1"/>
  <c r="O228" i="2" s="1"/>
  <c r="P228" i="2" s="1"/>
  <c r="L470" i="2"/>
  <c r="M470" i="2" s="1"/>
  <c r="O470" i="2" s="1"/>
  <c r="P470" i="2" s="1"/>
  <c r="L102" i="2"/>
  <c r="M102" i="2" s="1"/>
  <c r="O102" i="2" s="1"/>
  <c r="L369" i="2"/>
  <c r="M369" i="2" s="1"/>
  <c r="O369" i="2" s="1"/>
  <c r="P369" i="2" s="1"/>
  <c r="L396" i="2"/>
  <c r="M396" i="2" s="1"/>
  <c r="O396" i="2" s="1"/>
  <c r="P396" i="2" s="1"/>
  <c r="L22" i="2"/>
  <c r="M22" i="2" s="1"/>
  <c r="O22" i="2" s="1"/>
  <c r="L14" i="2"/>
  <c r="M14" i="2" s="1"/>
  <c r="O14" i="2" s="1"/>
  <c r="L117" i="2"/>
  <c r="M117" i="2" s="1"/>
  <c r="O117" i="2" s="1"/>
  <c r="P117" i="2" s="1"/>
  <c r="L149" i="2"/>
  <c r="M149" i="2" s="1"/>
  <c r="O149" i="2" s="1"/>
  <c r="P149" i="2" s="1"/>
  <c r="L74" i="2"/>
  <c r="M74" i="2" s="1"/>
  <c r="O74" i="2" s="1"/>
  <c r="L76" i="2"/>
  <c r="M76" i="2" s="1"/>
  <c r="O76" i="2" s="1"/>
  <c r="L407" i="2"/>
  <c r="M407" i="2" s="1"/>
  <c r="O407" i="2" s="1"/>
  <c r="P407" i="2" s="1"/>
  <c r="L87" i="2"/>
  <c r="M87" i="2" s="1"/>
  <c r="O87" i="2" s="1"/>
  <c r="L258" i="2"/>
  <c r="M258" i="2" s="1"/>
  <c r="O258" i="2" s="1"/>
  <c r="P258" i="2" s="1"/>
  <c r="L132" i="2"/>
  <c r="M132" i="2" s="1"/>
  <c r="O132" i="2" s="1"/>
  <c r="P132" i="2" s="1"/>
  <c r="L164" i="2"/>
  <c r="M164" i="2" s="1"/>
  <c r="O164" i="2" s="1"/>
  <c r="P164" i="2" s="1"/>
  <c r="L91" i="2"/>
  <c r="M91" i="2" s="1"/>
  <c r="O91" i="2" s="1"/>
  <c r="L61" i="2"/>
  <c r="M61" i="2" s="1"/>
  <c r="O61" i="2" s="1"/>
  <c r="L169" i="2"/>
  <c r="M169" i="2" s="1"/>
  <c r="O169" i="2" s="1"/>
  <c r="P169" i="2" s="1"/>
  <c r="L317" i="2"/>
  <c r="M317" i="2" s="1"/>
  <c r="O317" i="2" s="1"/>
  <c r="P317" i="2" s="1"/>
  <c r="L360" i="2"/>
  <c r="M360" i="2" s="1"/>
  <c r="O360" i="2" s="1"/>
  <c r="P360" i="2" s="1"/>
  <c r="L272" i="2"/>
  <c r="M272" i="2" s="1"/>
  <c r="O272" i="2" s="1"/>
  <c r="P272" i="2" s="1"/>
  <c r="L302" i="2"/>
  <c r="M302" i="2" s="1"/>
  <c r="O302" i="2" s="1"/>
  <c r="P302" i="2" s="1"/>
  <c r="L235" i="2"/>
  <c r="M235" i="2" s="1"/>
  <c r="O235" i="2" s="1"/>
  <c r="P235" i="2" s="1"/>
  <c r="L457" i="2"/>
  <c r="M457" i="2" s="1"/>
  <c r="O457" i="2" s="1"/>
  <c r="P457" i="2" s="1"/>
  <c r="L335" i="2"/>
  <c r="M335" i="2" s="1"/>
  <c r="O335" i="2" s="1"/>
  <c r="P335" i="2" s="1"/>
  <c r="L362" i="2"/>
  <c r="M362" i="2" s="1"/>
  <c r="O362" i="2" s="1"/>
  <c r="P362" i="2" s="1"/>
  <c r="L273" i="2"/>
  <c r="M273" i="2" s="1"/>
  <c r="O273" i="2" s="1"/>
  <c r="P273" i="2" s="1"/>
  <c r="L304" i="2"/>
  <c r="M304" i="2" s="1"/>
  <c r="O304" i="2" s="1"/>
  <c r="P304" i="2" s="1"/>
  <c r="L236" i="2"/>
  <c r="M236" i="2" s="1"/>
  <c r="O236" i="2" s="1"/>
  <c r="P236" i="2" s="1"/>
  <c r="L459" i="2"/>
  <c r="M459" i="2" s="1"/>
  <c r="O459" i="2" s="1"/>
  <c r="P459" i="2" s="1"/>
  <c r="L486" i="2"/>
  <c r="M486" i="2" s="1"/>
  <c r="O486" i="2" s="1"/>
  <c r="P486" i="2" s="1"/>
  <c r="L385" i="2"/>
  <c r="M385" i="2" s="1"/>
  <c r="O385" i="2" s="1"/>
  <c r="P385" i="2" s="1"/>
  <c r="L412" i="2"/>
  <c r="M412" i="2" s="1"/>
  <c r="O412" i="2" s="1"/>
  <c r="P412" i="2" s="1"/>
  <c r="L38" i="2"/>
  <c r="M38" i="2" s="1"/>
  <c r="O38" i="2" s="1"/>
  <c r="L35" i="2"/>
  <c r="M35" i="2" s="1"/>
  <c r="O35" i="2" s="1"/>
  <c r="L30" i="2"/>
  <c r="M30" i="2" s="1"/>
  <c r="O30" i="2" s="1"/>
  <c r="L119" i="2"/>
  <c r="M119" i="2" s="1"/>
  <c r="O119" i="2" s="1"/>
  <c r="P119" i="2" s="1"/>
  <c r="L151" i="2"/>
  <c r="M151" i="2" s="1"/>
  <c r="O151" i="2" s="1"/>
  <c r="P151" i="2" s="1"/>
  <c r="L90" i="2"/>
  <c r="M90" i="2" s="1"/>
  <c r="O90" i="2" s="1"/>
  <c r="L92" i="2"/>
  <c r="M92" i="2" s="1"/>
  <c r="O92" i="2" s="1"/>
  <c r="L434" i="2"/>
  <c r="M434" i="2" s="1"/>
  <c r="O434" i="2" s="1"/>
  <c r="P434" i="2" s="1"/>
  <c r="L103" i="2"/>
  <c r="M103" i="2" s="1"/>
  <c r="O103" i="2" s="1"/>
  <c r="L327" i="2"/>
  <c r="M327" i="2" s="1"/>
  <c r="O327" i="2" s="1"/>
  <c r="P327" i="2" s="1"/>
  <c r="L134" i="2"/>
  <c r="M134" i="2" s="1"/>
  <c r="O134" i="2" s="1"/>
  <c r="P134" i="2" s="1"/>
  <c r="L166" i="2"/>
  <c r="M166" i="2" s="1"/>
  <c r="O166" i="2" s="1"/>
  <c r="P166" i="2" s="1"/>
  <c r="L107" i="2"/>
  <c r="M107" i="2" s="1"/>
  <c r="O107" i="2" s="1"/>
  <c r="L77" i="2"/>
  <c r="M77" i="2" s="1"/>
  <c r="O77" i="2" s="1"/>
  <c r="L185" i="2"/>
  <c r="M185" i="2" s="1"/>
  <c r="O185" i="2" s="1"/>
  <c r="P185" i="2" s="1"/>
  <c r="L333" i="2"/>
  <c r="M333" i="2" s="1"/>
  <c r="O333" i="2" s="1"/>
  <c r="P333" i="2" s="1"/>
  <c r="L376" i="2"/>
  <c r="M376" i="2" s="1"/>
  <c r="O376" i="2" s="1"/>
  <c r="P376" i="2" s="1"/>
  <c r="L275" i="2"/>
  <c r="M275" i="2" s="1"/>
  <c r="O275" i="2" s="1"/>
  <c r="P275" i="2" s="1"/>
  <c r="L318" i="2"/>
  <c r="M318" i="2" s="1"/>
  <c r="O318" i="2" s="1"/>
  <c r="P318" i="2" s="1"/>
  <c r="L243" i="2"/>
  <c r="M243" i="2" s="1"/>
  <c r="O243" i="2" s="1"/>
  <c r="P243" i="2" s="1"/>
  <c r="L473" i="2"/>
  <c r="M473" i="2" s="1"/>
  <c r="O473" i="2" s="1"/>
  <c r="P473" i="2" s="1"/>
  <c r="L351" i="2"/>
  <c r="M351" i="2" s="1"/>
  <c r="O351" i="2" s="1"/>
  <c r="P351" i="2" s="1"/>
  <c r="L378" i="2"/>
  <c r="M378" i="2" s="1"/>
  <c r="O378" i="2" s="1"/>
  <c r="P378" i="2" s="1"/>
  <c r="L277" i="2"/>
  <c r="M277" i="2" s="1"/>
  <c r="O277" i="2" s="1"/>
  <c r="P277" i="2" s="1"/>
  <c r="L320" i="2"/>
  <c r="M320" i="2" s="1"/>
  <c r="O320" i="2" s="1"/>
  <c r="P320" i="2" s="1"/>
  <c r="L244" i="2"/>
  <c r="M244" i="2" s="1"/>
  <c r="O244" i="2" s="1"/>
  <c r="P244" i="2" s="1"/>
  <c r="L475" i="2"/>
  <c r="M475" i="2" s="1"/>
  <c r="O475" i="2" s="1"/>
  <c r="P475" i="2" s="1"/>
  <c r="L207" i="2"/>
  <c r="M207" i="2" s="1"/>
  <c r="O207" i="2" s="1"/>
  <c r="P207" i="2" s="1"/>
  <c r="L401" i="2"/>
  <c r="M401" i="2" s="1"/>
  <c r="O401" i="2" s="1"/>
  <c r="P401" i="2" s="1"/>
  <c r="L428" i="2"/>
  <c r="M428" i="2" s="1"/>
  <c r="O428" i="2" s="1"/>
  <c r="P428" i="2" s="1"/>
  <c r="L43" i="2"/>
  <c r="M43" i="2" s="1"/>
  <c r="O43" i="2" s="1"/>
  <c r="L104" i="2"/>
  <c r="M104" i="2" s="1"/>
  <c r="O104" i="2" s="1"/>
  <c r="L47" i="2"/>
  <c r="M47" i="2" s="1"/>
  <c r="O47" i="2" s="1"/>
  <c r="L7" i="2"/>
  <c r="M7" i="2" s="1"/>
  <c r="O7" i="2" s="1"/>
  <c r="L121" i="2"/>
  <c r="M121" i="2" s="1"/>
  <c r="O121" i="2" s="1"/>
  <c r="P121" i="2" s="1"/>
  <c r="L153" i="2"/>
  <c r="M153" i="2" s="1"/>
  <c r="O153" i="2" s="1"/>
  <c r="P153" i="2" s="1"/>
  <c r="L106" i="2"/>
  <c r="M106" i="2" s="1"/>
  <c r="O106" i="2" s="1"/>
  <c r="L108" i="2"/>
  <c r="M108" i="2" s="1"/>
  <c r="O108" i="2" s="1"/>
  <c r="L46" i="2"/>
  <c r="M46" i="2" s="1"/>
  <c r="O46" i="2" s="1"/>
  <c r="L174" i="2"/>
  <c r="M174" i="2" s="1"/>
  <c r="O174" i="2" s="1"/>
  <c r="P174" i="2" s="1"/>
  <c r="L354" i="2"/>
  <c r="M354" i="2" s="1"/>
  <c r="O354" i="2" s="1"/>
  <c r="P354" i="2" s="1"/>
  <c r="L136" i="2"/>
  <c r="M136" i="2" s="1"/>
  <c r="O136" i="2" s="1"/>
  <c r="P136" i="2" s="1"/>
  <c r="L184" i="2"/>
  <c r="M184" i="2" s="1"/>
  <c r="O184" i="2" s="1"/>
  <c r="P184" i="2" s="1"/>
  <c r="L178" i="2"/>
  <c r="M178" i="2" s="1"/>
  <c r="O178" i="2" s="1"/>
  <c r="P178" i="2" s="1"/>
  <c r="L93" i="2"/>
  <c r="M93" i="2" s="1"/>
  <c r="O93" i="2" s="1"/>
  <c r="L308" i="2"/>
  <c r="M308" i="2" s="1"/>
  <c r="O308" i="2" s="1"/>
  <c r="P308" i="2" s="1"/>
  <c r="L349" i="2"/>
  <c r="M349" i="2" s="1"/>
  <c r="O349" i="2" s="1"/>
  <c r="P349" i="2" s="1"/>
  <c r="L392" i="2"/>
  <c r="M392" i="2" s="1"/>
  <c r="O392" i="2" s="1"/>
  <c r="P392" i="2" s="1"/>
  <c r="L291" i="2"/>
  <c r="M291" i="2" s="1"/>
  <c r="O291" i="2" s="1"/>
  <c r="P291" i="2" s="1"/>
  <c r="L334" i="2"/>
  <c r="M334" i="2" s="1"/>
  <c r="O334" i="2" s="1"/>
  <c r="P334" i="2" s="1"/>
  <c r="L251" i="2"/>
  <c r="M251" i="2" s="1"/>
  <c r="O251" i="2" s="1"/>
  <c r="P251" i="2" s="1"/>
  <c r="L468" i="2"/>
  <c r="M468" i="2" s="1"/>
  <c r="O468" i="2" s="1"/>
  <c r="P468" i="2" s="1"/>
  <c r="L367" i="2"/>
  <c r="M367" i="2" s="1"/>
  <c r="O367" i="2" s="1"/>
  <c r="P367" i="2" s="1"/>
  <c r="L394" i="2"/>
  <c r="M394" i="2" s="1"/>
  <c r="O394" i="2" s="1"/>
  <c r="P394" i="2" s="1"/>
  <c r="L293" i="2"/>
  <c r="M293" i="2" s="1"/>
  <c r="O293" i="2" s="1"/>
  <c r="P293" i="2" s="1"/>
  <c r="L336" i="2"/>
  <c r="M336" i="2" s="1"/>
  <c r="O336" i="2" s="1"/>
  <c r="P336" i="2" s="1"/>
  <c r="L252" i="2"/>
  <c r="M252" i="2" s="1"/>
  <c r="O252" i="2" s="1"/>
  <c r="P252" i="2" s="1"/>
  <c r="L492" i="2"/>
  <c r="M492" i="2" s="1"/>
  <c r="O492" i="2" s="1"/>
  <c r="P492" i="2" s="1"/>
  <c r="L215" i="2"/>
  <c r="M215" i="2" s="1"/>
  <c r="O215" i="2" s="1"/>
  <c r="P215" i="2" s="1"/>
  <c r="L417" i="2"/>
  <c r="M417" i="2" s="1"/>
  <c r="O417" i="2" s="1"/>
  <c r="P417" i="2" s="1"/>
  <c r="L444" i="2"/>
  <c r="M444" i="2" s="1"/>
  <c r="O444" i="2" s="1"/>
  <c r="P444" i="2" s="1"/>
  <c r="L23" i="2"/>
  <c r="M23" i="2" s="1"/>
  <c r="O23" i="2" s="1"/>
  <c r="L123" i="2"/>
  <c r="M123" i="2" s="1"/>
  <c r="O123" i="2" s="1"/>
  <c r="P123" i="2" s="1"/>
  <c r="L155" i="2"/>
  <c r="M155" i="2" s="1"/>
  <c r="O155" i="2" s="1"/>
  <c r="P155" i="2" s="1"/>
  <c r="L173" i="2"/>
  <c r="M173" i="2" s="1"/>
  <c r="O173" i="2" s="1"/>
  <c r="P173" i="2" s="1"/>
  <c r="L183" i="2"/>
  <c r="M183" i="2" s="1"/>
  <c r="O183" i="2" s="1"/>
  <c r="P183" i="2" s="1"/>
  <c r="L62" i="2"/>
  <c r="M62" i="2" s="1"/>
  <c r="O62" i="2" s="1"/>
  <c r="L190" i="2"/>
  <c r="M190" i="2" s="1"/>
  <c r="O190" i="2" s="1"/>
  <c r="P190" i="2" s="1"/>
  <c r="L57" i="2"/>
  <c r="M57" i="2" s="1"/>
  <c r="O57" i="2" s="1"/>
  <c r="L138" i="2"/>
  <c r="M138" i="2" s="1"/>
  <c r="O138" i="2" s="1"/>
  <c r="P138" i="2" s="1"/>
  <c r="L200" i="2"/>
  <c r="M200" i="2" s="1"/>
  <c r="O200" i="2" s="1"/>
  <c r="P200" i="2" s="1"/>
  <c r="L194" i="2"/>
  <c r="M194" i="2" s="1"/>
  <c r="O194" i="2" s="1"/>
  <c r="P194" i="2" s="1"/>
  <c r="L109" i="2"/>
  <c r="M109" i="2" s="1"/>
  <c r="O109" i="2" s="1"/>
  <c r="L423" i="2"/>
  <c r="M423" i="2" s="1"/>
  <c r="O423" i="2" s="1"/>
  <c r="P423" i="2" s="1"/>
  <c r="L365" i="2"/>
  <c r="M365" i="2" s="1"/>
  <c r="O365" i="2" s="1"/>
  <c r="P365" i="2" s="1"/>
  <c r="L408" i="2"/>
  <c r="M408" i="2" s="1"/>
  <c r="O408" i="2" s="1"/>
  <c r="P408" i="2" s="1"/>
  <c r="L307" i="2"/>
  <c r="M307" i="2" s="1"/>
  <c r="O307" i="2" s="1"/>
  <c r="P307" i="2" s="1"/>
  <c r="L350" i="2"/>
  <c r="M350" i="2" s="1"/>
  <c r="O350" i="2" s="1"/>
  <c r="P350" i="2" s="1"/>
  <c r="L259" i="2"/>
  <c r="M259" i="2" s="1"/>
  <c r="O259" i="2" s="1"/>
  <c r="P259" i="2" s="1"/>
  <c r="L484" i="2"/>
  <c r="M484" i="2" s="1"/>
  <c r="O484" i="2" s="1"/>
  <c r="P484" i="2" s="1"/>
  <c r="L383" i="2"/>
  <c r="M383" i="2" s="1"/>
  <c r="O383" i="2" s="1"/>
  <c r="P383" i="2" s="1"/>
  <c r="L410" i="2"/>
  <c r="M410" i="2" s="1"/>
  <c r="O410" i="2" s="1"/>
  <c r="P410" i="2" s="1"/>
  <c r="L309" i="2"/>
  <c r="M309" i="2" s="1"/>
  <c r="O309" i="2" s="1"/>
  <c r="P309" i="2" s="1"/>
  <c r="L352" i="2"/>
  <c r="M352" i="2" s="1"/>
  <c r="O352" i="2" s="1"/>
  <c r="P352" i="2" s="1"/>
  <c r="L260" i="2"/>
  <c r="M260" i="2" s="1"/>
  <c r="O260" i="2" s="1"/>
  <c r="P260" i="2" s="1"/>
  <c r="L278" i="2"/>
  <c r="M278" i="2" s="1"/>
  <c r="O278" i="2" s="1"/>
  <c r="P278" i="2" s="1"/>
  <c r="L223" i="2"/>
  <c r="M223" i="2" s="1"/>
  <c r="O223" i="2" s="1"/>
  <c r="P223" i="2" s="1"/>
  <c r="L433" i="2"/>
  <c r="M433" i="2" s="1"/>
  <c r="O433" i="2" s="1"/>
  <c r="P433" i="2" s="1"/>
  <c r="L460" i="2"/>
  <c r="M460" i="2" s="1"/>
  <c r="O460" i="2" s="1"/>
  <c r="P460" i="2" s="1"/>
  <c r="L111" i="2"/>
  <c r="M111" i="2" s="1"/>
  <c r="O111" i="2" s="1"/>
  <c r="L1" i="2"/>
  <c r="M1" i="2" s="1"/>
  <c r="O1" i="2" s="1"/>
  <c r="P1" i="2" s="1"/>
  <c r="L12" i="2"/>
  <c r="M12" i="2" s="1"/>
  <c r="O12" i="2" s="1"/>
  <c r="L39" i="2"/>
  <c r="M39" i="2" s="1"/>
  <c r="O39" i="2" s="1"/>
  <c r="L125" i="2"/>
  <c r="M125" i="2" s="1"/>
  <c r="O125" i="2" s="1"/>
  <c r="P125" i="2" s="1"/>
  <c r="L157" i="2"/>
  <c r="M157" i="2" s="1"/>
  <c r="O157" i="2" s="1"/>
  <c r="P157" i="2" s="1"/>
  <c r="L189" i="2"/>
  <c r="M189" i="2" s="1"/>
  <c r="O189" i="2" s="1"/>
  <c r="P189" i="2" s="1"/>
  <c r="L199" i="2"/>
  <c r="M199" i="2" s="1"/>
  <c r="O199" i="2" s="1"/>
  <c r="P199" i="2" s="1"/>
  <c r="L78" i="2"/>
  <c r="M78" i="2" s="1"/>
  <c r="O78" i="2" s="1"/>
  <c r="L324" i="2"/>
  <c r="M324" i="2" s="1"/>
  <c r="O324" i="2" s="1"/>
  <c r="P324" i="2" s="1"/>
  <c r="L73" i="2"/>
  <c r="M73" i="2" s="1"/>
  <c r="O73" i="2" s="1"/>
  <c r="L140" i="2"/>
  <c r="M140" i="2" s="1"/>
  <c r="O140" i="2" s="1"/>
  <c r="P140" i="2" s="1"/>
  <c r="L356" i="2"/>
  <c r="M356" i="2" s="1"/>
  <c r="O356" i="2" s="1"/>
  <c r="P356" i="2" s="1"/>
  <c r="L218" i="2"/>
  <c r="M218" i="2" s="1"/>
  <c r="O218" i="2" s="1"/>
  <c r="P218" i="2" s="1"/>
  <c r="L172" i="2"/>
  <c r="M172" i="2" s="1"/>
  <c r="O172" i="2" s="1"/>
  <c r="P172" i="2" s="1"/>
  <c r="L450" i="2"/>
  <c r="M450" i="2" s="1"/>
  <c r="O450" i="2" s="1"/>
  <c r="P450" i="2" s="1"/>
  <c r="L381" i="2"/>
  <c r="M381" i="2" s="1"/>
  <c r="O381" i="2" s="1"/>
  <c r="P381" i="2" s="1"/>
  <c r="L424" i="2"/>
  <c r="M424" i="2" s="1"/>
  <c r="O424" i="2" s="1"/>
  <c r="P424" i="2" s="1"/>
  <c r="L323" i="2"/>
  <c r="M323" i="2" s="1"/>
  <c r="O323" i="2" s="1"/>
  <c r="P323" i="2" s="1"/>
  <c r="L366" i="2"/>
  <c r="M366" i="2" s="1"/>
  <c r="O366" i="2" s="1"/>
  <c r="P366" i="2" s="1"/>
  <c r="L267" i="2"/>
  <c r="M267" i="2" s="1"/>
  <c r="O267" i="2" s="1"/>
  <c r="P267" i="2" s="1"/>
  <c r="L206" i="2"/>
  <c r="M206" i="2" s="1"/>
  <c r="O206" i="2" s="1"/>
  <c r="P206" i="2" s="1"/>
  <c r="L399" i="2"/>
  <c r="M399" i="2" s="1"/>
  <c r="O399" i="2" s="1"/>
  <c r="P399" i="2" s="1"/>
  <c r="L426" i="2"/>
  <c r="M426" i="2" s="1"/>
  <c r="O426" i="2" s="1"/>
  <c r="P426" i="2" s="1"/>
  <c r="L325" i="2"/>
  <c r="M325" i="2" s="1"/>
  <c r="O325" i="2" s="1"/>
  <c r="P325" i="2" s="1"/>
  <c r="L368" i="2"/>
  <c r="M368" i="2" s="1"/>
  <c r="O368" i="2" s="1"/>
  <c r="P368" i="2" s="1"/>
  <c r="L268" i="2"/>
  <c r="M268" i="2" s="1"/>
  <c r="O268" i="2" s="1"/>
  <c r="P268" i="2" s="1"/>
  <c r="L294" i="2"/>
  <c r="M294" i="2" s="1"/>
  <c r="O294" i="2" s="1"/>
  <c r="P294" i="2" s="1"/>
  <c r="L231" i="2"/>
  <c r="M231" i="2" s="1"/>
  <c r="O231" i="2" s="1"/>
  <c r="P231" i="2" s="1"/>
  <c r="L449" i="2"/>
  <c r="M449" i="2" s="1"/>
  <c r="O449" i="2" s="1"/>
  <c r="P449" i="2" s="1"/>
  <c r="L476" i="2"/>
  <c r="M476" i="2" s="1"/>
  <c r="O476" i="2" s="1"/>
  <c r="P476" i="2" s="1"/>
  <c r="L179" i="2"/>
  <c r="M179" i="2" s="1"/>
  <c r="O179" i="2" s="1"/>
  <c r="P179" i="2" s="1"/>
  <c r="L4" i="2"/>
  <c r="M4" i="2" s="1"/>
  <c r="O4" i="2" s="1"/>
  <c r="L8" i="2"/>
  <c r="M8" i="2" s="1"/>
  <c r="O8" i="2" s="1"/>
  <c r="L28" i="2"/>
  <c r="M28" i="2" s="1"/>
  <c r="O28" i="2" s="1"/>
  <c r="L16" i="2"/>
  <c r="M16" i="2" s="1"/>
  <c r="O16" i="2" s="1"/>
  <c r="L127" i="2"/>
  <c r="M127" i="2" s="1"/>
  <c r="O127" i="2" s="1"/>
  <c r="P127" i="2" s="1"/>
  <c r="L159" i="2"/>
  <c r="M159" i="2" s="1"/>
  <c r="O159" i="2" s="1"/>
  <c r="P159" i="2" s="1"/>
  <c r="L210" i="2"/>
  <c r="M210" i="2" s="1"/>
  <c r="O210" i="2" s="1"/>
  <c r="P210" i="2" s="1"/>
  <c r="L203" i="2"/>
  <c r="M203" i="2" s="1"/>
  <c r="O203" i="2" s="1"/>
  <c r="P203" i="2" s="1"/>
  <c r="L94" i="2"/>
  <c r="M94" i="2" s="1"/>
  <c r="O94" i="2" s="1"/>
  <c r="L439" i="2"/>
  <c r="M439" i="2" s="1"/>
  <c r="O439" i="2" s="1"/>
  <c r="P439" i="2" s="1"/>
  <c r="L89" i="2"/>
  <c r="M89" i="2" s="1"/>
  <c r="O89" i="2" s="1"/>
  <c r="L142" i="2"/>
  <c r="M142" i="2" s="1"/>
  <c r="O142" i="2" s="1"/>
  <c r="P142" i="2" s="1"/>
  <c r="L50" i="2"/>
  <c r="M50" i="2" s="1"/>
  <c r="O50" i="2" s="1"/>
  <c r="L388" i="2"/>
  <c r="M388" i="2" s="1"/>
  <c r="O388" i="2" s="1"/>
  <c r="P388" i="2" s="1"/>
  <c r="L188" i="2"/>
  <c r="M188" i="2" s="1"/>
  <c r="O188" i="2" s="1"/>
  <c r="P188" i="2" s="1"/>
  <c r="L205" i="2"/>
  <c r="M205" i="2" s="1"/>
  <c r="O205" i="2" s="1"/>
  <c r="P205" i="2" s="1"/>
  <c r="L397" i="2"/>
  <c r="M397" i="2" s="1"/>
  <c r="O397" i="2" s="1"/>
  <c r="P397" i="2" s="1"/>
  <c r="L440" i="2"/>
  <c r="M440" i="2" s="1"/>
  <c r="O440" i="2" s="1"/>
  <c r="P440" i="2" s="1"/>
  <c r="L339" i="2"/>
  <c r="M339" i="2" s="1"/>
  <c r="O339" i="2" s="1"/>
  <c r="P339" i="2" s="1"/>
  <c r="L382" i="2"/>
  <c r="M382" i="2" s="1"/>
  <c r="O382" i="2" s="1"/>
  <c r="P382" i="2" s="1"/>
  <c r="L281" i="2"/>
  <c r="M281" i="2" s="1"/>
  <c r="O281" i="2" s="1"/>
  <c r="P281" i="2" s="1"/>
  <c r="L214" i="2"/>
  <c r="M214" i="2" s="1"/>
  <c r="O214" i="2" s="1"/>
  <c r="P214" i="2" s="1"/>
  <c r="L415" i="2"/>
  <c r="M415" i="2" s="1"/>
  <c r="O415" i="2" s="1"/>
  <c r="P415" i="2" s="1"/>
  <c r="L442" i="2"/>
  <c r="M442" i="2" s="1"/>
  <c r="O442" i="2" s="1"/>
  <c r="P442" i="2" s="1"/>
  <c r="L341" i="2"/>
  <c r="M341" i="2" s="1"/>
  <c r="O341" i="2" s="1"/>
  <c r="P341" i="2" s="1"/>
  <c r="L384" i="2"/>
  <c r="M384" i="2" s="1"/>
  <c r="O384" i="2" s="1"/>
  <c r="P384" i="2" s="1"/>
  <c r="L283" i="2"/>
  <c r="M283" i="2" s="1"/>
  <c r="O283" i="2" s="1"/>
  <c r="P283" i="2" s="1"/>
  <c r="L310" i="2"/>
  <c r="M310" i="2" s="1"/>
  <c r="O310" i="2" s="1"/>
  <c r="P310" i="2" s="1"/>
  <c r="L239" i="2"/>
  <c r="M239" i="2" s="1"/>
  <c r="O239" i="2" s="1"/>
  <c r="P239" i="2" s="1"/>
  <c r="L465" i="2"/>
  <c r="M465" i="2" s="1"/>
  <c r="O465" i="2" s="1"/>
  <c r="P465" i="2" s="1"/>
  <c r="L496" i="2"/>
  <c r="M496" i="2" s="1"/>
  <c r="O496" i="2" s="1"/>
  <c r="P496" i="2" s="1"/>
  <c r="L24" i="2"/>
  <c r="M24" i="2" s="1"/>
  <c r="O24" i="2" s="1"/>
  <c r="L65" i="2"/>
  <c r="M65" i="2" s="1"/>
  <c r="O65" i="2" s="1"/>
  <c r="L32" i="2"/>
  <c r="M32" i="2" s="1"/>
  <c r="O32" i="2" s="1"/>
  <c r="L129" i="2"/>
  <c r="M129" i="2" s="1"/>
  <c r="O129" i="2" s="1"/>
  <c r="P129" i="2" s="1"/>
  <c r="L161" i="2"/>
  <c r="M161" i="2" s="1"/>
  <c r="O161" i="2" s="1"/>
  <c r="P161" i="2" s="1"/>
  <c r="L372" i="2"/>
  <c r="M372" i="2" s="1"/>
  <c r="O372" i="2" s="1"/>
  <c r="P372" i="2" s="1"/>
  <c r="L226" i="2"/>
  <c r="M226" i="2" s="1"/>
  <c r="O226" i="2" s="1"/>
  <c r="P226" i="2" s="1"/>
  <c r="L110" i="2"/>
  <c r="M110" i="2" s="1"/>
  <c r="O110" i="2" s="1"/>
  <c r="L471" i="2"/>
  <c r="M471" i="2" s="1"/>
  <c r="O471" i="2" s="1"/>
  <c r="P471" i="2" s="1"/>
  <c r="L105" i="2"/>
  <c r="M105" i="2" s="1"/>
  <c r="O105" i="2" s="1"/>
  <c r="L144" i="2"/>
  <c r="M144" i="2" s="1"/>
  <c r="O144" i="2" s="1"/>
  <c r="P144" i="2" s="1"/>
  <c r="L66" i="2"/>
  <c r="M66" i="2" s="1"/>
  <c r="O66" i="2" s="1"/>
  <c r="L52" i="2"/>
  <c r="M52" i="2" s="1"/>
  <c r="O52" i="2" s="1"/>
  <c r="L201" i="2"/>
  <c r="M201" i="2" s="1"/>
  <c r="O201" i="2" s="1"/>
  <c r="P201" i="2" s="1"/>
  <c r="L213" i="2"/>
  <c r="M213" i="2" s="1"/>
  <c r="O213" i="2" s="1"/>
  <c r="P213" i="2" s="1"/>
  <c r="L413" i="2"/>
  <c r="M413" i="2" s="1"/>
  <c r="O413" i="2" s="1"/>
  <c r="P413" i="2" s="1"/>
  <c r="L456" i="2"/>
  <c r="M456" i="2" s="1"/>
  <c r="O456" i="2" s="1"/>
  <c r="P456" i="2" s="1"/>
  <c r="L355" i="2"/>
  <c r="M355" i="2" s="1"/>
  <c r="O355" i="2" s="1"/>
  <c r="P355" i="2" s="1"/>
  <c r="L398" i="2"/>
  <c r="M398" i="2" s="1"/>
  <c r="O398" i="2" s="1"/>
  <c r="P398" i="2" s="1"/>
  <c r="L297" i="2"/>
  <c r="M297" i="2" s="1"/>
  <c r="O297" i="2" s="1"/>
  <c r="P297" i="2" s="1"/>
  <c r="L222" i="2"/>
  <c r="M222" i="2" s="1"/>
  <c r="O222" i="2" s="1"/>
  <c r="P222" i="2" s="1"/>
  <c r="L431" i="2"/>
  <c r="M431" i="2" s="1"/>
  <c r="O431" i="2" s="1"/>
  <c r="P431" i="2" s="1"/>
  <c r="L458" i="2"/>
  <c r="M458" i="2" s="1"/>
  <c r="O458" i="2" s="1"/>
  <c r="P458" i="2" s="1"/>
  <c r="L357" i="2"/>
  <c r="M357" i="2" s="1"/>
  <c r="O357" i="2" s="1"/>
  <c r="P357" i="2" s="1"/>
  <c r="L400" i="2"/>
  <c r="M400" i="2" s="1"/>
  <c r="O400" i="2" s="1"/>
  <c r="P400" i="2" s="1"/>
  <c r="L299" i="2"/>
  <c r="M299" i="2" s="1"/>
  <c r="O299" i="2" s="1"/>
  <c r="P299" i="2" s="1"/>
  <c r="L326" i="2"/>
  <c r="M326" i="2" s="1"/>
  <c r="O326" i="2" s="1"/>
  <c r="P326" i="2" s="1"/>
  <c r="L247" i="2"/>
  <c r="M247" i="2" s="1"/>
  <c r="O247" i="2" s="1"/>
  <c r="P247" i="2" s="1"/>
  <c r="L481" i="2"/>
  <c r="M481" i="2" s="1"/>
  <c r="O481" i="2" s="1"/>
  <c r="P481" i="2" s="1"/>
  <c r="L499" i="2"/>
  <c r="M499" i="2" s="1"/>
  <c r="O499" i="2" s="1"/>
  <c r="P499" i="2" s="1"/>
  <c r="L36" i="2"/>
  <c r="M36" i="2" s="1"/>
  <c r="O36" i="2" s="1"/>
  <c r="L40" i="2"/>
  <c r="M40" i="2" s="1"/>
  <c r="O40" i="2" s="1"/>
  <c r="L338" i="2"/>
  <c r="M338" i="2" s="1"/>
  <c r="O338" i="2" s="1"/>
  <c r="P338" i="2" s="1"/>
  <c r="L56" i="2"/>
  <c r="M56" i="2" s="1"/>
  <c r="O56" i="2" s="1"/>
  <c r="L131" i="2"/>
  <c r="M131" i="2" s="1"/>
  <c r="O131" i="2" s="1"/>
  <c r="P131" i="2" s="1"/>
  <c r="L163" i="2"/>
  <c r="M163" i="2" s="1"/>
  <c r="O163" i="2" s="1"/>
  <c r="P163" i="2" s="1"/>
  <c r="L67" i="2"/>
  <c r="M67" i="2" s="1"/>
  <c r="O67" i="2" s="1"/>
  <c r="L290" i="2"/>
  <c r="M290" i="2" s="1"/>
  <c r="O290" i="2" s="1"/>
  <c r="P290" i="2" s="1"/>
  <c r="L177" i="2"/>
  <c r="M177" i="2" s="1"/>
  <c r="O177" i="2" s="1"/>
  <c r="P177" i="2" s="1"/>
  <c r="L48" i="2"/>
  <c r="M48" i="2" s="1"/>
  <c r="O48" i="2" s="1"/>
  <c r="L114" i="2"/>
  <c r="M114" i="2" s="1"/>
  <c r="O114" i="2" s="1"/>
  <c r="L146" i="2"/>
  <c r="M146" i="2" s="1"/>
  <c r="O146" i="2" s="1"/>
  <c r="P146" i="2" s="1"/>
  <c r="L82" i="2"/>
  <c r="M82" i="2" s="1"/>
  <c r="O82" i="2" s="1"/>
  <c r="L68" i="2"/>
  <c r="M68" i="2" s="1"/>
  <c r="O68" i="2" s="1"/>
  <c r="L234" i="2"/>
  <c r="M234" i="2" s="1"/>
  <c r="O234" i="2" s="1"/>
  <c r="P234" i="2" s="1"/>
  <c r="L221" i="2"/>
  <c r="M221" i="2" s="1"/>
  <c r="O221" i="2" s="1"/>
  <c r="P221" i="2" s="1"/>
  <c r="L429" i="2"/>
  <c r="M429" i="2" s="1"/>
  <c r="O429" i="2" s="1"/>
  <c r="P429" i="2" s="1"/>
  <c r="L472" i="2"/>
  <c r="M472" i="2" s="1"/>
  <c r="O472" i="2" s="1"/>
  <c r="P472" i="2" s="1"/>
  <c r="L371" i="2"/>
  <c r="M371" i="2" s="1"/>
  <c r="O371" i="2" s="1"/>
  <c r="P371" i="2" s="1"/>
  <c r="L414" i="2"/>
  <c r="M414" i="2" s="1"/>
  <c r="O414" i="2" s="1"/>
  <c r="P414" i="2" s="1"/>
  <c r="L313" i="2"/>
  <c r="M313" i="2" s="1"/>
  <c r="O313" i="2" s="1"/>
  <c r="P313" i="2" s="1"/>
  <c r="L230" i="2"/>
  <c r="M230" i="2" s="1"/>
  <c r="O230" i="2" s="1"/>
  <c r="P230" i="2" s="1"/>
  <c r="L447" i="2"/>
  <c r="M447" i="2" s="1"/>
  <c r="O447" i="2" s="1"/>
  <c r="P447" i="2" s="1"/>
  <c r="L474" i="2"/>
  <c r="M474" i="2" s="1"/>
  <c r="O474" i="2" s="1"/>
  <c r="P474" i="2" s="1"/>
  <c r="L373" i="2"/>
  <c r="M373" i="2" s="1"/>
  <c r="O373" i="2" s="1"/>
  <c r="P373" i="2" s="1"/>
  <c r="L416" i="2"/>
  <c r="M416" i="2" s="1"/>
  <c r="O416" i="2" s="1"/>
  <c r="P416" i="2" s="1"/>
  <c r="L315" i="2"/>
  <c r="M315" i="2" s="1"/>
  <c r="O315" i="2" s="1"/>
  <c r="P315" i="2" s="1"/>
  <c r="L342" i="2"/>
  <c r="M342" i="2" s="1"/>
  <c r="O342" i="2" s="1"/>
  <c r="P342" i="2" s="1"/>
  <c r="L255" i="2"/>
  <c r="M255" i="2" s="1"/>
  <c r="O255" i="2" s="1"/>
  <c r="P255" i="2" s="1"/>
  <c r="L493" i="2"/>
  <c r="M493" i="2" s="1"/>
  <c r="O493" i="2" s="1"/>
  <c r="P493" i="2" s="1"/>
  <c r="L494" i="2"/>
  <c r="M494" i="2" s="1"/>
  <c r="O494" i="2" s="1"/>
  <c r="P494" i="2" s="1"/>
  <c r="L20" i="2"/>
  <c r="M20" i="2" s="1"/>
  <c r="O20" i="2" s="1"/>
  <c r="L250" i="2"/>
  <c r="M250" i="2" s="1"/>
  <c r="O250" i="2" s="1"/>
  <c r="P250" i="2" s="1"/>
  <c r="L15" i="2"/>
  <c r="M15" i="2" s="1"/>
  <c r="O15" i="2" s="1"/>
  <c r="L195" i="2"/>
  <c r="M195" i="2" s="1"/>
  <c r="O195" i="2" s="1"/>
  <c r="P195" i="2" s="1"/>
  <c r="L133" i="2"/>
  <c r="M133" i="2" s="1"/>
  <c r="O133" i="2" s="1"/>
  <c r="P133" i="2" s="1"/>
  <c r="L165" i="2"/>
  <c r="M165" i="2" s="1"/>
  <c r="O165" i="2" s="1"/>
  <c r="P165" i="2" s="1"/>
  <c r="L83" i="2"/>
  <c r="M83" i="2" s="1"/>
  <c r="O83" i="2" s="1"/>
  <c r="L404" i="2"/>
  <c r="M404" i="2" s="1"/>
  <c r="O404" i="2" s="1"/>
  <c r="P404" i="2" s="1"/>
  <c r="L193" i="2"/>
  <c r="M193" i="2" s="1"/>
  <c r="O193" i="2" s="1"/>
  <c r="P193" i="2" s="1"/>
  <c r="L64" i="2"/>
  <c r="M64" i="2" s="1"/>
  <c r="O64" i="2" s="1"/>
  <c r="L116" i="2"/>
  <c r="M116" i="2" s="1"/>
  <c r="O116" i="2" s="1"/>
  <c r="P116" i="2" s="1"/>
  <c r="L148" i="2"/>
  <c r="M148" i="2" s="1"/>
  <c r="O148" i="2" s="1"/>
  <c r="P148" i="2" s="1"/>
  <c r="L98" i="2"/>
  <c r="M98" i="2" s="1"/>
  <c r="O98" i="2" s="1"/>
  <c r="L84" i="2"/>
  <c r="M84" i="2" s="1"/>
  <c r="O84" i="2" s="1"/>
  <c r="L279" i="2"/>
  <c r="M279" i="2" s="1"/>
  <c r="O279" i="2" s="1"/>
  <c r="P279" i="2" s="1"/>
  <c r="L229" i="2"/>
  <c r="M229" i="2" s="1"/>
  <c r="O229" i="2" s="1"/>
  <c r="P229" i="2" s="1"/>
  <c r="L445" i="2"/>
  <c r="M445" i="2" s="1"/>
  <c r="O445" i="2" s="1"/>
  <c r="P445" i="2" s="1"/>
  <c r="L488" i="2"/>
  <c r="M488" i="2" s="1"/>
  <c r="O488" i="2" s="1"/>
  <c r="P488" i="2" s="1"/>
  <c r="L387" i="2"/>
  <c r="M387" i="2" s="1"/>
  <c r="O387" i="2" s="1"/>
  <c r="P387" i="2" s="1"/>
  <c r="L430" i="2"/>
  <c r="M430" i="2" s="1"/>
  <c r="O430" i="2" s="1"/>
  <c r="P430" i="2" s="1"/>
  <c r="L329" i="2"/>
  <c r="M329" i="2" s="1"/>
  <c r="O329" i="2" s="1"/>
  <c r="P329" i="2" s="1"/>
  <c r="L238" i="2"/>
  <c r="M238" i="2" s="1"/>
  <c r="O238" i="2" s="1"/>
  <c r="P238" i="2" s="1"/>
  <c r="L463" i="2"/>
  <c r="M463" i="2" s="1"/>
  <c r="O463" i="2" s="1"/>
  <c r="P463" i="2" s="1"/>
  <c r="L209" i="2"/>
  <c r="M209" i="2" s="1"/>
  <c r="O209" i="2" s="1"/>
  <c r="P209" i="2" s="1"/>
  <c r="L389" i="2"/>
  <c r="M389" i="2" s="1"/>
  <c r="O389" i="2" s="1"/>
  <c r="P389" i="2" s="1"/>
  <c r="L432" i="2"/>
  <c r="M432" i="2" s="1"/>
  <c r="O432" i="2" s="1"/>
  <c r="P432" i="2" s="1"/>
  <c r="L331" i="2"/>
  <c r="M331" i="2" s="1"/>
  <c r="O331" i="2" s="1"/>
  <c r="P331" i="2" s="1"/>
  <c r="L358" i="2"/>
  <c r="M358" i="2" s="1"/>
  <c r="O358" i="2" s="1"/>
  <c r="P358" i="2" s="1"/>
  <c r="L263" i="2"/>
  <c r="M263" i="2" s="1"/>
  <c r="O263" i="2" s="1"/>
  <c r="P263" i="2" s="1"/>
  <c r="L284" i="2"/>
  <c r="M284" i="2" s="1"/>
  <c r="O284" i="2" s="1"/>
  <c r="P284" i="2" s="1"/>
  <c r="L497" i="2"/>
  <c r="M497" i="2" s="1"/>
  <c r="O497" i="2" s="1"/>
  <c r="P497" i="2" s="1"/>
  <c r="L311" i="2"/>
  <c r="M311" i="2" s="1"/>
  <c r="O311" i="2" s="1"/>
  <c r="P311" i="2" s="1"/>
  <c r="L9" i="2"/>
  <c r="M9" i="2" s="1"/>
  <c r="O9" i="2" s="1"/>
  <c r="L25" i="2"/>
  <c r="M25" i="2" s="1"/>
  <c r="O25" i="2" s="1"/>
  <c r="L182" i="2"/>
  <c r="M182" i="2" s="1"/>
  <c r="O182" i="2" s="1"/>
  <c r="P182" i="2" s="1"/>
  <c r="L452" i="2"/>
  <c r="M452" i="2" s="1"/>
  <c r="O452" i="2" s="1"/>
  <c r="P452" i="2" s="1"/>
  <c r="L135" i="2"/>
  <c r="M135" i="2" s="1"/>
  <c r="O135" i="2" s="1"/>
  <c r="P135" i="2" s="1"/>
  <c r="L167" i="2"/>
  <c r="M167" i="2" s="1"/>
  <c r="O167" i="2" s="1"/>
  <c r="P167" i="2" s="1"/>
  <c r="L99" i="2"/>
  <c r="M99" i="2" s="1"/>
  <c r="O99" i="2" s="1"/>
  <c r="L53" i="2"/>
  <c r="M53" i="2" s="1"/>
  <c r="O53" i="2" s="1"/>
  <c r="L242" i="2"/>
  <c r="M242" i="2" s="1"/>
  <c r="O242" i="2" s="1"/>
  <c r="P242" i="2" s="1"/>
  <c r="L80" i="2"/>
  <c r="M80" i="2" s="1"/>
  <c r="O80" i="2" s="1"/>
  <c r="L118" i="2"/>
  <c r="M118" i="2" s="1"/>
  <c r="O118" i="2" s="1"/>
  <c r="P118" i="2" s="1"/>
  <c r="L150" i="2"/>
  <c r="M150" i="2" s="1"/>
  <c r="O150" i="2" s="1"/>
  <c r="P150" i="2" s="1"/>
  <c r="L181" i="2"/>
  <c r="M181" i="2" s="1"/>
  <c r="O181" i="2" s="1"/>
  <c r="P181" i="2" s="1"/>
  <c r="L100" i="2"/>
  <c r="M100" i="2" s="1"/>
  <c r="O100" i="2" s="1"/>
  <c r="L306" i="2"/>
  <c r="M306" i="2" s="1"/>
  <c r="O306" i="2" s="1"/>
  <c r="P306" i="2" s="1"/>
  <c r="L237" i="2"/>
  <c r="M237" i="2" s="1"/>
  <c r="O237" i="2" s="1"/>
  <c r="P237" i="2" s="1"/>
  <c r="L461" i="2"/>
  <c r="M461" i="2" s="1"/>
  <c r="O461" i="2" s="1"/>
  <c r="P461" i="2" s="1"/>
  <c r="L216" i="2"/>
  <c r="M216" i="2" s="1"/>
  <c r="O216" i="2" s="1"/>
  <c r="P216" i="2" s="1"/>
  <c r="L403" i="2"/>
  <c r="M403" i="2" s="1"/>
  <c r="O403" i="2" s="1"/>
  <c r="P403" i="2" s="1"/>
  <c r="L446" i="2"/>
  <c r="M446" i="2" s="1"/>
  <c r="O446" i="2" s="1"/>
  <c r="P446" i="2" s="1"/>
  <c r="L345" i="2"/>
  <c r="M345" i="2" s="1"/>
  <c r="O345" i="2" s="1"/>
  <c r="P345" i="2" s="1"/>
  <c r="L246" i="2"/>
  <c r="M246" i="2" s="1"/>
  <c r="O246" i="2" s="1"/>
  <c r="P246" i="2" s="1"/>
  <c r="L479" i="2"/>
  <c r="M479" i="2" s="1"/>
  <c r="O479" i="2" s="1"/>
  <c r="P479" i="2" s="1"/>
  <c r="L217" i="2"/>
  <c r="M217" i="2" s="1"/>
  <c r="O217" i="2" s="1"/>
  <c r="P217" i="2" s="1"/>
  <c r="L405" i="2"/>
  <c r="M405" i="2" s="1"/>
  <c r="O405" i="2" s="1"/>
  <c r="P405" i="2" s="1"/>
  <c r="L448" i="2"/>
  <c r="M448" i="2" s="1"/>
  <c r="O448" i="2" s="1"/>
  <c r="P448" i="2" s="1"/>
  <c r="L347" i="2"/>
  <c r="M347" i="2" s="1"/>
  <c r="O347" i="2" s="1"/>
  <c r="P347" i="2" s="1"/>
  <c r="L374" i="2"/>
  <c r="M374" i="2" s="1"/>
  <c r="O374" i="2" s="1"/>
  <c r="P374" i="2" s="1"/>
  <c r="L271" i="2"/>
  <c r="M271" i="2" s="1"/>
  <c r="O271" i="2" s="1"/>
  <c r="P271" i="2" s="1"/>
  <c r="L300" i="2"/>
  <c r="M300" i="2" s="1"/>
  <c r="O300" i="2" s="1"/>
  <c r="P300" i="2" s="1"/>
  <c r="L500" i="2"/>
  <c r="M500" i="2" s="1"/>
  <c r="O500" i="2" s="1"/>
  <c r="P500" i="2" s="1"/>
  <c r="L81" i="2"/>
  <c r="M81" i="2" s="1"/>
  <c r="O81" i="2" s="1"/>
  <c r="L202" i="2"/>
  <c r="M202" i="2" s="1"/>
  <c r="O202" i="2" s="1"/>
  <c r="P202" i="2" s="1"/>
  <c r="L31" i="2"/>
  <c r="M31" i="2" s="1"/>
  <c r="O31" i="2" s="1"/>
  <c r="L41" i="2"/>
  <c r="M41" i="2" s="1"/>
  <c r="O41" i="2" s="1"/>
  <c r="L13" i="2"/>
  <c r="M13" i="2" s="1"/>
  <c r="O13" i="2" s="1"/>
  <c r="L17" i="2"/>
  <c r="M17" i="2" s="1"/>
  <c r="O17" i="2" s="1"/>
  <c r="L5" i="2"/>
  <c r="M5" i="2" s="1"/>
  <c r="O5" i="2" s="1"/>
  <c r="L208" i="2"/>
  <c r="M208" i="2" s="1"/>
  <c r="O208" i="2" s="1"/>
  <c r="P208" i="2" s="1"/>
  <c r="L137" i="2"/>
  <c r="M137" i="2" s="1"/>
  <c r="O137" i="2" s="1"/>
  <c r="P137" i="2" s="1"/>
  <c r="L176" i="2"/>
  <c r="M176" i="2" s="1"/>
  <c r="O176" i="2" s="1"/>
  <c r="P176" i="2" s="1"/>
  <c r="L170" i="2"/>
  <c r="M170" i="2" s="1"/>
  <c r="O170" i="2" s="1"/>
  <c r="P170" i="2" s="1"/>
  <c r="L69" i="2"/>
  <c r="M69" i="2" s="1"/>
  <c r="O69" i="2" s="1"/>
  <c r="L295" i="2"/>
  <c r="M295" i="2" s="1"/>
  <c r="O295" i="2" s="1"/>
  <c r="P295" i="2" s="1"/>
  <c r="L96" i="2"/>
  <c r="M96" i="2" s="1"/>
  <c r="O96" i="2" s="1"/>
  <c r="L120" i="2"/>
  <c r="M120" i="2" s="1"/>
  <c r="O120" i="2" s="1"/>
  <c r="P120" i="2" s="1"/>
  <c r="L152" i="2"/>
  <c r="M152" i="2" s="1"/>
  <c r="O152" i="2" s="1"/>
  <c r="P152" i="2" s="1"/>
  <c r="L197" i="2"/>
  <c r="M197" i="2" s="1"/>
  <c r="O197" i="2" s="1"/>
  <c r="P197" i="2" s="1"/>
  <c r="L175" i="2"/>
  <c r="M175" i="2" s="1"/>
  <c r="O175" i="2" s="1"/>
  <c r="P175" i="2" s="1"/>
  <c r="L420" i="2"/>
  <c r="M420" i="2" s="1"/>
  <c r="O420" i="2" s="1"/>
  <c r="P420" i="2" s="1"/>
  <c r="L245" i="2"/>
  <c r="M245" i="2" s="1"/>
  <c r="O245" i="2" s="1"/>
  <c r="P245" i="2" s="1"/>
  <c r="L477" i="2"/>
  <c r="M477" i="2" s="1"/>
  <c r="O477" i="2" s="1"/>
  <c r="P477" i="2" s="1"/>
  <c r="L224" i="2"/>
  <c r="M224" i="2" s="1"/>
  <c r="O224" i="2" s="1"/>
  <c r="P224" i="2" s="1"/>
  <c r="L419" i="2"/>
  <c r="M419" i="2" s="1"/>
  <c r="O419" i="2" s="1"/>
  <c r="P419" i="2" s="1"/>
  <c r="L462" i="2"/>
  <c r="M462" i="2" s="1"/>
  <c r="O462" i="2" s="1"/>
  <c r="P462" i="2" s="1"/>
  <c r="L361" i="2"/>
  <c r="M361" i="2" s="1"/>
  <c r="O361" i="2" s="1"/>
  <c r="P361" i="2" s="1"/>
  <c r="L254" i="2"/>
  <c r="M254" i="2" s="1"/>
  <c r="O254" i="2" s="1"/>
  <c r="P254" i="2" s="1"/>
  <c r="L490" i="2"/>
  <c r="M490" i="2" s="1"/>
  <c r="O490" i="2" s="1"/>
  <c r="P490" i="2" s="1"/>
  <c r="L225" i="2"/>
  <c r="M225" i="2" s="1"/>
  <c r="O225" i="2" s="1"/>
  <c r="P225" i="2" s="1"/>
  <c r="L421" i="2"/>
  <c r="M421" i="2" s="1"/>
  <c r="O421" i="2" s="1"/>
  <c r="P421" i="2" s="1"/>
  <c r="L464" i="2"/>
  <c r="M464" i="2" s="1"/>
  <c r="O464" i="2" s="1"/>
  <c r="P464" i="2" s="1"/>
  <c r="L363" i="2"/>
  <c r="M363" i="2" s="1"/>
  <c r="O363" i="2" s="1"/>
  <c r="P363" i="2" s="1"/>
  <c r="L390" i="2"/>
  <c r="M390" i="2" s="1"/>
  <c r="O390" i="2" s="1"/>
  <c r="P390" i="2" s="1"/>
  <c r="L289" i="2"/>
  <c r="M289" i="2" s="1"/>
  <c r="O289" i="2" s="1"/>
  <c r="P289" i="2" s="1"/>
  <c r="L316" i="2"/>
  <c r="M316" i="2" s="1"/>
  <c r="O316" i="2" s="1"/>
  <c r="P316" i="2" s="1"/>
  <c r="L495" i="2"/>
  <c r="M495" i="2" s="1"/>
  <c r="O495" i="2" s="1"/>
  <c r="P495" i="2" s="1"/>
  <c r="L11" i="2"/>
  <c r="M11" i="2" s="1"/>
  <c r="O11" i="2" s="1"/>
  <c r="L198" i="2"/>
  <c r="M198" i="2" s="1"/>
  <c r="O198" i="2" s="1"/>
  <c r="P198" i="2" s="1"/>
  <c r="L29" i="2"/>
  <c r="M29" i="2" s="1"/>
  <c r="O29" i="2" s="1"/>
  <c r="L33" i="2"/>
  <c r="M33" i="2" s="1"/>
  <c r="O33" i="2" s="1"/>
  <c r="L21" i="2"/>
  <c r="M21" i="2" s="1"/>
  <c r="O21" i="2" s="1"/>
  <c r="L340" i="2"/>
  <c r="M340" i="2" s="1"/>
  <c r="O340" i="2" s="1"/>
  <c r="P340" i="2" s="1"/>
  <c r="L139" i="2"/>
  <c r="M139" i="2" s="1"/>
  <c r="O139" i="2" s="1"/>
  <c r="P139" i="2" s="1"/>
  <c r="L192" i="2"/>
  <c r="M192" i="2" s="1"/>
  <c r="O192" i="2" s="1"/>
  <c r="P192" i="2" s="1"/>
  <c r="L186" i="2"/>
  <c r="M186" i="2" s="1"/>
  <c r="O186" i="2" s="1"/>
  <c r="P186" i="2" s="1"/>
  <c r="L85" i="2"/>
  <c r="M85" i="2" s="1"/>
  <c r="O85" i="2" s="1"/>
  <c r="L322" i="2"/>
  <c r="M322" i="2" s="1"/>
  <c r="O322" i="2" s="1"/>
  <c r="P322" i="2" s="1"/>
  <c r="L112" i="2"/>
  <c r="M112" i="2" s="1"/>
  <c r="O112" i="2" s="1"/>
  <c r="L122" i="2"/>
  <c r="M122" i="2" s="1"/>
  <c r="O122" i="2" s="1"/>
  <c r="P122" i="2" s="1"/>
  <c r="L154" i="2"/>
  <c r="M154" i="2" s="1"/>
  <c r="O154" i="2" s="1"/>
  <c r="P154" i="2" s="1"/>
  <c r="L274" i="2"/>
  <c r="M274" i="2" s="1"/>
  <c r="O274" i="2" s="1"/>
  <c r="P274" i="2" s="1"/>
  <c r="L191" i="2"/>
  <c r="M191" i="2" s="1"/>
  <c r="O191" i="2" s="1"/>
  <c r="P191" i="2" s="1"/>
  <c r="L487" i="2"/>
  <c r="M487" i="2" s="1"/>
  <c r="O487" i="2" s="1"/>
  <c r="P487" i="2" s="1"/>
  <c r="L253" i="2"/>
  <c r="M253" i="2" s="1"/>
  <c r="O253" i="2" s="1"/>
  <c r="P253" i="2" s="1"/>
  <c r="L280" i="2"/>
  <c r="M280" i="2" s="1"/>
  <c r="O280" i="2" s="1"/>
  <c r="P280" i="2" s="1"/>
  <c r="L232" i="2"/>
  <c r="M232" i="2" s="1"/>
  <c r="O232" i="2" s="1"/>
  <c r="P232" i="2" s="1"/>
  <c r="L435" i="2"/>
  <c r="M435" i="2" s="1"/>
  <c r="O435" i="2" s="1"/>
  <c r="P435" i="2" s="1"/>
  <c r="L478" i="2"/>
  <c r="M478" i="2" s="1"/>
  <c r="O478" i="2" s="1"/>
  <c r="P478" i="2" s="1"/>
  <c r="L377" i="2"/>
  <c r="M377" i="2" s="1"/>
  <c r="O377" i="2" s="1"/>
  <c r="P377" i="2" s="1"/>
  <c r="L262" i="2"/>
  <c r="M262" i="2" s="1"/>
  <c r="O262" i="2" s="1"/>
  <c r="P262" i="2" s="1"/>
  <c r="L282" i="2"/>
  <c r="M282" i="2" s="1"/>
  <c r="O282" i="2" s="1"/>
  <c r="P282" i="2" s="1"/>
  <c r="L233" i="2"/>
  <c r="M233" i="2" s="1"/>
  <c r="O233" i="2" s="1"/>
  <c r="P233" i="2" s="1"/>
  <c r="L437" i="2"/>
  <c r="M437" i="2" s="1"/>
  <c r="O437" i="2" s="1"/>
  <c r="P437" i="2" s="1"/>
  <c r="L480" i="2"/>
  <c r="M480" i="2" s="1"/>
  <c r="O480" i="2" s="1"/>
  <c r="P480" i="2" s="1"/>
  <c r="L379" i="2"/>
  <c r="M379" i="2" s="1"/>
  <c r="O379" i="2" s="1"/>
  <c r="P379" i="2" s="1"/>
  <c r="L406" i="2"/>
  <c r="M406" i="2" s="1"/>
  <c r="O406" i="2" s="1"/>
  <c r="P406" i="2" s="1"/>
  <c r="L305" i="2"/>
  <c r="M305" i="2" s="1"/>
  <c r="O305" i="2" s="1"/>
  <c r="P305" i="2" s="1"/>
  <c r="L332" i="2"/>
  <c r="M332" i="2" s="1"/>
  <c r="O332" i="2" s="1"/>
  <c r="P332" i="2" s="1"/>
  <c r="L498" i="2"/>
  <c r="M498" i="2" s="1"/>
  <c r="O498" i="2" s="1"/>
  <c r="P498" i="2" s="1"/>
  <c r="L95" i="2"/>
  <c r="M95" i="2" s="1"/>
  <c r="O95" i="2" s="1"/>
  <c r="L2" i="2"/>
  <c r="M2" i="2" s="1"/>
  <c r="O2" i="2" s="1"/>
  <c r="L49" i="2"/>
  <c r="M49" i="2" s="1"/>
  <c r="O49" i="2" s="1"/>
  <c r="L10" i="2"/>
  <c r="M10" i="2" s="1"/>
  <c r="O10" i="2" s="1"/>
  <c r="L37" i="2"/>
  <c r="M37" i="2" s="1"/>
  <c r="O37" i="2" s="1"/>
  <c r="L455" i="2"/>
  <c r="M455" i="2" s="1"/>
  <c r="O455" i="2" s="1"/>
  <c r="P455" i="2" s="1"/>
  <c r="L141" i="2"/>
  <c r="M141" i="2" s="1"/>
  <c r="O141" i="2" s="1"/>
  <c r="P141" i="2" s="1"/>
  <c r="L266" i="2"/>
  <c r="M266" i="2" s="1"/>
  <c r="O266" i="2" s="1"/>
  <c r="P266" i="2" s="1"/>
  <c r="L375" i="2"/>
  <c r="M375" i="2" s="1"/>
  <c r="O375" i="2" s="1"/>
  <c r="P375" i="2" s="1"/>
  <c r="L101" i="2"/>
  <c r="M101" i="2" s="1"/>
  <c r="O101" i="2" s="1"/>
  <c r="L436" i="2"/>
  <c r="M436" i="2" s="1"/>
  <c r="O436" i="2" s="1"/>
  <c r="P436" i="2" s="1"/>
  <c r="L168" i="2"/>
  <c r="M168" i="2" s="1"/>
  <c r="O168" i="2" s="1"/>
  <c r="P168" i="2" s="1"/>
  <c r="L124" i="2"/>
  <c r="M124" i="2" s="1"/>
  <c r="O124" i="2" s="1"/>
  <c r="P124" i="2" s="1"/>
  <c r="L156" i="2"/>
  <c r="M156" i="2" s="1"/>
  <c r="O156" i="2" s="1"/>
  <c r="P156" i="2" s="1"/>
  <c r="L359" i="2"/>
  <c r="M359" i="2" s="1"/>
  <c r="O359" i="2" s="1"/>
  <c r="P359" i="2" s="1"/>
  <c r="L276" i="2"/>
  <c r="M276" i="2" s="1"/>
  <c r="O276" i="2" s="1"/>
  <c r="P276" i="2" s="1"/>
  <c r="L54" i="2"/>
  <c r="M54" i="2" s="1"/>
  <c r="O54" i="2" s="1"/>
  <c r="L261" i="2"/>
  <c r="M261" i="2" s="1"/>
  <c r="O261" i="2" s="1"/>
  <c r="P261" i="2" s="1"/>
  <c r="L296" i="2"/>
  <c r="M296" i="2" s="1"/>
  <c r="O296" i="2" s="1"/>
  <c r="P296" i="2" s="1"/>
  <c r="L240" i="2"/>
  <c r="M240" i="2" s="1"/>
  <c r="O240" i="2" s="1"/>
  <c r="P240" i="2" s="1"/>
  <c r="L451" i="2"/>
  <c r="M451" i="2" s="1"/>
  <c r="O451" i="2" s="1"/>
  <c r="P451" i="2" s="1"/>
  <c r="L489" i="2"/>
  <c r="M489" i="2" s="1"/>
  <c r="O489" i="2" s="1"/>
  <c r="P489" i="2" s="1"/>
  <c r="L393" i="2"/>
  <c r="M393" i="2" s="1"/>
  <c r="O393" i="2" s="1"/>
  <c r="P393" i="2" s="1"/>
  <c r="L270" i="2"/>
  <c r="M270" i="2" s="1"/>
  <c r="O270" i="2" s="1"/>
  <c r="P270" i="2" s="1"/>
  <c r="L298" i="2"/>
  <c r="M298" i="2" s="1"/>
  <c r="O298" i="2" s="1"/>
  <c r="P298" i="2" s="1"/>
  <c r="L241" i="2"/>
  <c r="M241" i="2" s="1"/>
  <c r="O241" i="2" s="1"/>
  <c r="P241" i="2" s="1"/>
  <c r="L453" i="2"/>
  <c r="M453" i="2" s="1"/>
  <c r="O453" i="2" s="1"/>
  <c r="P453" i="2" s="1"/>
  <c r="L491" i="2"/>
  <c r="M491" i="2" s="1"/>
  <c r="O491" i="2" s="1"/>
  <c r="P491" i="2" s="1"/>
  <c r="L395" i="2"/>
  <c r="M395" i="2" s="1"/>
  <c r="O395" i="2" s="1"/>
  <c r="P395" i="2" s="1"/>
  <c r="L422" i="2"/>
  <c r="M422" i="2" s="1"/>
  <c r="O422" i="2" s="1"/>
  <c r="P422" i="2" s="1"/>
  <c r="L321" i="2"/>
  <c r="M321" i="2" s="1"/>
  <c r="O321" i="2" s="1"/>
  <c r="P321" i="2" s="1"/>
  <c r="L348" i="2"/>
  <c r="M348" i="2" s="1"/>
  <c r="O348" i="2" s="1"/>
  <c r="P348" i="2" s="1"/>
  <c r="L27" i="2"/>
  <c r="M27" i="2" s="1"/>
  <c r="O27" i="2" s="1"/>
  <c r="L18" i="2"/>
  <c r="M18" i="2" s="1"/>
  <c r="O18" i="2" s="1"/>
  <c r="L63" i="2"/>
  <c r="M63" i="2" s="1"/>
  <c r="O63" i="2" s="1"/>
  <c r="L26" i="2"/>
  <c r="M26" i="2" s="1"/>
  <c r="O26" i="2" s="1"/>
  <c r="L51" i="2"/>
  <c r="M51" i="2" s="1"/>
  <c r="O51" i="2" s="1"/>
  <c r="L97" i="2"/>
  <c r="M97" i="2" s="1"/>
  <c r="O97" i="2" s="1"/>
  <c r="L143" i="2"/>
  <c r="M143" i="2" s="1"/>
  <c r="O143" i="2" s="1"/>
  <c r="P143" i="2" s="1"/>
  <c r="L343" i="2"/>
  <c r="M343" i="2" s="1"/>
  <c r="O343" i="2" s="1"/>
  <c r="P343" i="2" s="1"/>
  <c r="L402" i="2"/>
  <c r="M402" i="2" s="1"/>
  <c r="O402" i="2" s="1"/>
  <c r="P402" i="2" s="1"/>
  <c r="L180" i="2"/>
  <c r="M180" i="2" s="1"/>
  <c r="O180" i="2" s="1"/>
  <c r="P180" i="2" s="1"/>
  <c r="L466" i="2"/>
  <c r="M466" i="2" s="1"/>
  <c r="O466" i="2" s="1"/>
  <c r="P466" i="2" s="1"/>
  <c r="L171" i="2"/>
  <c r="M171" i="2" s="1"/>
  <c r="O171" i="2" s="1"/>
  <c r="P171" i="2" s="1"/>
  <c r="L126" i="2"/>
  <c r="M126" i="2" s="1"/>
  <c r="O126" i="2" s="1"/>
  <c r="P126" i="2" s="1"/>
  <c r="L158" i="2"/>
  <c r="M158" i="2" s="1"/>
  <c r="O158" i="2" s="1"/>
  <c r="P158" i="2" s="1"/>
  <c r="L386" i="2"/>
  <c r="M386" i="2" s="1"/>
  <c r="O386" i="2" s="1"/>
  <c r="P386" i="2" s="1"/>
  <c r="L391" i="2"/>
  <c r="M391" i="2" s="1"/>
  <c r="O391" i="2" s="1"/>
  <c r="P391" i="2" s="1"/>
  <c r="L70" i="2"/>
  <c r="M70" i="2" s="1"/>
  <c r="O70" i="2" s="1"/>
  <c r="L269" i="2"/>
  <c r="M269" i="2" s="1"/>
  <c r="O269" i="2" s="1"/>
  <c r="P269" i="2" s="1"/>
  <c r="L312" i="2"/>
  <c r="M312" i="2" s="1"/>
  <c r="O312" i="2" s="1"/>
  <c r="P312" i="2" s="1"/>
  <c r="L248" i="2"/>
  <c r="M248" i="2" s="1"/>
  <c r="O248" i="2" s="1"/>
  <c r="P248" i="2" s="1"/>
  <c r="L467" i="2"/>
  <c r="M467" i="2" s="1"/>
  <c r="O467" i="2" s="1"/>
  <c r="P467" i="2" s="1"/>
  <c r="L211" i="2"/>
  <c r="M211" i="2" s="1"/>
  <c r="O211" i="2" s="1"/>
  <c r="P211" i="2" s="1"/>
  <c r="L409" i="2"/>
  <c r="M409" i="2" s="1"/>
  <c r="O409" i="2" s="1"/>
  <c r="P409" i="2" s="1"/>
  <c r="L287" i="2"/>
  <c r="M287" i="2" s="1"/>
  <c r="O287" i="2" s="1"/>
  <c r="P287" i="2" s="1"/>
  <c r="L314" i="2"/>
  <c r="M314" i="2" s="1"/>
  <c r="O314" i="2" s="1"/>
  <c r="P314" i="2" s="1"/>
  <c r="L249" i="2"/>
  <c r="M249" i="2" s="1"/>
  <c r="O249" i="2" s="1"/>
  <c r="P249" i="2" s="1"/>
  <c r="L469" i="2"/>
  <c r="M469" i="2" s="1"/>
  <c r="O469" i="2" s="1"/>
  <c r="P469" i="2" s="1"/>
  <c r="L212" i="2"/>
  <c r="M212" i="2" s="1"/>
  <c r="O212" i="2" s="1"/>
  <c r="P212" i="2" s="1"/>
  <c r="L411" i="2"/>
  <c r="M411" i="2" s="1"/>
  <c r="O411" i="2" s="1"/>
  <c r="P411" i="2" s="1"/>
  <c r="L438" i="2"/>
  <c r="M438" i="2" s="1"/>
  <c r="O438" i="2" s="1"/>
  <c r="P438" i="2" s="1"/>
  <c r="L337" i="2"/>
  <c r="M337" i="2" s="1"/>
  <c r="O337" i="2" s="1"/>
  <c r="P337" i="2" s="1"/>
  <c r="L364" i="2"/>
  <c r="M364" i="2" s="1"/>
  <c r="O364" i="2" s="1"/>
  <c r="P364" i="2" s="1"/>
  <c r="L19" i="2"/>
  <c r="M19" i="2" s="1"/>
  <c r="O19" i="2" s="1"/>
  <c r="L34" i="2"/>
  <c r="M34" i="2" s="1"/>
  <c r="O34" i="2" s="1"/>
  <c r="L88" i="2"/>
  <c r="M88" i="2" s="1"/>
  <c r="O88" i="2" s="1"/>
  <c r="L42" i="2"/>
  <c r="M42" i="2" s="1"/>
  <c r="O42" i="2" s="1"/>
  <c r="L72" i="2"/>
  <c r="M72" i="2" s="1"/>
  <c r="O72" i="2" s="1"/>
  <c r="L113" i="2"/>
  <c r="M113" i="2" s="1"/>
  <c r="O113" i="2" s="1"/>
  <c r="L145" i="2"/>
  <c r="M145" i="2" s="1"/>
  <c r="O145" i="2" s="1"/>
  <c r="P145" i="2" s="1"/>
  <c r="L370" i="2"/>
  <c r="M370" i="2" s="1"/>
  <c r="O370" i="2" s="1"/>
  <c r="P370" i="2" s="1"/>
  <c r="L44" i="2"/>
  <c r="M44" i="2" s="1"/>
  <c r="O44" i="2" s="1"/>
  <c r="L196" i="2"/>
  <c r="M196" i="2" s="1"/>
  <c r="O196" i="2" s="1"/>
  <c r="P196" i="2" s="1"/>
  <c r="L55" i="2"/>
  <c r="M55" i="2" s="1"/>
  <c r="O55" i="2" s="1"/>
  <c r="L187" i="2"/>
  <c r="M187" i="2" s="1"/>
  <c r="O187" i="2" s="1"/>
  <c r="P187" i="2" s="1"/>
  <c r="L128" i="2"/>
  <c r="M128" i="2" s="1"/>
  <c r="O128" i="2" s="1"/>
  <c r="P128" i="2" s="1"/>
  <c r="L160" i="2"/>
  <c r="M160" i="2" s="1"/>
  <c r="O160" i="2" s="1"/>
  <c r="P160" i="2" s="1"/>
  <c r="L59" i="2"/>
  <c r="M59" i="2" s="1"/>
  <c r="O59" i="2" s="1"/>
  <c r="L418" i="2"/>
  <c r="M418" i="2" s="1"/>
  <c r="O418" i="2" s="1"/>
  <c r="P418" i="2" s="1"/>
  <c r="L86" i="2"/>
  <c r="M86" i="2" s="1"/>
  <c r="O86" i="2" s="1"/>
  <c r="L285" i="2"/>
  <c r="M285" i="2" s="1"/>
  <c r="O285" i="2" s="1"/>
  <c r="P285" i="2" s="1"/>
  <c r="L328" i="2"/>
  <c r="M328" i="2" s="1"/>
  <c r="O328" i="2" s="1"/>
  <c r="P328" i="2" s="1"/>
  <c r="L256" i="2"/>
  <c r="M256" i="2" s="1"/>
  <c r="O256" i="2" s="1"/>
  <c r="P256" i="2" s="1"/>
  <c r="L483" i="2"/>
  <c r="M483" i="2" s="1"/>
  <c r="O483" i="2" s="1"/>
  <c r="P483" i="2" s="1"/>
  <c r="L219" i="2"/>
  <c r="M219" i="2" s="1"/>
  <c r="O219" i="2" s="1"/>
  <c r="P219" i="2" s="1"/>
  <c r="L425" i="2"/>
  <c r="M425" i="2" s="1"/>
  <c r="O425" i="2" s="1"/>
  <c r="P425" i="2" s="1"/>
  <c r="L303" i="2"/>
  <c r="M303" i="2" s="1"/>
  <c r="O303" i="2" s="1"/>
  <c r="P303" i="2" s="1"/>
  <c r="L330" i="2"/>
  <c r="M330" i="2" s="1"/>
  <c r="O330" i="2" s="1"/>
  <c r="P330" i="2" s="1"/>
  <c r="L257" i="2"/>
  <c r="M257" i="2" s="1"/>
  <c r="O257" i="2" s="1"/>
  <c r="P257" i="2" s="1"/>
  <c r="L485" i="2"/>
  <c r="M485" i="2" s="1"/>
  <c r="O485" i="2" s="1"/>
  <c r="P485" i="2" s="1"/>
  <c r="L220" i="2"/>
  <c r="M220" i="2" s="1"/>
  <c r="O220" i="2" s="1"/>
  <c r="P220" i="2" s="1"/>
  <c r="L427" i="2"/>
  <c r="M427" i="2" s="1"/>
  <c r="O427" i="2" s="1"/>
  <c r="P427" i="2" s="1"/>
  <c r="L454" i="2"/>
  <c r="M454" i="2" s="1"/>
  <c r="O454" i="2" s="1"/>
  <c r="P454" i="2" s="1"/>
  <c r="L353" i="2"/>
  <c r="M353" i="2" s="1"/>
  <c r="O353" i="2" s="1"/>
  <c r="P353" i="2" s="1"/>
  <c r="AA9" i="118" l="1"/>
  <c r="AA4" i="118"/>
  <c r="AA8" i="118"/>
  <c r="AA2" i="118" s="1"/>
  <c r="AA7" i="118"/>
  <c r="AA5" i="118"/>
  <c r="P86" i="2"/>
  <c r="P112" i="2"/>
  <c r="P100" i="2"/>
  <c r="P84" i="2"/>
  <c r="P82" i="2"/>
  <c r="P101" i="2"/>
  <c r="P96" i="2"/>
  <c r="P98" i="2"/>
  <c r="P105" i="2"/>
  <c r="P94" i="2"/>
  <c r="P78" i="2"/>
  <c r="P85" i="2"/>
  <c r="P114" i="2"/>
  <c r="P102" i="2"/>
  <c r="P110" i="2"/>
  <c r="P104" i="2"/>
  <c r="P80" i="2"/>
  <c r="P91" i="2"/>
  <c r="P113" i="2"/>
  <c r="P97" i="2"/>
  <c r="P77" i="2"/>
  <c r="P93" i="2"/>
  <c r="P107" i="2"/>
  <c r="P79" i="2"/>
  <c r="P99" i="2"/>
  <c r="P83" i="2"/>
  <c r="P88" i="2"/>
  <c r="P87" i="2"/>
  <c r="P111" i="2"/>
  <c r="P95" i="2"/>
  <c r="P109" i="2"/>
  <c r="P103" i="2"/>
  <c r="P92" i="2"/>
  <c r="P108" i="2"/>
  <c r="P90" i="2"/>
  <c r="P81" i="2"/>
  <c r="P106" i="2"/>
  <c r="P89" i="2"/>
  <c r="P75" i="2"/>
  <c r="P76" i="2"/>
  <c r="P74" i="2"/>
  <c r="P73" i="2"/>
  <c r="P34" i="2"/>
  <c r="P18" i="2"/>
  <c r="P44" i="2"/>
  <c r="P27" i="2"/>
  <c r="P19" i="2"/>
  <c r="P55" i="2"/>
  <c r="P62" i="2"/>
  <c r="P30" i="2"/>
  <c r="P35" i="2"/>
  <c r="P47" i="2"/>
  <c r="P38" i="2"/>
  <c r="P69" i="2"/>
  <c r="P48" i="2"/>
  <c r="P61" i="2"/>
  <c r="P64" i="2"/>
  <c r="P43" i="2"/>
  <c r="P23" i="2"/>
  <c r="P72" i="2"/>
  <c r="P51" i="2"/>
  <c r="P37" i="2"/>
  <c r="P53" i="2"/>
  <c r="P67" i="2"/>
  <c r="P16" i="2"/>
  <c r="P39" i="2"/>
  <c r="P42" i="2"/>
  <c r="P26" i="2"/>
  <c r="P10" i="2"/>
  <c r="P21" i="2"/>
  <c r="P28" i="2"/>
  <c r="P12" i="2"/>
  <c r="P63" i="2"/>
  <c r="P49" i="2"/>
  <c r="P33" i="2"/>
  <c r="P32" i="2"/>
  <c r="P29" i="2"/>
  <c r="P17" i="2"/>
  <c r="P56" i="2"/>
  <c r="P65" i="2"/>
  <c r="P60" i="2"/>
  <c r="P54" i="2"/>
  <c r="P13" i="2"/>
  <c r="P24" i="2"/>
  <c r="P11" i="2"/>
  <c r="P41" i="2"/>
  <c r="P15" i="2"/>
  <c r="P40" i="2"/>
  <c r="P45" i="2"/>
  <c r="P59" i="2"/>
  <c r="P31" i="2"/>
  <c r="P25" i="2"/>
  <c r="P36" i="2"/>
  <c r="P46" i="2"/>
  <c r="P20" i="2"/>
  <c r="P50" i="2"/>
  <c r="P58" i="2"/>
  <c r="P52" i="2"/>
  <c r="P57" i="2"/>
  <c r="P14" i="2"/>
  <c r="P71" i="2"/>
  <c r="P70" i="2"/>
  <c r="P68" i="2"/>
  <c r="P66" i="2"/>
  <c r="P22" i="2"/>
  <c r="P2" i="2"/>
  <c r="P5" i="2"/>
  <c r="P8" i="2"/>
  <c r="P4" i="2"/>
  <c r="P9" i="2"/>
  <c r="P3" i="2"/>
  <c r="P6" i="2"/>
  <c r="P7" i="2"/>
  <c r="Q2" i="2" l="1"/>
  <c r="R2" i="2" s="1"/>
  <c r="Q1" i="2"/>
  <c r="R1" i="2" s="1"/>
  <c r="Q469" i="2"/>
  <c r="R469" i="2" s="1"/>
  <c r="Q84" i="2"/>
  <c r="R84" i="2" s="1"/>
  <c r="Q220" i="2"/>
  <c r="R220" i="2" s="1"/>
  <c r="Q167" i="2"/>
  <c r="R167" i="2" s="1"/>
  <c r="Q327" i="2"/>
  <c r="R327" i="2" s="1"/>
  <c r="Q287" i="2"/>
  <c r="R287" i="2" s="1"/>
  <c r="Q59" i="2"/>
  <c r="R59" i="2" s="1"/>
  <c r="Q330" i="2"/>
  <c r="R330" i="2" s="1"/>
  <c r="Q388" i="2"/>
  <c r="R388" i="2" s="1"/>
  <c r="Q354" i="2"/>
  <c r="R354" i="2" s="1"/>
  <c r="Q85" i="2"/>
  <c r="R85" i="2" s="1"/>
  <c r="Q266" i="2"/>
  <c r="R266" i="2" s="1"/>
  <c r="Q246" i="2"/>
  <c r="R246" i="2" s="1"/>
  <c r="Q18" i="2"/>
  <c r="R18" i="2" s="1"/>
  <c r="Q314" i="2"/>
  <c r="R314" i="2" s="1"/>
  <c r="Q101" i="2"/>
  <c r="R101" i="2" s="1"/>
  <c r="Q285" i="2"/>
  <c r="R285" i="2" s="1"/>
  <c r="Q254" i="2"/>
  <c r="R254" i="2" s="1"/>
  <c r="Q212" i="2"/>
  <c r="R212" i="2" s="1"/>
  <c r="Q99" i="2"/>
  <c r="R99" i="2" s="1"/>
  <c r="Q42" i="2"/>
  <c r="R42" i="2" s="1"/>
  <c r="Q414" i="2"/>
  <c r="R414" i="2" s="1"/>
  <c r="Q312" i="2"/>
  <c r="R312" i="2" s="1"/>
  <c r="Q31" i="2"/>
  <c r="R31" i="2" s="1"/>
  <c r="Q438" i="2"/>
  <c r="R438" i="2" s="1"/>
  <c r="Q398" i="2"/>
  <c r="R398" i="2" s="1"/>
  <c r="Q112" i="2"/>
  <c r="R112" i="2" s="1"/>
  <c r="Q253" i="2"/>
  <c r="R253" i="2" s="1"/>
  <c r="Q217" i="2"/>
  <c r="R217" i="2" s="1"/>
  <c r="Q68" i="2"/>
  <c r="R68" i="2" s="1"/>
  <c r="Q328" i="2"/>
  <c r="R328" i="2" s="1"/>
  <c r="Q54" i="2"/>
  <c r="R54" i="2" s="1"/>
  <c r="Q181" i="2"/>
  <c r="R181" i="2" s="1"/>
  <c r="Q261" i="2"/>
  <c r="R261" i="2" s="1"/>
  <c r="Q225" i="2"/>
  <c r="R225" i="2" s="1"/>
  <c r="Q411" i="2"/>
  <c r="R411" i="2" s="1"/>
  <c r="Q83" i="2"/>
  <c r="R83" i="2" s="1"/>
  <c r="Q370" i="2"/>
  <c r="R370" i="2" s="1"/>
  <c r="Q44" i="2"/>
  <c r="R44" i="2" s="1"/>
  <c r="Q122" i="2"/>
  <c r="R122" i="2" s="1"/>
  <c r="Q124" i="2"/>
  <c r="R124" i="2" s="1"/>
  <c r="Q460" i="2"/>
  <c r="R460" i="2" s="1"/>
  <c r="Q154" i="2"/>
  <c r="R154" i="2" s="1"/>
  <c r="Q329" i="2"/>
  <c r="R329" i="2" s="1"/>
  <c r="Q454" i="2"/>
  <c r="R454" i="2" s="1"/>
  <c r="Q303" i="2"/>
  <c r="R303" i="2" s="1"/>
  <c r="Q485" i="2"/>
  <c r="R485" i="2" s="1"/>
  <c r="Q111" i="2"/>
  <c r="R111" i="2" s="1"/>
  <c r="Q30" i="2"/>
  <c r="R30" i="2" s="1"/>
  <c r="Q202" i="2"/>
  <c r="R202" i="2" s="1"/>
  <c r="Q462" i="2"/>
  <c r="R462" i="2" s="1"/>
  <c r="Q427" i="2"/>
  <c r="R427" i="2" s="1"/>
  <c r="Q61" i="2"/>
  <c r="R61" i="2" s="1"/>
  <c r="Q172" i="2"/>
  <c r="R172" i="2" s="1"/>
  <c r="Q49" i="2"/>
  <c r="R49" i="2" s="1"/>
  <c r="Q156" i="2"/>
  <c r="R156" i="2" s="1"/>
  <c r="Q345" i="2"/>
  <c r="R345" i="2" s="1"/>
  <c r="Q470" i="2"/>
  <c r="R470" i="2" s="1"/>
  <c r="Q137" i="2"/>
  <c r="R137" i="2" s="1"/>
  <c r="Q343" i="2"/>
  <c r="R343" i="2" s="1"/>
  <c r="Q26" i="2"/>
  <c r="R26" i="2" s="1"/>
  <c r="Q476" i="2"/>
  <c r="R476" i="2" s="1"/>
  <c r="Q483" i="2"/>
  <c r="R483" i="2" s="1"/>
  <c r="Q53" i="2"/>
  <c r="R53" i="2" s="1"/>
  <c r="Q135" i="2"/>
  <c r="R135" i="2" s="1"/>
  <c r="Q194" i="2"/>
  <c r="R194" i="2" s="1"/>
  <c r="Q372" i="2"/>
  <c r="R372" i="2" s="1"/>
  <c r="Q34" i="2"/>
  <c r="R34" i="2" s="1"/>
  <c r="Q70" i="2"/>
  <c r="R70" i="2" s="1"/>
  <c r="Q289" i="2"/>
  <c r="R289" i="2" s="1"/>
  <c r="Q65" i="2"/>
  <c r="R65" i="2" s="1"/>
  <c r="Q139" i="2"/>
  <c r="R139" i="2" s="1"/>
  <c r="Q321" i="2"/>
  <c r="R321" i="2" s="1"/>
  <c r="Q203" i="2"/>
  <c r="R203" i="2" s="1"/>
  <c r="Q204" i="2"/>
  <c r="R204" i="2" s="1"/>
  <c r="Q55" i="2"/>
  <c r="R55" i="2" s="1"/>
  <c r="Q184" i="2"/>
  <c r="R184" i="2" s="1"/>
  <c r="Q126" i="2"/>
  <c r="R126" i="2" s="1"/>
  <c r="Q158" i="2"/>
  <c r="R158" i="2" s="1"/>
  <c r="Q337" i="2"/>
  <c r="R337" i="2" s="1"/>
  <c r="Q359" i="2"/>
  <c r="R359" i="2" s="1"/>
  <c r="Q386" i="2"/>
  <c r="R386" i="2" s="1"/>
  <c r="Q301" i="2"/>
  <c r="R301" i="2" s="1"/>
  <c r="Q344" i="2"/>
  <c r="R344" i="2" s="1"/>
  <c r="Q269" i="2"/>
  <c r="R269" i="2" s="1"/>
  <c r="Q478" i="2"/>
  <c r="R478" i="2" s="1"/>
  <c r="Q361" i="2"/>
  <c r="R361" i="2" s="1"/>
  <c r="Q404" i="2"/>
  <c r="R404" i="2" s="1"/>
  <c r="Q319" i="2"/>
  <c r="R319" i="2" s="1"/>
  <c r="Q346" i="2"/>
  <c r="R346" i="2" s="1"/>
  <c r="Q262" i="2"/>
  <c r="R262" i="2" s="1"/>
  <c r="Q288" i="2"/>
  <c r="R288" i="2" s="1"/>
  <c r="Q233" i="2"/>
  <c r="R233" i="2" s="1"/>
  <c r="Q443" i="2"/>
  <c r="R443" i="2" s="1"/>
  <c r="Q486" i="2"/>
  <c r="R486" i="2" s="1"/>
  <c r="Q47" i="2"/>
  <c r="R47" i="2" s="1"/>
  <c r="Q23" i="2"/>
  <c r="R23" i="2" s="1"/>
  <c r="Q43" i="2"/>
  <c r="R43" i="2" s="1"/>
  <c r="Q107" i="2"/>
  <c r="R107" i="2" s="1"/>
  <c r="Q100" i="2"/>
  <c r="R100" i="2" s="1"/>
  <c r="Q86" i="2"/>
  <c r="R86" i="2" s="1"/>
  <c r="Q316" i="2"/>
  <c r="R316" i="2" s="1"/>
  <c r="Q81" i="2"/>
  <c r="R81" i="2" s="1"/>
  <c r="Q141" i="2"/>
  <c r="R141" i="2" s="1"/>
  <c r="Q348" i="2"/>
  <c r="R348" i="2" s="1"/>
  <c r="Q228" i="2"/>
  <c r="R228" i="2" s="1"/>
  <c r="Q244" i="2"/>
  <c r="R244" i="2" s="1"/>
  <c r="Q71" i="2"/>
  <c r="R71" i="2" s="1"/>
  <c r="Q197" i="2"/>
  <c r="R197" i="2" s="1"/>
  <c r="Q128" i="2"/>
  <c r="R128" i="2" s="1"/>
  <c r="Q160" i="2"/>
  <c r="R160" i="2" s="1"/>
  <c r="Q364" i="2"/>
  <c r="R364" i="2" s="1"/>
  <c r="Q375" i="2"/>
  <c r="R375" i="2" s="1"/>
  <c r="Q402" i="2"/>
  <c r="R402" i="2" s="1"/>
  <c r="Q317" i="2"/>
  <c r="R317" i="2" s="1"/>
  <c r="Q360" i="2"/>
  <c r="R360" i="2" s="1"/>
  <c r="Q275" i="2"/>
  <c r="R275" i="2" s="1"/>
  <c r="Q489" i="2"/>
  <c r="R489" i="2" s="1"/>
  <c r="Q377" i="2"/>
  <c r="R377" i="2" s="1"/>
  <c r="Q420" i="2"/>
  <c r="R420" i="2" s="1"/>
  <c r="Q335" i="2"/>
  <c r="R335" i="2" s="1"/>
  <c r="Q362" i="2"/>
  <c r="R362" i="2" s="1"/>
  <c r="Q270" i="2"/>
  <c r="R270" i="2" s="1"/>
  <c r="Q304" i="2"/>
  <c r="R304" i="2" s="1"/>
  <c r="Q241" i="2"/>
  <c r="R241" i="2" s="1"/>
  <c r="Q459" i="2"/>
  <c r="R459" i="2" s="1"/>
  <c r="Q495" i="2"/>
  <c r="R495" i="2" s="1"/>
  <c r="Q4" i="2"/>
  <c r="R4" i="2" s="1"/>
  <c r="Q11" i="2"/>
  <c r="R11" i="2" s="1"/>
  <c r="Q3" i="2"/>
  <c r="R3" i="2" s="1"/>
  <c r="Q102" i="2"/>
  <c r="R102" i="2" s="1"/>
  <c r="Q430" i="2"/>
  <c r="R430" i="2" s="1"/>
  <c r="Q97" i="2"/>
  <c r="R97" i="2" s="1"/>
  <c r="Q143" i="2"/>
  <c r="R143" i="2" s="1"/>
  <c r="Q465" i="2"/>
  <c r="R465" i="2" s="1"/>
  <c r="Q353" i="2"/>
  <c r="R353" i="2" s="1"/>
  <c r="Q385" i="2"/>
  <c r="R385" i="2" s="1"/>
  <c r="Q87" i="2"/>
  <c r="R87" i="2" s="1"/>
  <c r="Q200" i="2"/>
  <c r="R200" i="2" s="1"/>
  <c r="Q130" i="2"/>
  <c r="R130" i="2" s="1"/>
  <c r="Q162" i="2"/>
  <c r="R162" i="2" s="1"/>
  <c r="Q207" i="2"/>
  <c r="R207" i="2" s="1"/>
  <c r="Q391" i="2"/>
  <c r="R391" i="2" s="1"/>
  <c r="Q418" i="2"/>
  <c r="R418" i="2" s="1"/>
  <c r="Q333" i="2"/>
  <c r="R333" i="2" s="1"/>
  <c r="Q376" i="2"/>
  <c r="R376" i="2" s="1"/>
  <c r="Q291" i="2"/>
  <c r="R291" i="2" s="1"/>
  <c r="Q208" i="2"/>
  <c r="R208" i="2" s="1"/>
  <c r="Q393" i="2"/>
  <c r="R393" i="2" s="1"/>
  <c r="Q436" i="2"/>
  <c r="R436" i="2" s="1"/>
  <c r="Q351" i="2"/>
  <c r="R351" i="2" s="1"/>
  <c r="Q378" i="2"/>
  <c r="R378" i="2" s="1"/>
  <c r="Q277" i="2"/>
  <c r="R277" i="2" s="1"/>
  <c r="Q320" i="2"/>
  <c r="R320" i="2" s="1"/>
  <c r="Q249" i="2"/>
  <c r="R249" i="2" s="1"/>
  <c r="Q475" i="2"/>
  <c r="R475" i="2" s="1"/>
  <c r="Q498" i="2"/>
  <c r="R498" i="2" s="1"/>
  <c r="Q19" i="2"/>
  <c r="R19" i="2" s="1"/>
  <c r="Q179" i="2"/>
  <c r="R179" i="2" s="1"/>
  <c r="Q56" i="2"/>
  <c r="R56" i="2" s="1"/>
  <c r="Q113" i="2"/>
  <c r="R113" i="2" s="1"/>
  <c r="Q145" i="2"/>
  <c r="R145" i="2" s="1"/>
  <c r="Q58" i="2"/>
  <c r="R58" i="2" s="1"/>
  <c r="Q380" i="2"/>
  <c r="R380" i="2" s="1"/>
  <c r="Q412" i="2"/>
  <c r="R412" i="2" s="1"/>
  <c r="Q103" i="2"/>
  <c r="R103" i="2" s="1"/>
  <c r="Q205" i="2"/>
  <c r="R205" i="2" s="1"/>
  <c r="Q132" i="2"/>
  <c r="R132" i="2" s="1"/>
  <c r="Q164" i="2"/>
  <c r="R164" i="2" s="1"/>
  <c r="Q215" i="2"/>
  <c r="R215" i="2" s="1"/>
  <c r="Q407" i="2"/>
  <c r="R407" i="2" s="1"/>
  <c r="Q434" i="2"/>
  <c r="R434" i="2" s="1"/>
  <c r="Q349" i="2"/>
  <c r="R349" i="2" s="1"/>
  <c r="Q392" i="2"/>
  <c r="R392" i="2" s="1"/>
  <c r="Q307" i="2"/>
  <c r="R307" i="2" s="1"/>
  <c r="Q216" i="2"/>
  <c r="R216" i="2" s="1"/>
  <c r="Q409" i="2"/>
  <c r="R409" i="2" s="1"/>
  <c r="Q452" i="2"/>
  <c r="R452" i="2" s="1"/>
  <c r="Q367" i="2"/>
  <c r="R367" i="2" s="1"/>
  <c r="Q394" i="2"/>
  <c r="R394" i="2" s="1"/>
  <c r="Q293" i="2"/>
  <c r="R293" i="2" s="1"/>
  <c r="Q336" i="2"/>
  <c r="R336" i="2" s="1"/>
  <c r="Q257" i="2"/>
  <c r="R257" i="2" s="1"/>
  <c r="Q278" i="2"/>
  <c r="R278" i="2" s="1"/>
  <c r="Q493" i="2"/>
  <c r="R493" i="2" s="1"/>
  <c r="Q39" i="2"/>
  <c r="R39" i="2" s="1"/>
  <c r="Q201" i="2"/>
  <c r="R201" i="2" s="1"/>
  <c r="Q36" i="2"/>
  <c r="R36" i="2" s="1"/>
  <c r="Q8" i="2"/>
  <c r="R8" i="2" s="1"/>
  <c r="Q35" i="2"/>
  <c r="R35" i="2" s="1"/>
  <c r="Q182" i="2"/>
  <c r="R182" i="2" s="1"/>
  <c r="Q72" i="2"/>
  <c r="R72" i="2" s="1"/>
  <c r="Q115" i="2"/>
  <c r="R115" i="2" s="1"/>
  <c r="Q147" i="2"/>
  <c r="R147" i="2" s="1"/>
  <c r="Q74" i="2"/>
  <c r="R74" i="2" s="1"/>
  <c r="Q60" i="2"/>
  <c r="R60" i="2" s="1"/>
  <c r="Q46" i="2"/>
  <c r="R46" i="2" s="1"/>
  <c r="Q168" i="2"/>
  <c r="R168" i="2" s="1"/>
  <c r="Q305" i="2"/>
  <c r="R305" i="2" s="1"/>
  <c r="Q134" i="2"/>
  <c r="R134" i="2" s="1"/>
  <c r="Q166" i="2"/>
  <c r="R166" i="2" s="1"/>
  <c r="Q223" i="2"/>
  <c r="R223" i="2" s="1"/>
  <c r="Q423" i="2"/>
  <c r="R423" i="2" s="1"/>
  <c r="Q450" i="2"/>
  <c r="R450" i="2" s="1"/>
  <c r="Q365" i="2"/>
  <c r="R365" i="2" s="1"/>
  <c r="Q408" i="2"/>
  <c r="R408" i="2" s="1"/>
  <c r="Q323" i="2"/>
  <c r="R323" i="2" s="1"/>
  <c r="Q224" i="2"/>
  <c r="R224" i="2" s="1"/>
  <c r="Q425" i="2"/>
  <c r="R425" i="2" s="1"/>
  <c r="Q468" i="2"/>
  <c r="R468" i="2" s="1"/>
  <c r="Q383" i="2"/>
  <c r="R383" i="2" s="1"/>
  <c r="Q410" i="2"/>
  <c r="R410" i="2" s="1"/>
  <c r="Q309" i="2"/>
  <c r="R309" i="2" s="1"/>
  <c r="Q352" i="2"/>
  <c r="R352" i="2" s="1"/>
  <c r="Q265" i="2"/>
  <c r="R265" i="2" s="1"/>
  <c r="Q294" i="2"/>
  <c r="R294" i="2" s="1"/>
  <c r="Q488" i="2"/>
  <c r="R488" i="2" s="1"/>
  <c r="Q195" i="2"/>
  <c r="R195" i="2" s="1"/>
  <c r="Q149" i="2"/>
  <c r="R149" i="2" s="1"/>
  <c r="Q90" i="2"/>
  <c r="R90" i="2" s="1"/>
  <c r="Q76" i="2"/>
  <c r="R76" i="2" s="1"/>
  <c r="Q62" i="2"/>
  <c r="R62" i="2" s="1"/>
  <c r="Q260" i="2"/>
  <c r="R260" i="2" s="1"/>
  <c r="Q332" i="2"/>
  <c r="R332" i="2" s="1"/>
  <c r="Q136" i="2"/>
  <c r="R136" i="2" s="1"/>
  <c r="Q334" i="2"/>
  <c r="R334" i="2" s="1"/>
  <c r="Q231" i="2"/>
  <c r="R231" i="2" s="1"/>
  <c r="Q439" i="2"/>
  <c r="R439" i="2" s="1"/>
  <c r="Q466" i="2"/>
  <c r="R466" i="2" s="1"/>
  <c r="Q381" i="2"/>
  <c r="R381" i="2" s="1"/>
  <c r="Q424" i="2"/>
  <c r="R424" i="2" s="1"/>
  <c r="Q339" i="2"/>
  <c r="R339" i="2" s="1"/>
  <c r="Q232" i="2"/>
  <c r="R232" i="2" s="1"/>
  <c r="Q441" i="2"/>
  <c r="R441" i="2" s="1"/>
  <c r="Q484" i="2"/>
  <c r="R484" i="2" s="1"/>
  <c r="Q399" i="2"/>
  <c r="R399" i="2" s="1"/>
  <c r="Q426" i="2"/>
  <c r="R426" i="2" s="1"/>
  <c r="Q325" i="2"/>
  <c r="R325" i="2" s="1"/>
  <c r="Q368" i="2"/>
  <c r="R368" i="2" s="1"/>
  <c r="Q273" i="2"/>
  <c r="R273" i="2" s="1"/>
  <c r="Q310" i="2"/>
  <c r="R310" i="2" s="1"/>
  <c r="Q496" i="2"/>
  <c r="R496" i="2" s="1"/>
  <c r="Q13" i="2"/>
  <c r="R13" i="2" s="1"/>
  <c r="Q117" i="2"/>
  <c r="R117" i="2" s="1"/>
  <c r="Q32" i="2"/>
  <c r="R32" i="2" s="1"/>
  <c r="Q29" i="2"/>
  <c r="R29" i="2" s="1"/>
  <c r="Q40" i="2"/>
  <c r="R40" i="2" s="1"/>
  <c r="Q28" i="2"/>
  <c r="R28" i="2" s="1"/>
  <c r="Q198" i="2"/>
  <c r="R198" i="2" s="1"/>
  <c r="Q104" i="2"/>
  <c r="R104" i="2" s="1"/>
  <c r="Q119" i="2"/>
  <c r="R119" i="2" s="1"/>
  <c r="Q151" i="2"/>
  <c r="R151" i="2" s="1"/>
  <c r="Q106" i="2"/>
  <c r="R106" i="2" s="1"/>
  <c r="Q92" i="2"/>
  <c r="R92" i="2" s="1"/>
  <c r="Q78" i="2"/>
  <c r="R78" i="2" s="1"/>
  <c r="Q302" i="2"/>
  <c r="R302" i="2" s="1"/>
  <c r="Q446" i="2"/>
  <c r="R446" i="2" s="1"/>
  <c r="Q138" i="2"/>
  <c r="R138" i="2" s="1"/>
  <c r="Q449" i="2"/>
  <c r="R449" i="2" s="1"/>
  <c r="Q239" i="2"/>
  <c r="R239" i="2" s="1"/>
  <c r="Q455" i="2"/>
  <c r="R455" i="2" s="1"/>
  <c r="Q482" i="2"/>
  <c r="R482" i="2" s="1"/>
  <c r="Q397" i="2"/>
  <c r="R397" i="2" s="1"/>
  <c r="Q440" i="2"/>
  <c r="R440" i="2" s="1"/>
  <c r="Q355" i="2"/>
  <c r="R355" i="2" s="1"/>
  <c r="Q240" i="2"/>
  <c r="R240" i="2" s="1"/>
  <c r="Q457" i="2"/>
  <c r="R457" i="2" s="1"/>
  <c r="Q211" i="2"/>
  <c r="R211" i="2" s="1"/>
  <c r="Q415" i="2"/>
  <c r="R415" i="2" s="1"/>
  <c r="Q442" i="2"/>
  <c r="R442" i="2" s="1"/>
  <c r="Q341" i="2"/>
  <c r="R341" i="2" s="1"/>
  <c r="Q384" i="2"/>
  <c r="R384" i="2" s="1"/>
  <c r="Q283" i="2"/>
  <c r="R283" i="2" s="1"/>
  <c r="Q326" i="2"/>
  <c r="R326" i="2" s="1"/>
  <c r="Q491" i="2"/>
  <c r="R491" i="2" s="1"/>
  <c r="Q7" i="2"/>
  <c r="R7" i="2" s="1"/>
  <c r="Q188" i="2"/>
  <c r="R188" i="2" s="1"/>
  <c r="Q252" i="2"/>
  <c r="R252" i="2" s="1"/>
  <c r="Q173" i="2"/>
  <c r="R173" i="2" s="1"/>
  <c r="Q121" i="2"/>
  <c r="R121" i="2" s="1"/>
  <c r="Q153" i="2"/>
  <c r="R153" i="2" s="1"/>
  <c r="Q170" i="2"/>
  <c r="R170" i="2" s="1"/>
  <c r="Q108" i="2"/>
  <c r="R108" i="2" s="1"/>
  <c r="Q94" i="2"/>
  <c r="R94" i="2" s="1"/>
  <c r="Q417" i="2"/>
  <c r="R417" i="2" s="1"/>
  <c r="Q73" i="2"/>
  <c r="R73" i="2" s="1"/>
  <c r="Q140" i="2"/>
  <c r="R140" i="2" s="1"/>
  <c r="Q50" i="2"/>
  <c r="R50" i="2" s="1"/>
  <c r="Q247" i="2"/>
  <c r="R247" i="2" s="1"/>
  <c r="Q471" i="2"/>
  <c r="R471" i="2" s="1"/>
  <c r="Q210" i="2"/>
  <c r="R210" i="2" s="1"/>
  <c r="Q413" i="2"/>
  <c r="R413" i="2" s="1"/>
  <c r="Q456" i="2"/>
  <c r="R456" i="2" s="1"/>
  <c r="Q371" i="2"/>
  <c r="R371" i="2" s="1"/>
  <c r="Q248" i="2"/>
  <c r="R248" i="2" s="1"/>
  <c r="Q473" i="2"/>
  <c r="R473" i="2" s="1"/>
  <c r="Q219" i="2"/>
  <c r="R219" i="2" s="1"/>
  <c r="Q431" i="2"/>
  <c r="R431" i="2" s="1"/>
  <c r="Q458" i="2"/>
  <c r="R458" i="2" s="1"/>
  <c r="Q357" i="2"/>
  <c r="R357" i="2" s="1"/>
  <c r="Q400" i="2"/>
  <c r="R400" i="2" s="1"/>
  <c r="Q299" i="2"/>
  <c r="R299" i="2" s="1"/>
  <c r="Q342" i="2"/>
  <c r="R342" i="2" s="1"/>
  <c r="Q499" i="2"/>
  <c r="R499" i="2" s="1"/>
  <c r="Q91" i="2"/>
  <c r="R91" i="2" s="1"/>
  <c r="Q16" i="2"/>
  <c r="R16" i="2" s="1"/>
  <c r="Q88" i="2"/>
  <c r="R88" i="2" s="1"/>
  <c r="Q57" i="2"/>
  <c r="R57" i="2" s="1"/>
  <c r="Q6" i="2"/>
  <c r="R6" i="2" s="1"/>
  <c r="Q169" i="2"/>
  <c r="R169" i="2" s="1"/>
  <c r="Q5" i="2"/>
  <c r="R5" i="2" s="1"/>
  <c r="Q75" i="2"/>
  <c r="R75" i="2" s="1"/>
  <c r="Q22" i="2"/>
  <c r="R22" i="2" s="1"/>
  <c r="Q17" i="2"/>
  <c r="R17" i="2" s="1"/>
  <c r="Q236" i="2"/>
  <c r="R236" i="2" s="1"/>
  <c r="Q286" i="2"/>
  <c r="R286" i="2" s="1"/>
  <c r="Q176" i="2"/>
  <c r="R176" i="2" s="1"/>
  <c r="Q123" i="2"/>
  <c r="R123" i="2" s="1"/>
  <c r="Q155" i="2"/>
  <c r="R155" i="2" s="1"/>
  <c r="Q183" i="2"/>
  <c r="R183" i="2" s="1"/>
  <c r="Q177" i="2"/>
  <c r="R177" i="2" s="1"/>
  <c r="Q110" i="2"/>
  <c r="R110" i="2" s="1"/>
  <c r="Q444" i="2"/>
  <c r="R444" i="2" s="1"/>
  <c r="Q89" i="2"/>
  <c r="R89" i="2" s="1"/>
  <c r="Q142" i="2"/>
  <c r="R142" i="2" s="1"/>
  <c r="Q66" i="2"/>
  <c r="R66" i="2" s="1"/>
  <c r="Q255" i="2"/>
  <c r="R255" i="2" s="1"/>
  <c r="Q487" i="2"/>
  <c r="R487" i="2" s="1"/>
  <c r="Q218" i="2"/>
  <c r="R218" i="2" s="1"/>
  <c r="Q429" i="2"/>
  <c r="R429" i="2" s="1"/>
  <c r="Q472" i="2"/>
  <c r="R472" i="2" s="1"/>
  <c r="Q387" i="2"/>
  <c r="R387" i="2" s="1"/>
  <c r="Q256" i="2"/>
  <c r="R256" i="2" s="1"/>
  <c r="Q276" i="2"/>
  <c r="R276" i="2" s="1"/>
  <c r="Q227" i="2"/>
  <c r="R227" i="2" s="1"/>
  <c r="Q447" i="2"/>
  <c r="R447" i="2" s="1"/>
  <c r="Q474" i="2"/>
  <c r="R474" i="2" s="1"/>
  <c r="Q373" i="2"/>
  <c r="R373" i="2" s="1"/>
  <c r="Q416" i="2"/>
  <c r="R416" i="2" s="1"/>
  <c r="Q315" i="2"/>
  <c r="R315" i="2" s="1"/>
  <c r="Q358" i="2"/>
  <c r="R358" i="2" s="1"/>
  <c r="Q494" i="2"/>
  <c r="R494" i="2" s="1"/>
  <c r="Q20" i="2"/>
  <c r="R20" i="2" s="1"/>
  <c r="Q12" i="2"/>
  <c r="R12" i="2" s="1"/>
  <c r="Q21" i="2"/>
  <c r="R21" i="2" s="1"/>
  <c r="Q9" i="2"/>
  <c r="R9" i="2" s="1"/>
  <c r="Q38" i="2"/>
  <c r="R38" i="2" s="1"/>
  <c r="Q33" i="2"/>
  <c r="R33" i="2" s="1"/>
  <c r="Q369" i="2"/>
  <c r="R369" i="2" s="1"/>
  <c r="Q401" i="2"/>
  <c r="R401" i="2" s="1"/>
  <c r="Q189" i="2"/>
  <c r="R189" i="2" s="1"/>
  <c r="Q125" i="2"/>
  <c r="R125" i="2" s="1"/>
  <c r="Q157" i="2"/>
  <c r="R157" i="2" s="1"/>
  <c r="Q186" i="2"/>
  <c r="R186" i="2" s="1"/>
  <c r="Q180" i="2"/>
  <c r="R180" i="2" s="1"/>
  <c r="Q171" i="2"/>
  <c r="R171" i="2" s="1"/>
  <c r="Q481" i="2"/>
  <c r="R481" i="2" s="1"/>
  <c r="Q105" i="2"/>
  <c r="R105" i="2" s="1"/>
  <c r="Q144" i="2"/>
  <c r="R144" i="2" s="1"/>
  <c r="Q82" i="2"/>
  <c r="R82" i="2" s="1"/>
  <c r="Q263" i="2"/>
  <c r="R263" i="2" s="1"/>
  <c r="Q274" i="2"/>
  <c r="R274" i="2" s="1"/>
  <c r="Q226" i="2"/>
  <c r="R226" i="2" s="1"/>
  <c r="Q445" i="2"/>
  <c r="R445" i="2" s="1"/>
  <c r="Q213" i="2"/>
  <c r="R213" i="2" s="1"/>
  <c r="Q403" i="2"/>
  <c r="R403" i="2" s="1"/>
  <c r="Q264" i="2"/>
  <c r="R264" i="2" s="1"/>
  <c r="Q292" i="2"/>
  <c r="R292" i="2" s="1"/>
  <c r="Q235" i="2"/>
  <c r="R235" i="2" s="1"/>
  <c r="Q463" i="2"/>
  <c r="R463" i="2" s="1"/>
  <c r="Q206" i="2"/>
  <c r="R206" i="2" s="1"/>
  <c r="Q389" i="2"/>
  <c r="R389" i="2" s="1"/>
  <c r="Q432" i="2"/>
  <c r="R432" i="2" s="1"/>
  <c r="Q331" i="2"/>
  <c r="R331" i="2" s="1"/>
  <c r="Q374" i="2"/>
  <c r="R374" i="2" s="1"/>
  <c r="Q497" i="2"/>
  <c r="R497" i="2" s="1"/>
  <c r="Q37" i="2"/>
  <c r="R37" i="2" s="1"/>
  <c r="Q25" i="2"/>
  <c r="R25" i="2" s="1"/>
  <c r="Q77" i="2"/>
  <c r="R77" i="2" s="1"/>
  <c r="Q366" i="2"/>
  <c r="R366" i="2" s="1"/>
  <c r="Q396" i="2"/>
  <c r="R396" i="2" s="1"/>
  <c r="Q428" i="2"/>
  <c r="R428" i="2" s="1"/>
  <c r="Q192" i="2"/>
  <c r="R192" i="2" s="1"/>
  <c r="Q127" i="2"/>
  <c r="R127" i="2" s="1"/>
  <c r="Q159" i="2"/>
  <c r="R159" i="2" s="1"/>
  <c r="Q199" i="2"/>
  <c r="R199" i="2" s="1"/>
  <c r="Q193" i="2"/>
  <c r="R193" i="2" s="1"/>
  <c r="Q174" i="2"/>
  <c r="R174" i="2" s="1"/>
  <c r="Q48" i="2"/>
  <c r="R48" i="2" s="1"/>
  <c r="Q114" i="2"/>
  <c r="R114" i="2" s="1"/>
  <c r="Q146" i="2"/>
  <c r="R146" i="2" s="1"/>
  <c r="Q98" i="2"/>
  <c r="R98" i="2" s="1"/>
  <c r="Q271" i="2"/>
  <c r="R271" i="2" s="1"/>
  <c r="Q290" i="2"/>
  <c r="R290" i="2" s="1"/>
  <c r="Q234" i="2"/>
  <c r="R234" i="2" s="1"/>
  <c r="Q461" i="2"/>
  <c r="R461" i="2" s="1"/>
  <c r="Q221" i="2"/>
  <c r="R221" i="2" s="1"/>
  <c r="Q419" i="2"/>
  <c r="R419" i="2" s="1"/>
  <c r="Q272" i="2"/>
  <c r="R272" i="2" s="1"/>
  <c r="Q308" i="2"/>
  <c r="R308" i="2" s="1"/>
  <c r="Q243" i="2"/>
  <c r="R243" i="2" s="1"/>
  <c r="Q479" i="2"/>
  <c r="R479" i="2" s="1"/>
  <c r="Q214" i="2"/>
  <c r="R214" i="2" s="1"/>
  <c r="Q405" i="2"/>
  <c r="R405" i="2" s="1"/>
  <c r="Q448" i="2"/>
  <c r="R448" i="2" s="1"/>
  <c r="Q347" i="2"/>
  <c r="R347" i="2" s="1"/>
  <c r="Q390" i="2"/>
  <c r="R390" i="2" s="1"/>
  <c r="Q492" i="2"/>
  <c r="R492" i="2" s="1"/>
  <c r="Q24" i="2"/>
  <c r="R24" i="2" s="1"/>
  <c r="Q52" i="2"/>
  <c r="R52" i="2" s="1"/>
  <c r="Q41" i="2"/>
  <c r="R41" i="2" s="1"/>
  <c r="Q185" i="2"/>
  <c r="R185" i="2" s="1"/>
  <c r="Q27" i="2"/>
  <c r="R27" i="2" s="1"/>
  <c r="Q93" i="2"/>
  <c r="R93" i="2" s="1"/>
  <c r="Q63" i="2"/>
  <c r="R63" i="2" s="1"/>
  <c r="Q268" i="2"/>
  <c r="R268" i="2" s="1"/>
  <c r="Q129" i="2"/>
  <c r="R129" i="2" s="1"/>
  <c r="Q161" i="2"/>
  <c r="R161" i="2" s="1"/>
  <c r="Q350" i="2"/>
  <c r="R350" i="2" s="1"/>
  <c r="Q196" i="2"/>
  <c r="R196" i="2" s="1"/>
  <c r="Q187" i="2"/>
  <c r="R187" i="2" s="1"/>
  <c r="Q64" i="2"/>
  <c r="R64" i="2" s="1"/>
  <c r="Q116" i="2"/>
  <c r="R116" i="2" s="1"/>
  <c r="Q148" i="2"/>
  <c r="R148" i="2" s="1"/>
  <c r="Q175" i="2"/>
  <c r="R175" i="2" s="1"/>
  <c r="Q279" i="2"/>
  <c r="R279" i="2" s="1"/>
  <c r="Q306" i="2"/>
  <c r="R306" i="2" s="1"/>
  <c r="Q242" i="2"/>
  <c r="R242" i="2" s="1"/>
  <c r="Q477" i="2"/>
  <c r="R477" i="2" s="1"/>
  <c r="Q229" i="2"/>
  <c r="R229" i="2" s="1"/>
  <c r="Q435" i="2"/>
  <c r="R435" i="2" s="1"/>
  <c r="Q281" i="2"/>
  <c r="R281" i="2" s="1"/>
  <c r="Q324" i="2"/>
  <c r="R324" i="2" s="1"/>
  <c r="Q251" i="2"/>
  <c r="R251" i="2" s="1"/>
  <c r="Q490" i="2"/>
  <c r="R490" i="2" s="1"/>
  <c r="Q222" i="2"/>
  <c r="R222" i="2" s="1"/>
  <c r="Q421" i="2"/>
  <c r="R421" i="2" s="1"/>
  <c r="Q464" i="2"/>
  <c r="R464" i="2" s="1"/>
  <c r="Q363" i="2"/>
  <c r="R363" i="2" s="1"/>
  <c r="Q406" i="2"/>
  <c r="R406" i="2" s="1"/>
  <c r="Q500" i="2"/>
  <c r="R500" i="2" s="1"/>
  <c r="Q14" i="2"/>
  <c r="R14" i="2" s="1"/>
  <c r="Q45" i="2"/>
  <c r="R45" i="2" s="1"/>
  <c r="Q15" i="2"/>
  <c r="R15" i="2" s="1"/>
  <c r="Q10" i="2"/>
  <c r="R10" i="2" s="1"/>
  <c r="Q109" i="2"/>
  <c r="R109" i="2" s="1"/>
  <c r="Q79" i="2"/>
  <c r="R79" i="2" s="1"/>
  <c r="Q318" i="2"/>
  <c r="R318" i="2" s="1"/>
  <c r="Q131" i="2"/>
  <c r="R131" i="2" s="1"/>
  <c r="Q163" i="2"/>
  <c r="R163" i="2" s="1"/>
  <c r="Q51" i="2"/>
  <c r="R51" i="2" s="1"/>
  <c r="Q382" i="2"/>
  <c r="R382" i="2" s="1"/>
  <c r="Q190" i="2"/>
  <c r="R190" i="2" s="1"/>
  <c r="Q80" i="2"/>
  <c r="R80" i="2" s="1"/>
  <c r="Q118" i="2"/>
  <c r="R118" i="2" s="1"/>
  <c r="Q150" i="2"/>
  <c r="R150" i="2" s="1"/>
  <c r="Q178" i="2"/>
  <c r="R178" i="2" s="1"/>
  <c r="Q295" i="2"/>
  <c r="R295" i="2" s="1"/>
  <c r="Q322" i="2"/>
  <c r="R322" i="2" s="1"/>
  <c r="Q250" i="2"/>
  <c r="R250" i="2" s="1"/>
  <c r="Q280" i="2"/>
  <c r="R280" i="2" s="1"/>
  <c r="Q237" i="2"/>
  <c r="R237" i="2" s="1"/>
  <c r="Q451" i="2"/>
  <c r="R451" i="2" s="1"/>
  <c r="Q297" i="2"/>
  <c r="R297" i="2" s="1"/>
  <c r="Q340" i="2"/>
  <c r="R340" i="2" s="1"/>
  <c r="Q259" i="2"/>
  <c r="R259" i="2" s="1"/>
  <c r="Q282" i="2"/>
  <c r="R282" i="2" s="1"/>
  <c r="Q230" i="2"/>
  <c r="R230" i="2" s="1"/>
  <c r="Q437" i="2"/>
  <c r="R437" i="2" s="1"/>
  <c r="Q480" i="2"/>
  <c r="R480" i="2" s="1"/>
  <c r="Q379" i="2"/>
  <c r="R379" i="2" s="1"/>
  <c r="Q422" i="2"/>
  <c r="R422" i="2" s="1"/>
  <c r="Q284" i="2"/>
  <c r="R284" i="2" s="1"/>
  <c r="Q95" i="2"/>
  <c r="R95" i="2" s="1"/>
  <c r="Q433" i="2"/>
  <c r="R433" i="2" s="1"/>
  <c r="Q133" i="2"/>
  <c r="R133" i="2" s="1"/>
  <c r="Q165" i="2"/>
  <c r="R165" i="2" s="1"/>
  <c r="Q67" i="2"/>
  <c r="R67" i="2" s="1"/>
  <c r="Q69" i="2"/>
  <c r="R69" i="2" s="1"/>
  <c r="Q300" i="2"/>
  <c r="R300" i="2" s="1"/>
  <c r="Q96" i="2"/>
  <c r="R96" i="2" s="1"/>
  <c r="Q120" i="2"/>
  <c r="R120" i="2" s="1"/>
  <c r="Q152" i="2"/>
  <c r="R152" i="2" s="1"/>
  <c r="Q191" i="2"/>
  <c r="R191" i="2" s="1"/>
  <c r="Q311" i="2"/>
  <c r="R311" i="2" s="1"/>
  <c r="Q338" i="2"/>
  <c r="R338" i="2" s="1"/>
  <c r="Q258" i="2"/>
  <c r="R258" i="2" s="1"/>
  <c r="Q296" i="2"/>
  <c r="R296" i="2" s="1"/>
  <c r="Q245" i="2"/>
  <c r="R245" i="2" s="1"/>
  <c r="Q467" i="2"/>
  <c r="R467" i="2" s="1"/>
  <c r="Q313" i="2"/>
  <c r="R313" i="2" s="1"/>
  <c r="Q356" i="2"/>
  <c r="R356" i="2" s="1"/>
  <c r="Q267" i="2"/>
  <c r="R267" i="2" s="1"/>
  <c r="Q298" i="2"/>
  <c r="R298" i="2" s="1"/>
  <c r="Q238" i="2"/>
  <c r="R238" i="2" s="1"/>
  <c r="Q453" i="2"/>
  <c r="R453" i="2" s="1"/>
  <c r="Q209" i="2"/>
  <c r="R209" i="2" s="1"/>
  <c r="Q395" i="2"/>
  <c r="R395" i="2" s="1"/>
  <c r="E15" i="118"/>
  <c r="E26" i="118"/>
  <c r="E13" i="118"/>
  <c r="E19" i="118"/>
  <c r="E24" i="118"/>
  <c r="E17" i="118"/>
  <c r="E11" i="118"/>
  <c r="E14" i="118"/>
  <c r="E21" i="118"/>
  <c r="E18" i="118"/>
  <c r="E23" i="118"/>
  <c r="E12" i="118"/>
  <c r="E25" i="118"/>
  <c r="E16" i="118"/>
  <c r="E20" i="118"/>
  <c r="E10" i="118"/>
  <c r="E33" i="118"/>
  <c r="E22" i="1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<sst xmlns="http://schemas.openxmlformats.org/spreadsheetml/2006/main" count="1035" uniqueCount="575">
  <si>
    <t>Type in cell below to narrow down the list of sheets</t>
  </si>
  <si>
    <t>Paths to parent folder(s) containing library(ies) of forms:</t>
  </si>
  <si>
    <t/>
  </si>
  <si>
    <t>By Email</t>
  </si>
  <si>
    <t>First level subfolders</t>
  </si>
  <si>
    <t>Second level subfolders</t>
  </si>
  <si>
    <t>Third level subfolders</t>
  </si>
  <si>
    <t>By Regular Mail</t>
  </si>
  <si>
    <t>By Courier (with POD)</t>
  </si>
  <si>
    <t>Accounting</t>
  </si>
  <si>
    <t>By Courier</t>
  </si>
  <si>
    <t>Correspondence</t>
  </si>
  <si>
    <t>By Registered Mail</t>
  </si>
  <si>
    <t>By Process Server</t>
  </si>
  <si>
    <t>By Fax</t>
  </si>
  <si>
    <t>By Legal Alt</t>
  </si>
  <si>
    <t>By Hand</t>
  </si>
  <si>
    <t>By Email and Regular Mail</t>
  </si>
  <si>
    <t>By Fax and Email</t>
  </si>
  <si>
    <t>For pickup at reception</t>
  </si>
  <si>
    <t>FORM SELECTION:</t>
  </si>
  <si>
    <t>Select folder with library of forms:</t>
  </si>
  <si>
    <t>Select category of form:</t>
  </si>
  <si>
    <t>Select form name:</t>
  </si>
  <si>
    <t>MarkerForTypeOfForm!!!</t>
  </si>
  <si>
    <t>Enter text to narrow down form list</t>
  </si>
  <si>
    <t>DATE VARIABLE</t>
  </si>
  <si>
    <t>{DateDocument}</t>
  </si>
  <si>
    <t>(mm/dd/yyyy format. Enter the formula =NOW() to use the current date).</t>
  </si>
  <si>
    <t>VARIABLES IN TABLE FORMAT</t>
  </si>
  <si>
    <t>Table row number</t>
  </si>
  <si>
    <t>End of Table of Variables</t>
  </si>
  <si>
    <t>VARIABLES IN LIST FORMAT</t>
  </si>
  <si>
    <t>Variable name</t>
  </si>
  <si>
    <t>Description</t>
  </si>
  <si>
    <t>Variable contents</t>
  </si>
  <si>
    <t>Basic matter data</t>
  </si>
  <si>
    <t>{ClientName}</t>
  </si>
  <si>
    <r>
      <t>Client name (</t>
    </r>
    <r>
      <rPr>
        <sz val="10"/>
        <color rgb="FFFF0000"/>
        <rFont val="Arial"/>
        <family val="2"/>
      </rPr>
      <t>used on some court forms, so make complete</t>
    </r>
    <r>
      <rPr>
        <sz val="10"/>
        <color theme="1"/>
        <rFont val="Arial"/>
        <family val="2"/>
      </rPr>
      <t>)</t>
    </r>
  </si>
  <si>
    <t>Matter name / description</t>
  </si>
  <si>
    <t>Matter number</t>
  </si>
  <si>
    <t>{RootFolderPath}</t>
  </si>
  <si>
    <t>Author name</t>
  </si>
  <si>
    <t>Author initials</t>
  </si>
  <si>
    <t>Author company name</t>
  </si>
  <si>
    <t>Author address</t>
  </si>
  <si>
    <t>End of variables in list format</t>
  </si>
  <si>
    <t>1 - ALL FORMS</t>
  </si>
  <si>
    <t>Narrow text from active sheet!!!</t>
  </si>
  <si>
    <t>Miscellaneous</t>
  </si>
  <si>
    <t>{TelephoneX}</t>
  </si>
  <si>
    <t>{FaxX}</t>
  </si>
  <si>
    <t>Do not populate the blue cells in the row below on this matter template sheet b/c these headings will be copied in from the master set on the "Table data library" sheet.</t>
  </si>
  <si>
    <t>{IndividualNameX}</t>
  </si>
  <si>
    <t>{OrganizationNameX}</t>
  </si>
  <si>
    <t>{StreetAddressX}</t>
  </si>
  <si>
    <t>{CellPhoneX}</t>
  </si>
  <si>
    <t>{EmailAddressX}</t>
  </si>
  <si>
    <t>Sheet Navigation</t>
  </si>
  <si>
    <t>Table data (can be written to matter sheets as needed)</t>
  </si>
  <si>
    <t>{12X}</t>
  </si>
  <si>
    <t>{13X}</t>
  </si>
  <si>
    <t>{14X}</t>
  </si>
  <si>
    <t>{15X}</t>
  </si>
  <si>
    <t>Path to root folder for matter</t>
  </si>
  <si>
    <t>Do not delete this column, or the named range in the cell below, and ensure it remains on the right boundary of the table.</t>
  </si>
  <si>
    <t>Settings for which columns to check for duplicates in when send data from a matter sheet to the "Sheet Nav &amp; Table data" sheet</t>
  </si>
  <si>
    <t>Setting for whether to audit input values in "Table row number" column i.e. left column for table of variables</t>
  </si>
  <si>
    <t>Apply checks:</t>
  </si>
  <si>
    <t>Always</t>
  </si>
  <si>
    <t>Never</t>
  </si>
  <si>
    <t>Enter folder names that check should be run for (max of 20 folders)</t>
  </si>
  <si>
    <t>File management</t>
  </si>
  <si>
    <t>Retainer agreements</t>
  </si>
  <si>
    <t xml:space="preserve">The folder tree is created in the folder specified in the row with the {RootFolderPath} variable. </t>
  </si>
  <si>
    <t>Structure of folders to be created when the "Create Subfolders" button is clicked (max of twenty rows):</t>
  </si>
  <si>
    <t xml:space="preserve">The check performed is that there is at least one cell in the left column of the input table that contains a number, that it contains the number "1", and the left column of the input table does not contain duplicate numbers. </t>
  </si>
  <si>
    <t>Date for listbox on Settings page:</t>
  </si>
  <si>
    <t>When form is contained in one of the folders listed below</t>
  </si>
  <si>
    <t>List of matter sheets in Workbook</t>
  </si>
  <si>
    <t>{AttentionX}</t>
  </si>
  <si>
    <t>{RoleX}</t>
  </si>
  <si>
    <t>Values for data validation</t>
  </si>
  <si>
    <t xml:space="preserve">Before deleting a matter sheet that is no longer needed a user may want to save data from the table of variables to the "Sheet Nav &amp; Table data" sheet. </t>
  </si>
  <si>
    <t>The macro can check whether that data is already on the "Sheet Nav &amp; Table data" sheet, and can check for duplicate existing data by looking in up to two columns, which are defined in the input cells below .</t>
  </si>
  <si>
    <t>Do not specify the column label, but specify the number (numeric value) of of the field code column, counting from the left i.e. the first field code column is #1.</t>
  </si>
  <si>
    <t># (from left, counting field code columns) of first col to check for dups:</t>
  </si>
  <si>
    <t># (from left, counting field code columns) of second col to check for dups:</t>
  </si>
  <si>
    <t>This section is entirely optional but provides an area that can be used to specify values for data validation input (a standard feature in Excel) e.g. for modes of delivery for correspondence.</t>
  </si>
  <si>
    <t xml:space="preserve">Forms in some subfolders will typically use data from the table of variables, but users may forget to input number info into the column on the right end of the table. </t>
  </si>
  <si>
    <t>While there can be benefit to the macro alerting a user to the fact that no number info has been entered in the left column of the table, such warnings can also be annoying if no table data is to be used for the particular document being created.</t>
  </si>
  <si>
    <t xml:space="preserve">The settings below allow users to specify whether checks should be run to check for number info in the left column of the table of variables. </t>
  </si>
  <si>
    <t>Instructions available at:</t>
  </si>
  <si>
    <t>www.legaltree.ca/node/2249</t>
  </si>
  <si>
    <t>https://www.youtube.com/channel/UClQ4c1_qnOxngdbjuAtnoQg</t>
  </si>
  <si>
    <t>{PartyNameX}</t>
  </si>
  <si>
    <t>$</t>
  </si>
  <si>
    <t>Enter symbol (just a single character) to be used for currency</t>
  </si>
  <si>
    <t xml:space="preserve">Note: All cells in Excel that contain data that should have the above symbol prepended when written into the Word document form must be formatted as Currency. The currency symbol used in Excel is overwritten with the above symbol, but the cell must be formatted as Currency on the "Number" menu on the Home tab of the ribbon. </t>
  </si>
  <si>
    <t>This workbook expires on:</t>
  </si>
  <si>
    <t>ABC</t>
  </si>
  <si>
    <t>Quotation</t>
  </si>
  <si>
    <t>Appendix.docx</t>
  </si>
  <si>
    <t>quotation-request-form-en.docx</t>
  </si>
  <si>
    <t>Test Organization Name</t>
  </si>
  <si>
    <t>Organization Name</t>
  </si>
  <si>
    <t>Test Client</t>
  </si>
  <si>
    <t>Test individual</t>
  </si>
  <si>
    <t xml:space="preserve">Test Client
Test individual
Test Organization Name
</t>
  </si>
  <si>
    <t>G:\My Drive\BUD-Template\Library</t>
  </si>
  <si>
    <t>Template Quote - Fortuna.docx</t>
  </si>
  <si>
    <t>Quotation_Request</t>
  </si>
  <si>
    <t>quotation-request-form-CN.docx</t>
  </si>
  <si>
    <t>Email</t>
  </si>
  <si>
    <t>Whatsapp</t>
  </si>
  <si>
    <t>{Company Name}</t>
  </si>
  <si>
    <t>{Address}</t>
  </si>
  <si>
    <t>{Contact}</t>
  </si>
  <si>
    <t>{Phone}</t>
  </si>
  <si>
    <t>{Email}</t>
  </si>
  <si>
    <t>{Application Number}</t>
  </si>
  <si>
    <t>{Project Start Date}</t>
  </si>
  <si>
    <t>{Project End Date}</t>
  </si>
  <si>
    <t>{Submission Date}</t>
  </si>
  <si>
    <t>{Doc Date}</t>
  </si>
  <si>
    <t>{Title1}</t>
  </si>
  <si>
    <t>{Content1}</t>
  </si>
  <si>
    <t>{Title2}</t>
  </si>
  <si>
    <t>{Content2}</t>
  </si>
  <si>
    <t>{Title3}</t>
  </si>
  <si>
    <t>{Content3}</t>
  </si>
  <si>
    <t>{Title4}</t>
  </si>
  <si>
    <t>{Content4}</t>
  </si>
  <si>
    <t>{Title5}</t>
  </si>
  <si>
    <t>{Content5}</t>
  </si>
  <si>
    <t>{Title6}</t>
  </si>
  <si>
    <t>{Content6}</t>
  </si>
  <si>
    <t>{Title7}</t>
  </si>
  <si>
    <t>{Content7}</t>
  </si>
  <si>
    <t>{Title8}</t>
  </si>
  <si>
    <t>{Content8}</t>
  </si>
  <si>
    <t>{Title9}</t>
  </si>
  <si>
    <t>{Content9}</t>
  </si>
  <si>
    <t>{Title10}</t>
  </si>
  <si>
    <t>{Content10}</t>
  </si>
  <si>
    <t>{Project Title}</t>
  </si>
  <si>
    <t>{Price1}</t>
  </si>
  <si>
    <t>{Price2}</t>
  </si>
  <si>
    <t>{Price3}</t>
  </si>
  <si>
    <t>{Price4}</t>
  </si>
  <si>
    <t>{Price5}</t>
  </si>
  <si>
    <t>{Price6}</t>
  </si>
  <si>
    <t>{Price7}</t>
  </si>
  <si>
    <t>{Price8}</t>
  </si>
  <si>
    <t>{Price9}</t>
  </si>
  <si>
    <t>{Price10}</t>
  </si>
  <si>
    <t>Unit Price</t>
  </si>
  <si>
    <t>Actual Qty</t>
  </si>
  <si>
    <t>Proposed QTY</t>
  </si>
  <si>
    <t>%</t>
  </si>
  <si>
    <t>Actual Spending (HKD)</t>
  </si>
  <si>
    <t>BUD proposal (HKD)</t>
  </si>
  <si>
    <t>Ref</t>
  </si>
  <si>
    <t>Vendor</t>
  </si>
  <si>
    <t>Invoice amount</t>
  </si>
  <si>
    <t>Invoice Number</t>
  </si>
  <si>
    <t>Project Content</t>
  </si>
  <si>
    <t>Invoice Date</t>
  </si>
  <si>
    <t>Payment Date</t>
  </si>
  <si>
    <t>Item</t>
  </si>
  <si>
    <t>Account</t>
  </si>
  <si>
    <t xml:space="preserve">Debit </t>
  </si>
  <si>
    <t>E-Platform</t>
  </si>
  <si>
    <t>INV001</t>
  </si>
  <si>
    <t>Vendor1</t>
  </si>
  <si>
    <t>INV002</t>
  </si>
  <si>
    <t>Vendor2</t>
  </si>
  <si>
    <t>Marketing</t>
  </si>
  <si>
    <t>INV003</t>
  </si>
  <si>
    <t>Vendor3</t>
  </si>
  <si>
    <t>INV004</t>
  </si>
  <si>
    <t>Vendor4</t>
  </si>
  <si>
    <t>INV005</t>
  </si>
  <si>
    <t>Vendor5</t>
  </si>
  <si>
    <t>INV006</t>
  </si>
  <si>
    <t>Vendor6</t>
  </si>
  <si>
    <t>INV007</t>
  </si>
  <si>
    <t>Vendor7</t>
  </si>
  <si>
    <t>Production</t>
  </si>
  <si>
    <t>INV008</t>
  </si>
  <si>
    <t>Vendor8</t>
  </si>
  <si>
    <t>INV009</t>
  </si>
  <si>
    <t>Vendor9</t>
  </si>
  <si>
    <t>INV010</t>
  </si>
  <si>
    <t>Vendor10</t>
  </si>
  <si>
    <t>INV011</t>
  </si>
  <si>
    <t>Vendor11</t>
  </si>
  <si>
    <t>INV012</t>
  </si>
  <si>
    <t>Vendor12</t>
  </si>
  <si>
    <t>INV013</t>
  </si>
  <si>
    <t>Vendor13</t>
  </si>
  <si>
    <t>INV014</t>
  </si>
  <si>
    <t>Vendor14</t>
  </si>
  <si>
    <t>INV015</t>
  </si>
  <si>
    <t>Vendor15</t>
  </si>
  <si>
    <t>INV016</t>
  </si>
  <si>
    <t>Vendor16</t>
  </si>
  <si>
    <t>INV017</t>
  </si>
  <si>
    <t>Vendor17</t>
  </si>
  <si>
    <t>INV018</t>
  </si>
  <si>
    <t>Vendor18</t>
  </si>
  <si>
    <t>INV019</t>
  </si>
  <si>
    <t>Vendor19</t>
  </si>
  <si>
    <t>INV020</t>
  </si>
  <si>
    <t>Vendor20</t>
  </si>
  <si>
    <t>INV021</t>
  </si>
  <si>
    <t>Vendor21</t>
  </si>
  <si>
    <t>INV022</t>
  </si>
  <si>
    <t>Vendor22</t>
  </si>
  <si>
    <t>INV023</t>
  </si>
  <si>
    <t>Vendor23</t>
  </si>
  <si>
    <t>INV024</t>
  </si>
  <si>
    <t>Vendor24</t>
  </si>
  <si>
    <t>INV025</t>
  </si>
  <si>
    <t>Vendor25</t>
  </si>
  <si>
    <t>INV026</t>
  </si>
  <si>
    <t>Vendor26</t>
  </si>
  <si>
    <t>項目</t>
  </si>
  <si>
    <t>Detail</t>
  </si>
  <si>
    <t>交付(Deliverable)</t>
  </si>
  <si>
    <t>已完成 (有supporting)</t>
  </si>
  <si>
    <t>完成百分比</t>
  </si>
  <si>
    <t>欠</t>
  </si>
  <si>
    <t>Company Registration</t>
  </si>
  <si>
    <t>Opening a representative office in the UK can help us establish a local business network, expand our UK market, and increase the company profile. It helps to increase inquiry rate of UK visa and UK consulting business if we have an UK entity.</t>
  </si>
  <si>
    <t>Company Secretary Service</t>
  </si>
  <si>
    <t>Part-Time Video Production Assistant</t>
  </si>
  <si>
    <t>Responsible for marketing promotional videos for the UK business development project •Video Content planning for UK market •Video editing •Subtitling •Video description, thumbnail •Manage the video production project for UK market and be the bridge between vendor and management</t>
  </si>
  <si>
    <t>優化現有網頁 (網址：https://www.ukimms.com/)</t>
  </si>
  <si>
    <t>Company Catalogue x 3000</t>
  </si>
  <si>
    <t>3 Designs x 1000 copies (A5 size, 10 pages per design, color print, in English and Chinese)</t>
  </si>
  <si>
    <t>Company Brochures x 3000</t>
  </si>
  <si>
    <t>3 Designs x 1000 copies (A4 size, 2 pages
per design, color print, in English and Chinese)</t>
  </si>
  <si>
    <t>Company Leaflet x 10000</t>
  </si>
  <si>
    <t>Design and printing fee (A4 size, 2 pages, color print, in English and Chinese)</t>
  </si>
  <si>
    <t>Facebook Feed x52 and Page Management x12 months</t>
  </si>
  <si>
    <t>1) Page setup, Front Page Banner Design, monthly traffic and insight report, customer service 9-6pm Mon-Fri (Facebook messenger, Instagram direct message ). 2) Copywriting of Facebook/Instagram feeds include content , graphic design. Feeds content is related to our company service or related industry news. Each feed should contain at least 100 words and 1 picture.</t>
  </si>
  <si>
    <t>Instagram Feed x52 and Page Management x12 months</t>
  </si>
  <si>
    <t>LinkedIn Feed x52 and Page Management x12 months</t>
  </si>
  <si>
    <t>1) Page setup, Front Page Banner Design, monthly traffic and insight report, customer service 9-6pm Mon-Fri (LinkedIn messenger). 2) Copywriting of LinkedIn feeds include content , graphic design. Feeds content is related to our company service or related industry news. Each feed should contain at least 100 words and 1 picture.</t>
  </si>
  <si>
    <t>Facebook group seeding x 52 times</t>
  </si>
  <si>
    <t>We will post our service or service introduction feeds on Facebook discussion group or page. Facebook groups/page are about UK immigration, UK life, Hong Kong people in UK etc. Fee includes content/post creation and design.</t>
  </si>
  <si>
    <t>X (Twitter) Feed x 52 and page management x12 months</t>
  </si>
  <si>
    <t>1) Page setup, Front Page Banner Design, monthly traffic and insight report, customer service 9-6pm Mon-Fri (X messenger). 2) Copywriting of feeds include content , graphic design. Feeds content is related to our company service or related industry news. Each feed should contain at least 100 words and 1 picture.</t>
  </si>
  <si>
    <t>HD video (10-15 mins each) x 20</t>
  </si>
  <si>
    <t>Professional photo shooting x 60 photos</t>
  </si>
  <si>
    <t>Professional photo shooting (60 photos in total) •Team member photos x40 •Office and working environment photos x20 •Including Lighting, basic makeup and hair style, photo editing</t>
  </si>
  <si>
    <t>Video Production in UK x 20 (about UK life, UK information, testimonial, interviews and site-visits) Pre Production: Script writing &amp; Video content planning On-site production: Producer x 1, Camera operator x 2, Video Assistant x 1, Equipment (all inclusive), Both outdoor and indoor shooting, Aerial photography Post production: Video editing, Text graphic effects, Subtitle insert, Thumbnail design</t>
  </si>
  <si>
    <t>Company Profile &amp; Marketing Material Design</t>
  </si>
  <si>
    <t>審計服務</t>
  </si>
  <si>
    <t xml:space="preserve">Item </t>
  </si>
  <si>
    <t>設計及製作宣傳品</t>
  </si>
  <si>
    <t>投放直接與項目相關的廣告</t>
  </si>
  <si>
    <t>1. Corporate Identity Guidelines, logotype, cooperate color, monotone (including 4 different logo design draft for selection) 
2. Banner Design: size adaption x 6 in both Chinese and English for UK market, 6 designs which can be modified into different sizes to fix on different platform (FB, YouTube, LinkedIn, PPT, Zoom, Website homepage)</t>
  </si>
  <si>
    <t>Balance Sheet</t>
  </si>
  <si>
    <t>Asset</t>
  </si>
  <si>
    <t>HK$</t>
  </si>
  <si>
    <t>Grant Receivable</t>
  </si>
  <si>
    <t>Current Liability</t>
  </si>
  <si>
    <t>Amount due to grantee</t>
  </si>
  <si>
    <t>Accruals</t>
  </si>
  <si>
    <t>Net Liability</t>
  </si>
  <si>
    <t>相關收入</t>
  </si>
  <si>
    <t>Income</t>
  </si>
  <si>
    <t>Grant from The HKPC Government (07 Jul 2022)</t>
  </si>
  <si>
    <t>Grant receivable</t>
  </si>
  <si>
    <t>Total Grant</t>
  </si>
  <si>
    <t>Grant from The HKPC Government</t>
  </si>
  <si>
    <t>Total income</t>
  </si>
  <si>
    <t>Expenditure</t>
  </si>
  <si>
    <t>*estimate</t>
  </si>
  <si>
    <t>Net deficit</t>
  </si>
  <si>
    <t>Project</t>
  </si>
  <si>
    <t>Content</t>
  </si>
  <si>
    <t>BUD price</t>
  </si>
  <si>
    <t>Qty</t>
  </si>
  <si>
    <t>Check</t>
  </si>
  <si>
    <t>Vendor 1 (selected)</t>
  </si>
  <si>
    <t xml:space="preserve">Vendor 2 </t>
  </si>
  <si>
    <t>Vendor 3</t>
  </si>
  <si>
    <t>Vendor 4</t>
  </si>
  <si>
    <t>Vendor 5</t>
  </si>
  <si>
    <t>Quote Date</t>
  </si>
  <si>
    <t>Confirmation Date</t>
  </si>
  <si>
    <t>First Invoice Date</t>
  </si>
  <si>
    <t>增設新業務單位的相關開支</t>
  </si>
  <si>
    <t>增聘員工</t>
  </si>
  <si>
    <t>•	展位照片
•	展會場刊
•	參展入場證
•	展覽會/展銷會付款收據（如適用）</t>
  </si>
  <si>
    <t>•	樣本照片</t>
  </si>
  <si>
    <t>設計及建立網上銷售平台</t>
  </si>
  <si>
    <t>•	公司網頁建立/優化(前後)截圖，頁面截圖</t>
  </si>
  <si>
    <t>•	公司流動應用程式建立/優化(前後)截圖，頁面截圖</t>
  </si>
  <si>
    <t>•	檢測報告
•	當地官方發出的受理通知書/證書</t>
  </si>
  <si>
    <t>•	當地官方發出的受理通知書/證書</t>
  </si>
  <si>
    <t>外聘核數費用</t>
  </si>
  <si>
    <t>•	核數報告</t>
  </si>
  <si>
    <t>{List1}</t>
  </si>
  <si>
    <t>{List2}</t>
  </si>
  <si>
    <t>{List3}</t>
  </si>
  <si>
    <t>{List4}</t>
  </si>
  <si>
    <t>{List5}</t>
  </si>
  <si>
    <t>{List6}</t>
  </si>
  <si>
    <t>{List7}</t>
  </si>
  <si>
    <t>{List8}</t>
  </si>
  <si>
    <t>{List9}</t>
  </si>
  <si>
    <t>{List10}</t>
  </si>
  <si>
    <t>Video Production in HK x 20 (talks and seminars) Pre Production: Script writing &amp; Video content planning On-site production: Producer x 1, Camera operator x 2, Video Assistant x 1, Equipment (all inclusive), Both outdoor and indoor shooting, Aerial photography Post production: Video editing, Text graphic effects, Subtitle insert, Thumbnail design</t>
  </si>
  <si>
    <t>Company Name</t>
  </si>
  <si>
    <t>Address</t>
  </si>
  <si>
    <t>Contact</t>
  </si>
  <si>
    <t>Phone</t>
  </si>
  <si>
    <t>Application Number</t>
  </si>
  <si>
    <t>Project Start Date</t>
  </si>
  <si>
    <t>Project End Date</t>
  </si>
  <si>
    <t>Submission Date</t>
  </si>
  <si>
    <t>Fortuna Online Limited</t>
  </si>
  <si>
    <t>901, 9/F, Wan Chai Commercial Centre, 194-204 Johnston Road Center, Wan Chai</t>
  </si>
  <si>
    <t>852-66889583</t>
  </si>
  <si>
    <t>Simon Lam</t>
  </si>
  <si>
    <t>simon@fortuna-online.org</t>
  </si>
  <si>
    <t>FY-51545751155</t>
  </si>
  <si>
    <t>Quote or Quote request content.</t>
  </si>
  <si>
    <t>•Adding online booking function for UK customers 
•SEO for new website for UK markets includes optimized content creation, website structure optimization, keyword research, link structure, tag optimization and website speed optimization. 
•Redesign pages and theme 
•Upgrade of the home page (new logo, new banner, new layout/theme) 
•Update of the header and footer (to include UK new address)
•Update contact us page (to include UK new address map) •Redesign the online enquiry form 
•Website copywriting for Chinese and English</t>
  </si>
  <si>
    <t>Quote or Quote request Title</t>
  </si>
  <si>
    <t>Lohas Marketing Project</t>
  </si>
  <si>
    <t>付款情況</t>
  </si>
  <si>
    <t>GeneralLedger</t>
  </si>
  <si>
    <t>Quote</t>
  </si>
  <si>
    <t>Checklist</t>
  </si>
  <si>
    <t>Deliverable</t>
  </si>
  <si>
    <t>BalanceSheet</t>
  </si>
  <si>
    <t>Income&amp;Expenses</t>
  </si>
  <si>
    <t>Client</t>
  </si>
  <si>
    <t>清單</t>
  </si>
  <si>
    <t>CheckList</t>
  </si>
  <si>
    <t>Grant Amount</t>
  </si>
  <si>
    <t>主項目</t>
  </si>
  <si>
    <t>Row Labels</t>
  </si>
  <si>
    <t>(blank)</t>
  </si>
  <si>
    <t>Grand Total</t>
  </si>
  <si>
    <t>{PriceTotal}</t>
  </si>
  <si>
    <t>Quote Number</t>
  </si>
  <si>
    <t>{QuoteNumber}</t>
  </si>
  <si>
    <t>Use Manual Quote Number</t>
  </si>
  <si>
    <t>Suggest Quote Number</t>
  </si>
  <si>
    <t>Manual Quote Number</t>
  </si>
  <si>
    <t>QFOL24MM</t>
  </si>
  <si>
    <t>Use Suggested Quote Number</t>
  </si>
  <si>
    <t>Information</t>
  </si>
  <si>
    <t>Vendor Company</t>
  </si>
  <si>
    <t>Vendor Name</t>
  </si>
  <si>
    <t>Position</t>
  </si>
  <si>
    <t>{VendorCompany}</t>
  </si>
  <si>
    <t>{VendorName}</t>
  </si>
  <si>
    <t>{VendoPosition}</t>
  </si>
  <si>
    <t>Account</t>
    <phoneticPr fontId="29" type="noConversion"/>
  </si>
  <si>
    <t>Remark</t>
    <phoneticPr fontId="29" type="noConversion"/>
  </si>
  <si>
    <t>其他項目</t>
  </si>
  <si>
    <t>C:\Library</t>
  </si>
  <si>
    <t>•	當地新業務單位與企業符合申請書所述之直接投資關係的官方文件(如當地政府所發出的商業登記證/營業執照/章程/股東登記等) 
•	租賃合同
•	每月租金支出證明
•	單位照片等</t>
    <phoneticPr fontId="29" type="noConversion"/>
  </si>
  <si>
    <t>•	成果照片、前台後台頁面截圖、連結</t>
    <phoneticPr fontId="29" type="noConversion"/>
  </si>
  <si>
    <t>•機器/設備照片、使用手冊</t>
    <phoneticPr fontId="29" type="noConversion"/>
  </si>
  <si>
    <t>•	成果照片
•	送貨單(列明數量)</t>
    <phoneticPr fontId="29" type="noConversion"/>
  </si>
  <si>
    <t>•	成果照片/影片，截圖及錄像</t>
    <phoneticPr fontId="29" type="noConversion"/>
  </si>
  <si>
    <t>C:\Library\Quotation\Template Quote - Fortuna.docx</t>
  </si>
  <si>
    <t>C:\Library\Quotation\Template Quote - Kairos.docx</t>
  </si>
  <si>
    <t>C:\Library\Quotation\Template Quote - whywechat.docx</t>
  </si>
  <si>
    <t>C:\Library\Quotation\Template Quote - Yapple.docx</t>
  </si>
  <si>
    <t>C:\Library\Quotation\Template Quote - 木紅.docx</t>
  </si>
  <si>
    <t>Template Quote - Kairos.docx</t>
  </si>
  <si>
    <t>Template Quote - whywechat.docx</t>
  </si>
  <si>
    <t>Template Quote - Yapple.docx</t>
  </si>
  <si>
    <t>Template Quote - 木紅.docx</t>
  </si>
  <si>
    <t>quotation-request-form-CN Audit.docx</t>
  </si>
  <si>
    <t>{Application Number}</t>
    <phoneticPr fontId="29" type="noConversion"/>
  </si>
  <si>
    <t>C:\Library\Quotation\Template Quote - Media8.docx</t>
  </si>
  <si>
    <t>C:\Library\Quotation\Template Quote - Meson.docx</t>
  </si>
  <si>
    <t>C:\Library\Quotation\Template Quote - 浩天.docx</t>
  </si>
  <si>
    <t>Template Quote - Media8.docx</t>
  </si>
  <si>
    <t>Template Quote - Meson.docx</t>
  </si>
  <si>
    <t>Template Quote - 浩天.docx</t>
  </si>
  <si>
    <t>quotation-request-form-CN - Fortuna.docx</t>
  </si>
  <si>
    <t>quotation-request-form-CN - Kairos.docx</t>
  </si>
  <si>
    <t>quotation-request-form-CN - Whywechat.docx</t>
  </si>
  <si>
    <t>quotation-request-form-CN - Yapple.docx</t>
  </si>
  <si>
    <t>quotation-request-form-en - Meson.docx</t>
  </si>
  <si>
    <t>增設新業務單位的相關開支
Expenditure relating to setting up 
of a new business entity</t>
  </si>
  <si>
    <t>增設新業務單位的相關開支
Expenditure relating to setting up 
of a new business entity</t>
    <phoneticPr fontId="29" type="noConversion"/>
  </si>
  <si>
    <t>增聘員工
Recruiting  additional manpower</t>
  </si>
  <si>
    <t>增聘員工
Recruiting  additional manpower</t>
    <phoneticPr fontId="29" type="noConversion"/>
  </si>
  <si>
    <t>參加展覽會/展銷會
Participating in exhibitions / fairs</t>
    <phoneticPr fontId="29" type="noConversion"/>
  </si>
  <si>
    <t>交通及住宿費
Transportation and 
accommodation costs</t>
    <phoneticPr fontId="29" type="noConversion"/>
  </si>
  <si>
    <t xml:space="preserve">購買/租賃機器/設備
Purchasing / leasing of machinery / 
equipment </t>
    <phoneticPr fontId="29" type="noConversion"/>
  </si>
  <si>
    <t xml:space="preserve">製作/購買產品樣本或樣板
Producing / purchasing sample or 
prototype </t>
    <phoneticPr fontId="29" type="noConversion"/>
  </si>
  <si>
    <t>設計及建立網上銷售平台
Designing and establishing online 
sales platform</t>
    <phoneticPr fontId="29" type="noConversion"/>
  </si>
  <si>
    <t xml:space="preserve">建立/優化公司網頁
Establishing / enhancing company 
website </t>
  </si>
  <si>
    <t xml:space="preserve">建立/優化公司網頁
Establishing / enhancing company 
website </t>
    <phoneticPr fontId="29" type="noConversion"/>
  </si>
  <si>
    <t xml:space="preserve">製作/優化流動應用程式
Developing / enhancing mobile 
applications </t>
    <phoneticPr fontId="29" type="noConversion"/>
  </si>
  <si>
    <t xml:space="preserve">設計及製作宣傳品
Producing promotional materials </t>
  </si>
  <si>
    <t xml:space="preserve">設計及製作宣傳品
Producing promotional materials </t>
    <phoneticPr fontId="29" type="noConversion"/>
  </si>
  <si>
    <t>檢測/認證註冊
Testing / certification registration</t>
    <phoneticPr fontId="29" type="noConversion"/>
  </si>
  <si>
    <t xml:space="preserve">申請產品專利/申請商標註冊
Application for product patent / 
trademark registration </t>
    <phoneticPr fontId="29" type="noConversion"/>
  </si>
  <si>
    <t xml:space="preserve">投放直接與項目相關的廣告
Advertising cost directly related to 
the project </t>
  </si>
  <si>
    <t xml:space="preserve">投放直接與項目相關的廣告
Advertising cost directly related to 
the project </t>
    <phoneticPr fontId="29" type="noConversion"/>
  </si>
  <si>
    <t xml:space="preserve">外聘核數費用
External audit fee </t>
  </si>
  <si>
    <t xml:space="preserve">外聘核數費用
External audit fee </t>
    <phoneticPr fontId="29" type="noConversion"/>
  </si>
  <si>
    <t>•Official document proving the direct investment relationship between the grantee and the new business entity as stated in the approved application form (e.g. Business Registration / Business License / Constitution / Shareholder Registration issued by the local government) 
•Rental contract 
•Record of monthly rental expenses 
•Photo of the business entity</t>
    <phoneticPr fontId="29" type="noConversion"/>
  </si>
  <si>
    <t xml:space="preserve">• Booth photo 
• Exhibition brochure 
• Exhibitor’s badge 
• Payment receipt of exhibition / fair (if applicable) </t>
    <phoneticPr fontId="29" type="noConversion"/>
  </si>
  <si>
    <t>• Boarding pass and hotel check-in proof 
• Transportation costs between cities
• personal /cash/visa payments require a formal company claim form and company reimbusement record
• Screenshot comparing different flight and hotel prices for the same date</t>
    <phoneticPr fontId="29" type="noConversion"/>
  </si>
  <si>
    <t>•Machine/equipment photos, user manuals</t>
    <phoneticPr fontId="29" type="noConversion"/>
  </si>
  <si>
    <t>•sample or prototype photos</t>
    <phoneticPr fontId="29" type="noConversion"/>
  </si>
  <si>
    <t xml:space="preserve">•Screen capture of  website
•Screenshot before and after the enhancement of company website / mobile application </t>
    <phoneticPr fontId="29" type="noConversion"/>
  </si>
  <si>
    <t xml:space="preserve">•Screenshots and links of front-end and back-end pages </t>
    <phoneticPr fontId="29" type="noConversion"/>
  </si>
  <si>
    <t xml:space="preserve">•Screen capture of mobile application
•Screenshot before and after the enhancement of company website / mobile application </t>
    <phoneticPr fontId="29" type="noConversion"/>
  </si>
  <si>
    <t>•photo of items 
•packing list (with qty)</t>
    <phoneticPr fontId="29" type="noConversion"/>
  </si>
  <si>
    <t xml:space="preserve">
• Results photos/videos, screenshots and videos</t>
    <phoneticPr fontId="29" type="noConversion"/>
  </si>
  <si>
    <t xml:space="preserve">• Testing report </t>
    <phoneticPr fontId="29" type="noConversion"/>
  </si>
  <si>
    <t xml:space="preserve">•Acceptance notice / certificate issued by the local government </t>
    <phoneticPr fontId="29" type="noConversion"/>
  </si>
  <si>
    <t xml:space="preserve">•Audited report </t>
    <phoneticPr fontId="29" type="noConversion"/>
  </si>
  <si>
    <t>•	廣告類: 成果照片、活動截圖、廣告用量報告
•	網紅圖文帖:截圖，報告，發出日期，連結，粉絲數。
•	網紅視頻:錄像記錄，報告，發出日期，連結，粉絲數。
•	其他廣告: 成果照片，可證明執行日期資料。</t>
    <phoneticPr fontId="29" type="noConversion"/>
  </si>
  <si>
    <t xml:space="preserve">
• Advertising categories: results photos, event screenshots, advertising usage reports
• Internet celebrity graphic posts: screenshots, reports, issue date, links, number of fans.
• Internet celebrity videos: video records, reports, release date, links, number of fans.
• Other advertisements: Photos of results, supporting date of execution.</t>
    <phoneticPr fontId="29" type="noConversion"/>
  </si>
  <si>
    <r>
      <t xml:space="preserve">開始及完結日期: </t>
    </r>
    <r>
      <rPr>
        <b/>
        <sz val="11"/>
        <color rgb="FFFF0000"/>
        <rFont val="微軟正黑體"/>
        <family val="2"/>
        <charset val="136"/>
      </rPr>
      <t xml:space="preserve">06/06/2024 - 05/07/2025 </t>
    </r>
    <phoneticPr fontId="29" type="noConversion"/>
  </si>
  <si>
    <r>
      <t xml:space="preserve">總推行期: </t>
    </r>
    <r>
      <rPr>
        <sz val="11"/>
        <rFont val="微軟正黑體"/>
        <family val="2"/>
        <charset val="136"/>
      </rPr>
      <t xml:space="preserve"> </t>
    </r>
    <r>
      <rPr>
        <b/>
        <sz val="11"/>
        <rFont val="微軟正黑體"/>
        <family val="2"/>
        <charset val="136"/>
      </rPr>
      <t>13  月</t>
    </r>
    <phoneticPr fontId="29" type="noConversion"/>
  </si>
  <si>
    <t>參加展覽會/展銷會
Participating in exhibitions / fairs</t>
  </si>
  <si>
    <t>交通及住宿費
Transportation and 
accommodation costs</t>
  </si>
  <si>
    <t xml:space="preserve">購買/租賃機器/設備
Purchasing / leasing of machinery / 
equipment </t>
  </si>
  <si>
    <t xml:space="preserve">製作/購買產品樣本或樣板
Producing / purchasing sample or 
prototype </t>
  </si>
  <si>
    <t>設計及建立網上銷售平台
Designing and establishing online 
sales platform</t>
  </si>
  <si>
    <t xml:space="preserve">製作/優化流動應用程式
Developing / enhancing mobile 
applications </t>
  </si>
  <si>
    <t>檢測/認證註冊
Testing / certification registration</t>
  </si>
  <si>
    <t xml:space="preserve">申請產品專利/申請商標註冊
Application for product patent / 
trademark registration </t>
  </si>
  <si>
    <t>其他項目
Other direct costs</t>
    <phoneticPr fontId="29" type="noConversion"/>
  </si>
  <si>
    <t>•	登機證及酒店入住證明
•	城市與城市之間的交通費
•	私人付款需要有正式公司 Claim form 及公司reimbursement過數紀錄
•	對比同日期的不同機票酒店價格截圖</t>
    <phoneticPr fontId="29" type="noConversion"/>
  </si>
  <si>
    <t>其他項目
Other direct costs</t>
  </si>
  <si>
    <t>C:\Users\Jason_HKFUND\Desktop\HKFund\excel</t>
    <phoneticPr fontId="29" type="noConversion"/>
  </si>
  <si>
    <t>Job title</t>
  </si>
  <si>
    <t>Employee name</t>
  </si>
  <si>
    <t>Date of contract</t>
  </si>
  <si>
    <t>RMB/HKD</t>
    <phoneticPr fontId="29" type="noConversion"/>
  </si>
  <si>
    <r>
      <rPr>
        <sz val="11"/>
        <color theme="1"/>
        <rFont val="微軟正黑體"/>
        <family val="2"/>
        <charset val="136"/>
      </rPr>
      <t>社保</t>
    </r>
    <r>
      <rPr>
        <sz val="11"/>
        <color theme="1"/>
        <rFont val="Calibri"/>
        <family val="2"/>
      </rPr>
      <t>/MPF</t>
    </r>
    <phoneticPr fontId="29" type="noConversion"/>
  </si>
  <si>
    <r>
      <rPr>
        <sz val="11"/>
        <color theme="1"/>
        <rFont val="Arial"/>
        <family val="2"/>
      </rPr>
      <t>出糧月份</t>
    </r>
  </si>
  <si>
    <t>Period</t>
    <phoneticPr fontId="29" type="noConversion"/>
  </si>
  <si>
    <t>Amount (CNY) 
Actual payment</t>
    <phoneticPr fontId="29" type="noConversion"/>
  </si>
  <si>
    <t>Rental payment</t>
    <phoneticPr fontId="29" type="noConversion"/>
  </si>
  <si>
    <r>
      <rPr>
        <sz val="11"/>
        <color theme="1"/>
        <rFont val="新細明體"/>
        <family val="2"/>
      </rPr>
      <t>租約生效日期</t>
    </r>
    <r>
      <rPr>
        <sz val="11"/>
        <color theme="1"/>
        <rFont val="Calibri"/>
        <family val="2"/>
      </rPr>
      <t>: 202X</t>
    </r>
    <r>
      <rPr>
        <sz val="11"/>
        <color theme="1"/>
        <rFont val="新細明體"/>
        <family val="2"/>
      </rPr>
      <t>年</t>
    </r>
    <r>
      <rPr>
        <sz val="11"/>
        <color theme="1"/>
        <rFont val="Calibri"/>
        <family val="2"/>
      </rPr>
      <t>XX</t>
    </r>
    <r>
      <rPr>
        <sz val="11"/>
        <color theme="1"/>
        <rFont val="新細明體"/>
        <family val="2"/>
      </rPr>
      <t>月</t>
    </r>
    <r>
      <rPr>
        <sz val="11"/>
        <color theme="1"/>
        <rFont val="Calibri"/>
        <family val="2"/>
      </rPr>
      <t>XX</t>
    </r>
    <r>
      <rPr>
        <sz val="11"/>
        <color theme="1"/>
        <rFont val="新細明體"/>
        <family val="2"/>
      </rPr>
      <t>日</t>
    </r>
    <phoneticPr fontId="29" type="noConversion"/>
  </si>
  <si>
    <t>Vendor 6</t>
  </si>
  <si>
    <t>Vendor 7</t>
  </si>
  <si>
    <t>Vendor 8</t>
  </si>
  <si>
    <t>Vendor 9</t>
  </si>
  <si>
    <t>Project Title</t>
  </si>
  <si>
    <t>Quote Time</t>
  </si>
  <si>
    <t>company B marketing Deliverable</t>
  </si>
  <si>
    <t>Vendor 10 (selected)</t>
  </si>
  <si>
    <t>company C marketing Deliverable</t>
  </si>
  <si>
    <t>Vendor 11 (selected)</t>
  </si>
  <si>
    <t>Vendor 2 2 (CNY)</t>
  </si>
  <si>
    <t>Vendor 3 2 (USD)</t>
  </si>
  <si>
    <t>andLAB A marketing Deliverable</t>
  </si>
  <si>
    <t>C:\Library\Audit\quotation-request-form-CN Audit.docx</t>
  </si>
  <si>
    <t>C:\Library\Audit\quotation-request-form-en Audit.docx</t>
  </si>
  <si>
    <t>C:\Library\Blank\Appendix.docx</t>
  </si>
  <si>
    <t>C:\Library\Blank\quotation-request-form-CN.docx</t>
  </si>
  <si>
    <t>C:\Library\Blank\quotation-request-form-en.docx</t>
  </si>
  <si>
    <t>C:\Library\Probity\quotation-request-form-CN - Accolade.docx</t>
  </si>
  <si>
    <t>C:\Library\Probity\quotation-request-form-CN - Backfish.docx</t>
  </si>
  <si>
    <t>C:\Library\Probity\quotation-request-form-CN - Fortuna.docx</t>
  </si>
  <si>
    <t>C:\Library\Probity\quotation-request-form-CN - Kairos.docx</t>
  </si>
  <si>
    <t>C:\Library\Probity\quotation-request-form-CN - Media8.docx</t>
  </si>
  <si>
    <t>C:\Library\Probity\quotation-request-form-CN - Sparktant.docx</t>
  </si>
  <si>
    <t>C:\Library\Probity\quotation-request-form-CN - Techwork 創窩客科技.docx</t>
  </si>
  <si>
    <t>C:\Library\Probity\quotation-request-form-CN - Whywechat.docx</t>
  </si>
  <si>
    <t>C:\Library\Probity\quotation-request-form-CN - Yapple.docx</t>
  </si>
  <si>
    <t>C:\Library\Probity\quotation-request-form-CN - 均悟 .docx</t>
  </si>
  <si>
    <t>C:\Library\Probity\quotation-request-form-CN - 多洋.docx</t>
  </si>
  <si>
    <t>C:\Library\Probity\quotation-request-form-CN - 微盟.docx</t>
  </si>
  <si>
    <t>C:\Library\Probity\quotation-request-form-CN - 木紅.docx</t>
  </si>
  <si>
    <t>C:\Library\Probity\quotation-request-form-en - Aello.docx</t>
  </si>
  <si>
    <t>C:\Library\Probity\quotation-request-form-en - Meson.docx</t>
  </si>
  <si>
    <t>C:\Library\Quotation\Template Quote - EFind.docx</t>
  </si>
  <si>
    <t>C:\Library\Quotation\Template Quote - SPARK.docx</t>
  </si>
  <si>
    <t>C:\Library\Quotation\Template Quote - 上海多洋.docx</t>
  </si>
  <si>
    <t>C:\Library\Quotation\Template Quote - 微盟.docx</t>
  </si>
  <si>
    <t>C:\Library\Quotation\Template Quote - 猩猩文化.docx</t>
  </si>
  <si>
    <t>C:\Library\Quotation\Template Quote -Aello.docx</t>
  </si>
  <si>
    <t>C:\Library\Quotation\Template Quote -Techwork Labs.docx</t>
  </si>
  <si>
    <t>C:\Library\Quotation\Template Quote -均悟.docx</t>
  </si>
  <si>
    <t>Audit</t>
  </si>
  <si>
    <t>quotation-request-form-en Audit.docx</t>
  </si>
  <si>
    <t>Blank</t>
  </si>
  <si>
    <t>Probity</t>
  </si>
  <si>
    <t>quotation-request-form-CN - Accolade.docx</t>
  </si>
  <si>
    <t>quotation-request-form-CN - Backfish.docx</t>
  </si>
  <si>
    <t>quotation-request-form-CN - Media8.docx</t>
  </si>
  <si>
    <t>quotation-request-form-CN - Sparktant.docx</t>
  </si>
  <si>
    <t>quotation-request-form-CN - Techwork 創窩客科技.docx</t>
  </si>
  <si>
    <t>quotation-request-form-CN - 均悟 .docx</t>
  </si>
  <si>
    <t>quotation-request-form-CN - 多洋.docx</t>
  </si>
  <si>
    <t>quotation-request-form-CN - 微盟.docx</t>
  </si>
  <si>
    <t>quotation-request-form-CN - 木紅.docx</t>
  </si>
  <si>
    <t>quotation-request-form-en - Aello.docx</t>
  </si>
  <si>
    <t>Template Quote - EFind.docx</t>
  </si>
  <si>
    <t>Template Quote - SPARK.docx</t>
  </si>
  <si>
    <t>Template Quote - 上海多洋.docx</t>
  </si>
  <si>
    <t>Template Quote - 微盟.docx</t>
  </si>
  <si>
    <t>Template Quote - 猩猩文化.docx</t>
  </si>
  <si>
    <t>Template Quote -Aello.docx</t>
  </si>
  <si>
    <t>Template Quote -Techwork Labs.docx</t>
  </si>
  <si>
    <t>Template Quote -均悟.docx</t>
  </si>
  <si>
    <t>Column1</t>
  </si>
  <si>
    <t>Test</t>
  </si>
  <si>
    <t>Vendor 3 2 (CNY)</t>
  </si>
  <si>
    <t>Vendor 3 2 (SGD)</t>
  </si>
  <si>
    <t>Multiplier 2</t>
  </si>
  <si>
    <t>Multiplier 3</t>
  </si>
  <si>
    <t>Multiplier 4</t>
  </si>
  <si>
    <t>Multiplier 5</t>
  </si>
  <si>
    <t>Vendor 2 2 (SGD)</t>
  </si>
  <si>
    <t>(CNY)</t>
  </si>
  <si>
    <t>(USD)</t>
  </si>
  <si>
    <t>(SGD)</t>
  </si>
  <si>
    <t>(MYR)</t>
  </si>
  <si>
    <t>Others (USD)</t>
  </si>
  <si>
    <t>•	公開招聘廣告(需顯示刊登日期) (職位名稱及內容跟項目內容一致)
•	應徵人士履歷表 (包括聘用及落選的) (職位名稱及內容跟項目內容一致)  (最少3份)
•	甄選記錄 (最少3份) 面試評核表 (需包括獲聘者及落選者), 面試評核表需包括面試日期, 面試職位, 評分記錄, 及企業蓋章及簽署
•	僱用合約  (生效於項目推行日期內)
•	每月支薪證明 (銀行轉賬紀錄) (不可現金出糧) (需顯示公司戶口及員工名稱)
•	符合當地勞工法的每月強積金/社保等供款明細記錄 (需顯示公司及員工名稱)</t>
    <phoneticPr fontId="29" type="noConversion"/>
  </si>
  <si>
    <t>•Advertisement of open recruitment (Job title and details same with BUD application form)
•Resume of candidates (including right and unsuccessful candidates CV)(at least 3 candidates) (Job title and details same with BUD application form)
• Assessment record (including right and unsuccessful candidates CV, with company chop, interviewer signature, onterview date &amp; time )(at least 3 candidates)
• Employment contract (Effective date within project period)
• Monthly salary record (bank record with payee name and company name clearly stated)(cash payroll is not allowed)
• Monthly record of mandatory provident fund, social security contribution, etc. in compliance with local labour laws (official doc with employee name and company name, trustee name clearly stated</t>
    <phoneticPr fontId="29" type="noConversion"/>
  </si>
  <si>
    <t>Project period</t>
    <phoneticPr fontId="29" type="noConversion"/>
  </si>
  <si>
    <t>to</t>
    <phoneticPr fontId="29" type="noConversion"/>
  </si>
  <si>
    <t>成海政</t>
    <phoneticPr fontId="29" type="noConversion"/>
  </si>
  <si>
    <t>陳思敏</t>
    <phoneticPr fontId="29" type="noConversion"/>
  </si>
  <si>
    <t>Job Title</t>
    <phoneticPr fontId="29" type="noConversion"/>
  </si>
  <si>
    <t>市场推广专员</t>
    <phoneticPr fontId="29" type="noConversion"/>
  </si>
  <si>
    <t>Job ad Date</t>
    <phoneticPr fontId="29" type="noConversion"/>
  </si>
  <si>
    <t>Interview record Date</t>
    <phoneticPr fontId="29" type="noConversion"/>
  </si>
  <si>
    <t>Contract Date</t>
    <phoneticPr fontId="29" type="noConversion"/>
  </si>
  <si>
    <t>市場推廣經理</t>
    <phoneticPr fontId="29" type="noConversion"/>
  </si>
  <si>
    <t>劉慧琪</t>
  </si>
  <si>
    <t>繆裕琴</t>
    <phoneticPr fontId="29" type="noConversion"/>
  </si>
  <si>
    <t>初级市场推广专员-1</t>
    <phoneticPr fontId="29" type="noConversion"/>
  </si>
  <si>
    <t>尤悅心</t>
    <phoneticPr fontId="29" type="noConversion"/>
  </si>
  <si>
    <t>初级市场推广专员-2</t>
    <phoneticPr fontId="29" type="noConversion"/>
  </si>
  <si>
    <t>蘇冠華</t>
    <phoneticPr fontId="29" type="noConversion"/>
  </si>
  <si>
    <t>客戶服務-1</t>
    <phoneticPr fontId="29" type="noConversion"/>
  </si>
  <si>
    <t>何思思</t>
  </si>
  <si>
    <t>楊千慧</t>
    <phoneticPr fontId="29" type="noConversion"/>
  </si>
  <si>
    <t>客戶服務-2</t>
    <phoneticPr fontId="29" type="noConversion"/>
  </si>
  <si>
    <t>王斯琪</t>
    <phoneticPr fontId="29" type="noConversion"/>
  </si>
  <si>
    <t>客戶服務-3</t>
    <phoneticPr fontId="29" type="noConversion"/>
  </si>
  <si>
    <t>客戶服務-4</t>
    <phoneticPr fontId="29" type="noConversion"/>
  </si>
  <si>
    <t>客戶服務-5</t>
    <phoneticPr fontId="29" type="noConversion"/>
  </si>
  <si>
    <t>客戶服務-6</t>
    <phoneticPr fontId="29" type="noConversion"/>
  </si>
  <si>
    <t>落選者 1</t>
    <phoneticPr fontId="29" type="noConversion"/>
  </si>
  <si>
    <t>落選者 2</t>
    <phoneticPr fontId="29" type="noConversion"/>
  </si>
  <si>
    <t>落選者 3</t>
    <phoneticPr fontId="29" type="noConversion"/>
  </si>
  <si>
    <t>獲聘者 Selected</t>
    <phoneticPr fontId="29" type="noConversion"/>
  </si>
  <si>
    <t>赖欣婷</t>
    <phoneticPr fontId="29" type="noConversion"/>
  </si>
  <si>
    <t>汪杨</t>
    <phoneticPr fontId="29" type="noConversion"/>
  </si>
  <si>
    <t>楊佳恩</t>
    <phoneticPr fontId="29" type="noConversion"/>
  </si>
  <si>
    <t>蔡嘉琪</t>
    <phoneticPr fontId="29" type="noConversion"/>
  </si>
  <si>
    <t>蔡偉鋒</t>
    <phoneticPr fontId="29" type="noConversion"/>
  </si>
  <si>
    <t>謝曉華</t>
    <phoneticPr fontId="29" type="noConversion"/>
  </si>
  <si>
    <t>譚錦嬋</t>
    <phoneticPr fontId="29" type="noConversion"/>
  </si>
  <si>
    <t>謝詩琪</t>
    <phoneticPr fontId="29" type="noConversion"/>
  </si>
  <si>
    <t>朱玲</t>
    <phoneticPr fontId="29" type="noConversion"/>
  </si>
  <si>
    <t>方宏偉</t>
    <phoneticPr fontId="29" type="noConversion"/>
  </si>
  <si>
    <t>Resume</t>
    <phoneticPr fontId="29" type="noConversion"/>
  </si>
  <si>
    <t>yes</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</si>
</sst>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176" formatCode="_-&quot;$&quot;* #,##0.00_-;\-&quot;$&quot;* #,##0.00_-;_-&quot;$&quot;* &quot;-&quot;??_-;_-@_-"/>
    <numFmt numFmtId="177" formatCode="_-* #,##0.00_-;\-* #,##0.00_-;_-* &quot;-&quot;??_-;_-@_-"/>
    <numFmt numFmtId="178" formatCode="[$-409]mmmm\ d\,\ yyyy;@"/>
    <numFmt numFmtId="179" formatCode="[$-13C09]d\ mmm\ yyyy;@"/>
    <numFmt numFmtId="180" formatCode="_-* #,##0_-;\-* #,##0_-;_-* &quot;-&quot;??_-;_-@_-"/>
  </numFmts>
  <fonts count="57">
    <font>
      <sz val="11"/>
      <color theme="1"/>
      <name val="新細明體"/>
      <family val="2"/>
      <scheme val="minor"/>
    </font>
    <font>
      <sz val="11"/>
      <color rgb="FFFF0000"/>
      <name val="新細明體"/>
      <family val="2"/>
      <scheme val="minor"/>
    </font>
    <font>
      <b/>
      <sz val="11"/>
      <color theme="1"/>
      <name val="新細明體"/>
      <family val="2"/>
      <scheme val="minor"/>
    </font>
    <font>
      <b/>
      <u/>
      <sz val="11"/>
      <color theme="1"/>
      <name val="新細明體"/>
      <family val="2"/>
      <scheme val="minor"/>
    </font>
    <font>
      <u/>
      <sz val="11"/>
      <color theme="10"/>
      <name val="新細明體"/>
      <family val="2"/>
      <scheme val="minor"/>
    </font>
    <font>
      <sz val="11"/>
      <name val="新細明體"/>
      <family val="2"/>
      <scheme val="minor"/>
    </font>
    <font>
      <sz val="10"/>
      <color rgb="FFFF0000"/>
      <name val="Arial"/>
      <family val="2"/>
    </font>
    <font>
      <sz val="10"/>
      <color theme="1"/>
      <name val="Arial"/>
      <family val="2"/>
    </font>
    <font>
      <sz val="10"/>
      <name val="Arial"/>
      <family val="2"/>
    </font>
    <font>
      <b/>
      <u/>
      <sz val="10"/>
      <color theme="1"/>
      <name val="Arial"/>
      <family val="2"/>
    </font>
    <font>
      <sz val="10"/>
      <color theme="0" tint="-0.249977111117893"/>
      <name val="Arial"/>
      <family val="2"/>
    </font>
    <font>
      <b/>
      <sz val="10"/>
      <color rgb="FFFF0000"/>
      <name val="Arial"/>
      <family val="2"/>
    </font>
    <font>
      <b/>
      <u/>
      <sz val="10"/>
      <name val="Arial"/>
      <family val="2"/>
    </font>
    <font>
      <sz val="10"/>
      <color rgb="FFFF33CC"/>
      <name val="Arial"/>
      <family val="2"/>
    </font>
    <font>
      <b/>
      <u/>
      <sz val="10"/>
      <color rgb="FFFF0000"/>
      <name val="Arial"/>
      <family val="2"/>
    </font>
    <font>
      <sz val="10"/>
      <color theme="0" tint="-0.14999847407452621"/>
      <name val="Arial"/>
      <family val="2"/>
    </font>
    <font>
      <i/>
      <sz val="10"/>
      <color theme="0" tint="-0.14999847407452621"/>
      <name val="Arial"/>
      <family val="2"/>
    </font>
    <font>
      <b/>
      <sz val="8"/>
      <color rgb="FFFF0000"/>
      <name val="Arial"/>
      <family val="2"/>
    </font>
    <font>
      <b/>
      <sz val="8"/>
      <color theme="1"/>
      <name val="Arial"/>
      <family val="2"/>
    </font>
    <font>
      <b/>
      <sz val="10"/>
      <color theme="1"/>
      <name val="Arial"/>
      <family val="2"/>
    </font>
    <font>
      <sz val="10"/>
      <color rgb="FFFF99FF"/>
      <name val="Arial"/>
      <family val="2"/>
    </font>
    <font>
      <b/>
      <i/>
      <sz val="10"/>
      <color rgb="FFFF0000"/>
      <name val="Arial"/>
      <family val="2"/>
    </font>
    <font>
      <sz val="11"/>
      <color rgb="FFCC66FF"/>
      <name val="新細明體"/>
      <family val="2"/>
      <scheme val="minor"/>
    </font>
    <font>
      <b/>
      <sz val="10"/>
      <name val="Arial"/>
      <family val="2"/>
    </font>
    <font>
      <b/>
      <i/>
      <sz val="10"/>
      <color theme="1"/>
      <name val="Arial"/>
      <family val="2"/>
    </font>
    <font>
      <i/>
      <sz val="8"/>
      <color theme="1"/>
      <name val="Arial"/>
      <family val="2"/>
    </font>
    <font>
      <sz val="11"/>
      <color theme="1"/>
      <name val="Calibri"/>
      <family val="2"/>
    </font>
    <font>
      <sz val="11"/>
      <color theme="1"/>
      <name val="新細明體"/>
      <family val="2"/>
      <scheme val="minor"/>
    </font>
    <font>
      <sz val="9"/>
      <color theme="1"/>
      <name val="新細明體"/>
      <family val="2"/>
      <scheme val="minor"/>
    </font>
    <font>
      <sz val="9"/>
      <name val="新細明體"/>
      <family val="3"/>
      <charset val="136"/>
      <scheme val="minor"/>
    </font>
    <font>
      <sz val="9"/>
      <color theme="1"/>
      <name val="新細明體"/>
      <family val="1"/>
      <charset val="136"/>
      <scheme val="minor"/>
    </font>
    <font>
      <sz val="9"/>
      <color theme="4" tint="-0.249977111117893"/>
      <name val="新細明體"/>
      <family val="1"/>
      <charset val="136"/>
      <scheme val="minor"/>
    </font>
    <font>
      <sz val="9"/>
      <color theme="1"/>
      <name val="Calibri"/>
      <family val="2"/>
    </font>
    <font>
      <sz val="9"/>
      <color theme="1"/>
      <name val="微軟正黑體"/>
      <family val="2"/>
      <charset val="136"/>
    </font>
    <font>
      <sz val="11"/>
      <color theme="1"/>
      <name val="微軟正黑體"/>
      <family val="2"/>
      <charset val="136"/>
    </font>
    <font>
      <u/>
      <sz val="11"/>
      <color theme="10"/>
      <name val="Calibri"/>
      <family val="2"/>
    </font>
    <font>
      <b/>
      <sz val="9"/>
      <color theme="1"/>
      <name val="微軟正黑體"/>
      <family val="2"/>
      <charset val="136"/>
    </font>
    <font>
      <sz val="11"/>
      <color rgb="FFFF0000"/>
      <name val="Calibri"/>
      <family val="2"/>
    </font>
    <font>
      <b/>
      <sz val="11"/>
      <color rgb="FFFF0000"/>
      <name val="微軟正黑體"/>
      <family val="2"/>
      <charset val="136"/>
    </font>
    <font>
      <sz val="8"/>
      <color rgb="FFFF0000"/>
      <name val="微軟正黑體"/>
      <family val="2"/>
      <charset val="136"/>
    </font>
    <font>
      <sz val="9"/>
      <color rgb="FFFF0000"/>
      <name val="微軟正黑體"/>
      <family val="2"/>
      <charset val="136"/>
    </font>
    <font>
      <sz val="11"/>
      <name val="微軟正黑體"/>
      <family val="2"/>
      <charset val="136"/>
    </font>
    <font>
      <b/>
      <sz val="11"/>
      <name val="微軟正黑體"/>
      <family val="2"/>
      <charset val="136"/>
    </font>
    <font>
      <sz val="11"/>
      <color theme="1"/>
      <name val="Microsoft JhengHei Light"/>
      <family val="2"/>
      <charset val="136"/>
    </font>
    <font>
      <sz val="11"/>
      <color theme="1"/>
      <name val="Arial"/>
      <family val="2"/>
    </font>
    <font>
      <sz val="10"/>
      <color theme="1"/>
      <name val="Calibri"/>
      <family val="2"/>
    </font>
    <font>
      <sz val="11"/>
      <color theme="1"/>
      <name val="新細明體"/>
      <family val="2"/>
    </font>
    <font>
      <sz val="10"/>
      <color theme="0"/>
      <name val="Arial"/>
      <family val="2"/>
    </font>
    <font>
      <sz val="11"/>
      <name val="Calibri"/>
      <family val="2"/>
    </font>
    <font>
      <b/>
      <sz val="10"/>
      <color theme="0"/>
      <name val="Arial"/>
      <family val="2"/>
    </font>
    <font>
      <sz val="11"/>
      <color theme="1"/>
      <name val="細明體"/>
      <family val="2"/>
      <charset val="136"/>
    </font>
    <font>
      <b/>
      <sz val="11"/>
      <color rgb="FFFF0000"/>
      <name val="新細明體"/>
      <family val="2"/>
      <scheme val="minor"/>
    </font>
    <font>
      <b/>
      <sz val="11"/>
      <color theme="1"/>
      <name val="Calibri"/>
      <family val="2"/>
    </font>
    <font>
      <b/>
      <sz val="11"/>
      <color rgb="FFFF0000"/>
      <name val="細明體"/>
      <family val="2"/>
      <charset val="136"/>
    </font>
    <font>
      <b/>
      <sz val="11"/>
      <color theme="1"/>
      <name val="細明體"/>
      <family val="2"/>
      <charset val="136"/>
    </font>
    <font>
      <b/>
      <sz val="11"/>
      <color theme="1"/>
      <name val="微軟正黑體"/>
      <family val="2"/>
      <charset val="136"/>
    </font>
    <font>
      <b/>
      <sz val="11"/>
      <color theme="1"/>
      <name val="細明體"/>
      <family val="3"/>
      <charset val="136"/>
    </font>
  </fonts>
  <fills count="21">
    <fill>
      <patternFill patternType="none"/>
    </fill>
    <fill>
      <patternFill patternType="gray125"/>
    </fill>
    <fill>
      <patternFill patternType="solid">
        <fgColor rgb="FFFFFF00"/>
        <bgColor indexed="64"/>
      </patternFill>
    </fill>
    <fill>
      <patternFill patternType="solid">
        <fgColor rgb="FFFFFF99"/>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7"/>
        <bgColor indexed="64"/>
      </patternFill>
    </fill>
    <fill>
      <patternFill patternType="solid">
        <fgColor theme="0"/>
        <bgColor indexed="64"/>
      </patternFill>
    </fill>
    <fill>
      <patternFill patternType="solid">
        <fgColor rgb="FFFFCCFF"/>
        <bgColor indexed="64"/>
      </patternFill>
    </fill>
    <fill>
      <patternFill patternType="solid">
        <fgColor theme="2" tint="-9.9978637043366805E-2"/>
        <bgColor indexed="64"/>
      </patternFill>
    </fill>
    <fill>
      <patternFill patternType="solid">
        <fgColor rgb="FF92D05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top style="thin">
        <color indexed="64"/>
      </top>
      <bottom style="double">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8" fillId="0" borderId="0"/>
    <xf numFmtId="177" fontId="27" fillId="0" borderId="0" applyFont="0" applyFill="0" applyBorder="0" applyAlignment="0" applyProtection="0"/>
    <xf numFmtId="176" fontId="27" fillId="0" borderId="0" applyFont="0" applyFill="0" applyBorder="0" applyAlignment="0" applyProtection="0"/>
    <xf numFmtId="9" fontId="27" fillId="0" borderId="0" applyFont="0" applyFill="0" applyBorder="0" applyAlignment="0" applyProtection="0"/>
  </cellStyleXfs>
  <cellXfs count="286">
    <xf numFmtId="0" fontId="0" fillId="0" borderId="0" xfId="0"/>
    <xf numFmtId="0" fontId="0" fillId="3" borderId="0" xfId="0" applyFill="1"/>
    <xf numFmtId="0" fontId="3" fillId="0" borderId="0" xfId="0" applyFont="1" applyAlignment="1">
      <alignment vertical="top" wrapText="1"/>
    </xf>
    <xf numFmtId="0" fontId="2" fillId="0" borderId="0" xfId="0" applyFont="1"/>
    <xf numFmtId="0" fontId="0" fillId="0" borderId="0" xfId="0" applyAlignment="1">
      <alignment wrapText="1"/>
    </xf>
    <xf numFmtId="0" fontId="1" fillId="0" borderId="0" xfId="0" applyFont="1"/>
    <xf numFmtId="0" fontId="6" fillId="0" borderId="0" xfId="0" applyFont="1" applyAlignment="1">
      <alignment vertical="top"/>
    </xf>
    <xf numFmtId="0" fontId="7" fillId="0" borderId="0" xfId="0" applyFont="1" applyAlignment="1">
      <alignment vertical="top"/>
    </xf>
    <xf numFmtId="0" fontId="0" fillId="0" borderId="0" xfId="0" quotePrefix="1"/>
    <xf numFmtId="0" fontId="0" fillId="0" borderId="1" xfId="0" applyBorder="1" applyAlignment="1">
      <alignment vertical="top" wrapText="1"/>
    </xf>
    <xf numFmtId="0" fontId="4" fillId="0" borderId="1" xfId="1" applyBorder="1" applyAlignment="1">
      <alignment vertical="top" wrapText="1"/>
    </xf>
    <xf numFmtId="1" fontId="8" fillId="0" borderId="1" xfId="2" applyNumberFormat="1" applyBorder="1" applyAlignment="1" applyProtection="1">
      <alignment horizontal="left" vertical="top" wrapText="1"/>
      <protection locked="0"/>
    </xf>
    <xf numFmtId="0" fontId="7" fillId="0" borderId="1" xfId="0" applyFont="1" applyBorder="1" applyAlignment="1" applyProtection="1">
      <alignment vertical="top" wrapText="1"/>
      <protection locked="0"/>
    </xf>
    <xf numFmtId="0" fontId="4" fillId="0" borderId="1" xfId="1" applyFill="1" applyBorder="1" applyAlignment="1" applyProtection="1">
      <alignment vertical="top" wrapText="1"/>
      <protection locked="0"/>
    </xf>
    <xf numFmtId="0" fontId="0" fillId="0" borderId="0" xfId="0" applyAlignment="1">
      <alignment vertical="top" wrapText="1"/>
    </xf>
    <xf numFmtId="0" fontId="3" fillId="0" borderId="0" xfId="0" applyFont="1"/>
    <xf numFmtId="0" fontId="9" fillId="0" borderId="0" xfId="0" applyFont="1" applyAlignment="1">
      <alignment vertical="top"/>
    </xf>
    <xf numFmtId="0" fontId="7" fillId="0" borderId="0" xfId="0" applyFont="1" applyAlignment="1">
      <alignment horizontal="center" vertical="top"/>
    </xf>
    <xf numFmtId="0" fontId="7" fillId="3" borderId="0" xfId="0" applyFont="1" applyFill="1" applyAlignment="1">
      <alignment vertical="top"/>
    </xf>
    <xf numFmtId="0" fontId="10" fillId="0" borderId="0" xfId="0" applyFont="1" applyAlignment="1">
      <alignment vertical="top"/>
    </xf>
    <xf numFmtId="0" fontId="11" fillId="0" borderId="0" xfId="0" applyFont="1" applyAlignment="1">
      <alignment vertical="top"/>
    </xf>
    <xf numFmtId="0" fontId="12" fillId="0" borderId="0" xfId="0" applyFont="1" applyAlignment="1">
      <alignment vertical="top"/>
    </xf>
    <xf numFmtId="0" fontId="13" fillId="0" borderId="0" xfId="0" applyFont="1" applyAlignment="1">
      <alignment vertical="top"/>
    </xf>
    <xf numFmtId="0" fontId="14" fillId="0" borderId="0" xfId="0" applyFont="1" applyAlignment="1">
      <alignment vertical="top"/>
    </xf>
    <xf numFmtId="0" fontId="15" fillId="0" borderId="0" xfId="0" applyFont="1" applyAlignment="1">
      <alignment horizontal="center" vertical="top"/>
    </xf>
    <xf numFmtId="0" fontId="8" fillId="0" borderId="0" xfId="0" applyFont="1"/>
    <xf numFmtId="0" fontId="16" fillId="0" borderId="0" xfId="0" applyFont="1" applyAlignment="1">
      <alignment vertical="top"/>
    </xf>
    <xf numFmtId="0" fontId="10" fillId="0" borderId="0" xfId="0" applyFont="1" applyAlignment="1">
      <alignment horizontal="left" vertical="top"/>
    </xf>
    <xf numFmtId="0" fontId="17" fillId="0" borderId="0" xfId="0" applyFont="1" applyAlignment="1">
      <alignment horizontal="left" vertical="top"/>
    </xf>
    <xf numFmtId="0" fontId="7" fillId="0" borderId="0" xfId="0" applyFont="1" applyAlignment="1">
      <alignment vertical="top" wrapText="1"/>
    </xf>
    <xf numFmtId="0" fontId="18" fillId="0" borderId="0" xfId="0" applyFont="1" applyAlignment="1">
      <alignment vertical="top"/>
    </xf>
    <xf numFmtId="0" fontId="7" fillId="4" borderId="0" xfId="0" applyFont="1" applyFill="1" applyAlignment="1">
      <alignment vertical="top"/>
    </xf>
    <xf numFmtId="0" fontId="19" fillId="0" borderId="0" xfId="0" applyFont="1" applyAlignment="1">
      <alignment vertical="top"/>
    </xf>
    <xf numFmtId="0" fontId="7" fillId="0" borderId="0" xfId="0" applyFont="1" applyAlignment="1" applyProtection="1">
      <alignment horizontal="left" vertical="top"/>
      <protection locked="0"/>
    </xf>
    <xf numFmtId="178" fontId="19" fillId="0" borderId="0" xfId="0" applyNumberFormat="1" applyFont="1" applyAlignment="1" applyProtection="1">
      <alignment horizontal="left" vertical="top"/>
      <protection locked="0"/>
    </xf>
    <xf numFmtId="0" fontId="8" fillId="0" borderId="0" xfId="0" applyFont="1" applyAlignment="1">
      <alignment vertical="top"/>
    </xf>
    <xf numFmtId="0" fontId="20" fillId="0" borderId="0" xfId="0" applyFont="1" applyAlignment="1">
      <alignment horizontal="center" vertical="top"/>
    </xf>
    <xf numFmtId="0" fontId="20" fillId="0" borderId="0" xfId="0" applyFont="1" applyAlignment="1">
      <alignment vertical="top"/>
    </xf>
    <xf numFmtId="0" fontId="7" fillId="5" borderId="1" xfId="0" applyFont="1" applyFill="1" applyBorder="1" applyAlignment="1">
      <alignment horizontal="center" vertical="top"/>
    </xf>
    <xf numFmtId="0" fontId="0" fillId="5" borderId="1" xfId="0" applyFill="1" applyBorder="1" applyAlignment="1">
      <alignment horizontal="center" vertical="top" wrapText="1"/>
    </xf>
    <xf numFmtId="0" fontId="15" fillId="0" borderId="0" xfId="0" applyFont="1" applyAlignment="1">
      <alignment horizontal="left" vertical="top"/>
    </xf>
    <xf numFmtId="0" fontId="0" fillId="5" borderId="2" xfId="0" applyFill="1" applyBorder="1" applyAlignment="1">
      <alignment horizontal="center" vertical="center"/>
    </xf>
    <xf numFmtId="0" fontId="0" fillId="5" borderId="1" xfId="0" applyFill="1" applyBorder="1" applyAlignment="1">
      <alignment horizontal="center" vertical="center"/>
    </xf>
    <xf numFmtId="0" fontId="15" fillId="0" borderId="0" xfId="0" applyFont="1" applyAlignment="1">
      <alignment vertical="top"/>
    </xf>
    <xf numFmtId="0" fontId="13" fillId="5" borderId="0" xfId="0" applyFont="1" applyFill="1" applyAlignment="1">
      <alignment vertical="top"/>
    </xf>
    <xf numFmtId="0" fontId="8" fillId="5" borderId="0" xfId="0" applyFont="1" applyFill="1" applyAlignment="1">
      <alignment vertical="top"/>
    </xf>
    <xf numFmtId="0" fontId="7" fillId="6" borderId="0" xfId="0" applyFont="1" applyFill="1" applyAlignment="1">
      <alignment vertical="top"/>
    </xf>
    <xf numFmtId="0" fontId="8" fillId="5" borderId="0" xfId="0" applyFont="1" applyFill="1" applyAlignment="1" applyProtection="1">
      <alignment horizontal="left" vertical="top"/>
      <protection locked="0"/>
    </xf>
    <xf numFmtId="0" fontId="21" fillId="5" borderId="0" xfId="0" applyFont="1" applyFill="1" applyAlignment="1" applyProtection="1">
      <alignment horizontal="left" vertical="top"/>
      <protection locked="0"/>
    </xf>
    <xf numFmtId="0" fontId="7" fillId="5" borderId="0" xfId="0" applyFont="1" applyFill="1" applyAlignment="1">
      <alignment vertical="top"/>
    </xf>
    <xf numFmtId="0" fontId="9" fillId="0" borderId="0" xfId="0" applyFont="1" applyAlignment="1" applyProtection="1">
      <alignment horizontal="left" vertical="top"/>
      <protection locked="0"/>
    </xf>
    <xf numFmtId="0" fontId="22" fillId="0" borderId="0" xfId="0" applyFont="1"/>
    <xf numFmtId="0" fontId="8" fillId="0" borderId="0" xfId="0" applyFont="1" applyAlignment="1">
      <alignment horizontal="left" vertical="top"/>
    </xf>
    <xf numFmtId="0" fontId="7" fillId="0" borderId="0" xfId="0" applyFont="1" applyAlignment="1" applyProtection="1">
      <alignment vertical="top"/>
      <protection locked="0"/>
    </xf>
    <xf numFmtId="0" fontId="23" fillId="0" borderId="0" xfId="0" applyFont="1" applyAlignment="1">
      <alignment vertical="top"/>
    </xf>
    <xf numFmtId="0" fontId="24" fillId="0" borderId="2" xfId="0" applyFont="1" applyBorder="1" applyAlignment="1">
      <alignment horizontal="center" vertical="top"/>
    </xf>
    <xf numFmtId="0" fontId="7" fillId="7" borderId="0" xfId="0" applyFont="1" applyFill="1" applyAlignment="1">
      <alignment vertical="top"/>
    </xf>
    <xf numFmtId="0" fontId="7" fillId="7" borderId="0" xfId="0" applyFont="1" applyFill="1" applyAlignment="1">
      <alignment vertical="top" wrapText="1"/>
    </xf>
    <xf numFmtId="8" fontId="7" fillId="7" borderId="0" xfId="0" applyNumberFormat="1" applyFont="1" applyFill="1" applyAlignment="1">
      <alignment horizontal="center" vertical="top"/>
    </xf>
    <xf numFmtId="0" fontId="8" fillId="7" borderId="2" xfId="0" applyFont="1" applyFill="1" applyBorder="1" applyAlignment="1">
      <alignment horizontal="center" vertical="top" wrapText="1"/>
    </xf>
    <xf numFmtId="0" fontId="7" fillId="7" borderId="2" xfId="0" applyFont="1" applyFill="1" applyBorder="1" applyAlignment="1">
      <alignment vertical="top"/>
    </xf>
    <xf numFmtId="0" fontId="7" fillId="7" borderId="2" xfId="0" applyFont="1" applyFill="1" applyBorder="1" applyAlignment="1">
      <alignment vertical="top" wrapText="1"/>
    </xf>
    <xf numFmtId="0" fontId="8" fillId="7" borderId="1" xfId="0" applyFont="1" applyFill="1" applyBorder="1" applyAlignment="1">
      <alignment horizontal="center" vertical="top" wrapText="1"/>
    </xf>
    <xf numFmtId="0" fontId="7" fillId="7" borderId="1" xfId="0" applyFont="1" applyFill="1" applyBorder="1" applyAlignment="1">
      <alignment vertical="top"/>
    </xf>
    <xf numFmtId="0" fontId="7" fillId="7" borderId="1" xfId="0" applyFont="1" applyFill="1" applyBorder="1" applyAlignment="1">
      <alignment vertical="top" wrapText="1"/>
    </xf>
    <xf numFmtId="0" fontId="7" fillId="7" borderId="3" xfId="0" applyFont="1" applyFill="1" applyBorder="1" applyAlignment="1">
      <alignment vertical="top"/>
    </xf>
    <xf numFmtId="0" fontId="4" fillId="7" borderId="1" xfId="1" applyFill="1" applyBorder="1" applyAlignment="1">
      <alignment vertical="top"/>
    </xf>
    <xf numFmtId="0" fontId="0" fillId="2" borderId="0" xfId="0" applyFill="1" applyAlignment="1">
      <alignment horizontal="center"/>
    </xf>
    <xf numFmtId="0" fontId="0" fillId="0" borderId="0" xfId="0" applyAlignment="1">
      <alignment horizontal="center"/>
    </xf>
    <xf numFmtId="0" fontId="0" fillId="5" borderId="0" xfId="0" applyFill="1" applyAlignment="1">
      <alignment horizontal="center"/>
    </xf>
    <xf numFmtId="0" fontId="0" fillId="4" borderId="0" xfId="0" applyFill="1" applyAlignment="1">
      <alignment horizontal="center" vertical="top"/>
    </xf>
    <xf numFmtId="0" fontId="0" fillId="7" borderId="0" xfId="0" applyFill="1"/>
    <xf numFmtId="0" fontId="7" fillId="2" borderId="0" xfId="0" applyFont="1" applyFill="1" applyAlignment="1">
      <alignment vertical="top"/>
    </xf>
    <xf numFmtId="0" fontId="7" fillId="0" borderId="0" xfId="0" quotePrefix="1" applyFont="1" applyAlignment="1">
      <alignment vertical="top"/>
    </xf>
    <xf numFmtId="0" fontId="0" fillId="8" borderId="0" xfId="0" applyFill="1" applyAlignment="1">
      <alignment horizontal="center"/>
    </xf>
    <xf numFmtId="0" fontId="0" fillId="0" borderId="0" xfId="0" applyAlignment="1">
      <alignment vertical="top"/>
    </xf>
    <xf numFmtId="0" fontId="1" fillId="0" borderId="0" xfId="0" applyFont="1" applyAlignment="1">
      <alignment horizontal="center" vertical="top" wrapText="1"/>
    </xf>
    <xf numFmtId="0" fontId="1" fillId="0" borderId="0" xfId="0" applyFont="1" applyAlignment="1">
      <alignment horizontal="center" vertical="top"/>
    </xf>
    <xf numFmtId="0" fontId="0" fillId="0" borderId="0" xfId="0" applyAlignment="1">
      <alignment horizontal="center" vertical="top"/>
    </xf>
    <xf numFmtId="0" fontId="0" fillId="0" borderId="1" xfId="0" applyBorder="1"/>
    <xf numFmtId="0" fontId="19" fillId="5" borderId="1" xfId="0" applyFont="1" applyFill="1" applyBorder="1" applyAlignment="1">
      <alignment horizontal="center" vertical="top"/>
    </xf>
    <xf numFmtId="0" fontId="25" fillId="0" borderId="0" xfId="0" applyFont="1"/>
    <xf numFmtId="0" fontId="3" fillId="0" borderId="0" xfId="0" applyFont="1" applyAlignment="1">
      <alignment vertical="top"/>
    </xf>
    <xf numFmtId="0" fontId="19" fillId="5" borderId="1" xfId="0" applyFont="1" applyFill="1" applyBorder="1" applyAlignment="1">
      <alignment horizontal="center" vertical="top" wrapText="1"/>
    </xf>
    <xf numFmtId="0" fontId="5" fillId="0" borderId="0" xfId="0" applyFont="1" applyAlignment="1">
      <alignment wrapText="1"/>
    </xf>
    <xf numFmtId="0" fontId="21" fillId="5" borderId="0" xfId="0" applyFont="1" applyFill="1" applyAlignment="1">
      <alignment vertical="top"/>
    </xf>
    <xf numFmtId="0" fontId="8" fillId="7" borderId="0" xfId="0" applyFont="1" applyFill="1" applyAlignment="1">
      <alignment vertical="top"/>
    </xf>
    <xf numFmtId="8" fontId="8" fillId="7" borderId="0" xfId="0" applyNumberFormat="1" applyFont="1" applyFill="1" applyAlignment="1">
      <alignment horizontal="center" vertical="top"/>
    </xf>
    <xf numFmtId="0" fontId="0" fillId="3" borderId="0" xfId="0" applyFill="1" applyAlignment="1">
      <alignment horizontal="center"/>
    </xf>
    <xf numFmtId="0" fontId="5" fillId="0" borderId="0" xfId="0" applyFont="1" applyAlignment="1">
      <alignment horizontal="left"/>
    </xf>
    <xf numFmtId="0" fontId="2" fillId="0" borderId="0" xfId="0" applyFont="1" applyAlignment="1">
      <alignment horizontal="right"/>
    </xf>
    <xf numFmtId="0" fontId="0" fillId="9" borderId="0" xfId="0" applyFill="1" applyAlignment="1">
      <alignment horizontal="center"/>
    </xf>
    <xf numFmtId="0" fontId="11" fillId="0" borderId="0" xfId="0" applyFont="1" applyAlignment="1">
      <alignment horizontal="right" vertical="top"/>
    </xf>
    <xf numFmtId="0" fontId="4" fillId="0" borderId="0" xfId="1" applyAlignment="1">
      <alignment vertical="top"/>
    </xf>
    <xf numFmtId="14" fontId="0" fillId="0" borderId="0" xfId="0" applyNumberFormat="1"/>
    <xf numFmtId="1" fontId="0" fillId="0" borderId="0" xfId="0" applyNumberFormat="1" applyAlignment="1">
      <alignment horizontal="center"/>
    </xf>
    <xf numFmtId="0" fontId="26" fillId="3" borderId="0" xfId="0" applyFont="1" applyFill="1"/>
    <xf numFmtId="0" fontId="26" fillId="0" borderId="0" xfId="0" applyFont="1" applyAlignment="1">
      <alignment wrapText="1"/>
    </xf>
    <xf numFmtId="0" fontId="8" fillId="7" borderId="0" xfId="0" quotePrefix="1" applyFont="1" applyFill="1" applyAlignment="1">
      <alignment vertical="top"/>
    </xf>
    <xf numFmtId="0" fontId="0" fillId="0" borderId="0" xfId="0" applyAlignment="1">
      <alignment horizontal="right"/>
    </xf>
    <xf numFmtId="14" fontId="0" fillId="0" borderId="0" xfId="0" applyNumberFormat="1" applyAlignment="1">
      <alignment horizontal="center" wrapText="1"/>
    </xf>
    <xf numFmtId="0" fontId="0" fillId="0" borderId="2" xfId="0" applyBorder="1"/>
    <xf numFmtId="1" fontId="8" fillId="0" borderId="2" xfId="2" applyNumberFormat="1" applyBorder="1" applyAlignment="1" applyProtection="1">
      <alignment horizontal="left" vertical="top" wrapText="1"/>
      <protection locked="0"/>
    </xf>
    <xf numFmtId="0" fontId="7" fillId="0" borderId="2" xfId="0" applyFont="1" applyBorder="1" applyAlignment="1" applyProtection="1">
      <alignment vertical="top" wrapText="1"/>
      <protection locked="0"/>
    </xf>
    <xf numFmtId="0" fontId="4" fillId="0" borderId="2" xfId="1" applyFill="1" applyBorder="1" applyAlignment="1" applyProtection="1">
      <alignment vertical="top" wrapText="1"/>
      <protection locked="0"/>
    </xf>
    <xf numFmtId="0" fontId="28" fillId="0" borderId="0" xfId="0" applyFont="1" applyAlignment="1">
      <alignment vertical="center"/>
    </xf>
    <xf numFmtId="0" fontId="28" fillId="4" borderId="1" xfId="0" applyFont="1" applyFill="1" applyBorder="1" applyAlignment="1">
      <alignment vertical="center"/>
    </xf>
    <xf numFmtId="0" fontId="28" fillId="4" borderId="1" xfId="0" applyFont="1" applyFill="1" applyBorder="1" applyAlignment="1">
      <alignment horizontal="center" vertical="center"/>
    </xf>
    <xf numFmtId="0" fontId="27" fillId="0" borderId="0" xfId="0" applyFont="1" applyAlignment="1">
      <alignment vertical="center"/>
    </xf>
    <xf numFmtId="0" fontId="0" fillId="0" borderId="0" xfId="0" applyAlignment="1">
      <alignment vertical="center"/>
    </xf>
    <xf numFmtId="14" fontId="28" fillId="0" borderId="0" xfId="0" applyNumberFormat="1" applyFont="1" applyAlignment="1">
      <alignment horizontal="center" vertical="center"/>
    </xf>
    <xf numFmtId="0" fontId="28" fillId="0" borderId="2" xfId="0" applyFont="1" applyBorder="1" applyAlignment="1">
      <alignment horizontal="center" vertical="center"/>
    </xf>
    <xf numFmtId="0" fontId="28" fillId="0" borderId="0" xfId="0" applyFont="1"/>
    <xf numFmtId="0" fontId="27" fillId="0" borderId="0" xfId="0" applyFont="1" applyAlignment="1">
      <alignment horizontal="center" vertical="center"/>
    </xf>
    <xf numFmtId="177" fontId="0" fillId="0" borderId="19" xfId="3" applyFont="1" applyBorder="1" applyAlignment="1">
      <alignment vertical="center"/>
    </xf>
    <xf numFmtId="177" fontId="0" fillId="0" borderId="0" xfId="3" applyFont="1" applyAlignment="1">
      <alignment vertical="center"/>
    </xf>
    <xf numFmtId="0" fontId="0" fillId="0" borderId="19" xfId="0" applyBorder="1" applyAlignment="1">
      <alignment vertical="center"/>
    </xf>
    <xf numFmtId="0" fontId="8" fillId="5" borderId="0" xfId="0" applyFont="1" applyFill="1" applyAlignment="1" applyProtection="1">
      <alignment vertical="top"/>
      <protection locked="0"/>
    </xf>
    <xf numFmtId="179" fontId="7" fillId="7" borderId="0" xfId="0" applyNumberFormat="1" applyFont="1" applyFill="1" applyAlignment="1">
      <alignment horizontal="left" vertical="top"/>
    </xf>
    <xf numFmtId="0" fontId="19" fillId="0" borderId="21" xfId="0" applyFont="1" applyBorder="1" applyAlignment="1">
      <alignment horizontal="center" vertical="top"/>
    </xf>
    <xf numFmtId="0" fontId="19" fillId="0" borderId="9" xfId="0" applyFont="1" applyBorder="1" applyAlignment="1">
      <alignment horizontal="center" vertical="top"/>
    </xf>
    <xf numFmtId="0" fontId="23" fillId="0" borderId="9" xfId="0" applyFont="1" applyBorder="1" applyAlignment="1">
      <alignment horizontal="center" vertical="top"/>
    </xf>
    <xf numFmtId="0" fontId="19" fillId="0" borderId="10" xfId="0" applyFont="1" applyBorder="1" applyAlignment="1">
      <alignment horizontal="center" vertical="top"/>
    </xf>
    <xf numFmtId="0" fontId="6" fillId="14" borderId="20" xfId="0" applyFont="1" applyFill="1" applyBorder="1" applyAlignment="1">
      <alignment horizontal="center" vertical="top"/>
    </xf>
    <xf numFmtId="0" fontId="6" fillId="14" borderId="11" xfId="0" applyFont="1" applyFill="1" applyBorder="1" applyAlignment="1">
      <alignment horizontal="center" vertical="top"/>
    </xf>
    <xf numFmtId="0" fontId="7" fillId="14" borderId="14" xfId="0" applyFont="1" applyFill="1" applyBorder="1" applyAlignment="1">
      <alignment vertical="top"/>
    </xf>
    <xf numFmtId="0" fontId="6" fillId="14" borderId="15" xfId="0" applyFont="1" applyFill="1" applyBorder="1" applyAlignment="1">
      <alignment horizontal="center" vertical="top"/>
    </xf>
    <xf numFmtId="0" fontId="7" fillId="14" borderId="17" xfId="0" applyFont="1" applyFill="1" applyBorder="1" applyAlignment="1">
      <alignment vertical="top"/>
    </xf>
    <xf numFmtId="14" fontId="7" fillId="14" borderId="0" xfId="0" applyNumberFormat="1" applyFont="1" applyFill="1" applyAlignment="1">
      <alignment horizontal="center" vertical="top"/>
    </xf>
    <xf numFmtId="179" fontId="7" fillId="7" borderId="0" xfId="0" applyNumberFormat="1" applyFont="1" applyFill="1" applyAlignment="1">
      <alignment horizontal="left" vertical="top" wrapText="1"/>
    </xf>
    <xf numFmtId="176" fontId="7" fillId="7" borderId="0" xfId="4" applyFont="1" applyFill="1" applyAlignment="1">
      <alignment horizontal="left" vertical="top"/>
    </xf>
    <xf numFmtId="176" fontId="7" fillId="7" borderId="0" xfId="0" applyNumberFormat="1" applyFont="1" applyFill="1" applyAlignment="1">
      <alignment vertical="top"/>
    </xf>
    <xf numFmtId="0" fontId="7" fillId="14" borderId="13" xfId="0" applyFont="1" applyFill="1" applyBorder="1" applyAlignment="1">
      <alignment horizontal="center" vertical="top"/>
    </xf>
    <xf numFmtId="0" fontId="19" fillId="0" borderId="8" xfId="0" applyFont="1" applyBorder="1" applyAlignment="1">
      <alignment horizontal="center" vertical="top"/>
    </xf>
    <xf numFmtId="0" fontId="7" fillId="0" borderId="21" xfId="0" applyFont="1" applyBorder="1" applyAlignment="1">
      <alignment horizontal="center" vertical="top"/>
    </xf>
    <xf numFmtId="0" fontId="7" fillId="14" borderId="10" xfId="0" applyFont="1" applyFill="1" applyBorder="1" applyAlignment="1">
      <alignment horizontal="center" vertical="top"/>
    </xf>
    <xf numFmtId="0" fontId="7" fillId="15" borderId="14" xfId="0" applyFont="1" applyFill="1" applyBorder="1" applyAlignment="1">
      <alignment horizontal="center" vertical="top"/>
    </xf>
    <xf numFmtId="0" fontId="8" fillId="16" borderId="8" xfId="0" applyFont="1" applyFill="1" applyBorder="1" applyAlignment="1">
      <alignment horizontal="center" vertical="top"/>
    </xf>
    <xf numFmtId="180" fontId="28" fillId="0" borderId="0" xfId="3" applyNumberFormat="1" applyFont="1" applyAlignment="1">
      <alignment vertical="center"/>
    </xf>
    <xf numFmtId="0" fontId="30" fillId="2" borderId="5" xfId="0" applyFont="1" applyFill="1" applyBorder="1" applyAlignment="1">
      <alignment vertical="center" wrapText="1"/>
    </xf>
    <xf numFmtId="0" fontId="30" fillId="2" borderId="0" xfId="0" applyFont="1" applyFill="1" applyAlignment="1">
      <alignment vertical="center" wrapText="1"/>
    </xf>
    <xf numFmtId="0" fontId="30" fillId="4" borderId="4" xfId="0" applyFont="1" applyFill="1" applyBorder="1" applyAlignment="1">
      <alignment vertical="center"/>
    </xf>
    <xf numFmtId="0" fontId="30" fillId="4" borderId="6" xfId="0" applyFont="1" applyFill="1" applyBorder="1" applyAlignment="1">
      <alignment vertical="center"/>
    </xf>
    <xf numFmtId="0" fontId="30" fillId="10" borderId="1" xfId="0" applyFont="1" applyFill="1" applyBorder="1" applyAlignment="1">
      <alignment vertical="center" wrapText="1"/>
    </xf>
    <xf numFmtId="0" fontId="30" fillId="0" borderId="5" xfId="0" applyFont="1" applyBorder="1" applyAlignment="1">
      <alignment vertical="center"/>
    </xf>
    <xf numFmtId="0" fontId="30" fillId="0" borderId="4" xfId="0" applyFont="1" applyBorder="1" applyAlignment="1">
      <alignment vertical="center"/>
    </xf>
    <xf numFmtId="0" fontId="30" fillId="0" borderId="7" xfId="0" applyFont="1" applyBorder="1" applyAlignment="1">
      <alignment horizontal="center" vertical="center"/>
    </xf>
    <xf numFmtId="0" fontId="30" fillId="0" borderId="1" xfId="0" applyFont="1" applyBorder="1" applyAlignment="1">
      <alignment horizontal="center" vertical="center"/>
    </xf>
    <xf numFmtId="0" fontId="30" fillId="10" borderId="4" xfId="0" applyFont="1" applyFill="1" applyBorder="1" applyAlignment="1">
      <alignment vertical="center" wrapText="1"/>
    </xf>
    <xf numFmtId="0" fontId="31" fillId="11" borderId="1" xfId="0" applyFont="1" applyFill="1" applyBorder="1" applyAlignment="1">
      <alignment horizontal="center" vertical="center"/>
    </xf>
    <xf numFmtId="0" fontId="30" fillId="10" borderId="1" xfId="0" applyFont="1" applyFill="1" applyBorder="1" applyAlignment="1">
      <alignment vertical="center"/>
    </xf>
    <xf numFmtId="0" fontId="30" fillId="10" borderId="4" xfId="0" applyFont="1" applyFill="1" applyBorder="1" applyAlignment="1">
      <alignment vertical="center"/>
    </xf>
    <xf numFmtId="14" fontId="30" fillId="0" borderId="1"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xf numFmtId="1" fontId="30" fillId="0" borderId="0" xfId="0" applyNumberFormat="1" applyFont="1"/>
    <xf numFmtId="9" fontId="30" fillId="0" borderId="0" xfId="5" applyFont="1"/>
    <xf numFmtId="0" fontId="30" fillId="0" borderId="19" xfId="0" applyFont="1" applyBorder="1" applyAlignment="1">
      <alignment vertical="center"/>
    </xf>
    <xf numFmtId="180" fontId="30" fillId="2" borderId="0" xfId="3" applyNumberFormat="1" applyFont="1" applyFill="1" applyAlignment="1">
      <alignment vertical="center" wrapText="1"/>
    </xf>
    <xf numFmtId="180" fontId="28" fillId="0" borderId="0" xfId="3" applyNumberFormat="1" applyFont="1"/>
    <xf numFmtId="180" fontId="30" fillId="0" borderId="19" xfId="3" applyNumberFormat="1" applyFont="1" applyBorder="1" applyAlignment="1">
      <alignment vertical="center"/>
    </xf>
    <xf numFmtId="0" fontId="32" fillId="0" borderId="0" xfId="0" applyFont="1" applyAlignment="1">
      <alignment vertical="center"/>
    </xf>
    <xf numFmtId="0" fontId="32" fillId="0" borderId="1" xfId="0" applyFont="1" applyBorder="1" applyAlignment="1">
      <alignment horizontal="center" vertical="center"/>
    </xf>
    <xf numFmtId="14" fontId="32" fillId="0" borderId="0" xfId="0" applyNumberFormat="1" applyFont="1" applyAlignment="1">
      <alignment horizontal="center" vertical="center"/>
    </xf>
    <xf numFmtId="0" fontId="32" fillId="0" borderId="2" xfId="0" applyFont="1" applyBorder="1" applyAlignment="1">
      <alignment horizontal="center" vertical="center"/>
    </xf>
    <xf numFmtId="0" fontId="0" fillId="0" borderId="0" xfId="0" applyAlignment="1">
      <alignment horizontal="center" vertical="center"/>
    </xf>
    <xf numFmtId="0" fontId="31" fillId="0" borderId="1" xfId="0" applyFont="1" applyBorder="1" applyAlignment="1">
      <alignment horizontal="center" vertical="center"/>
    </xf>
    <xf numFmtId="0" fontId="30" fillId="14" borderId="10" xfId="0" applyFont="1" applyFill="1" applyBorder="1"/>
    <xf numFmtId="0" fontId="30" fillId="0" borderId="0" xfId="0" pivotButton="1" applyFont="1"/>
    <xf numFmtId="0" fontId="30" fillId="0" borderId="0" xfId="0" applyFont="1" applyAlignment="1">
      <alignment wrapText="1"/>
    </xf>
    <xf numFmtId="0" fontId="30" fillId="0" borderId="0" xfId="0" applyFont="1" applyAlignment="1">
      <alignment horizontal="left"/>
    </xf>
    <xf numFmtId="0" fontId="30" fillId="14" borderId="21" xfId="0" applyFont="1" applyFill="1" applyBorder="1"/>
    <xf numFmtId="0" fontId="33" fillId="0" borderId="0" xfId="0" applyFont="1" applyAlignment="1">
      <alignment horizontal="center" vertical="center"/>
    </xf>
    <xf numFmtId="0" fontId="33" fillId="0" borderId="8" xfId="0" applyFont="1" applyBorder="1" applyAlignment="1">
      <alignment vertical="center" wrapText="1"/>
    </xf>
    <xf numFmtId="0" fontId="33" fillId="0" borderId="9" xfId="0" applyFont="1" applyBorder="1" applyAlignment="1">
      <alignment vertical="center" wrapText="1"/>
    </xf>
    <xf numFmtId="0" fontId="33" fillId="0" borderId="10" xfId="0" applyFont="1" applyBorder="1" applyAlignment="1">
      <alignment vertical="center" wrapText="1"/>
    </xf>
    <xf numFmtId="180" fontId="33" fillId="0" borderId="10" xfId="3" applyNumberFormat="1" applyFont="1" applyBorder="1" applyAlignment="1">
      <alignment vertical="center" wrapText="1"/>
    </xf>
    <xf numFmtId="0" fontId="33" fillId="0" borderId="0" xfId="0" applyFont="1" applyAlignment="1">
      <alignment vertical="center"/>
    </xf>
    <xf numFmtId="0" fontId="33" fillId="0" borderId="12" xfId="0" applyFont="1" applyBorder="1" applyAlignment="1">
      <alignment vertical="center" wrapText="1"/>
    </xf>
    <xf numFmtId="180" fontId="33" fillId="0" borderId="0" xfId="3" applyNumberFormat="1" applyFont="1" applyAlignment="1">
      <alignment vertical="center"/>
    </xf>
    <xf numFmtId="0" fontId="34" fillId="0" borderId="0" xfId="0" applyFont="1"/>
    <xf numFmtId="0" fontId="33" fillId="0" borderId="0" xfId="0" applyFont="1" applyAlignment="1">
      <alignment vertical="center" wrapText="1"/>
    </xf>
    <xf numFmtId="0" fontId="33" fillId="12" borderId="11" xfId="0" applyFont="1" applyFill="1" applyBorder="1" applyAlignment="1">
      <alignment horizontal="left" vertical="center" wrapText="1"/>
    </xf>
    <xf numFmtId="0" fontId="33" fillId="13" borderId="11" xfId="0" applyFont="1" applyFill="1" applyBorder="1" applyAlignment="1">
      <alignment horizontal="left" vertical="center" wrapText="1"/>
    </xf>
    <xf numFmtId="0" fontId="33" fillId="0" borderId="11" xfId="0" applyFont="1" applyBorder="1" applyAlignment="1">
      <alignment vertical="center" wrapText="1"/>
    </xf>
    <xf numFmtId="0" fontId="33" fillId="12" borderId="22" xfId="0" applyFont="1" applyFill="1" applyBorder="1" applyAlignment="1">
      <alignment horizontal="left" vertical="center" wrapText="1"/>
    </xf>
    <xf numFmtId="0" fontId="33" fillId="13" borderId="15" xfId="0" applyFont="1" applyFill="1" applyBorder="1" applyAlignment="1">
      <alignment horizontal="left" vertical="center" wrapText="1"/>
    </xf>
    <xf numFmtId="0" fontId="33" fillId="0" borderId="16" xfId="0" applyFont="1" applyBorder="1" applyAlignment="1">
      <alignment vertical="center" wrapText="1"/>
    </xf>
    <xf numFmtId="0" fontId="34" fillId="0" borderId="0" xfId="0" applyFont="1" applyAlignment="1">
      <alignment horizontal="left"/>
    </xf>
    <xf numFmtId="0" fontId="33" fillId="0" borderId="12" xfId="0" applyFont="1" applyBorder="1" applyAlignment="1">
      <alignment vertical="center"/>
    </xf>
    <xf numFmtId="9" fontId="33" fillId="0" borderId="12" xfId="5" applyFont="1" applyBorder="1" applyAlignment="1">
      <alignment vertical="center"/>
    </xf>
    <xf numFmtId="0" fontId="33" fillId="0" borderId="13" xfId="0" applyFont="1" applyBorder="1" applyAlignment="1">
      <alignment vertical="center"/>
    </xf>
    <xf numFmtId="9" fontId="33" fillId="0" borderId="0" xfId="5" applyFont="1" applyBorder="1" applyAlignment="1">
      <alignment vertical="center"/>
    </xf>
    <xf numFmtId="0" fontId="33" fillId="0" borderId="14" xfId="0" applyFont="1" applyBorder="1" applyAlignment="1">
      <alignment vertical="center"/>
    </xf>
    <xf numFmtId="0" fontId="33" fillId="0" borderId="16" xfId="0" applyFont="1" applyBorder="1" applyAlignment="1">
      <alignment vertical="center"/>
    </xf>
    <xf numFmtId="9" fontId="33" fillId="0" borderId="16" xfId="5" applyFont="1" applyBorder="1" applyAlignment="1">
      <alignment vertical="center"/>
    </xf>
    <xf numFmtId="0" fontId="33" fillId="0" borderId="17" xfId="0" applyFont="1" applyBorder="1" applyAlignment="1">
      <alignment vertical="center"/>
    </xf>
    <xf numFmtId="0" fontId="33" fillId="0" borderId="0" xfId="0" applyFont="1"/>
    <xf numFmtId="180" fontId="33" fillId="0" borderId="0" xfId="3" applyNumberFormat="1" applyFont="1"/>
    <xf numFmtId="0" fontId="33" fillId="0" borderId="0" xfId="0" applyFont="1" applyAlignment="1">
      <alignment horizontal="center"/>
    </xf>
    <xf numFmtId="0" fontId="34" fillId="0" borderId="0" xfId="0" applyFont="1" applyAlignment="1">
      <alignment wrapText="1"/>
    </xf>
    <xf numFmtId="0" fontId="26" fillId="0" borderId="20" xfId="0" applyFont="1" applyBorder="1"/>
    <xf numFmtId="0" fontId="26" fillId="0" borderId="13" xfId="0" applyFont="1" applyBorder="1"/>
    <xf numFmtId="0" fontId="26" fillId="0" borderId="11" xfId="0" applyFont="1" applyBorder="1"/>
    <xf numFmtId="0" fontId="26" fillId="0" borderId="14" xfId="0" applyFont="1" applyBorder="1"/>
    <xf numFmtId="0" fontId="35" fillId="0" borderId="14" xfId="1" applyFont="1" applyBorder="1"/>
    <xf numFmtId="14" fontId="26" fillId="0" borderId="14" xfId="0" applyNumberFormat="1" applyFont="1" applyBorder="1" applyAlignment="1">
      <alignment horizontal="left"/>
    </xf>
    <xf numFmtId="0" fontId="26" fillId="0" borderId="15" xfId="0" applyFont="1" applyBorder="1"/>
    <xf numFmtId="14" fontId="26" fillId="0" borderId="17" xfId="0" applyNumberFormat="1" applyFont="1" applyBorder="1" applyAlignment="1">
      <alignment horizontal="left"/>
    </xf>
    <xf numFmtId="180" fontId="36" fillId="0" borderId="19" xfId="3" applyNumberFormat="1" applyFont="1" applyBorder="1"/>
    <xf numFmtId="0" fontId="33" fillId="0" borderId="15" xfId="0" applyFont="1" applyBorder="1" applyAlignment="1">
      <alignment vertical="center" wrapText="1"/>
    </xf>
    <xf numFmtId="0" fontId="26" fillId="0" borderId="0" xfId="0" applyFont="1"/>
    <xf numFmtId="0" fontId="26" fillId="0" borderId="0" xfId="0" applyFont="1" applyAlignment="1">
      <alignment vertical="center"/>
    </xf>
    <xf numFmtId="0" fontId="37" fillId="0" borderId="0" xfId="0" applyFont="1" applyAlignment="1">
      <alignment vertical="center" wrapText="1"/>
    </xf>
    <xf numFmtId="14" fontId="26" fillId="0" borderId="0" xfId="0" applyNumberFormat="1" applyFont="1" applyAlignment="1">
      <alignment vertical="center"/>
    </xf>
    <xf numFmtId="0" fontId="32" fillId="0" borderId="0" xfId="0" applyFont="1" applyAlignment="1">
      <alignment vertical="center" wrapText="1"/>
    </xf>
    <xf numFmtId="0" fontId="26" fillId="0" borderId="0" xfId="0" applyFont="1" applyAlignment="1">
      <alignment vertical="center" wrapText="1"/>
    </xf>
    <xf numFmtId="0" fontId="26" fillId="0" borderId="0" xfId="0" applyFont="1" applyAlignment="1">
      <alignment horizontal="center" vertical="center"/>
    </xf>
    <xf numFmtId="0" fontId="26" fillId="0" borderId="0" xfId="0" applyFont="1" applyAlignment="1">
      <alignment horizontal="center"/>
    </xf>
    <xf numFmtId="0" fontId="26" fillId="2" borderId="0" xfId="0" applyFont="1" applyFill="1" applyAlignment="1">
      <alignment horizontal="center" vertical="center"/>
    </xf>
    <xf numFmtId="0" fontId="39" fillId="0" borderId="0" xfId="0" applyFont="1"/>
    <xf numFmtId="0" fontId="40" fillId="0" borderId="10" xfId="0" applyFont="1" applyBorder="1" applyAlignment="1">
      <alignment vertical="center" wrapText="1"/>
    </xf>
    <xf numFmtId="0" fontId="39" fillId="0" borderId="0" xfId="0" applyFont="1" applyAlignment="1">
      <alignment wrapText="1"/>
    </xf>
    <xf numFmtId="0" fontId="43" fillId="0" borderId="0" xfId="0" applyFont="1" applyAlignment="1">
      <alignment vertical="center"/>
    </xf>
    <xf numFmtId="0" fontId="43" fillId="0" borderId="0" xfId="0" applyFont="1" applyAlignment="1">
      <alignment horizontal="left" vertical="center"/>
    </xf>
    <xf numFmtId="0" fontId="43" fillId="0" borderId="0" xfId="0" applyFont="1"/>
    <xf numFmtId="177" fontId="43" fillId="0" borderId="0" xfId="3" applyFont="1" applyAlignment="1">
      <alignment vertical="center"/>
    </xf>
    <xf numFmtId="177" fontId="43" fillId="0" borderId="19" xfId="3" applyFont="1" applyBorder="1" applyAlignment="1">
      <alignment vertical="center"/>
    </xf>
    <xf numFmtId="0" fontId="43" fillId="0" borderId="0" xfId="0" applyFont="1" applyAlignment="1">
      <alignment horizontal="left" vertical="center" wrapText="1"/>
    </xf>
    <xf numFmtId="0" fontId="8" fillId="17" borderId="11" xfId="0" applyFont="1" applyFill="1" applyBorder="1" applyAlignment="1">
      <alignment vertical="top"/>
    </xf>
    <xf numFmtId="0" fontId="8" fillId="17" borderId="15" xfId="0" applyFont="1" applyFill="1" applyBorder="1" applyAlignment="1">
      <alignment vertical="top"/>
    </xf>
    <xf numFmtId="0" fontId="26" fillId="0" borderId="0" xfId="0" applyFont="1" applyAlignment="1">
      <alignment horizontal="center" wrapText="1"/>
    </xf>
    <xf numFmtId="0" fontId="45" fillId="0" borderId="0" xfId="0" applyFont="1" applyAlignment="1">
      <alignment wrapText="1"/>
    </xf>
    <xf numFmtId="177" fontId="26" fillId="0" borderId="0" xfId="3" applyFont="1"/>
    <xf numFmtId="177" fontId="26" fillId="0" borderId="19" xfId="3" applyFont="1" applyBorder="1"/>
    <xf numFmtId="0" fontId="26" fillId="0" borderId="0" xfId="0" applyFont="1" applyAlignment="1">
      <alignment horizontal="left"/>
    </xf>
    <xf numFmtId="177" fontId="26" fillId="0" borderId="0" xfId="3" applyFont="1" applyAlignment="1">
      <alignment horizontal="center"/>
    </xf>
    <xf numFmtId="0" fontId="26" fillId="2" borderId="0" xfId="0" applyFont="1" applyFill="1"/>
    <xf numFmtId="0" fontId="47" fillId="0" borderId="0" xfId="0" applyFont="1" applyAlignment="1">
      <alignment horizontal="center" vertical="top"/>
    </xf>
    <xf numFmtId="0" fontId="11" fillId="0" borderId="0" xfId="0" applyFont="1" applyAlignment="1">
      <alignment horizontal="center" vertical="top"/>
    </xf>
    <xf numFmtId="14" fontId="7" fillId="0" borderId="0" xfId="0" applyNumberFormat="1" applyFont="1" applyAlignment="1">
      <alignment horizontal="center" vertical="top"/>
    </xf>
    <xf numFmtId="14" fontId="7" fillId="14" borderId="23" xfId="0" applyNumberFormat="1" applyFont="1" applyFill="1" applyBorder="1" applyAlignment="1">
      <alignment horizontal="center" vertical="top"/>
    </xf>
    <xf numFmtId="0" fontId="7" fillId="15" borderId="22" xfId="0" applyFont="1" applyFill="1" applyBorder="1" applyAlignment="1">
      <alignment horizontal="center" vertical="top"/>
    </xf>
    <xf numFmtId="0" fontId="7" fillId="0" borderId="22" xfId="0" applyFont="1" applyBorder="1" applyAlignment="1">
      <alignment vertical="top"/>
    </xf>
    <xf numFmtId="0" fontId="7" fillId="0" borderId="24" xfId="0" applyFont="1" applyBorder="1" applyAlignment="1">
      <alignment vertical="top"/>
    </xf>
    <xf numFmtId="0" fontId="37" fillId="2" borderId="0" xfId="0" applyFont="1" applyFill="1" applyAlignment="1">
      <alignment vertical="center" wrapText="1"/>
    </xf>
    <xf numFmtId="0" fontId="6" fillId="18" borderId="20" xfId="0" applyFont="1" applyFill="1" applyBorder="1" applyAlignment="1">
      <alignment horizontal="center" vertical="top"/>
    </xf>
    <xf numFmtId="0" fontId="6" fillId="18" borderId="11" xfId="0" applyFont="1" applyFill="1" applyBorder="1" applyAlignment="1">
      <alignment horizontal="center" vertical="top"/>
    </xf>
    <xf numFmtId="0" fontId="6" fillId="18" borderId="15" xfId="0" applyFont="1" applyFill="1" applyBorder="1" applyAlignment="1">
      <alignment horizontal="center" vertical="top"/>
    </xf>
    <xf numFmtId="0" fontId="7" fillId="18" borderId="8" xfId="0" applyFont="1" applyFill="1" applyBorder="1" applyAlignment="1">
      <alignment horizontal="center" vertical="top"/>
    </xf>
    <xf numFmtId="0" fontId="48" fillId="19" borderId="0" xfId="0" applyFont="1" applyFill="1" applyAlignment="1">
      <alignment vertical="center" wrapText="1"/>
    </xf>
    <xf numFmtId="14" fontId="26" fillId="0" borderId="0" xfId="0" applyNumberFormat="1" applyFont="1"/>
    <xf numFmtId="0" fontId="37" fillId="2" borderId="5" xfId="0" applyFont="1" applyFill="1" applyBorder="1" applyAlignment="1">
      <alignment vertical="center" wrapText="1"/>
    </xf>
    <xf numFmtId="0" fontId="26" fillId="0" borderId="5" xfId="0" applyFont="1" applyBorder="1"/>
    <xf numFmtId="0" fontId="37" fillId="2" borderId="25" xfId="0" applyFont="1" applyFill="1" applyBorder="1" applyAlignment="1">
      <alignment vertical="center" wrapText="1"/>
    </xf>
    <xf numFmtId="14" fontId="26" fillId="0" borderId="25" xfId="0" applyNumberFormat="1" applyFont="1" applyBorder="1"/>
    <xf numFmtId="0" fontId="26" fillId="0" borderId="25" xfId="0" applyFont="1" applyBorder="1"/>
    <xf numFmtId="0" fontId="26" fillId="0" borderId="5" xfId="0" applyFont="1" applyBorder="1" applyAlignment="1">
      <alignment horizontal="center"/>
    </xf>
    <xf numFmtId="0" fontId="49" fillId="0" borderId="0" xfId="0" applyFont="1" applyAlignment="1">
      <alignment horizontal="center" vertical="top"/>
    </xf>
    <xf numFmtId="0" fontId="47" fillId="0" borderId="0" xfId="0" applyFont="1" applyAlignment="1">
      <alignment vertical="top"/>
    </xf>
    <xf numFmtId="0" fontId="30" fillId="13" borderId="18" xfId="0" applyFont="1" applyFill="1" applyBorder="1" applyAlignment="1">
      <alignment horizontal="center"/>
    </xf>
    <xf numFmtId="0" fontId="26" fillId="20" borderId="0" xfId="0" applyFont="1" applyFill="1" applyAlignment="1">
      <alignment vertical="center" wrapText="1"/>
    </xf>
    <xf numFmtId="0" fontId="0" fillId="20" borderId="0" xfId="0" applyFill="1"/>
    <xf numFmtId="14" fontId="26" fillId="20" borderId="0" xfId="0" applyNumberFormat="1" applyFont="1" applyFill="1" applyAlignment="1">
      <alignment horizontal="left" vertical="center" wrapText="1"/>
    </xf>
    <xf numFmtId="0" fontId="0" fillId="20" borderId="0" xfId="0" applyFill="1" applyAlignment="1">
      <alignment horizontal="center"/>
    </xf>
    <xf numFmtId="0" fontId="26" fillId="0" borderId="0" xfId="0" applyFont="1" applyAlignment="1">
      <alignment horizontal="center" vertical="center" wrapText="1"/>
    </xf>
    <xf numFmtId="0" fontId="26" fillId="20" borderId="0" xfId="0" applyFont="1" applyFill="1" applyAlignment="1">
      <alignment wrapText="1"/>
    </xf>
    <xf numFmtId="0" fontId="26" fillId="20" borderId="0" xfId="0" applyFont="1" applyFill="1" applyAlignment="1">
      <alignment horizontal="center" vertical="center" wrapText="1"/>
    </xf>
    <xf numFmtId="0" fontId="50" fillId="20" borderId="0" xfId="0" applyFont="1" applyFill="1" applyAlignment="1">
      <alignment wrapText="1"/>
    </xf>
    <xf numFmtId="178" fontId="26" fillId="0" borderId="0" xfId="0" applyNumberFormat="1" applyFont="1" applyAlignment="1">
      <alignment horizontal="center" vertical="center" wrapText="1"/>
    </xf>
    <xf numFmtId="14" fontId="26" fillId="0" borderId="0" xfId="0" applyNumberFormat="1" applyFont="1" applyAlignment="1">
      <alignment horizontal="center" vertical="center" wrapText="1"/>
    </xf>
    <xf numFmtId="0" fontId="26" fillId="2" borderId="0" xfId="0" applyFont="1" applyFill="1" applyAlignment="1">
      <alignment horizontal="center" vertical="center" wrapText="1"/>
    </xf>
    <xf numFmtId="178" fontId="26" fillId="0" borderId="0" xfId="0" applyNumberFormat="1" applyFont="1" applyFill="1" applyAlignment="1">
      <alignment horizontal="center" vertical="center" wrapText="1"/>
    </xf>
    <xf numFmtId="0" fontId="51" fillId="0" borderId="0" xfId="0" applyFont="1" applyAlignment="1">
      <alignment horizontal="center"/>
    </xf>
    <xf numFmtId="0" fontId="2" fillId="0" borderId="0" xfId="0" applyFont="1" applyAlignment="1">
      <alignment horizontal="center"/>
    </xf>
    <xf numFmtId="0" fontId="52" fillId="0" borderId="0" xfId="0" applyFont="1" applyAlignment="1">
      <alignment horizontal="center" vertical="center" wrapText="1"/>
    </xf>
    <xf numFmtId="0" fontId="53" fillId="0" borderId="0" xfId="0" applyFont="1" applyAlignment="1">
      <alignment horizontal="center" vertical="center" wrapText="1"/>
    </xf>
    <xf numFmtId="178" fontId="52" fillId="0" borderId="0" xfId="0" applyNumberFormat="1" applyFont="1" applyFill="1" applyAlignment="1">
      <alignment horizontal="center" vertical="center" wrapText="1"/>
    </xf>
    <xf numFmtId="178" fontId="55" fillId="0" borderId="0" xfId="0" applyNumberFormat="1" applyFont="1" applyFill="1" applyAlignment="1">
      <alignment horizontal="center" vertical="center" wrapText="1"/>
    </xf>
    <xf numFmtId="178" fontId="52" fillId="0" borderId="0" xfId="0" applyNumberFormat="1" applyFont="1" applyAlignment="1">
      <alignment horizontal="center" vertical="center" wrapText="1"/>
    </xf>
    <xf numFmtId="178" fontId="56" fillId="0" borderId="0" xfId="0" applyNumberFormat="1" applyFont="1" applyAlignment="1">
      <alignment horizontal="center" vertical="center" wrapText="1"/>
    </xf>
    <xf numFmtId="178" fontId="54" fillId="0" borderId="0" xfId="0" applyNumberFormat="1" applyFont="1" applyAlignment="1">
      <alignment horizontal="center" vertical="center" wrapText="1"/>
    </xf>
    <xf numFmtId="178" fontId="53" fillId="0" borderId="0" xfId="0" applyNumberFormat="1" applyFont="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wrapText="1"/>
    </xf>
    <xf numFmtId="0" fontId="54" fillId="0" borderId="0" xfId="0" applyFont="1" applyBorder="1" applyAlignment="1">
      <alignment horizontal="center" vertical="center" wrapText="1"/>
    </xf>
  </cellXfs>
  <cellStyles count="6">
    <cellStyle name="Comma" xfId="3" builtinId="3"/>
    <cellStyle name="Currency" xfId="4" builtinId="4"/>
    <cellStyle name="Hyperlink" xfId="1" builtinId="8"/>
    <cellStyle name="Normal" xfId="0" builtinId="0"/>
    <cellStyle name="Normal 3" xfId="2" xr:uid="{00000000-0005-0000-0000-000002000000}"/>
    <cellStyle name="Percent" xfId="5" builtinId="5"/>
  </cellStyles>
  <dxfs count="11">
    <dxf>
      <font>
        <sz val="9"/>
      </font>
    </dxf>
    <dxf>
      <font>
        <sz val="9"/>
      </font>
    </dxf>
    <dxf>
      <font>
        <sz val="9"/>
      </font>
    </dxf>
    <dxf>
      <font>
        <sz val="9"/>
      </font>
    </dxf>
    <dxf>
      <font>
        <b val="0"/>
        <i val="0"/>
        <strike val="0"/>
        <condense val="0"/>
        <extend val="0"/>
        <outline val="0"/>
        <shadow val="0"/>
        <u val="none"/>
        <vertAlign val="baseline"/>
        <sz val="9"/>
        <color theme="1"/>
        <name val="Calibri"/>
        <family val="2"/>
        <scheme val="none"/>
      </font>
      <alignment horizontal="general" vertical="center" textRotation="0" wrapText="0" indent="0" justifyLastLine="0" shrinkToFit="0" readingOrder="0"/>
    </dxf>
    <dxf>
      <font>
        <sz val="9"/>
        <family val="2"/>
      </font>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9"/>
        <color theme="1"/>
        <name val="Calibri"/>
        <family val="2"/>
        <scheme val="minor"/>
      </font>
      <numFmt numFmtId="181" formatCode="d/m/yyyy"/>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sz val="9"/>
        <family val="2"/>
      </font>
      <numFmt numFmtId="181" formatCode="d/m/yy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81"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CCFF"/>
      <color rgb="FFFF33CC"/>
      <color rgb="FFFF00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List" dx="27" fmlaLink="ListOfSheetsHIDE!$N$1" fmlaRange="ListOfSheetsHIDE!$M$1:$M$3" noThreeD="1" sel="2" val="0"/>
</file>

<file path=xl/ctrlProps/ctrlProp2.xml><?xml version="1.0" encoding="utf-8"?>
<formControlPr xmlns="http://schemas.microsoft.com/office/spreadsheetml/2009/9/main" objectType="List" dx="27" fmlaLink="ListOfSheetsHIDE!$C$2" fmlaRange="ListOfSheetsHIDE!$G$1:$G$499" sel="7" val="0"/>
</file>

<file path=xl/ctrlProps/ctrlProp3.xml><?xml version="1.0" encoding="utf-8"?>
<formControlPr xmlns="http://schemas.microsoft.com/office/spreadsheetml/2009/9/main" objectType="List" dx="27" fmlaLink="MarkerCellForTypeOfForm" fmlaRange="FormListHIDE!$R$1:$R$200" sel="1" val="0"/>
</file>

<file path=xl/ctrlProps/ctrlProp4.xml><?xml version="1.0" encoding="utf-8"?>
<formControlPr xmlns="http://schemas.microsoft.com/office/spreadsheetml/2009/9/main" objectType="List" dx="27" fmlaLink="FormListHIDE!$C$1" fmlaRange="FormListHIDE!$D$1:$D$52" noThreeD="1" sel="5" val="0"/>
</file>

<file path=xl/ctrlProps/ctrlProp5.xml><?xml version="1.0" encoding="utf-8"?>
<formControlPr xmlns="http://schemas.microsoft.com/office/spreadsheetml/2009/9/main" objectType="List" dx="27" fmlaLink="$B$5" fmlaRange="Inputs!$B$3:$B$12" noThreeD="1" sel="1" val="0"/>
</file>

<file path=xl/ctrlProps/ctrlProp6.xml><?xml version="1.0" encoding="utf-8"?>
<formControlPr xmlns="http://schemas.microsoft.com/office/spreadsheetml/2009/9/main" objectType="List" dx="27" fmlaLink="MarkerCellForTypeOfForm" fmlaRange="FormListHIDE!$R$1:$R$200" sel="1" val="0"/>
</file>

<file path=xl/ctrlProps/ctrlProp7.xml><?xml version="1.0" encoding="utf-8"?>
<formControlPr xmlns="http://schemas.microsoft.com/office/spreadsheetml/2009/9/main" objectType="List" dx="27" fmlaLink="FormListHIDE!$C$1" fmlaRange="FormListHIDE!$D$1:$D$52" noThreeD="1" sel="5" val="0"/>
</file>

<file path=xl/ctrlProps/ctrlProp8.xml><?xml version="1.0" encoding="utf-8"?>
<formControlPr xmlns="http://schemas.microsoft.com/office/spreadsheetml/2009/9/main" objectType="List" dx="27" fmlaLink="$B$5" fmlaRange="Inputs!$B$3:$B$12" noThreeD="1" sel="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990600</xdr:colOff>
          <xdr:row>53</xdr:row>
          <xdr:rowOff>47625</xdr:rowOff>
        </xdr:from>
        <xdr:to>
          <xdr:col>2</xdr:col>
          <xdr:colOff>714375</xdr:colOff>
          <xdr:row>56</xdr:row>
          <xdr:rowOff>9525</xdr:rowOff>
        </xdr:to>
        <xdr:sp macro="" textlink="">
          <xdr:nvSpPr>
            <xdr:cNvPr id="539649" name="List Box 1" hidden="1">
              <a:extLst>
                <a:ext uri="{63B3BB69-23CF-44E3-9099-C40C66FF867C}">
                  <a14:compatExt spid="_x0000_s539649"/>
                </a:ext>
                <a:ext uri="{FF2B5EF4-FFF2-40B4-BE49-F238E27FC236}">
                  <a16:creationId xmlns:a16="http://schemas.microsoft.com/office/drawing/2014/main" id="{00000000-0008-0000-0000-0000013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76200</xdr:colOff>
          <xdr:row>3</xdr:row>
          <xdr:rowOff>104775</xdr:rowOff>
        </xdr:from>
        <xdr:to>
          <xdr:col>1</xdr:col>
          <xdr:colOff>2124075</xdr:colOff>
          <xdr:row>13</xdr:row>
          <xdr:rowOff>114300</xdr:rowOff>
        </xdr:to>
        <xdr:sp macro="" textlink="">
          <xdr:nvSpPr>
            <xdr:cNvPr id="2049" name="List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absoluteAnchor>
    <xdr:pos x="2886075" y="400050"/>
    <xdr:ext cx="533400" cy="142875"/>
    <xdr:sp macro="[0]!ClearNarrowBoxContactsSheet" textlink="">
      <xdr:nvSpPr>
        <xdr:cNvPr id="3" name="TextBox 2">
          <a:extLst>
            <a:ext uri="{FF2B5EF4-FFF2-40B4-BE49-F238E27FC236}">
              <a16:creationId xmlns:a16="http://schemas.microsoft.com/office/drawing/2014/main" id="{00000000-0008-0000-0100-000003000000}"/>
            </a:ext>
          </a:extLst>
        </xdr:cNvPr>
        <xdr:cNvSpPr txBox="1"/>
      </xdr:nvSpPr>
      <xdr:spPr>
        <a:xfrm>
          <a:off x="2886075" y="400050"/>
          <a:ext cx="533400" cy="142875"/>
        </a:xfrm>
        <a:prstGeom prst="round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Clear</a:t>
          </a:r>
        </a:p>
      </xdr:txBody>
    </xdr:sp>
    <xdr:clientData/>
  </xdr:absoluteAnchor>
  <xdr:absoluteAnchor>
    <xdr:pos x="2724150" y="790575"/>
    <xdr:ext cx="1257299" cy="371475"/>
    <xdr:sp macro="[0]!RefreshListOfSheets" textlink="">
      <xdr:nvSpPr>
        <xdr:cNvPr id="4" name="TextBox 3">
          <a:extLst>
            <a:ext uri="{FF2B5EF4-FFF2-40B4-BE49-F238E27FC236}">
              <a16:creationId xmlns:a16="http://schemas.microsoft.com/office/drawing/2014/main" id="{00000000-0008-0000-0100-000004000000}"/>
            </a:ext>
          </a:extLst>
        </xdr:cNvPr>
        <xdr:cNvSpPr txBox="1"/>
      </xdr:nvSpPr>
      <xdr:spPr>
        <a:xfrm>
          <a:off x="2724150" y="790575"/>
          <a:ext cx="1257299" cy="371475"/>
        </a:xfrm>
        <a:prstGeom prst="round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algn="ctr"/>
          <a:r>
            <a:rPr lang="en-CA" sz="1000"/>
            <a:t>Refresh Listbox and hide all matter sheets</a:t>
          </a:r>
        </a:p>
      </xdr:txBody>
    </xdr:sp>
    <xdr:clientData/>
  </xdr:absoluteAnchor>
  <xdr:absoluteAnchor>
    <xdr:pos x="2847975" y="1238250"/>
    <xdr:ext cx="1028700" cy="209550"/>
    <xdr:sp macro="[0]!DuplicateTemplate" textlink="">
      <xdr:nvSpPr>
        <xdr:cNvPr id="5" name="TextBox 4">
          <a:extLst>
            <a:ext uri="{FF2B5EF4-FFF2-40B4-BE49-F238E27FC236}">
              <a16:creationId xmlns:a16="http://schemas.microsoft.com/office/drawing/2014/main" id="{00000000-0008-0000-0100-000005000000}"/>
            </a:ext>
          </a:extLst>
        </xdr:cNvPr>
        <xdr:cNvSpPr txBox="1"/>
      </xdr:nvSpPr>
      <xdr:spPr>
        <a:xfrm>
          <a:off x="2847975" y="1238250"/>
          <a:ext cx="1028700" cy="209550"/>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Insert Sheet</a:t>
          </a:r>
        </a:p>
      </xdr:txBody>
    </xdr:sp>
    <xdr:clientData/>
  </xdr:absoluteAnchor>
  <xdr:absoluteAnchor>
    <xdr:pos x="2857500" y="1619250"/>
    <xdr:ext cx="1028700" cy="209550"/>
    <xdr:sp macro="[0]!GoToSheetInListbox" textlink="">
      <xdr:nvSpPr>
        <xdr:cNvPr id="6" name="TextBox 5">
          <a:extLst>
            <a:ext uri="{FF2B5EF4-FFF2-40B4-BE49-F238E27FC236}">
              <a16:creationId xmlns:a16="http://schemas.microsoft.com/office/drawing/2014/main" id="{00000000-0008-0000-0100-000006000000}"/>
            </a:ext>
          </a:extLst>
        </xdr:cNvPr>
        <xdr:cNvSpPr txBox="1"/>
      </xdr:nvSpPr>
      <xdr:spPr>
        <a:xfrm>
          <a:off x="2857500" y="1619250"/>
          <a:ext cx="1028700" cy="209550"/>
        </a:xfrm>
        <a:prstGeom prst="round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Go to Sheet</a:t>
          </a:r>
        </a:p>
      </xdr:txBody>
    </xdr:sp>
    <xdr:clientData/>
  </xdr:absoluteAnchor>
  <xdr:absoluteAnchor>
    <xdr:pos x="2847975" y="2009775"/>
    <xdr:ext cx="1028700" cy="209550"/>
    <xdr:sp macro="[0]!DeleteSheet" textlink="">
      <xdr:nvSpPr>
        <xdr:cNvPr id="7" name="TextBox 6">
          <a:extLst>
            <a:ext uri="{FF2B5EF4-FFF2-40B4-BE49-F238E27FC236}">
              <a16:creationId xmlns:a16="http://schemas.microsoft.com/office/drawing/2014/main" id="{00000000-0008-0000-0100-000007000000}"/>
            </a:ext>
          </a:extLst>
        </xdr:cNvPr>
        <xdr:cNvSpPr txBox="1"/>
      </xdr:nvSpPr>
      <xdr:spPr>
        <a:xfrm>
          <a:off x="2847975" y="2009775"/>
          <a:ext cx="1028700" cy="209550"/>
        </a:xfrm>
        <a:prstGeom prst="round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Delete</a:t>
          </a:r>
          <a:r>
            <a:rPr lang="en-CA" sz="1000" baseline="0"/>
            <a:t> Sheet</a:t>
          </a:r>
          <a:endParaRPr lang="en-CA" sz="1000"/>
        </a:p>
      </xdr:txBody>
    </xdr:sp>
    <xdr:clientData/>
  </xdr:absoluteAnchor>
  <xdr:absoluteAnchor>
    <xdr:pos x="561975" y="2943225"/>
    <xdr:ext cx="1523999" cy="200026"/>
    <xdr:sp macro="[0]!GoToItemInColumn" textlink="">
      <xdr:nvSpPr>
        <xdr:cNvPr id="8" name="TextBox 7">
          <a:extLst>
            <a:ext uri="{FF2B5EF4-FFF2-40B4-BE49-F238E27FC236}">
              <a16:creationId xmlns:a16="http://schemas.microsoft.com/office/drawing/2014/main" id="{00000000-0008-0000-0100-000008000000}"/>
            </a:ext>
          </a:extLst>
        </xdr:cNvPr>
        <xdr:cNvSpPr txBox="1"/>
      </xdr:nvSpPr>
      <xdr:spPr>
        <a:xfrm>
          <a:off x="561975" y="2943225"/>
          <a:ext cx="1523999" cy="200026"/>
        </a:xfrm>
        <a:prstGeom prst="round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algn="ctr"/>
          <a:r>
            <a:rPr lang="en-CA" sz="1000"/>
            <a:t>Search</a:t>
          </a:r>
          <a:r>
            <a:rPr lang="en-CA" sz="1000" baseline="0"/>
            <a:t> </a:t>
          </a:r>
          <a:r>
            <a:rPr lang="en-CA" sz="1000"/>
            <a:t>in selected column</a:t>
          </a:r>
        </a:p>
      </xdr:txBody>
    </xdr:sp>
    <xdr:clientData/>
  </xdr:absoluteAnchor>
  <xdr:absoluteAnchor>
    <xdr:pos x="2943225" y="2952750"/>
    <xdr:ext cx="1343024" cy="200025"/>
    <xdr:sp macro="[0]!SortContactsList" textlink="">
      <xdr:nvSpPr>
        <xdr:cNvPr id="9" name="TextBox 8">
          <a:extLst>
            <a:ext uri="{FF2B5EF4-FFF2-40B4-BE49-F238E27FC236}">
              <a16:creationId xmlns:a16="http://schemas.microsoft.com/office/drawing/2014/main" id="{00000000-0008-0000-0100-000009000000}"/>
            </a:ext>
          </a:extLst>
        </xdr:cNvPr>
        <xdr:cNvSpPr txBox="1"/>
      </xdr:nvSpPr>
      <xdr:spPr>
        <a:xfrm>
          <a:off x="2943225" y="2952750"/>
          <a:ext cx="1343024" cy="200025"/>
        </a:xfrm>
        <a:prstGeom prst="round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t"/>
        <a:lstStyle/>
        <a:p>
          <a:pPr algn="ctr"/>
          <a:r>
            <a:rPr lang="en-CA" sz="1000"/>
            <a:t>Sort by selected column</a:t>
          </a:r>
        </a:p>
      </xdr:txBody>
    </xdr:sp>
    <xdr:clientData/>
  </xdr:absoluteAnchor>
  <xdr:absoluteAnchor>
    <xdr:pos x="5038725" y="2905125"/>
    <xdr:ext cx="2238375" cy="238125"/>
    <xdr:sp macro="[0]!SendFromTableDataToMatterSheet" textlink="">
      <xdr:nvSpPr>
        <xdr:cNvPr id="10" name="TextBox 9">
          <a:extLst>
            <a:ext uri="{FF2B5EF4-FFF2-40B4-BE49-F238E27FC236}">
              <a16:creationId xmlns:a16="http://schemas.microsoft.com/office/drawing/2014/main" id="{00000000-0008-0000-0100-00000A000000}"/>
            </a:ext>
          </a:extLst>
        </xdr:cNvPr>
        <xdr:cNvSpPr txBox="1"/>
      </xdr:nvSpPr>
      <xdr:spPr>
        <a:xfrm>
          <a:off x="5038725" y="2905125"/>
          <a:ext cx="2238375" cy="238125"/>
        </a:xfrm>
        <a:prstGeom prst="round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algn="ctr"/>
          <a:r>
            <a:rPr lang="en-CA" sz="1000"/>
            <a:t>Send selected</a:t>
          </a:r>
          <a:r>
            <a:rPr lang="en-CA" sz="1000" baseline="0"/>
            <a:t> contact to selected Sheet</a:t>
          </a:r>
          <a:endParaRPr lang="en-CA" sz="1000"/>
        </a:p>
      </xdr:txBody>
    </xdr:sp>
    <xdr:clientData/>
  </xdr:absoluteAnchor>
  <xdr:absoluteAnchor>
    <xdr:pos x="8286750" y="2914650"/>
    <xdr:ext cx="1485900" cy="209550"/>
    <xdr:sp macro="[0]!AutoFitRowHeightContacts" textlink="">
      <xdr:nvSpPr>
        <xdr:cNvPr id="11" name="TextBox 10">
          <a:extLst>
            <a:ext uri="{FF2B5EF4-FFF2-40B4-BE49-F238E27FC236}">
              <a16:creationId xmlns:a16="http://schemas.microsoft.com/office/drawing/2014/main" id="{00000000-0008-0000-0100-00000B000000}"/>
            </a:ext>
          </a:extLst>
        </xdr:cNvPr>
        <xdr:cNvSpPr txBox="1"/>
      </xdr:nvSpPr>
      <xdr:spPr>
        <a:xfrm>
          <a:off x="8286750" y="2914650"/>
          <a:ext cx="1485900" cy="209550"/>
        </a:xfrm>
        <a:prstGeom prst="round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nchorCtr="0"/>
        <a:lstStyle/>
        <a:p>
          <a:pPr algn="ctr"/>
          <a:r>
            <a:rPr lang="en-CA" sz="1000"/>
            <a:t>Auto</a:t>
          </a:r>
          <a:r>
            <a:rPr lang="en-CA" sz="1000" baseline="0"/>
            <a:t> Fit Row Heights</a:t>
          </a:r>
          <a:endParaRPr lang="en-CA" sz="1000"/>
        </a:p>
      </xdr:txBody>
    </xdr:sp>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4</xdr:row>
          <xdr:rowOff>38100</xdr:rowOff>
        </xdr:from>
        <xdr:to>
          <xdr:col>4</xdr:col>
          <xdr:colOff>1819275</xdr:colOff>
          <xdr:row>15</xdr:row>
          <xdr:rowOff>104775</xdr:rowOff>
        </xdr:to>
        <xdr:sp macro="" textlink="">
          <xdr:nvSpPr>
            <xdr:cNvPr id="3073" name="List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257174</xdr:colOff>
      <xdr:row>8</xdr:row>
      <xdr:rowOff>57150</xdr:rowOff>
    </xdr:from>
    <xdr:to>
      <xdr:col>5</xdr:col>
      <xdr:colOff>1314450</xdr:colOff>
      <xdr:row>9</xdr:row>
      <xdr:rowOff>76200</xdr:rowOff>
    </xdr:to>
    <xdr:sp macro="[0]!FormWriterMikeBlind" textlink="">
      <xdr:nvSpPr>
        <xdr:cNvPr id="3" name="TextBox 2">
          <a:extLst>
            <a:ext uri="{FF2B5EF4-FFF2-40B4-BE49-F238E27FC236}">
              <a16:creationId xmlns:a16="http://schemas.microsoft.com/office/drawing/2014/main" id="{00000000-0008-0000-0200-000003000000}"/>
            </a:ext>
          </a:extLst>
        </xdr:cNvPr>
        <xdr:cNvSpPr txBox="1"/>
      </xdr:nvSpPr>
      <xdr:spPr>
        <a:xfrm>
          <a:off x="11363324" y="1352550"/>
          <a:ext cx="1047751" cy="180975"/>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Prepare</a:t>
          </a:r>
          <a:r>
            <a:rPr lang="en-CA" sz="1100" b="1" baseline="0"/>
            <a:t> Form</a:t>
          </a:r>
          <a:endParaRPr lang="en-CA" sz="1100" b="1"/>
        </a:p>
      </xdr:txBody>
    </xdr:sp>
    <xdr:clientData/>
  </xdr:twoCellAnchor>
  <xdr:twoCellAnchor>
    <xdr:from>
      <xdr:col>2</xdr:col>
      <xdr:colOff>1000125</xdr:colOff>
      <xdr:row>26</xdr:row>
      <xdr:rowOff>19051</xdr:rowOff>
    </xdr:from>
    <xdr:to>
      <xdr:col>2</xdr:col>
      <xdr:colOff>2819400</xdr:colOff>
      <xdr:row>27</xdr:row>
      <xdr:rowOff>85725</xdr:rowOff>
    </xdr:to>
    <xdr:sp macro="[0]!SortContactListOnMatterSheetBySelectedColumn" textlink="">
      <xdr:nvSpPr>
        <xdr:cNvPr id="4" name="TextBox 3">
          <a:extLst>
            <a:ext uri="{FF2B5EF4-FFF2-40B4-BE49-F238E27FC236}">
              <a16:creationId xmlns:a16="http://schemas.microsoft.com/office/drawing/2014/main" id="{00000000-0008-0000-0200-000004000000}"/>
            </a:ext>
          </a:extLst>
        </xdr:cNvPr>
        <xdr:cNvSpPr txBox="1"/>
      </xdr:nvSpPr>
      <xdr:spPr>
        <a:xfrm>
          <a:off x="3600450" y="4229101"/>
          <a:ext cx="1819275" cy="228599"/>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Sort table by selected column</a:t>
          </a:r>
          <a:endParaRPr lang="en-CA" sz="900" b="0"/>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4</xdr:row>
          <xdr:rowOff>28575</xdr:rowOff>
        </xdr:from>
        <xdr:to>
          <xdr:col>2</xdr:col>
          <xdr:colOff>3228975</xdr:colOff>
          <xdr:row>14</xdr:row>
          <xdr:rowOff>123825</xdr:rowOff>
        </xdr:to>
        <xdr:sp macro="" textlink="">
          <xdr:nvSpPr>
            <xdr:cNvPr id="3074" name="List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133350</xdr:colOff>
      <xdr:row>18</xdr:row>
      <xdr:rowOff>9526</xdr:rowOff>
    </xdr:from>
    <xdr:to>
      <xdr:col>4</xdr:col>
      <xdr:colOff>619125</xdr:colOff>
      <xdr:row>19</xdr:row>
      <xdr:rowOff>19051</xdr:rowOff>
    </xdr:to>
    <xdr:sp macro="[0]!ClearTheNarrowFormList" textlink="">
      <xdr:nvSpPr>
        <xdr:cNvPr id="6" name="TextBox 5">
          <a:extLst>
            <a:ext uri="{FF2B5EF4-FFF2-40B4-BE49-F238E27FC236}">
              <a16:creationId xmlns:a16="http://schemas.microsoft.com/office/drawing/2014/main" id="{00000000-0008-0000-0200-000006000000}"/>
            </a:ext>
          </a:extLst>
        </xdr:cNvPr>
        <xdr:cNvSpPr txBox="1"/>
      </xdr:nvSpPr>
      <xdr:spPr>
        <a:xfrm>
          <a:off x="9277350" y="2924176"/>
          <a:ext cx="485775" cy="171450"/>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Clear</a:t>
          </a:r>
        </a:p>
      </xdr:txBody>
    </xdr:sp>
    <xdr:clientData/>
  </xdr:twoCellAnchor>
  <xdr:twoCellAnchor>
    <xdr:from>
      <xdr:col>1</xdr:col>
      <xdr:colOff>142873</xdr:colOff>
      <xdr:row>23</xdr:row>
      <xdr:rowOff>66677</xdr:rowOff>
    </xdr:from>
    <xdr:to>
      <xdr:col>1</xdr:col>
      <xdr:colOff>1857374</xdr:colOff>
      <xdr:row>24</xdr:row>
      <xdr:rowOff>57150</xdr:rowOff>
    </xdr:to>
    <xdr:sp macro="[0]!DateFieldCodeInfo" textlink="">
      <xdr:nvSpPr>
        <xdr:cNvPr id="8" name="TextBox 7">
          <a:extLst>
            <a:ext uri="{FF2B5EF4-FFF2-40B4-BE49-F238E27FC236}">
              <a16:creationId xmlns:a16="http://schemas.microsoft.com/office/drawing/2014/main" id="{00000000-0008-0000-0200-000008000000}"/>
            </a:ext>
          </a:extLst>
        </xdr:cNvPr>
        <xdr:cNvSpPr txBox="1"/>
      </xdr:nvSpPr>
      <xdr:spPr>
        <a:xfrm>
          <a:off x="371473" y="3790952"/>
          <a:ext cx="1714501" cy="152398"/>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lang="en-CA" sz="900" b="0">
              <a:solidFill>
                <a:sysClr val="windowText" lastClr="000000"/>
              </a:solidFill>
            </a:rPr>
            <a:t>Click for info about this field code</a:t>
          </a:r>
          <a:r>
            <a:rPr lang="en-CA" sz="900" b="1">
              <a:solidFill>
                <a:sysClr val="windowText" lastClr="000000"/>
              </a:solidFill>
            </a:rPr>
            <a:t>.</a:t>
          </a:r>
          <a:endParaRPr lang="en-CA" sz="900" baseline="0">
            <a:solidFill>
              <a:sysClr val="windowText" lastClr="000000"/>
            </a:solidFill>
            <a:latin typeface="+mn-lt"/>
            <a:ea typeface="+mn-ea"/>
            <a:cs typeface="+mn-cs"/>
          </a:endParaRPr>
        </a:p>
      </xdr:txBody>
    </xdr:sp>
    <xdr:clientData/>
  </xdr:twoCellAnchor>
  <xdr:twoCellAnchor>
    <xdr:from>
      <xdr:col>1</xdr:col>
      <xdr:colOff>1847851</xdr:colOff>
      <xdr:row>28</xdr:row>
      <xdr:rowOff>28576</xdr:rowOff>
    </xdr:from>
    <xdr:to>
      <xdr:col>1</xdr:col>
      <xdr:colOff>2333627</xdr:colOff>
      <xdr:row>28</xdr:row>
      <xdr:rowOff>133350</xdr:rowOff>
    </xdr:to>
    <xdr:sp macro="[0]!ClearAddresseeNumbers" textlink="">
      <xdr:nvSpPr>
        <xdr:cNvPr id="9" name="TextBox 8">
          <a:extLst>
            <a:ext uri="{FF2B5EF4-FFF2-40B4-BE49-F238E27FC236}">
              <a16:creationId xmlns:a16="http://schemas.microsoft.com/office/drawing/2014/main" id="{00000000-0008-0000-0200-000009000000}"/>
            </a:ext>
          </a:extLst>
        </xdr:cNvPr>
        <xdr:cNvSpPr txBox="1"/>
      </xdr:nvSpPr>
      <xdr:spPr>
        <a:xfrm>
          <a:off x="2076451" y="4724401"/>
          <a:ext cx="485776" cy="104774"/>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Clear</a:t>
          </a:r>
          <a:endParaRPr lang="en-CA" sz="900" b="0"/>
        </a:p>
      </xdr:txBody>
    </xdr:sp>
    <xdr:clientData/>
  </xdr:twoCellAnchor>
  <xdr:twoCellAnchor>
    <xdr:from>
      <xdr:col>1</xdr:col>
      <xdr:colOff>57150</xdr:colOff>
      <xdr:row>28</xdr:row>
      <xdr:rowOff>28576</xdr:rowOff>
    </xdr:from>
    <xdr:to>
      <xdr:col>1</xdr:col>
      <xdr:colOff>561974</xdr:colOff>
      <xdr:row>28</xdr:row>
      <xdr:rowOff>142875</xdr:rowOff>
    </xdr:to>
    <xdr:sp macro="[0]!AddAddresseeNumber" textlink="">
      <xdr:nvSpPr>
        <xdr:cNvPr id="10" name="TextBox 9">
          <a:extLst>
            <a:ext uri="{FF2B5EF4-FFF2-40B4-BE49-F238E27FC236}">
              <a16:creationId xmlns:a16="http://schemas.microsoft.com/office/drawing/2014/main" id="{00000000-0008-0000-0200-00000A000000}"/>
            </a:ext>
          </a:extLst>
        </xdr:cNvPr>
        <xdr:cNvSpPr txBox="1"/>
      </xdr:nvSpPr>
      <xdr:spPr>
        <a:xfrm>
          <a:off x="285750" y="4724401"/>
          <a:ext cx="504824" cy="114299"/>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Include</a:t>
          </a:r>
          <a:endParaRPr lang="en-CA" sz="900" b="0"/>
        </a:p>
      </xdr:txBody>
    </xdr:sp>
    <xdr:clientData/>
  </xdr:twoCellAnchor>
  <xdr:twoCellAnchor editAs="oneCell">
    <xdr:from>
      <xdr:col>5</xdr:col>
      <xdr:colOff>257174</xdr:colOff>
      <xdr:row>6</xdr:row>
      <xdr:rowOff>66675</xdr:rowOff>
    </xdr:from>
    <xdr:to>
      <xdr:col>5</xdr:col>
      <xdr:colOff>1314450</xdr:colOff>
      <xdr:row>7</xdr:row>
      <xdr:rowOff>95250</xdr:rowOff>
    </xdr:to>
    <xdr:sp macro="[0]!FormPreviewBlindMacro" textlink="">
      <xdr:nvSpPr>
        <xdr:cNvPr id="11" name="TextBox 10">
          <a:extLst>
            <a:ext uri="{FF2B5EF4-FFF2-40B4-BE49-F238E27FC236}">
              <a16:creationId xmlns:a16="http://schemas.microsoft.com/office/drawing/2014/main" id="{00000000-0008-0000-0200-00000B000000}"/>
            </a:ext>
          </a:extLst>
        </xdr:cNvPr>
        <xdr:cNvSpPr txBox="1"/>
      </xdr:nvSpPr>
      <xdr:spPr>
        <a:xfrm>
          <a:off x="11363324" y="1038225"/>
          <a:ext cx="1047751" cy="180975"/>
        </a:xfrm>
        <a:prstGeom prst="round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Preview</a:t>
          </a:r>
          <a:r>
            <a:rPr lang="en-CA" sz="1100" b="1" baseline="0"/>
            <a:t> Form</a:t>
          </a:r>
          <a:endParaRPr lang="en-CA" sz="1100" b="1"/>
        </a:p>
      </xdr:txBody>
    </xdr:sp>
    <xdr:clientData/>
  </xdr:twoCellAnchor>
  <mc:AlternateContent xmlns:mc="http://schemas.openxmlformats.org/markup-compatibility/2006">
    <mc:Choice xmlns:a14="http://schemas.microsoft.com/office/drawing/2010/main" Requires="a14">
      <xdr:twoCellAnchor editAs="oneCell">
        <xdr:from>
          <xdr:col>1</xdr:col>
          <xdr:colOff>200025</xdr:colOff>
          <xdr:row>4</xdr:row>
          <xdr:rowOff>47625</xdr:rowOff>
        </xdr:from>
        <xdr:to>
          <xdr:col>1</xdr:col>
          <xdr:colOff>2114550</xdr:colOff>
          <xdr:row>12</xdr:row>
          <xdr:rowOff>47625</xdr:rowOff>
        </xdr:to>
        <xdr:sp macro="" textlink="">
          <xdr:nvSpPr>
            <xdr:cNvPr id="3076" name="List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276225</xdr:colOff>
      <xdr:row>13</xdr:row>
      <xdr:rowOff>85725</xdr:rowOff>
    </xdr:from>
    <xdr:to>
      <xdr:col>1</xdr:col>
      <xdr:colOff>1990724</xdr:colOff>
      <xdr:row>15</xdr:row>
      <xdr:rowOff>114300</xdr:rowOff>
    </xdr:to>
    <xdr:sp macro="[0]!ImportFormPathsMacro" textlink="">
      <xdr:nvSpPr>
        <xdr:cNvPr id="13" name="TextBox 12">
          <a:extLst>
            <a:ext uri="{FF2B5EF4-FFF2-40B4-BE49-F238E27FC236}">
              <a16:creationId xmlns:a16="http://schemas.microsoft.com/office/drawing/2014/main" id="{00000000-0008-0000-0200-00000D000000}"/>
            </a:ext>
          </a:extLst>
        </xdr:cNvPr>
        <xdr:cNvSpPr txBox="1"/>
      </xdr:nvSpPr>
      <xdr:spPr>
        <a:xfrm>
          <a:off x="504825" y="2190750"/>
          <a:ext cx="1714499" cy="352425"/>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Click to update listboxes on right to reference l</a:t>
          </a:r>
          <a:r>
            <a:rPr lang="en-US" sz="900" baseline="0"/>
            <a:t>ibrary selected above.</a:t>
          </a:r>
          <a:endParaRPr lang="en-US" sz="9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4</xdr:row>
          <xdr:rowOff>38100</xdr:rowOff>
        </xdr:from>
        <xdr:to>
          <xdr:col>4</xdr:col>
          <xdr:colOff>1819275</xdr:colOff>
          <xdr:row>15</xdr:row>
          <xdr:rowOff>104775</xdr:rowOff>
        </xdr:to>
        <xdr:sp macro="" textlink="">
          <xdr:nvSpPr>
            <xdr:cNvPr id="3212289" name="List Box 1" hidden="1">
              <a:extLst>
                <a:ext uri="{63B3BB69-23CF-44E3-9099-C40C66FF867C}">
                  <a14:compatExt spid="_x0000_s3212289"/>
                </a:ext>
                <a:ext uri="{FF2B5EF4-FFF2-40B4-BE49-F238E27FC236}">
                  <a16:creationId xmlns:a16="http://schemas.microsoft.com/office/drawing/2014/main" id="{00000000-0008-0000-0300-00000104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257174</xdr:colOff>
      <xdr:row>8</xdr:row>
      <xdr:rowOff>57150</xdr:rowOff>
    </xdr:from>
    <xdr:to>
      <xdr:col>5</xdr:col>
      <xdr:colOff>1310640</xdr:colOff>
      <xdr:row>9</xdr:row>
      <xdr:rowOff>76200</xdr:rowOff>
    </xdr:to>
    <xdr:sp macro="[0]!FormWriterMikeBlind" textlink="">
      <xdr:nvSpPr>
        <xdr:cNvPr id="2" name="TextBox 1">
          <a:extLst>
            <a:ext uri="{FF2B5EF4-FFF2-40B4-BE49-F238E27FC236}">
              <a16:creationId xmlns:a16="http://schemas.microsoft.com/office/drawing/2014/main" id="{87279552-4542-4861-90EC-BF7B143A7C52}"/>
            </a:ext>
          </a:extLst>
        </xdr:cNvPr>
        <xdr:cNvSpPr txBox="1"/>
      </xdr:nvSpPr>
      <xdr:spPr>
        <a:xfrm>
          <a:off x="11268074" y="1413510"/>
          <a:ext cx="1047751" cy="186690"/>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Prepare</a:t>
          </a:r>
          <a:r>
            <a:rPr lang="en-CA" sz="1100" b="1" baseline="0"/>
            <a:t> Form</a:t>
          </a:r>
          <a:endParaRPr lang="en-CA" sz="1100" b="1"/>
        </a:p>
      </xdr:txBody>
    </xdr:sp>
    <xdr:clientData/>
  </xdr:twoCellAnchor>
  <xdr:twoCellAnchor>
    <xdr:from>
      <xdr:col>2</xdr:col>
      <xdr:colOff>1000125</xdr:colOff>
      <xdr:row>26</xdr:row>
      <xdr:rowOff>19051</xdr:rowOff>
    </xdr:from>
    <xdr:to>
      <xdr:col>2</xdr:col>
      <xdr:colOff>2819400</xdr:colOff>
      <xdr:row>27</xdr:row>
      <xdr:rowOff>85725</xdr:rowOff>
    </xdr:to>
    <xdr:sp macro="[0]!SortContactListOnMatterSheetBySelectedColumn" textlink="">
      <xdr:nvSpPr>
        <xdr:cNvPr id="3" name="TextBox 2">
          <a:extLst>
            <a:ext uri="{FF2B5EF4-FFF2-40B4-BE49-F238E27FC236}">
              <a16:creationId xmlns:a16="http://schemas.microsoft.com/office/drawing/2014/main" id="{42AA1F03-9CFC-4186-B83B-8B232FDCC618}"/>
            </a:ext>
          </a:extLst>
        </xdr:cNvPr>
        <xdr:cNvSpPr txBox="1"/>
      </xdr:nvSpPr>
      <xdr:spPr>
        <a:xfrm>
          <a:off x="3674745" y="4392931"/>
          <a:ext cx="1819275" cy="234314"/>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Sort table by selected column</a:t>
          </a:r>
          <a:endParaRPr lang="en-CA" sz="900" b="0"/>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4</xdr:row>
          <xdr:rowOff>28575</xdr:rowOff>
        </xdr:from>
        <xdr:to>
          <xdr:col>2</xdr:col>
          <xdr:colOff>3228975</xdr:colOff>
          <xdr:row>14</xdr:row>
          <xdr:rowOff>123825</xdr:rowOff>
        </xdr:to>
        <xdr:sp macro="" textlink="">
          <xdr:nvSpPr>
            <xdr:cNvPr id="3212290" name="List Box 2" hidden="1">
              <a:extLst>
                <a:ext uri="{63B3BB69-23CF-44E3-9099-C40C66FF867C}">
                  <a14:compatExt spid="_x0000_s3212290"/>
                </a:ext>
                <a:ext uri="{FF2B5EF4-FFF2-40B4-BE49-F238E27FC236}">
                  <a16:creationId xmlns:a16="http://schemas.microsoft.com/office/drawing/2014/main" id="{00000000-0008-0000-0300-00000204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133350</xdr:colOff>
      <xdr:row>18</xdr:row>
      <xdr:rowOff>9526</xdr:rowOff>
    </xdr:from>
    <xdr:to>
      <xdr:col>4</xdr:col>
      <xdr:colOff>619125</xdr:colOff>
      <xdr:row>19</xdr:row>
      <xdr:rowOff>19051</xdr:rowOff>
    </xdr:to>
    <xdr:sp macro="[0]!ClearTheNarrowFormList" textlink="">
      <xdr:nvSpPr>
        <xdr:cNvPr id="4" name="TextBox 3">
          <a:extLst>
            <a:ext uri="{FF2B5EF4-FFF2-40B4-BE49-F238E27FC236}">
              <a16:creationId xmlns:a16="http://schemas.microsoft.com/office/drawing/2014/main" id="{1221E17A-303E-40A5-9D69-3C1C7CF9D746}"/>
            </a:ext>
          </a:extLst>
        </xdr:cNvPr>
        <xdr:cNvSpPr txBox="1"/>
      </xdr:nvSpPr>
      <xdr:spPr>
        <a:xfrm>
          <a:off x="9124950" y="3042286"/>
          <a:ext cx="485775" cy="177165"/>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Clear</a:t>
          </a:r>
        </a:p>
      </xdr:txBody>
    </xdr:sp>
    <xdr:clientData/>
  </xdr:twoCellAnchor>
  <xdr:twoCellAnchor>
    <xdr:from>
      <xdr:col>1</xdr:col>
      <xdr:colOff>142873</xdr:colOff>
      <xdr:row>23</xdr:row>
      <xdr:rowOff>66677</xdr:rowOff>
    </xdr:from>
    <xdr:to>
      <xdr:col>1</xdr:col>
      <xdr:colOff>1857374</xdr:colOff>
      <xdr:row>24</xdr:row>
      <xdr:rowOff>57150</xdr:rowOff>
    </xdr:to>
    <xdr:sp macro="[0]!DateFieldCodeInfo" textlink="">
      <xdr:nvSpPr>
        <xdr:cNvPr id="5" name="TextBox 4">
          <a:extLst>
            <a:ext uri="{FF2B5EF4-FFF2-40B4-BE49-F238E27FC236}">
              <a16:creationId xmlns:a16="http://schemas.microsoft.com/office/drawing/2014/main" id="{226439F6-2BE0-4ED5-9783-8FA91158BD0F}"/>
            </a:ext>
          </a:extLst>
        </xdr:cNvPr>
        <xdr:cNvSpPr txBox="1"/>
      </xdr:nvSpPr>
      <xdr:spPr>
        <a:xfrm>
          <a:off x="379093" y="3937637"/>
          <a:ext cx="1714501" cy="158113"/>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lang="en-CA" sz="900" b="0">
              <a:solidFill>
                <a:sysClr val="windowText" lastClr="000000"/>
              </a:solidFill>
            </a:rPr>
            <a:t>Click for info about this field code</a:t>
          </a:r>
          <a:r>
            <a:rPr lang="en-CA" sz="900" b="1">
              <a:solidFill>
                <a:sysClr val="windowText" lastClr="000000"/>
              </a:solidFill>
            </a:rPr>
            <a:t>.</a:t>
          </a:r>
          <a:endParaRPr lang="en-CA" sz="900" baseline="0">
            <a:solidFill>
              <a:sysClr val="windowText" lastClr="000000"/>
            </a:solidFill>
            <a:latin typeface="+mn-lt"/>
            <a:ea typeface="+mn-ea"/>
            <a:cs typeface="+mn-cs"/>
          </a:endParaRPr>
        </a:p>
      </xdr:txBody>
    </xdr:sp>
    <xdr:clientData/>
  </xdr:twoCellAnchor>
  <xdr:twoCellAnchor>
    <xdr:from>
      <xdr:col>1</xdr:col>
      <xdr:colOff>1847851</xdr:colOff>
      <xdr:row>28</xdr:row>
      <xdr:rowOff>28576</xdr:rowOff>
    </xdr:from>
    <xdr:to>
      <xdr:col>1</xdr:col>
      <xdr:colOff>2333627</xdr:colOff>
      <xdr:row>28</xdr:row>
      <xdr:rowOff>133350</xdr:rowOff>
    </xdr:to>
    <xdr:sp macro="[0]!ClearAddresseeNumbers" textlink="">
      <xdr:nvSpPr>
        <xdr:cNvPr id="6" name="TextBox 5">
          <a:extLst>
            <a:ext uri="{FF2B5EF4-FFF2-40B4-BE49-F238E27FC236}">
              <a16:creationId xmlns:a16="http://schemas.microsoft.com/office/drawing/2014/main" id="{D8879D19-9841-431B-A08B-B3E5F1165FEC}"/>
            </a:ext>
          </a:extLst>
        </xdr:cNvPr>
        <xdr:cNvSpPr txBox="1"/>
      </xdr:nvSpPr>
      <xdr:spPr>
        <a:xfrm>
          <a:off x="2084071" y="4730116"/>
          <a:ext cx="485776" cy="104774"/>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Clear</a:t>
          </a:r>
          <a:endParaRPr lang="en-CA" sz="900" b="0"/>
        </a:p>
      </xdr:txBody>
    </xdr:sp>
    <xdr:clientData/>
  </xdr:twoCellAnchor>
  <xdr:twoCellAnchor>
    <xdr:from>
      <xdr:col>1</xdr:col>
      <xdr:colOff>57150</xdr:colOff>
      <xdr:row>28</xdr:row>
      <xdr:rowOff>28576</xdr:rowOff>
    </xdr:from>
    <xdr:to>
      <xdr:col>1</xdr:col>
      <xdr:colOff>561974</xdr:colOff>
      <xdr:row>28</xdr:row>
      <xdr:rowOff>142875</xdr:rowOff>
    </xdr:to>
    <xdr:sp macro="[0]!AddAddresseeNumber" textlink="">
      <xdr:nvSpPr>
        <xdr:cNvPr id="7" name="TextBox 6">
          <a:extLst>
            <a:ext uri="{FF2B5EF4-FFF2-40B4-BE49-F238E27FC236}">
              <a16:creationId xmlns:a16="http://schemas.microsoft.com/office/drawing/2014/main" id="{0CDE8757-FE97-4D90-83E2-CB7D370DB5DD}"/>
            </a:ext>
          </a:extLst>
        </xdr:cNvPr>
        <xdr:cNvSpPr txBox="1"/>
      </xdr:nvSpPr>
      <xdr:spPr>
        <a:xfrm>
          <a:off x="293370" y="4730116"/>
          <a:ext cx="504824" cy="114299"/>
        </a:xfrm>
        <a:prstGeom prst="round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CA" sz="900" b="0">
              <a:solidFill>
                <a:schemeClr val="dk1"/>
              </a:solidFill>
              <a:effectLst/>
              <a:latin typeface="+mn-lt"/>
              <a:ea typeface="+mn-ea"/>
              <a:cs typeface="+mn-cs"/>
              <a:sym typeface="Wingdings" panose="05000000000000000000" pitchFamily="2" charset="2"/>
            </a:rPr>
            <a:t>Include</a:t>
          </a:r>
          <a:endParaRPr lang="en-CA" sz="900" b="0"/>
        </a:p>
      </xdr:txBody>
    </xdr:sp>
    <xdr:clientData/>
  </xdr:twoCellAnchor>
  <xdr:twoCellAnchor editAs="oneCell">
    <xdr:from>
      <xdr:col>5</xdr:col>
      <xdr:colOff>257174</xdr:colOff>
      <xdr:row>6</xdr:row>
      <xdr:rowOff>66675</xdr:rowOff>
    </xdr:from>
    <xdr:to>
      <xdr:col>5</xdr:col>
      <xdr:colOff>1310640</xdr:colOff>
      <xdr:row>7</xdr:row>
      <xdr:rowOff>91440</xdr:rowOff>
    </xdr:to>
    <xdr:sp macro="[0]!FormPreviewBlindMacro" textlink="">
      <xdr:nvSpPr>
        <xdr:cNvPr id="8" name="TextBox 7">
          <a:extLst>
            <a:ext uri="{FF2B5EF4-FFF2-40B4-BE49-F238E27FC236}">
              <a16:creationId xmlns:a16="http://schemas.microsoft.com/office/drawing/2014/main" id="{5C413B9D-75DD-4BD0-8ABA-1E7C9E639859}"/>
            </a:ext>
          </a:extLst>
        </xdr:cNvPr>
        <xdr:cNvSpPr txBox="1"/>
      </xdr:nvSpPr>
      <xdr:spPr>
        <a:xfrm>
          <a:off x="11268074" y="1087755"/>
          <a:ext cx="1047751" cy="186690"/>
        </a:xfrm>
        <a:prstGeom prst="round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t>Preview</a:t>
          </a:r>
          <a:r>
            <a:rPr lang="en-CA" sz="1100" b="1" baseline="0"/>
            <a:t> Form</a:t>
          </a:r>
          <a:endParaRPr lang="en-CA" sz="1100" b="1"/>
        </a:p>
      </xdr:txBody>
    </xdr:sp>
    <xdr:clientData/>
  </xdr:twoCellAnchor>
  <mc:AlternateContent xmlns:mc="http://schemas.openxmlformats.org/markup-compatibility/2006">
    <mc:Choice xmlns:a14="http://schemas.microsoft.com/office/drawing/2010/main" Requires="a14">
      <xdr:twoCellAnchor editAs="oneCell">
        <xdr:from>
          <xdr:col>1</xdr:col>
          <xdr:colOff>200025</xdr:colOff>
          <xdr:row>4</xdr:row>
          <xdr:rowOff>47625</xdr:rowOff>
        </xdr:from>
        <xdr:to>
          <xdr:col>1</xdr:col>
          <xdr:colOff>2114550</xdr:colOff>
          <xdr:row>12</xdr:row>
          <xdr:rowOff>47625</xdr:rowOff>
        </xdr:to>
        <xdr:sp macro="" textlink="">
          <xdr:nvSpPr>
            <xdr:cNvPr id="3212291" name="List Box 3" hidden="1">
              <a:extLst>
                <a:ext uri="{63B3BB69-23CF-44E3-9099-C40C66FF867C}">
                  <a14:compatExt spid="_x0000_s3212291"/>
                </a:ext>
                <a:ext uri="{FF2B5EF4-FFF2-40B4-BE49-F238E27FC236}">
                  <a16:creationId xmlns:a16="http://schemas.microsoft.com/office/drawing/2014/main" id="{00000000-0008-0000-0300-00000304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276225</xdr:colOff>
      <xdr:row>13</xdr:row>
      <xdr:rowOff>85725</xdr:rowOff>
    </xdr:from>
    <xdr:to>
      <xdr:col>1</xdr:col>
      <xdr:colOff>1990724</xdr:colOff>
      <xdr:row>15</xdr:row>
      <xdr:rowOff>114300</xdr:rowOff>
    </xdr:to>
    <xdr:sp macro="[0]!ImportFormPathsMacro" textlink="">
      <xdr:nvSpPr>
        <xdr:cNvPr id="9" name="TextBox 8">
          <a:extLst>
            <a:ext uri="{FF2B5EF4-FFF2-40B4-BE49-F238E27FC236}">
              <a16:creationId xmlns:a16="http://schemas.microsoft.com/office/drawing/2014/main" id="{D3E5F572-5FA4-4A77-B382-4059E2345BBC}"/>
            </a:ext>
          </a:extLst>
        </xdr:cNvPr>
        <xdr:cNvSpPr txBox="1"/>
      </xdr:nvSpPr>
      <xdr:spPr>
        <a:xfrm>
          <a:off x="512445" y="2280285"/>
          <a:ext cx="1714499" cy="363855"/>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pPr algn="ctr"/>
          <a:r>
            <a:rPr lang="en-US" sz="900"/>
            <a:t>Click to update listboxes on right to reference l</a:t>
          </a:r>
          <a:r>
            <a:rPr lang="en-US" sz="900" baseline="0"/>
            <a:t>ibrary selected above.</a:t>
          </a:r>
          <a:endParaRPr lang="en-US" sz="9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180975</xdr:colOff>
      <xdr:row>4</xdr:row>
      <xdr:rowOff>9525</xdr:rowOff>
    </xdr:from>
    <xdr:to>
      <xdr:col>2</xdr:col>
      <xdr:colOff>1514475</xdr:colOff>
      <xdr:row>30</xdr:row>
      <xdr:rowOff>114300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496175" y="771525"/>
          <a:ext cx="1333500" cy="5057775"/>
        </a:xfrm>
        <a:prstGeom prst="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contains two rounds of paring</a:t>
          </a:r>
          <a:r>
            <a:rPr lang="en-US" sz="1100" baseline="0"/>
            <a:t> down, columns C to M pare down based on the selection of the category list boxes on the relevant matters pages, and then columns N onwards pare down based on the narrow cell on each matter sheet.</a:t>
          </a:r>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mon GH" refreshedDate="45529.029593749998" createdVersion="8" refreshedVersion="8" minRefreshableVersion="3" recordCount="24" xr:uid="{91039E93-F917-4DC7-95AE-F80BB5183D5D}">
  <cacheSource type="worksheet">
    <worksheetSource ref="B2:B101" sheet="Deliverable"/>
  </cacheSource>
  <cacheFields count="1">
    <cacheField name="主項目" numFmtId="0">
      <sharedItems containsBlank="1" count="8">
        <s v="增設新業務單位的相關開支"/>
        <s v="增聘員工"/>
        <s v="設計及建立網上銷售平台"/>
        <s v="設計及製作宣傳品"/>
        <s v="投放直接與項目相關的廣告"/>
        <s v="其化項目"/>
        <s v="外聘核數費用"/>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r>
  <r>
    <x v="0"/>
  </r>
  <r>
    <x v="1"/>
  </r>
  <r>
    <x v="2"/>
  </r>
  <r>
    <x v="3"/>
  </r>
  <r>
    <x v="3"/>
  </r>
  <r>
    <x v="3"/>
  </r>
  <r>
    <x v="4"/>
  </r>
  <r>
    <x v="4"/>
  </r>
  <r>
    <x v="4"/>
  </r>
  <r>
    <x v="4"/>
  </r>
  <r>
    <x v="4"/>
  </r>
  <r>
    <x v="5"/>
  </r>
  <r>
    <x v="5"/>
  </r>
  <r>
    <x v="5"/>
  </r>
  <r>
    <x v="5"/>
  </r>
  <r>
    <x v="6"/>
  </r>
  <r>
    <x v="7"/>
  </r>
  <r>
    <x v="7"/>
  </r>
  <r>
    <x v="7"/>
  </r>
  <r>
    <x v="7"/>
  </r>
  <r>
    <x v="7"/>
  </r>
  <r>
    <x v="7"/>
  </r>
  <r>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8F5F86-B9D8-4C2D-A9C0-84FF6DAC072F}"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I10" firstHeaderRow="1" firstDataRow="1" firstDataCol="1"/>
  <pivotFields count="1">
    <pivotField axis="axisRow" showAll="0">
      <items count="9">
        <item n="其他項目" x="5"/>
        <item x="1"/>
        <item x="0"/>
        <item x="6"/>
        <item x="4"/>
        <item x="2"/>
        <item x="3"/>
        <item x="7"/>
        <item t="default"/>
      </items>
    </pivotField>
  </pivotFields>
  <rowFields count="1">
    <field x="0"/>
  </rowFields>
  <rowItems count="9">
    <i>
      <x/>
    </i>
    <i>
      <x v="1"/>
    </i>
    <i>
      <x v="2"/>
    </i>
    <i>
      <x v="3"/>
    </i>
    <i>
      <x v="4"/>
    </i>
    <i>
      <x v="5"/>
    </i>
    <i>
      <x v="6"/>
    </i>
    <i>
      <x v="7"/>
    </i>
    <i t="grand">
      <x/>
    </i>
  </rowItems>
  <colItems count="1">
    <i/>
  </colItems>
  <formats count="4">
    <format dxfId="3">
      <pivotArea type="all" dataOnly="0" outline="0" fieldPosition="0"/>
    </format>
    <format dxfId="2">
      <pivotArea field="0" type="button" dataOnly="0" labelOnly="1" outline="0" axis="axisRow" fieldPosition="0"/>
    </format>
    <format dxfId="1">
      <pivotArea dataOnly="0" labelOnly="1" fieldPosition="0">
        <references count="1">
          <reference field="0" count="0"/>
        </references>
      </pivotArea>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ADF622-3335-4E58-811B-06CAD0D6360B}" name="Table1" displayName="Table1" ref="B1:I28" totalsRowShown="0" headerRowDxfId="10">
  <autoFilter ref="B1:I28" xr:uid="{BCADF622-3335-4E58-811B-06CAD0D6360B}"/>
  <tableColumns count="8">
    <tableColumn id="2" xr3:uid="{62187D4B-4C0B-4677-97CB-A00253DF0ACE}" name="Account" dataDxfId="9"/>
    <tableColumn id="3" xr3:uid="{0CF2705C-F0A4-4754-B8E7-E2D12EEC1C52}" name="Invoice Number" dataDxfId="8"/>
    <tableColumn id="4" xr3:uid="{D4299FFB-DF7A-494D-A261-CA165B6F08CD}" name="Invoice Date" dataDxfId="7"/>
    <tableColumn id="5" xr3:uid="{032EF40F-6A4A-4BFA-9F8A-A4FEC321A594}" name="Payment Date" dataDxfId="6"/>
    <tableColumn id="6" xr3:uid="{4624077D-6749-4BB9-A1D4-E1D52B65605D}" name="Debit " dataDxfId="5"/>
    <tableColumn id="7" xr3:uid="{CCD0A150-EE34-45D0-9184-4A0086A3DC3E}" name="Vendor"/>
    <tableColumn id="8" xr3:uid="{BC03C3D3-04F7-4DFF-91EE-DD2FDD2669DF}" name="Column1" dataDxfId="4"/>
    <tableColumn id="1" xr3:uid="{F5FB68CD-279E-4B4B-A0C8-894C6AFEB00B}" name="Remark"/>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printerSettings" Target="../printerSettings/printerSettings3.bin"/><Relationship Id="rId7" Type="http://schemas.openxmlformats.org/officeDocument/2006/relationships/ctrlProp" Target="../ctrlProps/ctrlProp4.xml"/><Relationship Id="rId2" Type="http://schemas.openxmlformats.org/officeDocument/2006/relationships/hyperlink" Target="https://www.youtube.com/channel/UClQ4c1_qnOxngdbjuAtnoQg" TargetMode="External"/><Relationship Id="rId1" Type="http://schemas.openxmlformats.org/officeDocument/2006/relationships/hyperlink" Target="http://www.legaltree.ca/node/2249" TargetMode="External"/><Relationship Id="rId6" Type="http://schemas.openxmlformats.org/officeDocument/2006/relationships/ctrlProp" Target="../ctrlProps/ctrlProp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simon@fortuna-online.org"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rgb="FF92D050"/>
  </sheetPr>
  <dimension ref="A1:E102"/>
  <sheetViews>
    <sheetView topLeftCell="B1" workbookViewId="0">
      <selection activeCell="D7" sqref="D7"/>
    </sheetView>
  </sheetViews>
  <sheetFormatPr defaultRowHeight="15"/>
  <cols>
    <col min="2" max="2" width="58.28515625" customWidth="1"/>
    <col min="3" max="3" width="33.28515625" customWidth="1"/>
    <col min="4" max="4" width="30" customWidth="1"/>
    <col min="9" max="10" width="7.7109375" customWidth="1"/>
  </cols>
  <sheetData>
    <row r="1" spans="1:5">
      <c r="A1" s="5"/>
    </row>
    <row r="2" spans="1:5">
      <c r="B2" s="15" t="s">
        <v>1</v>
      </c>
    </row>
    <row r="3" spans="1:5">
      <c r="A3">
        <v>1</v>
      </c>
      <c r="B3" s="1" t="s">
        <v>109</v>
      </c>
      <c r="C3" s="8"/>
      <c r="D3" t="s">
        <v>527</v>
      </c>
      <c r="E3">
        <v>1.1000000000000001</v>
      </c>
    </row>
    <row r="4" spans="1:5">
      <c r="A4">
        <v>2</v>
      </c>
      <c r="B4" s="1" t="s">
        <v>368</v>
      </c>
      <c r="C4" s="8" t="s">
        <v>2</v>
      </c>
      <c r="D4" t="s">
        <v>528</v>
      </c>
      <c r="E4">
        <v>7.8</v>
      </c>
    </row>
    <row r="5" spans="1:5">
      <c r="A5">
        <v>3</v>
      </c>
      <c r="B5" s="1" t="s">
        <v>444</v>
      </c>
      <c r="C5" s="8" t="s">
        <v>2</v>
      </c>
      <c r="D5" t="s">
        <v>529</v>
      </c>
      <c r="E5">
        <v>6</v>
      </c>
    </row>
    <row r="6" spans="1:5">
      <c r="A6">
        <v>4</v>
      </c>
      <c r="B6" s="1"/>
      <c r="C6" s="8" t="s">
        <v>2</v>
      </c>
      <c r="D6" t="s">
        <v>530</v>
      </c>
      <c r="E6">
        <v>1.7</v>
      </c>
    </row>
    <row r="7" spans="1:5">
      <c r="A7">
        <v>5</v>
      </c>
      <c r="B7" s="1"/>
      <c r="C7" s="8" t="s">
        <v>2</v>
      </c>
    </row>
    <row r="8" spans="1:5">
      <c r="A8">
        <v>6</v>
      </c>
      <c r="B8" s="1"/>
      <c r="C8" s="8" t="s">
        <v>2</v>
      </c>
    </row>
    <row r="9" spans="1:5">
      <c r="A9">
        <v>7</v>
      </c>
      <c r="B9" s="1"/>
      <c r="C9" s="8" t="s">
        <v>2</v>
      </c>
    </row>
    <row r="10" spans="1:5">
      <c r="A10">
        <v>8</v>
      </c>
      <c r="B10" s="1"/>
      <c r="C10" s="8" t="s">
        <v>2</v>
      </c>
    </row>
    <row r="11" spans="1:5">
      <c r="A11">
        <v>9</v>
      </c>
      <c r="B11" s="1"/>
      <c r="C11" s="8" t="s">
        <v>2</v>
      </c>
    </row>
    <row r="12" spans="1:5">
      <c r="A12">
        <v>10</v>
      </c>
      <c r="B12" s="1"/>
      <c r="C12" s="8" t="s">
        <v>2</v>
      </c>
    </row>
    <row r="13" spans="1:5">
      <c r="C13" s="8" t="s">
        <v>2</v>
      </c>
      <c r="D13" s="17"/>
    </row>
    <row r="14" spans="1:5">
      <c r="B14" s="15" t="s">
        <v>97</v>
      </c>
      <c r="C14" s="8"/>
      <c r="D14" s="17"/>
    </row>
    <row r="15" spans="1:5" ht="15.25">
      <c r="B15" s="96" t="s">
        <v>96</v>
      </c>
    </row>
    <row r="16" spans="1:5" ht="88.5">
      <c r="B16" s="97" t="s">
        <v>98</v>
      </c>
    </row>
    <row r="18" spans="1:4">
      <c r="B18" s="15" t="s">
        <v>75</v>
      </c>
    </row>
    <row r="19" spans="1:4">
      <c r="B19" t="s">
        <v>74</v>
      </c>
    </row>
    <row r="20" spans="1:4">
      <c r="B20" s="3" t="s">
        <v>4</v>
      </c>
      <c r="C20" s="3" t="s">
        <v>5</v>
      </c>
      <c r="D20" s="3" t="s">
        <v>6</v>
      </c>
    </row>
    <row r="21" spans="1:4">
      <c r="A21">
        <v>1</v>
      </c>
      <c r="B21" s="1" t="s">
        <v>113</v>
      </c>
      <c r="C21" s="1"/>
      <c r="D21" s="1"/>
    </row>
    <row r="22" spans="1:4">
      <c r="A22">
        <v>2</v>
      </c>
      <c r="B22" s="1" t="s">
        <v>101</v>
      </c>
      <c r="C22" s="1"/>
      <c r="D22" s="1"/>
    </row>
    <row r="23" spans="1:4">
      <c r="A23">
        <v>3</v>
      </c>
      <c r="B23" s="1" t="s">
        <v>111</v>
      </c>
      <c r="C23" s="1"/>
      <c r="D23" s="1"/>
    </row>
    <row r="24" spans="1:4">
      <c r="A24">
        <v>4</v>
      </c>
      <c r="B24" s="1" t="s">
        <v>114</v>
      </c>
      <c r="C24" s="1"/>
      <c r="D24" s="1"/>
    </row>
    <row r="25" spans="1:4">
      <c r="A25">
        <v>5</v>
      </c>
      <c r="B25" s="1"/>
      <c r="C25" s="1"/>
      <c r="D25" s="1"/>
    </row>
    <row r="26" spans="1:4">
      <c r="A26">
        <v>6</v>
      </c>
      <c r="B26" s="1"/>
      <c r="C26" s="1"/>
      <c r="D26" s="1"/>
    </row>
    <row r="27" spans="1:4">
      <c r="A27">
        <v>7</v>
      </c>
      <c r="B27" s="1"/>
      <c r="C27" s="1"/>
      <c r="D27" s="1"/>
    </row>
    <row r="28" spans="1:4">
      <c r="A28">
        <v>8</v>
      </c>
      <c r="B28" s="1"/>
      <c r="C28" s="1"/>
      <c r="D28" s="1"/>
    </row>
    <row r="29" spans="1:4">
      <c r="A29">
        <v>9</v>
      </c>
      <c r="B29" s="1"/>
      <c r="C29" s="1"/>
      <c r="D29" s="1"/>
    </row>
    <row r="30" spans="1:4">
      <c r="A30">
        <v>10</v>
      </c>
      <c r="B30" s="1"/>
      <c r="C30" s="1"/>
      <c r="D30" s="1"/>
    </row>
    <row r="31" spans="1:4">
      <c r="A31">
        <v>11</v>
      </c>
      <c r="B31" s="1"/>
      <c r="C31" s="1"/>
      <c r="D31" s="1"/>
    </row>
    <row r="32" spans="1:4">
      <c r="A32">
        <v>12</v>
      </c>
      <c r="B32" s="1"/>
      <c r="C32" s="1"/>
      <c r="D32" s="1"/>
    </row>
    <row r="33" spans="1:4">
      <c r="A33">
        <v>13</v>
      </c>
      <c r="B33" s="1"/>
      <c r="C33" s="1"/>
      <c r="D33" s="1"/>
    </row>
    <row r="34" spans="1:4">
      <c r="A34">
        <v>14</v>
      </c>
      <c r="B34" s="1"/>
      <c r="C34" s="1"/>
      <c r="D34" s="1"/>
    </row>
    <row r="35" spans="1:4">
      <c r="A35">
        <v>15</v>
      </c>
      <c r="B35" s="1"/>
      <c r="C35" s="1"/>
      <c r="D35" s="1"/>
    </row>
    <row r="40" spans="1:4">
      <c r="B40" s="15" t="s">
        <v>66</v>
      </c>
      <c r="C40" s="68"/>
    </row>
    <row r="41" spans="1:4">
      <c r="B41" t="s">
        <v>83</v>
      </c>
      <c r="C41" s="68"/>
    </row>
    <row r="42" spans="1:4">
      <c r="B42" t="s">
        <v>84</v>
      </c>
      <c r="C42" s="68"/>
    </row>
    <row r="43" spans="1:4">
      <c r="B43" t="s">
        <v>85</v>
      </c>
      <c r="C43" s="68"/>
    </row>
    <row r="44" spans="1:4">
      <c r="B44" t="s">
        <v>86</v>
      </c>
      <c r="C44" s="88">
        <v>2</v>
      </c>
    </row>
    <row r="45" spans="1:4">
      <c r="B45" t="s">
        <v>87</v>
      </c>
      <c r="C45" s="88">
        <v>3</v>
      </c>
    </row>
    <row r="46" spans="1:4">
      <c r="C46" s="68"/>
    </row>
    <row r="47" spans="1:4">
      <c r="C47" s="68"/>
    </row>
    <row r="48" spans="1:4">
      <c r="C48" s="68"/>
    </row>
    <row r="49" spans="1:3">
      <c r="B49" s="15" t="s">
        <v>67</v>
      </c>
      <c r="C49" s="68"/>
    </row>
    <row r="50" spans="1:3">
      <c r="B50" t="s">
        <v>89</v>
      </c>
      <c r="C50" s="68"/>
    </row>
    <row r="51" spans="1:3">
      <c r="B51" t="s">
        <v>90</v>
      </c>
      <c r="C51" s="68"/>
    </row>
    <row r="52" spans="1:3">
      <c r="B52" t="s">
        <v>91</v>
      </c>
      <c r="C52" s="68"/>
    </row>
    <row r="53" spans="1:3">
      <c r="B53" t="s">
        <v>76</v>
      </c>
      <c r="C53" s="68"/>
    </row>
    <row r="54" spans="1:3">
      <c r="B54" t="s">
        <v>68</v>
      </c>
    </row>
    <row r="57" spans="1:3">
      <c r="C57" s="68"/>
    </row>
    <row r="58" spans="1:3">
      <c r="B58" s="3" t="s">
        <v>71</v>
      </c>
      <c r="C58" s="68"/>
    </row>
    <row r="59" spans="1:3">
      <c r="A59">
        <v>1</v>
      </c>
      <c r="B59" s="1" t="s">
        <v>9</v>
      </c>
      <c r="C59" s="68"/>
    </row>
    <row r="60" spans="1:3">
      <c r="A60">
        <v>2</v>
      </c>
      <c r="B60" s="1" t="s">
        <v>11</v>
      </c>
      <c r="C60" s="68"/>
    </row>
    <row r="61" spans="1:3">
      <c r="A61">
        <v>3</v>
      </c>
      <c r="B61" s="1" t="s">
        <v>72</v>
      </c>
      <c r="C61" s="68"/>
    </row>
    <row r="62" spans="1:3">
      <c r="A62">
        <v>4</v>
      </c>
      <c r="B62" s="1" t="s">
        <v>49</v>
      </c>
      <c r="C62" s="68"/>
    </row>
    <row r="63" spans="1:3">
      <c r="A63">
        <v>5</v>
      </c>
      <c r="B63" s="1" t="s">
        <v>73</v>
      </c>
      <c r="C63" s="68"/>
    </row>
    <row r="64" spans="1:3">
      <c r="A64">
        <v>6</v>
      </c>
      <c r="B64" s="1"/>
      <c r="C64" s="68"/>
    </row>
    <row r="65" spans="1:3">
      <c r="A65">
        <v>7</v>
      </c>
      <c r="B65" s="1"/>
      <c r="C65" s="68"/>
    </row>
    <row r="66" spans="1:3">
      <c r="A66">
        <v>8</v>
      </c>
      <c r="B66" s="1"/>
      <c r="C66" s="68"/>
    </row>
    <row r="67" spans="1:3">
      <c r="A67">
        <v>9</v>
      </c>
      <c r="B67" s="1"/>
      <c r="C67" s="68"/>
    </row>
    <row r="68" spans="1:3">
      <c r="A68">
        <v>10</v>
      </c>
      <c r="B68" s="1"/>
      <c r="C68" s="68"/>
    </row>
    <row r="69" spans="1:3">
      <c r="A69">
        <v>11</v>
      </c>
      <c r="B69" s="1"/>
      <c r="C69" s="68"/>
    </row>
    <row r="70" spans="1:3">
      <c r="A70">
        <v>12</v>
      </c>
      <c r="B70" s="1"/>
      <c r="C70" s="68"/>
    </row>
    <row r="71" spans="1:3">
      <c r="A71">
        <v>13</v>
      </c>
      <c r="B71" s="1"/>
      <c r="C71" s="68"/>
    </row>
    <row r="72" spans="1:3">
      <c r="A72">
        <v>14</v>
      </c>
      <c r="B72" s="1"/>
      <c r="C72" s="68"/>
    </row>
    <row r="73" spans="1:3">
      <c r="A73">
        <v>15</v>
      </c>
      <c r="B73" s="1"/>
      <c r="C73" s="68"/>
    </row>
    <row r="74" spans="1:3">
      <c r="A74">
        <v>16</v>
      </c>
      <c r="B74" s="1"/>
      <c r="C74" s="68"/>
    </row>
    <row r="75" spans="1:3">
      <c r="A75">
        <v>17</v>
      </c>
      <c r="B75" s="1"/>
      <c r="C75" s="68"/>
    </row>
    <row r="76" spans="1:3">
      <c r="A76">
        <v>18</v>
      </c>
      <c r="B76" s="1"/>
      <c r="C76" s="68"/>
    </row>
    <row r="77" spans="1:3">
      <c r="A77">
        <v>19</v>
      </c>
      <c r="B77" s="1"/>
      <c r="C77" s="68"/>
    </row>
    <row r="78" spans="1:3">
      <c r="A78">
        <v>20</v>
      </c>
      <c r="B78" s="1"/>
      <c r="C78" s="68"/>
    </row>
    <row r="79" spans="1:3">
      <c r="C79" s="68"/>
    </row>
    <row r="80" spans="1:3">
      <c r="C80" s="68"/>
    </row>
    <row r="81" spans="1:3">
      <c r="C81" s="68"/>
    </row>
    <row r="82" spans="1:3">
      <c r="A82" s="7"/>
      <c r="B82" s="16" t="s">
        <v>82</v>
      </c>
    </row>
    <row r="83" spans="1:3">
      <c r="A83" s="7"/>
      <c r="B83" s="7" t="s">
        <v>88</v>
      </c>
    </row>
    <row r="84" spans="1:3">
      <c r="A84" s="17">
        <v>1</v>
      </c>
      <c r="B84" s="18" t="s">
        <v>3</v>
      </c>
    </row>
    <row r="85" spans="1:3">
      <c r="A85" s="17">
        <v>2</v>
      </c>
      <c r="B85" s="18" t="s">
        <v>7</v>
      </c>
    </row>
    <row r="86" spans="1:3">
      <c r="A86" s="17">
        <v>3</v>
      </c>
      <c r="B86" s="18" t="s">
        <v>8</v>
      </c>
    </row>
    <row r="87" spans="1:3">
      <c r="A87" s="17">
        <v>4</v>
      </c>
      <c r="B87" s="18" t="s">
        <v>10</v>
      </c>
    </row>
    <row r="88" spans="1:3">
      <c r="A88" s="17">
        <v>5</v>
      </c>
      <c r="B88" s="18" t="s">
        <v>12</v>
      </c>
    </row>
    <row r="89" spans="1:3">
      <c r="A89" s="17">
        <v>6</v>
      </c>
      <c r="B89" s="18" t="s">
        <v>13</v>
      </c>
    </row>
    <row r="90" spans="1:3">
      <c r="A90" s="17">
        <v>7</v>
      </c>
      <c r="B90" s="18" t="s">
        <v>14</v>
      </c>
    </row>
    <row r="91" spans="1:3">
      <c r="A91" s="17">
        <v>8</v>
      </c>
      <c r="B91" s="18" t="s">
        <v>15</v>
      </c>
    </row>
    <row r="92" spans="1:3">
      <c r="A92" s="17">
        <v>9</v>
      </c>
      <c r="B92" s="18" t="s">
        <v>16</v>
      </c>
    </row>
    <row r="93" spans="1:3">
      <c r="A93" s="17">
        <v>10</v>
      </c>
      <c r="B93" s="18" t="s">
        <v>17</v>
      </c>
    </row>
    <row r="94" spans="1:3">
      <c r="A94" s="17">
        <v>11</v>
      </c>
      <c r="B94" s="18" t="s">
        <v>18</v>
      </c>
    </row>
    <row r="95" spans="1:3">
      <c r="A95" s="17">
        <v>12</v>
      </c>
      <c r="B95" s="18" t="s">
        <v>19</v>
      </c>
    </row>
    <row r="96" spans="1:3">
      <c r="A96" s="17">
        <v>13</v>
      </c>
      <c r="B96" s="18"/>
    </row>
    <row r="97" spans="1:2">
      <c r="A97" s="17">
        <v>14</v>
      </c>
      <c r="B97" s="18"/>
    </row>
    <row r="100" spans="1:2">
      <c r="B100" s="16" t="s">
        <v>337</v>
      </c>
    </row>
    <row r="101" spans="1:2">
      <c r="B101" t="s">
        <v>353</v>
      </c>
    </row>
    <row r="102" spans="1:2">
      <c r="B102" t="s">
        <v>357</v>
      </c>
    </row>
  </sheetData>
  <phoneticPr fontId="2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9649" r:id="rId4" name="List Box 1">
              <controlPr defaultSize="0" autoLine="0" autoPict="0">
                <anchor moveWithCells="1">
                  <from>
                    <xdr:col>1</xdr:col>
                    <xdr:colOff>990600</xdr:colOff>
                    <xdr:row>53</xdr:row>
                    <xdr:rowOff>47625</xdr:rowOff>
                  </from>
                  <to>
                    <xdr:col>2</xdr:col>
                    <xdr:colOff>714375</xdr:colOff>
                    <xdr:row>56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sheetPr>
  <dimension ref="B1:AA23"/>
  <sheetViews>
    <sheetView workbookViewId="0">
      <pane ySplit="18" topLeftCell="A19" activePane="bottomLeft" state="frozen"/>
      <selection pane="bottomLeft" activeCell="C19" sqref="C19"/>
    </sheetView>
  </sheetViews>
  <sheetFormatPr defaultRowHeight="15"/>
  <cols>
    <col min="1" max="1" width="5.7109375" customWidth="1"/>
    <col min="2" max="2" width="32.5703125" customWidth="1"/>
    <col min="3" max="3" width="33" customWidth="1"/>
    <col min="4" max="4" width="39" customWidth="1"/>
    <col min="5" max="5" width="24.5703125" style="4" customWidth="1"/>
    <col min="6" max="6" width="17.28515625" customWidth="1"/>
    <col min="7" max="7" width="14.140625" customWidth="1"/>
    <col min="8" max="8" width="17.85546875" customWidth="1"/>
    <col min="9" max="9" width="36" customWidth="1"/>
    <col min="10" max="10" width="17.140625" customWidth="1"/>
    <col min="11" max="15" width="14" customWidth="1"/>
    <col min="16" max="16" width="17.85546875" customWidth="1"/>
  </cols>
  <sheetData>
    <row r="1" spans="2:27" ht="15" customHeight="1">
      <c r="B1" s="2" t="s">
        <v>58</v>
      </c>
      <c r="D1" s="99" t="s">
        <v>99</v>
      </c>
      <c r="E1" s="100">
        <v>46060</v>
      </c>
      <c r="AA1" s="84" t="s">
        <v>108</v>
      </c>
    </row>
    <row r="2" spans="2:27">
      <c r="B2" s="3" t="s">
        <v>0</v>
      </c>
    </row>
    <row r="3" spans="2:27">
      <c r="B3" s="1"/>
      <c r="D3" s="5"/>
    </row>
    <row r="5" spans="2:27">
      <c r="E5" s="5"/>
    </row>
    <row r="6" spans="2:27">
      <c r="E6" s="5"/>
      <c r="J6" s="94"/>
      <c r="K6" s="95"/>
    </row>
    <row r="7" spans="2:27">
      <c r="J7" s="94"/>
      <c r="K7" s="95"/>
    </row>
    <row r="8" spans="2:27">
      <c r="J8" s="94"/>
      <c r="K8" s="95"/>
    </row>
    <row r="9" spans="2:27">
      <c r="J9" s="94"/>
      <c r="K9" s="95"/>
    </row>
    <row r="15" spans="2:27">
      <c r="B15" s="82" t="s">
        <v>59</v>
      </c>
    </row>
    <row r="17" spans="2:16">
      <c r="P17" s="5" t="s">
        <v>65</v>
      </c>
    </row>
    <row r="18" spans="2:16">
      <c r="B18" s="80" t="s">
        <v>37</v>
      </c>
      <c r="C18" s="80" t="s">
        <v>53</v>
      </c>
      <c r="D18" s="80" t="s">
        <v>54</v>
      </c>
      <c r="E18" s="83" t="s">
        <v>55</v>
      </c>
      <c r="F18" s="80" t="s">
        <v>50</v>
      </c>
      <c r="G18" s="80" t="s">
        <v>56</v>
      </c>
      <c r="H18" s="80" t="s">
        <v>51</v>
      </c>
      <c r="I18" s="80" t="s">
        <v>57</v>
      </c>
      <c r="J18" s="80" t="s">
        <v>80</v>
      </c>
      <c r="K18" s="80" t="s">
        <v>81</v>
      </c>
      <c r="L18" s="80" t="s">
        <v>95</v>
      </c>
      <c r="M18" s="80" t="s">
        <v>60</v>
      </c>
      <c r="N18" s="80" t="s">
        <v>61</v>
      </c>
      <c r="O18" s="80" t="s">
        <v>62</v>
      </c>
      <c r="P18" s="80" t="s">
        <v>63</v>
      </c>
    </row>
    <row r="19" spans="2:16">
      <c r="B19" s="79" t="s">
        <v>106</v>
      </c>
      <c r="C19" s="11" t="s">
        <v>107</v>
      </c>
      <c r="D19" s="11" t="s">
        <v>104</v>
      </c>
      <c r="E19" s="11"/>
      <c r="F19" s="12"/>
      <c r="G19" s="12"/>
      <c r="H19" s="12"/>
      <c r="I19" s="13"/>
      <c r="J19" s="12"/>
      <c r="K19" s="12"/>
      <c r="L19" s="12"/>
      <c r="M19" s="12"/>
      <c r="N19" s="12"/>
      <c r="O19" s="12"/>
      <c r="P19" s="79"/>
    </row>
    <row r="20" spans="2:16">
      <c r="B20" s="101" t="s">
        <v>106</v>
      </c>
      <c r="C20" s="102" t="s">
        <v>107</v>
      </c>
      <c r="D20" s="102" t="s">
        <v>104</v>
      </c>
      <c r="E20" s="102"/>
      <c r="F20" s="103"/>
      <c r="G20" s="103"/>
      <c r="H20" s="103"/>
      <c r="I20" s="104"/>
      <c r="J20" s="103"/>
      <c r="K20" s="103"/>
      <c r="L20" s="103"/>
      <c r="M20" s="103"/>
      <c r="N20" s="103"/>
      <c r="O20" s="103"/>
      <c r="P20" s="101"/>
    </row>
    <row r="21" spans="2:16">
      <c r="B21" s="79"/>
      <c r="C21" s="11"/>
      <c r="D21" s="11"/>
      <c r="E21" s="11"/>
      <c r="F21" s="12"/>
      <c r="G21" s="12"/>
      <c r="H21" s="12"/>
      <c r="I21" s="13"/>
      <c r="J21" s="12"/>
      <c r="K21" s="12"/>
      <c r="L21" s="12"/>
      <c r="M21" s="12"/>
      <c r="N21" s="12"/>
      <c r="O21" s="12"/>
      <c r="P21" s="79"/>
    </row>
    <row r="22" spans="2:16">
      <c r="B22" s="9"/>
      <c r="C22" s="11"/>
      <c r="D22" s="11"/>
      <c r="E22" s="11"/>
      <c r="F22" s="12"/>
      <c r="G22" s="12"/>
      <c r="H22" s="12"/>
      <c r="I22" s="12"/>
      <c r="J22" s="12"/>
      <c r="K22" s="12"/>
      <c r="L22" s="12"/>
      <c r="M22" s="12"/>
      <c r="N22" s="12"/>
      <c r="O22" s="12"/>
      <c r="P22" s="79"/>
    </row>
    <row r="23" spans="2:16">
      <c r="B23" s="79"/>
      <c r="C23" s="9"/>
      <c r="D23" s="9"/>
      <c r="E23" s="9"/>
      <c r="F23" s="9"/>
      <c r="G23" s="9"/>
      <c r="H23" s="9"/>
      <c r="I23" s="10"/>
      <c r="J23" s="9"/>
      <c r="K23" s="9"/>
      <c r="L23" s="9"/>
      <c r="M23" s="9"/>
      <c r="N23" s="9"/>
      <c r="O23" s="9"/>
      <c r="P23" s="79"/>
    </row>
  </sheetData>
  <sortState xmlns:xlrd2="http://schemas.microsoft.com/office/spreadsheetml/2017/richdata2" ref="B19:P100000">
    <sortCondition ref="C19:C100000"/>
  </sortState>
  <phoneticPr fontId="2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List Box 1">
              <controlPr defaultSize="0" print="0" autoLine="0" autoPict="0">
                <anchor>
                  <from>
                    <xdr:col>1</xdr:col>
                    <xdr:colOff>76200</xdr:colOff>
                    <xdr:row>3</xdr:row>
                    <xdr:rowOff>104775</xdr:rowOff>
                  </from>
                  <to>
                    <xdr:col>1</xdr:col>
                    <xdr:colOff>2124075</xdr:colOff>
                    <xdr:row>13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B0F0"/>
  </sheetPr>
  <dimension ref="B1:R167"/>
  <sheetViews>
    <sheetView topLeftCell="A9" workbookViewId="0">
      <selection activeCell="D95" sqref="D95"/>
    </sheetView>
  </sheetViews>
  <sheetFormatPr defaultColWidth="9.140625" defaultRowHeight="13"/>
  <cols>
    <col min="1" max="1" width="3.42578125" style="7" customWidth="1"/>
    <col min="2" max="2" width="35.5703125" style="22" customWidth="1"/>
    <col min="3" max="3" width="48.140625" style="7" customWidth="1"/>
    <col min="4" max="4" width="44" style="7" customWidth="1"/>
    <col min="5" max="5" width="29.42578125" style="7" customWidth="1"/>
    <col min="6" max="6" width="33.7109375" style="7" customWidth="1"/>
    <col min="7" max="7" width="32" style="7" customWidth="1"/>
    <col min="8" max="8" width="21.7109375" style="7" customWidth="1"/>
    <col min="9" max="9" width="17.42578125" style="7" customWidth="1"/>
    <col min="10" max="10" width="17.5703125" style="7" customWidth="1"/>
    <col min="11" max="16" width="24.42578125" style="7" customWidth="1"/>
    <col min="17" max="17" width="21.140625" style="7" customWidth="1"/>
    <col min="18" max="19" width="9.140625" style="7"/>
    <col min="20" max="20" width="29.42578125" style="7" customWidth="1"/>
    <col min="21" max="16384" width="9.140625" style="7"/>
  </cols>
  <sheetData>
    <row r="1" spans="2:7" ht="15">
      <c r="B1" s="19"/>
      <c r="C1" s="92" t="s">
        <v>92</v>
      </c>
      <c r="D1" s="93" t="s">
        <v>93</v>
      </c>
      <c r="E1" s="93" t="s">
        <v>94</v>
      </c>
    </row>
    <row r="2" spans="2:7">
      <c r="B2" s="21" t="s">
        <v>20</v>
      </c>
      <c r="C2" s="16"/>
      <c r="F2" s="16"/>
    </row>
    <row r="3" spans="2:7">
      <c r="C3" s="16"/>
      <c r="G3" s="23"/>
    </row>
    <row r="4" spans="2:7">
      <c r="B4" s="7" t="s">
        <v>21</v>
      </c>
      <c r="C4" s="7" t="s">
        <v>22</v>
      </c>
      <c r="D4" s="7" t="s">
        <v>23</v>
      </c>
      <c r="G4" s="23"/>
    </row>
    <row r="5" spans="2:7">
      <c r="B5" s="24">
        <v>1</v>
      </c>
      <c r="D5" s="25" t="s">
        <v>24</v>
      </c>
      <c r="G5" s="6"/>
    </row>
    <row r="6" spans="2:7">
      <c r="B6" s="26"/>
      <c r="D6" s="27">
        <v>1</v>
      </c>
      <c r="G6" s="6"/>
    </row>
    <row r="7" spans="2:7">
      <c r="B7" s="26"/>
      <c r="G7" s="6"/>
    </row>
    <row r="8" spans="2:7">
      <c r="B8" s="26"/>
    </row>
    <row r="9" spans="2:7">
      <c r="B9" s="26"/>
      <c r="F9" s="28"/>
      <c r="G9" s="20"/>
    </row>
    <row r="10" spans="2:7">
      <c r="B10" s="26"/>
    </row>
    <row r="11" spans="2:7">
      <c r="B11" s="26"/>
    </row>
    <row r="12" spans="2:7">
      <c r="B12" s="26"/>
      <c r="F12" s="29"/>
    </row>
    <row r="13" spans="2:7">
      <c r="B13" s="26"/>
    </row>
    <row r="14" spans="2:7">
      <c r="B14" s="26"/>
    </row>
    <row r="15" spans="2:7">
      <c r="B15" s="26"/>
    </row>
    <row r="16" spans="2:7">
      <c r="B16" s="26"/>
    </row>
    <row r="17" spans="2:18">
      <c r="B17" s="26"/>
    </row>
    <row r="18" spans="2:18">
      <c r="B18" s="26"/>
      <c r="D18" s="30" t="s">
        <v>25</v>
      </c>
    </row>
    <row r="19" spans="2:18">
      <c r="B19" s="26"/>
      <c r="D19" s="31"/>
    </row>
    <row r="20" spans="2:18">
      <c r="B20" s="26"/>
    </row>
    <row r="21" spans="2:18">
      <c r="B21" s="7"/>
    </row>
    <row r="22" spans="2:18">
      <c r="B22" s="32" t="s">
        <v>26</v>
      </c>
      <c r="C22" s="32"/>
    </row>
    <row r="23" spans="2:18">
      <c r="B23" s="85" t="s">
        <v>27</v>
      </c>
      <c r="C23" s="128">
        <f ca="1">NOW()</f>
        <v>45944.586025462966</v>
      </c>
      <c r="D23" s="33" t="s">
        <v>28</v>
      </c>
      <c r="E23" s="34"/>
    </row>
    <row r="24" spans="2:18">
      <c r="B24" s="35"/>
      <c r="D24" s="33"/>
      <c r="E24" s="34"/>
    </row>
    <row r="25" spans="2:18">
      <c r="B25" s="26"/>
      <c r="C25" s="26"/>
    </row>
    <row r="26" spans="2:18">
      <c r="C26" s="36"/>
      <c r="D26" s="36"/>
      <c r="E26" s="36"/>
      <c r="F26" s="36"/>
      <c r="G26" s="36"/>
      <c r="H26" s="37"/>
      <c r="I26" s="37"/>
      <c r="J26" s="37"/>
      <c r="K26" s="37"/>
      <c r="L26" s="37"/>
      <c r="M26" s="37"/>
      <c r="N26" s="37"/>
      <c r="O26" s="37"/>
      <c r="P26" s="37"/>
      <c r="Q26" s="37"/>
    </row>
    <row r="27" spans="2:18">
      <c r="B27" s="7"/>
      <c r="C27" s="6"/>
      <c r="D27" s="6"/>
    </row>
    <row r="28" spans="2:18" ht="12.75" customHeight="1">
      <c r="B28" s="32" t="s">
        <v>29</v>
      </c>
      <c r="D28" s="22" t="s">
        <v>52</v>
      </c>
      <c r="Q28" s="5" t="s">
        <v>65</v>
      </c>
    </row>
    <row r="29" spans="2:18" ht="12.75" customHeight="1">
      <c r="B29" s="55" t="s">
        <v>30</v>
      </c>
      <c r="C29" s="38"/>
      <c r="D29" s="39"/>
      <c r="E29" s="39"/>
      <c r="F29" s="39"/>
      <c r="G29" s="39"/>
      <c r="H29" s="39"/>
      <c r="I29" s="39"/>
      <c r="J29" s="39"/>
      <c r="K29" s="39"/>
      <c r="L29" s="39"/>
      <c r="M29" s="39"/>
      <c r="N29" s="39"/>
      <c r="O29" s="39"/>
      <c r="P29" s="39"/>
      <c r="Q29" s="39"/>
      <c r="R29" s="40"/>
    </row>
    <row r="30" spans="2:18" ht="15">
      <c r="B30" s="41"/>
      <c r="C30" s="59"/>
      <c r="D30" s="60"/>
      <c r="E30" s="60"/>
      <c r="F30" s="61"/>
      <c r="G30" s="60"/>
      <c r="H30" s="60"/>
      <c r="I30" s="60"/>
      <c r="J30" s="60"/>
      <c r="K30" s="60"/>
      <c r="L30" s="60"/>
      <c r="M30" s="60"/>
      <c r="N30" s="60"/>
      <c r="O30" s="60"/>
      <c r="P30" s="60"/>
      <c r="Q30" s="60"/>
      <c r="R30" s="40"/>
    </row>
    <row r="31" spans="2:18" ht="15">
      <c r="B31" s="42"/>
      <c r="C31" s="62"/>
      <c r="D31" s="63"/>
      <c r="E31" s="63"/>
      <c r="F31" s="64"/>
      <c r="G31" s="63"/>
      <c r="H31" s="63"/>
      <c r="I31" s="63"/>
      <c r="J31" s="63"/>
      <c r="K31" s="63"/>
      <c r="L31" s="63"/>
      <c r="M31" s="63"/>
      <c r="N31" s="63"/>
      <c r="O31" s="63"/>
      <c r="P31" s="63"/>
      <c r="Q31" s="63"/>
      <c r="R31" s="40"/>
    </row>
    <row r="32" spans="2:18" ht="15">
      <c r="B32" s="42"/>
      <c r="C32" s="62"/>
      <c r="D32" s="63"/>
      <c r="E32" s="63"/>
      <c r="F32" s="64"/>
      <c r="G32" s="63"/>
      <c r="H32" s="63"/>
      <c r="I32" s="63"/>
      <c r="J32" s="63"/>
      <c r="K32" s="65"/>
      <c r="L32" s="65"/>
      <c r="M32" s="65"/>
      <c r="N32" s="65"/>
      <c r="O32" s="65"/>
      <c r="P32" s="65"/>
      <c r="Q32" s="65"/>
      <c r="R32" s="40"/>
    </row>
    <row r="33" spans="2:18" ht="15">
      <c r="B33" s="42"/>
      <c r="C33" s="62"/>
      <c r="D33" s="64"/>
      <c r="E33" s="63"/>
      <c r="F33" s="64"/>
      <c r="G33" s="63"/>
      <c r="H33" s="63"/>
      <c r="I33" s="63"/>
      <c r="J33" s="63"/>
      <c r="K33" s="65"/>
      <c r="L33" s="65"/>
      <c r="M33" s="65"/>
      <c r="N33" s="65"/>
      <c r="O33" s="65"/>
      <c r="P33" s="65"/>
      <c r="Q33" s="65"/>
      <c r="R33" s="40"/>
    </row>
    <row r="34" spans="2:18" ht="15">
      <c r="B34" s="42"/>
      <c r="C34" s="62"/>
      <c r="D34" s="64"/>
      <c r="E34" s="63"/>
      <c r="F34" s="64"/>
      <c r="G34" s="63"/>
      <c r="H34" s="63"/>
      <c r="I34" s="63"/>
      <c r="J34" s="66"/>
      <c r="K34" s="65"/>
      <c r="L34" s="65"/>
      <c r="M34" s="65"/>
      <c r="N34" s="65"/>
      <c r="O34" s="65"/>
      <c r="P34" s="65"/>
      <c r="Q34" s="65"/>
      <c r="R34" s="40"/>
    </row>
    <row r="35" spans="2:18">
      <c r="B35" s="43" t="s">
        <v>31</v>
      </c>
    </row>
    <row r="36" spans="2:18">
      <c r="B36" s="35"/>
      <c r="C36" s="43"/>
    </row>
    <row r="37" spans="2:18" ht="13.75" thickBot="1">
      <c r="B37" s="54" t="s">
        <v>32</v>
      </c>
      <c r="E37" s="43"/>
    </row>
    <row r="38" spans="2:18" ht="13.75" thickBot="1">
      <c r="B38" s="119" t="s">
        <v>33</v>
      </c>
      <c r="C38" s="120" t="s">
        <v>34</v>
      </c>
      <c r="D38" s="120" t="s">
        <v>35</v>
      </c>
      <c r="E38" s="121" t="s">
        <v>331</v>
      </c>
      <c r="F38" s="122" t="s">
        <v>333</v>
      </c>
      <c r="G38" s="122" t="s">
        <v>354</v>
      </c>
    </row>
    <row r="39" spans="2:18" ht="13.75" thickBot="1">
      <c r="B39" s="44"/>
      <c r="D39" s="56"/>
      <c r="E39" s="123">
        <v>1</v>
      </c>
      <c r="F39" s="132" t="s">
        <v>334</v>
      </c>
      <c r="G39" s="134" t="str" cm="1">
        <f t="array" aca="1" ref="G39" ca="1">"Q"&amp;_xlfn.CONCAT(LEFT(_xlfn.FILTERXML("&lt;a&gt;&lt;b&gt;"&amp;SUBSTITUTE(D41," ","&lt;/b&gt;&lt;b&gt;")&amp;"&lt;/b&gt;&lt;/a&gt;","//b"),1))&amp;TEXT(DateCell,"YYMMDD")</f>
        <v>QFOL251014</v>
      </c>
    </row>
    <row r="40" spans="2:18" ht="13.75" thickBot="1">
      <c r="B40" s="45"/>
      <c r="C40" s="20" t="s">
        <v>36</v>
      </c>
      <c r="D40" s="56"/>
      <c r="E40" s="124">
        <v>2</v>
      </c>
      <c r="F40" s="133" t="s">
        <v>351</v>
      </c>
      <c r="G40" s="122" t="s">
        <v>355</v>
      </c>
    </row>
    <row r="41" spans="2:18" ht="13.75" thickBot="1">
      <c r="B41" s="45" t="s">
        <v>115</v>
      </c>
      <c r="C41" s="7" t="s">
        <v>38</v>
      </c>
      <c r="D41" s="56" t="str">
        <f>GeneralLedger!L1</f>
        <v>Fortuna Online Limited</v>
      </c>
      <c r="E41" s="124">
        <v>3</v>
      </c>
      <c r="F41" s="136" t="str">
        <f>IF(F42="Use Suggested Quote Number",G39,G41)</f>
        <v>QFOL24MM</v>
      </c>
      <c r="G41" s="135" t="s">
        <v>356</v>
      </c>
    </row>
    <row r="42" spans="2:18" ht="13.75" thickBot="1">
      <c r="B42" s="45" t="s">
        <v>116</v>
      </c>
      <c r="C42" s="7" t="s">
        <v>39</v>
      </c>
      <c r="D42" s="56" t="str">
        <f>GeneralLedger!L2</f>
        <v>901, 9/F, Wan Chai Commercial Centre, 194-204 Johnston Road Center, Wan Chai</v>
      </c>
      <c r="E42" s="124">
        <v>4</v>
      </c>
      <c r="F42" s="137" t="s">
        <v>353</v>
      </c>
    </row>
    <row r="43" spans="2:18">
      <c r="B43" s="47" t="s">
        <v>117</v>
      </c>
      <c r="C43" s="7" t="s">
        <v>40</v>
      </c>
      <c r="D43" s="56" t="str">
        <f>GeneralLedger!L3</f>
        <v>Simon Lam</v>
      </c>
      <c r="E43" s="124">
        <v>5</v>
      </c>
      <c r="F43" s="125"/>
    </row>
    <row r="44" spans="2:18">
      <c r="B44" s="48" t="s">
        <v>118</v>
      </c>
      <c r="C44" s="7" t="s">
        <v>64</v>
      </c>
      <c r="D44" s="56" t="str">
        <f>GeneralLedger!L4</f>
        <v>852-66889583</v>
      </c>
      <c r="E44" s="124">
        <v>6</v>
      </c>
      <c r="F44" s="125"/>
    </row>
    <row r="45" spans="2:18">
      <c r="B45" s="47" t="s">
        <v>119</v>
      </c>
      <c r="C45" s="7" t="s">
        <v>105</v>
      </c>
      <c r="D45" s="56" t="str">
        <f>GeneralLedger!L5</f>
        <v>simon@fortuna-online.org</v>
      </c>
      <c r="E45" s="124">
        <v>7</v>
      </c>
      <c r="F45" s="125"/>
    </row>
    <row r="46" spans="2:18">
      <c r="B46" s="45" t="s">
        <v>120</v>
      </c>
      <c r="C46" s="7" t="s">
        <v>42</v>
      </c>
      <c r="D46" s="56" t="str">
        <f>GeneralLedger!L6</f>
        <v>FY-51545751155</v>
      </c>
      <c r="E46" s="124">
        <v>8</v>
      </c>
      <c r="F46" s="125"/>
    </row>
    <row r="47" spans="2:18">
      <c r="B47" s="45" t="s">
        <v>121</v>
      </c>
      <c r="C47" s="7" t="s">
        <v>43</v>
      </c>
      <c r="D47" s="118">
        <f>GeneralLedger!L7</f>
        <v>45427</v>
      </c>
      <c r="E47" s="124"/>
      <c r="F47" s="125"/>
    </row>
    <row r="48" spans="2:18" ht="13.75" thickBot="1">
      <c r="B48" s="45" t="s">
        <v>122</v>
      </c>
      <c r="C48" s="7" t="s">
        <v>44</v>
      </c>
      <c r="D48" s="118">
        <f>GeneralLedger!L8</f>
        <v>45802</v>
      </c>
      <c r="E48" s="126"/>
      <c r="F48" s="127"/>
    </row>
    <row r="49" spans="2:5">
      <c r="B49" s="45" t="s">
        <v>123</v>
      </c>
      <c r="C49" s="7" t="s">
        <v>45</v>
      </c>
      <c r="D49" s="118">
        <f>GeneralLedger!L9</f>
        <v>0</v>
      </c>
      <c r="E49" s="35"/>
    </row>
    <row r="50" spans="2:5">
      <c r="B50" s="45" t="s">
        <v>124</v>
      </c>
      <c r="D50" s="57"/>
      <c r="E50" s="35"/>
    </row>
    <row r="51" spans="2:5">
      <c r="B51" s="45" t="s">
        <v>125</v>
      </c>
      <c r="D51" s="129" t="str">
        <f>_xlfn.IFNA(VLOOKUP(E39,Deliverable!A:F,3,FALSE),"")</f>
        <v>Company Registration</v>
      </c>
      <c r="E51" s="35"/>
    </row>
    <row r="52" spans="2:5">
      <c r="B52" s="45" t="s">
        <v>127</v>
      </c>
      <c r="D52" s="129" t="str">
        <f>_xlfn.IFNA(VLOOKUP(E40,Deliverable!A:F,3,FALSE),"")</f>
        <v>Company Secretary Service</v>
      </c>
      <c r="E52" s="35"/>
    </row>
    <row r="53" spans="2:5">
      <c r="B53" s="45" t="s">
        <v>129</v>
      </c>
      <c r="D53" s="129" t="str">
        <f>_xlfn.IFNA(VLOOKUP(E41,Deliverable!A:F,3,FALSE),"")</f>
        <v>Part-Time Video Production Assistant</v>
      </c>
      <c r="E53" s="35"/>
    </row>
    <row r="54" spans="2:5">
      <c r="B54" s="47" t="s">
        <v>131</v>
      </c>
      <c r="D54" s="129" t="str" cm="1">
        <f t="array" ref="D54">_xlfn.IFNA(VLOOKUP(E42,Deliverable!A:F,3,FALSE),NA)</f>
        <v>優化現有網頁 (網址：https://www.ukimms.com/)</v>
      </c>
      <c r="E54" s="35"/>
    </row>
    <row r="55" spans="2:5">
      <c r="B55" s="47" t="s">
        <v>133</v>
      </c>
      <c r="D55" s="129" t="str">
        <f>_xlfn.IFNA(VLOOKUP(E43,Deliverable!A:F,3,FALSE),"")</f>
        <v>Company Catalogue x 3000</v>
      </c>
      <c r="E55" s="35"/>
    </row>
    <row r="56" spans="2:5">
      <c r="B56" s="47" t="s">
        <v>135</v>
      </c>
      <c r="D56" s="129" t="str">
        <f>_xlfn.IFNA(VLOOKUP(E44,Deliverable!A:F,3,FALSE),"")</f>
        <v>Company Brochures x 3000</v>
      </c>
      <c r="E56" s="35"/>
    </row>
    <row r="57" spans="2:5">
      <c r="B57" s="47" t="s">
        <v>137</v>
      </c>
      <c r="D57" s="129" t="str">
        <f>_xlfn.IFNA(VLOOKUP(E45,Deliverable!A:F,3,FALSE),"")</f>
        <v>Company Leaflet x 10000</v>
      </c>
      <c r="E57" s="35"/>
    </row>
    <row r="58" spans="2:5" ht="26">
      <c r="B58" s="47" t="s">
        <v>139</v>
      </c>
      <c r="D58" s="129" t="str">
        <f>_xlfn.IFNA(VLOOKUP(E46,Deliverable!A:F,3,FALSE),"")</f>
        <v>Facebook Feed x52 and Page Management x12 months</v>
      </c>
      <c r="E58" s="35"/>
    </row>
    <row r="59" spans="2:5">
      <c r="B59" s="117" t="s">
        <v>141</v>
      </c>
      <c r="D59" s="129" t="str">
        <f>_xlfn.IFNA(VLOOKUP(E47,Deliverable!A:F,3,FALSE),"")</f>
        <v/>
      </c>
      <c r="E59" s="35"/>
    </row>
    <row r="60" spans="2:5">
      <c r="B60" s="117" t="s">
        <v>143</v>
      </c>
      <c r="D60" s="129" t="str">
        <f>_xlfn.IFNA(VLOOKUP(E48,Deliverable!A:F,3,FALSE),"")</f>
        <v/>
      </c>
      <c r="E60" s="35"/>
    </row>
    <row r="61" spans="2:5" ht="65">
      <c r="B61" s="45" t="s">
        <v>126</v>
      </c>
      <c r="D61" s="57" t="str">
        <f>_xlfn.IFNA(VLOOKUP(E39,Deliverable!A:F,4,FALSE),"")</f>
        <v>Opening a representative office in the UK can help us establish a local business network, expand our UK market, and increase the company profile. It helps to increase inquiry rate of UK visa and UK consulting business if we have an UK entity.</v>
      </c>
      <c r="E61" s="35"/>
    </row>
    <row r="62" spans="2:5">
      <c r="B62" s="45" t="s">
        <v>128</v>
      </c>
      <c r="C62" s="20"/>
      <c r="D62" s="57" t="str">
        <f>_xlfn.IFNA(VLOOKUP(E40,Deliverable!A:F,4,FALSE),"")</f>
        <v>Company Secretary Service</v>
      </c>
      <c r="E62" s="35"/>
    </row>
    <row r="63" spans="2:5" ht="78">
      <c r="B63" s="45" t="s">
        <v>130</v>
      </c>
      <c r="D63" s="57" t="str">
        <f>_xlfn.IFNA(VLOOKUP(E41,Deliverable!A:F,4,FALSE),"")</f>
        <v>Responsible for marketing promotional videos for the UK business development project •Video Content planning for UK market •Video editing •Subtitling •Video description, thumbnail •Manage the video production project for UK market and be the bridge between vendor and management</v>
      </c>
      <c r="E63" s="35"/>
    </row>
    <row r="64" spans="2:5" ht="169">
      <c r="B64" s="45" t="s">
        <v>132</v>
      </c>
      <c r="C64" s="81"/>
      <c r="D64" s="57" t="str">
        <f>_xlfn.IFNA(VLOOKUP(E42,Deliverable!A:F,4,FALSE),"")</f>
        <v>•Adding online booking function for UK customers 
•SEO for new website for UK markets includes optimized content creation, website structure optimization, keyword research, link structure, tag optimization and website speed optimization. 
•Redesign pages and theme 
•Upgrade of the home page (new logo, new banner, new layout/theme) 
•Update of the header and footer (to include UK new address)
•Update contact us page (to include UK new address map) •Redesign the online enquiry form 
•Website copywriting for Chinese and English</v>
      </c>
      <c r="E64" s="35"/>
    </row>
    <row r="65" spans="2:5" ht="26">
      <c r="B65" s="45" t="s">
        <v>134</v>
      </c>
      <c r="D65" s="57" t="str">
        <f>_xlfn.IFNA(VLOOKUP(E43,Deliverable!A:F,4,FALSE),"")</f>
        <v>3 Designs x 1000 copies (A5 size, 10 pages per design, color print, in English and Chinese)</v>
      </c>
      <c r="E65" s="35"/>
    </row>
    <row r="66" spans="2:5" ht="26">
      <c r="B66" s="45" t="s">
        <v>136</v>
      </c>
      <c r="D66" s="57" t="str">
        <f>_xlfn.IFNA(VLOOKUP(E44,Deliverable!A:F,4,FALSE),"")</f>
        <v>3 Designs x 1000 copies (A4 size, 2 pages
per design, color print, in English and Chinese)</v>
      </c>
      <c r="E66" s="35"/>
    </row>
    <row r="67" spans="2:5" ht="26">
      <c r="B67" s="45" t="s">
        <v>138</v>
      </c>
      <c r="D67" s="57" t="str">
        <f>_xlfn.IFNA(VLOOKUP(E45,Deliverable!A:F,4,FALSE),"")</f>
        <v>Design and printing fee (A4 size, 2 pages, color print, in English and Chinese)</v>
      </c>
      <c r="E67" s="35"/>
    </row>
    <row r="68" spans="2:5" ht="104">
      <c r="B68" s="45" t="s">
        <v>140</v>
      </c>
      <c r="D68" s="57" t="str">
        <f>_xlfn.IFNA(VLOOKUP(E46,Deliverable!A:F,4,FALSE),"")</f>
        <v>1) Page setup, Front Page Banner Design, monthly traffic and insight report, customer service 9-6pm Mon-Fri (Facebook messenger, Instagram direct message ). 2) Copywriting of Facebook/Instagram feeds include content , graphic design. Feeds content is related to our company service or related industry news. Each feed should contain at least 100 words and 1 picture.</v>
      </c>
      <c r="E68" s="35"/>
    </row>
    <row r="69" spans="2:5">
      <c r="B69" s="45" t="s">
        <v>142</v>
      </c>
      <c r="D69" s="57" t="str">
        <f>_xlfn.IFNA(VLOOKUP(E47,Deliverable!A:F,4,FALSE),"")</f>
        <v/>
      </c>
      <c r="E69" s="35"/>
    </row>
    <row r="70" spans="2:5">
      <c r="B70" s="45" t="s">
        <v>144</v>
      </c>
      <c r="C70" s="16"/>
      <c r="D70" s="57" t="str">
        <f>_xlfn.IFNA(VLOOKUP(E48,Deliverable!A:F,4,FALSE),"")</f>
        <v/>
      </c>
      <c r="E70" s="35"/>
    </row>
    <row r="71" spans="2:5">
      <c r="B71" s="45" t="s">
        <v>145</v>
      </c>
      <c r="C71" s="20"/>
      <c r="D71" s="56" t="str">
        <f>F39</f>
        <v>Lohas Marketing Project</v>
      </c>
      <c r="E71" s="35"/>
    </row>
    <row r="72" spans="2:5">
      <c r="B72" s="45" t="s">
        <v>146</v>
      </c>
      <c r="D72" s="130">
        <f>_xlfn.IFNA(VLOOKUP(E39,Deliverable!A:L,10,FALSE),"")</f>
        <v>18000</v>
      </c>
      <c r="E72" s="35"/>
    </row>
    <row r="73" spans="2:5">
      <c r="B73" s="49" t="s">
        <v>147</v>
      </c>
      <c r="D73" s="130">
        <f>_xlfn.IFNA(VLOOKUP(E40,Deliverable!A:L,10,FALSE),"")</f>
        <v>12000</v>
      </c>
      <c r="E73" s="35"/>
    </row>
    <row r="74" spans="2:5">
      <c r="B74" s="49" t="s">
        <v>148</v>
      </c>
      <c r="D74" s="130">
        <f>_xlfn.IFNA(VLOOKUP(E41,Deliverable!A:L,10,FALSE),"")</f>
        <v>48000</v>
      </c>
      <c r="E74" s="35"/>
    </row>
    <row r="75" spans="2:5">
      <c r="B75" s="49" t="s">
        <v>149</v>
      </c>
      <c r="D75" s="130">
        <f>_xlfn.IFNA(VLOOKUP(E42,Deliverable!A:L,10,FALSE),"")</f>
        <v>60000</v>
      </c>
      <c r="E75" s="35"/>
    </row>
    <row r="76" spans="2:5">
      <c r="B76" s="49" t="s">
        <v>150</v>
      </c>
      <c r="D76" s="130">
        <f>_xlfn.IFNA(VLOOKUP(E43,Deliverable!A:L,10,FALSE),"")</f>
        <v>40000</v>
      </c>
      <c r="E76" s="35"/>
    </row>
    <row r="77" spans="2:5">
      <c r="B77" s="49" t="s">
        <v>151</v>
      </c>
      <c r="D77" s="130">
        <f>_xlfn.IFNA(VLOOKUP(E44,Deliverable!A:L,10,FALSE),"")</f>
        <v>40000</v>
      </c>
      <c r="E77" s="35"/>
    </row>
    <row r="78" spans="2:5">
      <c r="B78" s="45" t="s">
        <v>152</v>
      </c>
      <c r="D78" s="130">
        <f>_xlfn.IFNA(VLOOKUP(E45,Deliverable!A:L,10,FALSE),"")</f>
        <v>20000</v>
      </c>
      <c r="E78" s="35"/>
    </row>
    <row r="79" spans="2:5">
      <c r="B79" s="49" t="s">
        <v>153</v>
      </c>
      <c r="D79" s="130">
        <f>_xlfn.IFNA(VLOOKUP(E46,Deliverable!A:L,10,FALSE),"")</f>
        <v>90000</v>
      </c>
      <c r="E79" s="35"/>
    </row>
    <row r="80" spans="2:5">
      <c r="B80" s="49" t="s">
        <v>154</v>
      </c>
      <c r="D80" s="130" t="str">
        <f>_xlfn.IFNA(VLOOKUP(E47,Deliverable!A:L,10,FALSE),"")</f>
        <v/>
      </c>
      <c r="E80" s="35"/>
    </row>
    <row r="81" spans="2:6">
      <c r="B81" s="45" t="s">
        <v>155</v>
      </c>
      <c r="D81" s="130" t="str">
        <f>_xlfn.IFNA(VLOOKUP(E48,Deliverable!A:L,10,FALSE),"")</f>
        <v/>
      </c>
      <c r="E81" s="35"/>
    </row>
    <row r="82" spans="2:6">
      <c r="B82" s="49" t="s">
        <v>306</v>
      </c>
      <c r="D82" s="56"/>
      <c r="E82" s="35"/>
    </row>
    <row r="83" spans="2:6">
      <c r="B83" s="49" t="s">
        <v>307</v>
      </c>
      <c r="D83" s="56"/>
      <c r="E83" s="35"/>
    </row>
    <row r="84" spans="2:6">
      <c r="B84" s="49" t="s">
        <v>308</v>
      </c>
      <c r="D84" s="56"/>
      <c r="E84" s="35"/>
    </row>
    <row r="85" spans="2:6">
      <c r="B85" s="49" t="s">
        <v>309</v>
      </c>
      <c r="D85" s="56"/>
      <c r="E85" s="35"/>
    </row>
    <row r="86" spans="2:6">
      <c r="B86" s="45" t="s">
        <v>310</v>
      </c>
      <c r="D86" s="56"/>
      <c r="E86" s="35"/>
    </row>
    <row r="87" spans="2:6">
      <c r="B87" s="49" t="s">
        <v>311</v>
      </c>
      <c r="D87" s="57"/>
      <c r="E87" s="35"/>
    </row>
    <row r="88" spans="2:6">
      <c r="B88" s="45" t="s">
        <v>312</v>
      </c>
      <c r="D88" s="56"/>
      <c r="E88" s="35"/>
    </row>
    <row r="89" spans="2:6">
      <c r="B89" s="45" t="s">
        <v>313</v>
      </c>
      <c r="D89" s="56"/>
      <c r="E89" s="35"/>
    </row>
    <row r="90" spans="2:6">
      <c r="B90" s="45" t="s">
        <v>314</v>
      </c>
      <c r="D90" s="56"/>
      <c r="E90" s="35"/>
    </row>
    <row r="91" spans="2:6">
      <c r="B91" s="45" t="s">
        <v>315</v>
      </c>
      <c r="D91" s="56"/>
      <c r="E91" s="35"/>
    </row>
    <row r="92" spans="2:6">
      <c r="B92" s="48" t="s">
        <v>41</v>
      </c>
      <c r="D92" s="56" t="str" cm="1">
        <f t="array" aca="1" ref="D92" ca="1">LEFT(LEFT(CELL("filename",A1),FIND("[",CELL("filename",A1))-1),E92-1)</f>
        <v>G:\.shortcut-targets-by-id\14Kgc2xmqdUd6ghjyUQS7ibjKnSHhBoTX\BUD-Template\Create_Folder\Final-Report</v>
      </c>
      <c r="E92" s="35" cm="1">
        <f t="array" aca="1" ref="E92" ca="1">LEN(LEFT(CELL("filename",A1),FIND("[",CELL("filename",A1))-1))</f>
        <v>101</v>
      </c>
    </row>
    <row r="93" spans="2:6">
      <c r="B93" s="49" t="s">
        <v>350</v>
      </c>
      <c r="D93" s="131">
        <f>SUM(D72:D81)</f>
        <v>328000</v>
      </c>
      <c r="E93" s="98"/>
      <c r="F93" s="57"/>
    </row>
    <row r="94" spans="2:6">
      <c r="B94" s="49" t="s">
        <v>352</v>
      </c>
      <c r="D94" s="56" t="str">
        <f>F41</f>
        <v>QFOL24MM</v>
      </c>
      <c r="E94" s="86"/>
      <c r="F94" s="56"/>
    </row>
    <row r="95" spans="2:6">
      <c r="B95" s="49" t="s">
        <v>362</v>
      </c>
      <c r="D95" s="56">
        <f>F51</f>
        <v>0</v>
      </c>
      <c r="E95" s="86"/>
      <c r="F95" s="86"/>
    </row>
    <row r="96" spans="2:6">
      <c r="B96" s="49" t="s">
        <v>363</v>
      </c>
      <c r="D96" s="56">
        <f t="shared" ref="D96:D97" si="0">F52</f>
        <v>0</v>
      </c>
      <c r="E96" s="86"/>
      <c r="F96" s="56"/>
    </row>
    <row r="97" spans="2:5">
      <c r="B97" s="49" t="s">
        <v>364</v>
      </c>
      <c r="D97" s="56">
        <f t="shared" si="0"/>
        <v>0</v>
      </c>
      <c r="E97" s="35"/>
    </row>
    <row r="98" spans="2:5">
      <c r="B98" s="45"/>
      <c r="D98" s="56"/>
      <c r="E98" s="35"/>
    </row>
    <row r="99" spans="2:5">
      <c r="B99" s="45"/>
      <c r="D99" s="56"/>
      <c r="E99" s="35"/>
    </row>
    <row r="100" spans="2:5">
      <c r="B100" s="49"/>
      <c r="D100" s="56"/>
      <c r="E100" s="35"/>
    </row>
    <row r="101" spans="2:5">
      <c r="B101" s="45"/>
      <c r="D101" s="56"/>
      <c r="E101" s="35"/>
    </row>
    <row r="102" spans="2:5">
      <c r="B102" s="45"/>
      <c r="D102" s="56"/>
      <c r="E102" s="35"/>
    </row>
    <row r="103" spans="2:5">
      <c r="B103" s="45"/>
      <c r="D103" s="56"/>
      <c r="E103" s="35"/>
    </row>
    <row r="104" spans="2:5">
      <c r="B104" s="45"/>
      <c r="D104" s="56"/>
      <c r="E104" s="35"/>
    </row>
    <row r="105" spans="2:5">
      <c r="B105" s="45"/>
      <c r="C105" s="20"/>
      <c r="D105" s="56"/>
      <c r="E105" s="35"/>
    </row>
    <row r="106" spans="2:5">
      <c r="B106" s="49"/>
      <c r="C106" s="32"/>
      <c r="D106" s="56"/>
      <c r="E106" s="35"/>
    </row>
    <row r="107" spans="2:5">
      <c r="B107" s="45"/>
      <c r="D107" s="58"/>
      <c r="E107" s="35"/>
    </row>
    <row r="108" spans="2:5">
      <c r="B108" s="45"/>
      <c r="D108" s="58"/>
      <c r="E108" s="87"/>
    </row>
    <row r="109" spans="2:5">
      <c r="B109" s="45"/>
      <c r="D109" s="58"/>
      <c r="E109" s="87"/>
    </row>
    <row r="110" spans="2:5">
      <c r="B110" s="45"/>
      <c r="D110" s="56"/>
      <c r="E110" s="35"/>
    </row>
    <row r="111" spans="2:5">
      <c r="B111" s="45"/>
      <c r="D111" s="56"/>
      <c r="E111" s="35"/>
    </row>
    <row r="112" spans="2:5">
      <c r="B112" s="45"/>
      <c r="C112" s="32"/>
      <c r="D112" s="56"/>
      <c r="E112" s="35"/>
    </row>
    <row r="113" spans="2:5">
      <c r="B113" s="45"/>
      <c r="D113" s="56"/>
      <c r="E113" s="35"/>
    </row>
    <row r="114" spans="2:5">
      <c r="B114" s="45"/>
      <c r="D114" s="58"/>
      <c r="E114" s="35"/>
    </row>
    <row r="115" spans="2:5">
      <c r="B115" s="45"/>
      <c r="D115" s="58"/>
      <c r="E115" s="87"/>
    </row>
    <row r="116" spans="2:5">
      <c r="B116" s="45"/>
      <c r="D116" s="58"/>
      <c r="E116" s="87"/>
    </row>
    <row r="117" spans="2:5">
      <c r="B117" s="45"/>
      <c r="D117" s="58"/>
      <c r="E117" s="35"/>
    </row>
    <row r="118" spans="2:5">
      <c r="B118" s="45"/>
      <c r="C118" s="32"/>
      <c r="D118" s="58"/>
      <c r="E118" s="35"/>
    </row>
    <row r="119" spans="2:5">
      <c r="B119" s="45"/>
      <c r="D119" s="58"/>
      <c r="E119" s="35"/>
    </row>
    <row r="120" spans="2:5">
      <c r="B120" s="45"/>
      <c r="D120" s="58"/>
      <c r="E120" s="35"/>
    </row>
    <row r="121" spans="2:5">
      <c r="B121" s="45"/>
      <c r="D121" s="58"/>
      <c r="E121" s="35"/>
    </row>
    <row r="122" spans="2:5">
      <c r="B122" s="45"/>
      <c r="D122" s="58"/>
      <c r="E122" s="35"/>
    </row>
    <row r="123" spans="2:5">
      <c r="B123" s="45"/>
      <c r="D123" s="58"/>
      <c r="E123" s="35"/>
    </row>
    <row r="124" spans="2:5">
      <c r="B124" s="45"/>
      <c r="D124" s="58"/>
      <c r="E124" s="35"/>
    </row>
    <row r="125" spans="2:5">
      <c r="B125" s="45"/>
      <c r="D125" s="58"/>
      <c r="E125" s="35"/>
    </row>
    <row r="126" spans="2:5">
      <c r="B126" s="45"/>
      <c r="D126" s="58"/>
      <c r="E126" s="35"/>
    </row>
    <row r="127" spans="2:5">
      <c r="B127" s="45"/>
      <c r="D127" s="58"/>
      <c r="E127" s="35"/>
    </row>
    <row r="128" spans="2:5">
      <c r="B128" s="45"/>
      <c r="C128" s="32"/>
      <c r="D128" s="56"/>
      <c r="E128" s="35"/>
    </row>
    <row r="129" spans="2:5">
      <c r="B129" s="45"/>
      <c r="D129" s="56"/>
      <c r="E129" s="35"/>
    </row>
    <row r="130" spans="2:5">
      <c r="B130" s="45"/>
      <c r="D130" s="56"/>
      <c r="E130" s="35"/>
    </row>
    <row r="131" spans="2:5">
      <c r="B131" s="45"/>
      <c r="D131" s="56"/>
      <c r="E131" s="35"/>
    </row>
    <row r="132" spans="2:5">
      <c r="B132" s="45"/>
      <c r="D132" s="56"/>
      <c r="E132" s="35"/>
    </row>
    <row r="133" spans="2:5">
      <c r="B133" s="45"/>
      <c r="D133" s="56"/>
      <c r="E133" s="35"/>
    </row>
    <row r="134" spans="2:5">
      <c r="B134" s="45"/>
      <c r="D134" s="56"/>
      <c r="E134" s="35"/>
    </row>
    <row r="135" spans="2:5">
      <c r="B135" s="45"/>
      <c r="D135" s="56"/>
      <c r="E135" s="35"/>
    </row>
    <row r="136" spans="2:5">
      <c r="B136" s="45"/>
      <c r="D136" s="56"/>
      <c r="E136" s="35"/>
    </row>
    <row r="137" spans="2:5">
      <c r="B137" s="45"/>
      <c r="D137" s="56"/>
      <c r="E137" s="35"/>
    </row>
    <row r="138" spans="2:5">
      <c r="B138" s="45"/>
      <c r="D138" s="56"/>
      <c r="E138" s="35"/>
    </row>
    <row r="139" spans="2:5">
      <c r="B139" s="45"/>
      <c r="D139" s="56"/>
      <c r="E139" s="35"/>
    </row>
    <row r="140" spans="2:5">
      <c r="B140" s="45"/>
      <c r="D140" s="56"/>
      <c r="E140" s="35"/>
    </row>
    <row r="141" spans="2:5">
      <c r="B141" s="19" t="s">
        <v>46</v>
      </c>
    </row>
    <row r="142" spans="2:5">
      <c r="E142" s="32"/>
    </row>
    <row r="143" spans="2:5">
      <c r="E143" s="32"/>
    </row>
    <row r="144" spans="2:5">
      <c r="E144" s="32"/>
    </row>
    <row r="145" spans="3:8">
      <c r="C145" s="50"/>
      <c r="E145" s="32"/>
    </row>
    <row r="146" spans="3:8">
      <c r="E146" s="32"/>
    </row>
    <row r="147" spans="3:8">
      <c r="E147" s="32"/>
    </row>
    <row r="148" spans="3:8" ht="15">
      <c r="E148" s="32"/>
      <c r="H148"/>
    </row>
    <row r="149" spans="3:8" ht="15">
      <c r="H149" s="51"/>
    </row>
    <row r="150" spans="3:8" ht="15">
      <c r="H150" s="51"/>
    </row>
    <row r="151" spans="3:8" ht="15">
      <c r="H151" s="51"/>
    </row>
    <row r="152" spans="3:8" ht="15">
      <c r="E152" s="52"/>
      <c r="H152" s="51"/>
    </row>
    <row r="153" spans="3:8" ht="15">
      <c r="H153" s="51"/>
    </row>
    <row r="154" spans="3:8" ht="15">
      <c r="H154" s="51"/>
    </row>
    <row r="155" spans="3:8" ht="15">
      <c r="H155" s="51"/>
    </row>
    <row r="156" spans="3:8" ht="15">
      <c r="H156"/>
    </row>
    <row r="161" spans="3:4">
      <c r="D161" s="53"/>
    </row>
    <row r="162" spans="3:4">
      <c r="C162" s="53"/>
      <c r="D162" s="53"/>
    </row>
    <row r="163" spans="3:4">
      <c r="C163" s="53"/>
      <c r="D163" s="53"/>
    </row>
    <row r="164" spans="3:4">
      <c r="C164" s="53"/>
      <c r="D164" s="53"/>
    </row>
    <row r="165" spans="3:4">
      <c r="C165" s="53"/>
      <c r="D165" s="53"/>
    </row>
    <row r="166" spans="3:4">
      <c r="C166" s="53"/>
      <c r="D166" s="53"/>
    </row>
    <row r="167" spans="3:4">
      <c r="C167" s="53"/>
      <c r="D167" s="53"/>
    </row>
  </sheetData>
  <sortState xmlns:xlrd2="http://schemas.microsoft.com/office/spreadsheetml/2017/richdata2" ref="B30:Q34">
    <sortCondition ref="B30:B34"/>
  </sortState>
  <phoneticPr fontId="29" type="noConversion"/>
  <dataValidations count="1">
    <dataValidation type="whole" allowBlank="1" showErrorMessage="1" errorTitle="Whole numbers only" error="Enter receipient number, which must be a whole number (e.g. 1, 2, 3, etc.)." sqref="B30:B34" xr:uid="{00000000-0002-0000-0200-000000000000}">
      <formula1>1</formula1>
      <formula2>1000</formula2>
    </dataValidation>
  </dataValidations>
  <hyperlinks>
    <hyperlink ref="D1" r:id="rId1" xr:uid="{00000000-0004-0000-0200-000000000000}"/>
    <hyperlink ref="E1" r:id="rId2" xr:uid="{00000000-0004-0000-02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List Box 1">
              <controlPr defaultSize="0" autoLine="0" autoPict="0">
                <anchor moveWithCells="1">
                  <from>
                    <xdr:col>3</xdr:col>
                    <xdr:colOff>19050</xdr:colOff>
                    <xdr:row>4</xdr:row>
                    <xdr:rowOff>38100</xdr:rowOff>
                  </from>
                  <to>
                    <xdr:col>4</xdr:col>
                    <xdr:colOff>1819275</xdr:colOff>
                    <xdr:row>15</xdr:row>
                    <xdr:rowOff>104775</xdr:rowOff>
                  </to>
                </anchor>
              </controlPr>
            </control>
          </mc:Choice>
        </mc:AlternateContent>
        <mc:AlternateContent xmlns:mc="http://schemas.openxmlformats.org/markup-compatibility/2006">
          <mc:Choice Requires="x14">
            <control shapeId="3074" r:id="rId7" name="List Box 2">
              <controlPr defaultSize="0" autoLine="0" autoPict="0" macro="[0]!SelectTopRowLB3whenclickLB2">
                <anchor moveWithCells="1">
                  <from>
                    <xdr:col>2</xdr:col>
                    <xdr:colOff>285750</xdr:colOff>
                    <xdr:row>4</xdr:row>
                    <xdr:rowOff>28575</xdr:rowOff>
                  </from>
                  <to>
                    <xdr:col>2</xdr:col>
                    <xdr:colOff>3228975</xdr:colOff>
                    <xdr:row>14</xdr:row>
                    <xdr:rowOff>123825</xdr:rowOff>
                  </to>
                </anchor>
              </controlPr>
            </control>
          </mc:Choice>
        </mc:AlternateContent>
        <mc:AlternateContent xmlns:mc="http://schemas.openxmlformats.org/markup-compatibility/2006">
          <mc:Choice Requires="x14">
            <control shapeId="3076" r:id="rId8" name="List Box 4">
              <controlPr defaultSize="0" autoLine="0" autoPict="0">
                <anchor moveWithCells="1">
                  <from>
                    <xdr:col>1</xdr:col>
                    <xdr:colOff>200025</xdr:colOff>
                    <xdr:row>4</xdr:row>
                    <xdr:rowOff>47625</xdr:rowOff>
                  </from>
                  <to>
                    <xdr:col>1</xdr:col>
                    <xdr:colOff>2114550</xdr:colOff>
                    <xdr:row>12</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8BD42C6-A02A-46F7-91A1-CD5EC3C93D3F}">
          <x14:formula1>
            <xm:f>Inputs!$B$101:$B$102</xm:f>
          </x14:formula1>
          <xm:sqref>F42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2C40F-2B9F-4424-BD83-21381DFCC386}">
  <sheetPr codeName="Sheet5">
    <tabColor rgb="FFFF0000"/>
  </sheetPr>
  <dimension ref="B1:R167"/>
  <sheetViews>
    <sheetView topLeftCell="B1" workbookViewId="0">
      <selection activeCell="C49" sqref="C49"/>
    </sheetView>
  </sheetViews>
  <sheetFormatPr defaultColWidth="9.140625" defaultRowHeight="13"/>
  <cols>
    <col min="1" max="1" width="3.42578125" style="7" customWidth="1"/>
    <col min="2" max="2" width="35.5703125" style="22" customWidth="1"/>
    <col min="3" max="3" width="48.140625" style="7" customWidth="1"/>
    <col min="4" max="4" width="44" style="7" customWidth="1"/>
    <col min="5" max="5" width="29.42578125" style="7" customWidth="1"/>
    <col min="6" max="6" width="28.7109375" style="7" customWidth="1"/>
    <col min="7" max="7" width="32" style="7" customWidth="1"/>
    <col min="8" max="8" width="27.28515625" style="7" customWidth="1"/>
    <col min="9" max="9" width="17.42578125" style="7" customWidth="1"/>
    <col min="10" max="10" width="17.5703125" style="7" customWidth="1"/>
    <col min="11" max="16" width="24.42578125" style="7" customWidth="1"/>
    <col min="17" max="17" width="21.140625" style="7" customWidth="1"/>
    <col min="18" max="19" width="9.140625" style="7"/>
    <col min="20" max="20" width="29.42578125" style="7" customWidth="1"/>
    <col min="21" max="16384" width="9.140625" style="7"/>
  </cols>
  <sheetData>
    <row r="1" spans="2:7" ht="15">
      <c r="B1" s="19"/>
      <c r="C1"/>
      <c r="D1"/>
      <c r="E1"/>
    </row>
    <row r="2" spans="2:7">
      <c r="B2" s="21" t="s">
        <v>20</v>
      </c>
      <c r="C2" s="16"/>
      <c r="F2" s="16"/>
    </row>
    <row r="3" spans="2:7">
      <c r="C3" s="16"/>
      <c r="G3" s="23"/>
    </row>
    <row r="4" spans="2:7">
      <c r="B4" s="7" t="s">
        <v>21</v>
      </c>
      <c r="C4" s="7" t="s">
        <v>22</v>
      </c>
      <c r="D4" s="7" t="s">
        <v>23</v>
      </c>
      <c r="G4" s="23"/>
    </row>
    <row r="5" spans="2:7">
      <c r="B5" s="24">
        <v>2</v>
      </c>
      <c r="D5" s="25" t="s">
        <v>24</v>
      </c>
      <c r="G5" s="6"/>
    </row>
    <row r="6" spans="2:7">
      <c r="B6" s="26"/>
      <c r="D6" s="27">
        <v>1</v>
      </c>
      <c r="G6" s="6"/>
    </row>
    <row r="7" spans="2:7">
      <c r="B7" s="26"/>
      <c r="G7" s="6"/>
    </row>
    <row r="8" spans="2:7">
      <c r="B8" s="26"/>
    </row>
    <row r="9" spans="2:7">
      <c r="B9" s="26"/>
      <c r="F9" s="28"/>
      <c r="G9" s="20"/>
    </row>
    <row r="10" spans="2:7">
      <c r="B10" s="26"/>
    </row>
    <row r="11" spans="2:7">
      <c r="B11" s="26"/>
    </row>
    <row r="12" spans="2:7">
      <c r="B12" s="26"/>
      <c r="F12" s="29"/>
    </row>
    <row r="13" spans="2:7">
      <c r="B13" s="26"/>
    </row>
    <row r="14" spans="2:7">
      <c r="B14" s="26"/>
    </row>
    <row r="15" spans="2:7">
      <c r="B15" s="26"/>
    </row>
    <row r="16" spans="2:7">
      <c r="B16" s="26"/>
    </row>
    <row r="17" spans="2:18">
      <c r="B17" s="26"/>
    </row>
    <row r="18" spans="2:18">
      <c r="B18" s="26"/>
      <c r="D18" s="30" t="s">
        <v>25</v>
      </c>
    </row>
    <row r="19" spans="2:18">
      <c r="B19" s="26"/>
      <c r="D19" s="31"/>
    </row>
    <row r="20" spans="2:18">
      <c r="B20" s="26"/>
    </row>
    <row r="21" spans="2:18">
      <c r="B21" s="7"/>
    </row>
    <row r="22" spans="2:18">
      <c r="B22" s="32" t="s">
        <v>26</v>
      </c>
      <c r="C22" s="32"/>
    </row>
    <row r="23" spans="2:18">
      <c r="B23" s="85" t="s">
        <v>27</v>
      </c>
      <c r="C23" s="240">
        <f>F39</f>
        <v>44715</v>
      </c>
      <c r="D23" s="33" t="s">
        <v>28</v>
      </c>
      <c r="E23" s="34"/>
    </row>
    <row r="24" spans="2:18">
      <c r="B24" s="35"/>
      <c r="D24" s="33"/>
      <c r="E24" s="34"/>
    </row>
    <row r="25" spans="2:18">
      <c r="B25" s="26"/>
      <c r="C25" s="26"/>
    </row>
    <row r="26" spans="2:18">
      <c r="C26" s="36"/>
      <c r="D26" s="36"/>
      <c r="E26" s="36"/>
      <c r="F26" s="36"/>
      <c r="G26" s="36"/>
      <c r="H26" s="37"/>
      <c r="I26" s="37"/>
      <c r="J26" s="37"/>
      <c r="K26" s="37"/>
      <c r="L26" s="37"/>
      <c r="M26" s="37"/>
      <c r="N26" s="37"/>
      <c r="O26" s="37"/>
      <c r="P26" s="37"/>
      <c r="Q26" s="37"/>
    </row>
    <row r="27" spans="2:18">
      <c r="B27" s="7"/>
      <c r="C27" s="6"/>
      <c r="D27" s="6"/>
    </row>
    <row r="28" spans="2:18" ht="12.75" customHeight="1">
      <c r="B28" s="32" t="s">
        <v>29</v>
      </c>
      <c r="D28"/>
      <c r="Q28" s="5" t="s">
        <v>65</v>
      </c>
    </row>
    <row r="29" spans="2:18" ht="12.75" customHeight="1">
      <c r="B29" s="55" t="s">
        <v>30</v>
      </c>
      <c r="C29" s="80" t="s">
        <v>37</v>
      </c>
      <c r="D29" s="80" t="s">
        <v>53</v>
      </c>
      <c r="E29" s="80" t="s">
        <v>54</v>
      </c>
      <c r="F29" s="83" t="s">
        <v>55</v>
      </c>
      <c r="G29" s="80" t="s">
        <v>50</v>
      </c>
      <c r="H29" s="80" t="s">
        <v>56</v>
      </c>
      <c r="I29" s="80" t="s">
        <v>51</v>
      </c>
      <c r="J29" s="80" t="s">
        <v>57</v>
      </c>
      <c r="K29" s="80" t="s">
        <v>80</v>
      </c>
      <c r="L29" s="80" t="s">
        <v>81</v>
      </c>
      <c r="M29" s="80" t="s">
        <v>95</v>
      </c>
      <c r="N29" s="80" t="s">
        <v>60</v>
      </c>
      <c r="O29" s="80" t="s">
        <v>61</v>
      </c>
      <c r="P29" s="80" t="s">
        <v>62</v>
      </c>
      <c r="Q29" s="80" t="s">
        <v>63</v>
      </c>
      <c r="R29" s="40"/>
    </row>
    <row r="30" spans="2:18" ht="15">
      <c r="B30" s="41"/>
      <c r="C30" s="59"/>
      <c r="D30" s="60"/>
      <c r="E30" s="60"/>
      <c r="F30" s="61"/>
      <c r="G30" s="60"/>
      <c r="H30" s="60"/>
      <c r="I30" s="60"/>
      <c r="J30" s="60"/>
      <c r="K30" s="60"/>
      <c r="L30" s="60"/>
      <c r="M30" s="60"/>
      <c r="N30" s="60"/>
      <c r="O30" s="60"/>
      <c r="P30" s="60"/>
      <c r="Q30" s="60"/>
      <c r="R30" s="40"/>
    </row>
    <row r="31" spans="2:18" ht="15">
      <c r="B31" s="42"/>
      <c r="C31" s="62"/>
      <c r="D31" s="63"/>
      <c r="E31" s="63"/>
      <c r="F31" s="64"/>
      <c r="G31" s="63"/>
      <c r="H31" s="63"/>
      <c r="I31" s="63"/>
      <c r="J31" s="63"/>
      <c r="K31" s="63"/>
      <c r="L31" s="63"/>
      <c r="M31" s="63"/>
      <c r="N31" s="63"/>
      <c r="O31" s="63"/>
      <c r="P31" s="63"/>
      <c r="Q31" s="63"/>
      <c r="R31" s="40"/>
    </row>
    <row r="32" spans="2:18" ht="15">
      <c r="B32" s="42"/>
      <c r="C32" s="62"/>
      <c r="D32" s="63"/>
      <c r="E32" s="63"/>
      <c r="F32" s="64"/>
      <c r="G32" s="63"/>
      <c r="H32" s="63"/>
      <c r="I32" s="63"/>
      <c r="J32" s="63"/>
      <c r="K32" s="65"/>
      <c r="L32" s="65"/>
      <c r="M32" s="65"/>
      <c r="N32" s="65"/>
      <c r="O32" s="65"/>
      <c r="P32" s="65"/>
      <c r="Q32" s="65"/>
      <c r="R32" s="40"/>
    </row>
    <row r="33" spans="2:18" ht="15">
      <c r="B33" s="42"/>
      <c r="C33" s="62"/>
      <c r="D33" s="64"/>
      <c r="E33" s="63"/>
      <c r="F33" s="64"/>
      <c r="G33" s="63"/>
      <c r="H33" s="63"/>
      <c r="I33" s="63"/>
      <c r="J33" s="63"/>
      <c r="K33" s="65"/>
      <c r="L33" s="65"/>
      <c r="M33" s="65"/>
      <c r="N33" s="65"/>
      <c r="O33" s="65"/>
      <c r="P33" s="65"/>
      <c r="Q33" s="65"/>
      <c r="R33" s="40"/>
    </row>
    <row r="34" spans="2:18" ht="15">
      <c r="B34" s="42"/>
      <c r="C34" s="62"/>
      <c r="D34" s="64"/>
      <c r="E34" s="63"/>
      <c r="F34" s="64"/>
      <c r="G34" s="63"/>
      <c r="H34" s="63"/>
      <c r="I34" s="63"/>
      <c r="J34" s="66"/>
      <c r="K34" s="65"/>
      <c r="L34" s="65"/>
      <c r="M34" s="65"/>
      <c r="N34" s="65"/>
      <c r="O34" s="65"/>
      <c r="P34" s="65"/>
      <c r="Q34" s="65"/>
      <c r="R34" s="40"/>
    </row>
    <row r="35" spans="2:18">
      <c r="B35" s="43" t="s">
        <v>31</v>
      </c>
    </row>
    <row r="36" spans="2:18">
      <c r="B36" s="35"/>
      <c r="C36" s="43"/>
      <c r="E36" s="7" t="str">
        <f>TEXT(DateCell,"YYMMDD")</f>
        <v>220603</v>
      </c>
    </row>
    <row r="37" spans="2:18" ht="13.75" thickBot="1">
      <c r="B37" s="54" t="s">
        <v>32</v>
      </c>
      <c r="E37" s="43"/>
    </row>
    <row r="38" spans="2:18" ht="13.75" thickBot="1">
      <c r="B38" s="119" t="s">
        <v>33</v>
      </c>
      <c r="C38" s="120" t="s">
        <v>34</v>
      </c>
      <c r="D38" s="120" t="s">
        <v>35</v>
      </c>
      <c r="E38" s="121" t="s">
        <v>331</v>
      </c>
      <c r="F38" s="133" t="s">
        <v>460</v>
      </c>
      <c r="G38" s="6"/>
    </row>
    <row r="39" spans="2:18" ht="13.75" thickBot="1">
      <c r="B39" s="44"/>
      <c r="D39" s="56"/>
      <c r="E39" s="246">
        <v>1</v>
      </c>
      <c r="F39" s="241" cm="1">
        <f t="array" ref="F39">INDEX(Quote!A1:R100,Client!G46+1,Client!G47)</f>
        <v>44715</v>
      </c>
      <c r="G39" s="239"/>
    </row>
    <row r="40" spans="2:18" ht="13.75" thickBot="1">
      <c r="B40" s="45"/>
      <c r="C40" s="20" t="s">
        <v>36</v>
      </c>
      <c r="D40" s="56"/>
      <c r="E40" s="247">
        <v>2</v>
      </c>
      <c r="F40" s="133" t="s">
        <v>351</v>
      </c>
      <c r="G40" s="238"/>
    </row>
    <row r="41" spans="2:18" ht="13.75" thickBot="1">
      <c r="B41" s="45" t="s">
        <v>115</v>
      </c>
      <c r="C41" s="7" t="s">
        <v>38</v>
      </c>
      <c r="D41" s="56" t="str">
        <f>GeneralLedger!L1</f>
        <v>Fortuna Online Limited</v>
      </c>
      <c r="E41" s="247">
        <v>3</v>
      </c>
      <c r="F41" s="242" t="str">
        <f ca="1">LEFT(CHAR(RANDBETWEEN(65,90))&amp;CHAR(RANDBETWEEN(65,90))&amp;CHAR(RANDBETWEEN(65,90))&amp;RANDBETWEEN(165,890)&amp;CHAR(RANDBETWEEN(65,90))&amp;CHAR(RANDBETWEEN(65,90))&amp;CHAR(RANDBETWEEN(65,90))&amp;RANDBETWEEN(165,1890),RANDBETWEEN(7,20))</f>
        <v>JZD598XMS823</v>
      </c>
      <c r="G41" s="258"/>
    </row>
    <row r="42" spans="2:18" ht="13.75" thickBot="1">
      <c r="B42" s="45" t="s">
        <v>116</v>
      </c>
      <c r="C42" s="7" t="s">
        <v>39</v>
      </c>
      <c r="D42" s="56" t="str">
        <f>GeneralLedger!L2</f>
        <v>901, 9/F, Wan Chai Commercial Centre, 194-204 Johnston Road Center, Wan Chai</v>
      </c>
      <c r="E42" s="247">
        <v>4</v>
      </c>
      <c r="F42" s="137" t="s">
        <v>357</v>
      </c>
      <c r="G42" s="238"/>
    </row>
    <row r="43" spans="2:18" ht="13.75" thickBot="1">
      <c r="B43" s="47" t="s">
        <v>117</v>
      </c>
      <c r="C43" s="7" t="s">
        <v>40</v>
      </c>
      <c r="D43" s="56" t="str">
        <f>GeneralLedger!L3</f>
        <v>Simon Lam</v>
      </c>
      <c r="E43" s="247"/>
      <c r="F43" s="133" t="s">
        <v>459</v>
      </c>
      <c r="G43" s="258"/>
    </row>
    <row r="44" spans="2:18" ht="13.75" thickBot="1">
      <c r="B44" s="48" t="s">
        <v>118</v>
      </c>
      <c r="C44" s="7" t="s">
        <v>64</v>
      </c>
      <c r="D44" s="56" t="str">
        <f>GeneralLedger!L4</f>
        <v>852-66889583</v>
      </c>
      <c r="E44" s="247"/>
      <c r="F44" s="249" t="s">
        <v>467</v>
      </c>
      <c r="G44" s="259"/>
    </row>
    <row r="45" spans="2:18" ht="13.75" thickBot="1">
      <c r="B45" s="47" t="s">
        <v>119</v>
      </c>
      <c r="C45" s="7" t="s">
        <v>105</v>
      </c>
      <c r="D45" s="56" t="str">
        <f>GeneralLedger!L5</f>
        <v>simon@fortuna-online.org</v>
      </c>
      <c r="E45" s="247"/>
      <c r="F45" s="133" t="s">
        <v>163</v>
      </c>
      <c r="G45" s="238" t="str">
        <f>SUBSTITUTE(SUBSTITUTE(F44," ","_"),"-","_")</f>
        <v>andLAB_A_marketing_Deliverable</v>
      </c>
    </row>
    <row r="46" spans="2:18" ht="13.75" thickBot="1">
      <c r="B46" s="45" t="s">
        <v>384</v>
      </c>
      <c r="C46" s="7" t="s">
        <v>42</v>
      </c>
      <c r="D46" s="56" t="str">
        <f>GeneralLedger!L6</f>
        <v>FY-51545751155</v>
      </c>
      <c r="E46" s="247"/>
      <c r="F46" s="249" t="s">
        <v>465</v>
      </c>
      <c r="G46" s="238">
        <f>MATCH(F44, Quote!A:A, 0)</f>
        <v>1</v>
      </c>
    </row>
    <row r="47" spans="2:18">
      <c r="B47" s="45" t="s">
        <v>121</v>
      </c>
      <c r="C47" s="7" t="s">
        <v>43</v>
      </c>
      <c r="D47" s="118">
        <f>GeneralLedger!L7</f>
        <v>45427</v>
      </c>
      <c r="E47" s="247"/>
      <c r="F47" s="243"/>
      <c r="G47" s="238">
        <f>MATCH(F46,INDEX(Quote!H1:Q100, MATCH(F44, Quote!A:A, 0), 0),0)+7</f>
        <v>13</v>
      </c>
    </row>
    <row r="48" spans="2:18" ht="13.75" thickBot="1">
      <c r="B48" s="45" t="s">
        <v>122</v>
      </c>
      <c r="C48" s="7" t="s">
        <v>44</v>
      </c>
      <c r="D48" s="118">
        <f>GeneralLedger!L8</f>
        <v>45802</v>
      </c>
      <c r="E48" s="248"/>
      <c r="F48" s="244"/>
      <c r="G48" s="259"/>
    </row>
    <row r="49" spans="2:7" ht="13.75" thickBot="1">
      <c r="B49" s="45" t="s">
        <v>123</v>
      </c>
      <c r="C49" s="7" t="s">
        <v>45</v>
      </c>
      <c r="D49" s="118">
        <f>GeneralLedger!L9</f>
        <v>0</v>
      </c>
      <c r="E49" s="35"/>
      <c r="G49" s="259"/>
    </row>
    <row r="50" spans="2:7" ht="13.75" thickBot="1">
      <c r="B50" s="45" t="s">
        <v>124</v>
      </c>
      <c r="D50" s="57"/>
      <c r="E50" s="121" t="s">
        <v>163</v>
      </c>
      <c r="F50" s="122" t="s">
        <v>358</v>
      </c>
      <c r="G50" s="259"/>
    </row>
    <row r="51" spans="2:7">
      <c r="B51" s="45" t="s">
        <v>125</v>
      </c>
      <c r="D51" s="129" t="str">
        <f>_xlfn.IFNA(VLOOKUP(E39,Deliverable!A:F,3,FALSE),"")</f>
        <v>Company Registration</v>
      </c>
      <c r="E51" s="229" t="s">
        <v>359</v>
      </c>
      <c r="F51" s="125"/>
      <c r="G51" s="259"/>
    </row>
    <row r="52" spans="2:7">
      <c r="B52" s="45" t="s">
        <v>127</v>
      </c>
      <c r="D52" s="129" t="str">
        <f>_xlfn.IFNA(VLOOKUP(E40,Deliverable!A:F,3,FALSE),"")</f>
        <v>Company Secretary Service</v>
      </c>
      <c r="E52" s="229" t="s">
        <v>360</v>
      </c>
      <c r="F52" s="125"/>
      <c r="G52" s="259"/>
    </row>
    <row r="53" spans="2:7">
      <c r="B53" s="45" t="s">
        <v>129</v>
      </c>
      <c r="D53" s="129" t="str">
        <f>_xlfn.IFNA(VLOOKUP(E41,Deliverable!A:F,3,FALSE),"")</f>
        <v>Part-Time Video Production Assistant</v>
      </c>
      <c r="E53" s="229" t="s">
        <v>361</v>
      </c>
      <c r="F53" s="125"/>
      <c r="G53" s="35"/>
    </row>
    <row r="54" spans="2:7" ht="13.75" thickBot="1">
      <c r="B54" s="47" t="s">
        <v>131</v>
      </c>
      <c r="D54" s="129" t="str" cm="1">
        <f t="array" ref="D54">_xlfn.IFNA(VLOOKUP(E42,Deliverable!A:F,3,FALSE),NA)</f>
        <v>優化現有網頁 (網址：https://www.ukimms.com/)</v>
      </c>
      <c r="E54" s="230"/>
      <c r="F54" s="127"/>
    </row>
    <row r="55" spans="2:7">
      <c r="B55" s="47" t="s">
        <v>133</v>
      </c>
      <c r="D55" s="129" t="str">
        <f>_xlfn.IFNA(VLOOKUP(E43,Deliverable!A:F,3,FALSE),"")</f>
        <v/>
      </c>
      <c r="E55" s="35"/>
    </row>
    <row r="56" spans="2:7">
      <c r="B56" s="47" t="s">
        <v>135</v>
      </c>
      <c r="D56" s="129" t="str">
        <f>_xlfn.IFNA(VLOOKUP(E44,Deliverable!A:F,3,FALSE),"")</f>
        <v/>
      </c>
      <c r="E56" s="35"/>
    </row>
    <row r="57" spans="2:7">
      <c r="B57" s="47" t="s">
        <v>137</v>
      </c>
      <c r="D57" s="129" t="str">
        <f>_xlfn.IFNA(VLOOKUP(E45,Deliverable!A:F,3,FALSE),"")</f>
        <v/>
      </c>
      <c r="E57" s="35"/>
    </row>
    <row r="58" spans="2:7">
      <c r="B58" s="47" t="s">
        <v>139</v>
      </c>
      <c r="D58" s="129" t="str">
        <f>_xlfn.IFNA(VLOOKUP(E46,Deliverable!A:F,3,FALSE),"")</f>
        <v/>
      </c>
      <c r="E58" s="35"/>
    </row>
    <row r="59" spans="2:7">
      <c r="B59" s="117" t="s">
        <v>141</v>
      </c>
      <c r="D59" s="129" t="str">
        <f>_xlfn.IFNA(VLOOKUP(E47,Deliverable!A:F,3,FALSE),"")</f>
        <v/>
      </c>
      <c r="E59" s="35"/>
    </row>
    <row r="60" spans="2:7">
      <c r="B60" s="117" t="s">
        <v>143</v>
      </c>
      <c r="D60" s="129" t="str">
        <f>_xlfn.IFNA(VLOOKUP(E48,Deliverable!A:F,3,FALSE),"")</f>
        <v/>
      </c>
      <c r="E60" s="35"/>
    </row>
    <row r="61" spans="2:7" ht="65">
      <c r="B61" s="45" t="s">
        <v>126</v>
      </c>
      <c r="D61" s="57" t="str">
        <f>_xlfn.IFNA(VLOOKUP(E39,Deliverable!A:F,4,FALSE),"")</f>
        <v>Opening a representative office in the UK can help us establish a local business network, expand our UK market, and increase the company profile. It helps to increase inquiry rate of UK visa and UK consulting business if we have an UK entity.</v>
      </c>
      <c r="E61" s="35"/>
    </row>
    <row r="62" spans="2:7">
      <c r="B62" s="45" t="s">
        <v>128</v>
      </c>
      <c r="C62" s="20"/>
      <c r="D62" s="57" t="str">
        <f>_xlfn.IFNA(VLOOKUP(E40,Deliverable!A:F,4,FALSE),"")</f>
        <v>Company Secretary Service</v>
      </c>
      <c r="E62" s="35"/>
    </row>
    <row r="63" spans="2:7" ht="78">
      <c r="B63" s="45" t="s">
        <v>130</v>
      </c>
      <c r="D63" s="57" t="str">
        <f>_xlfn.IFNA(VLOOKUP(E41,Deliverable!A:F,4,FALSE),"")</f>
        <v>Responsible for marketing promotional videos for the UK business development project •Video Content planning for UK market •Video editing •Subtitling •Video description, thumbnail •Manage the video production project for UK market and be the bridge between vendor and management</v>
      </c>
      <c r="E63" s="35"/>
    </row>
    <row r="64" spans="2:7" ht="169">
      <c r="B64" s="45" t="s">
        <v>132</v>
      </c>
      <c r="C64" s="81"/>
      <c r="D64" s="57" t="str">
        <f>_xlfn.IFNA(VLOOKUP(E42,Deliverable!A:F,4,FALSE),"")</f>
        <v>•Adding online booking function for UK customers 
•SEO for new website for UK markets includes optimized content creation, website structure optimization, keyword research, link structure, tag optimization and website speed optimization. 
•Redesign pages and theme 
•Upgrade of the home page (new logo, new banner, new layout/theme) 
•Update of the header and footer (to include UK new address)
•Update contact us page (to include UK new address map) •Redesign the online enquiry form 
•Website copywriting for Chinese and English</v>
      </c>
      <c r="E64" s="35"/>
    </row>
    <row r="65" spans="2:5">
      <c r="B65" s="45" t="s">
        <v>134</v>
      </c>
      <c r="D65" s="57" t="str">
        <f>_xlfn.IFNA(VLOOKUP(E43,Deliverable!A:F,4,FALSE),"")</f>
        <v/>
      </c>
      <c r="E65" s="35"/>
    </row>
    <row r="66" spans="2:5">
      <c r="B66" s="45" t="s">
        <v>136</v>
      </c>
      <c r="D66" s="57" t="str">
        <f>_xlfn.IFNA(VLOOKUP(E44,Deliverable!A:F,4,FALSE),"")</f>
        <v/>
      </c>
      <c r="E66" s="35"/>
    </row>
    <row r="67" spans="2:5">
      <c r="B67" s="45" t="s">
        <v>138</v>
      </c>
      <c r="D67" s="57" t="str">
        <f>_xlfn.IFNA(VLOOKUP(E45,Deliverable!A:F,4,FALSE),"")</f>
        <v/>
      </c>
      <c r="E67" s="35"/>
    </row>
    <row r="68" spans="2:5">
      <c r="B68" s="45" t="s">
        <v>140</v>
      </c>
      <c r="D68" s="57" t="str">
        <f>_xlfn.IFNA(VLOOKUP(E46,Deliverable!A:F,4,FALSE),"")</f>
        <v/>
      </c>
      <c r="E68" s="35"/>
    </row>
    <row r="69" spans="2:5">
      <c r="B69" s="45" t="s">
        <v>142</v>
      </c>
      <c r="D69" s="57" t="str">
        <f>_xlfn.IFNA(VLOOKUP(E47,Deliverable!A:F,4,FALSE),"")</f>
        <v/>
      </c>
      <c r="E69" s="35"/>
    </row>
    <row r="70" spans="2:5">
      <c r="B70" s="45" t="s">
        <v>144</v>
      </c>
      <c r="C70" s="16"/>
      <c r="D70" s="57" t="str">
        <f>_xlfn.IFNA(VLOOKUP(E48,Deliverable!A:F,4,FALSE),"")</f>
        <v/>
      </c>
      <c r="E70" s="35"/>
    </row>
    <row r="71" spans="2:5">
      <c r="B71" s="45" t="s">
        <v>145</v>
      </c>
      <c r="C71" s="20"/>
      <c r="D71" s="56" t="str">
        <f>F44</f>
        <v>andLAB A marketing Deliverable</v>
      </c>
      <c r="E71" s="35"/>
    </row>
    <row r="72" spans="2:5">
      <c r="B72" s="45" t="s">
        <v>146</v>
      </c>
      <c r="D72" s="130">
        <f ca="1">_xlfn.IFNA(VLOOKUP(E39,Quote!B:Q,Client!$G$47-1,FALSE),"")</f>
        <v>55000</v>
      </c>
      <c r="E72" s="35"/>
    </row>
    <row r="73" spans="2:5">
      <c r="B73" s="49" t="s">
        <v>147</v>
      </c>
      <c r="D73" s="130">
        <f ca="1">_xlfn.IFNA(VLOOKUP(E40,Quote!B:Q,Client!$G$47-1,FALSE),"")</f>
        <v>19000</v>
      </c>
      <c r="E73" s="35"/>
    </row>
    <row r="74" spans="2:5">
      <c r="B74" s="49" t="s">
        <v>148</v>
      </c>
      <c r="D74" s="130">
        <f ca="1">_xlfn.IFNA(VLOOKUP(E41,Quote!B:Q,Client!$G$47-1,FALSE),"")</f>
        <v>162000</v>
      </c>
      <c r="E74" s="35"/>
    </row>
    <row r="75" spans="2:5">
      <c r="B75" s="49" t="s">
        <v>149</v>
      </c>
      <c r="D75" s="130">
        <f ca="1">_xlfn.IFNA(VLOOKUP(E42,Quote!B:Q,Client!$G$47-1,FALSE),"")</f>
        <v>61000</v>
      </c>
      <c r="E75" s="35"/>
    </row>
    <row r="76" spans="2:5">
      <c r="B76" s="49" t="s">
        <v>150</v>
      </c>
      <c r="D76" s="130" t="str">
        <f>_xlfn.IFNA(VLOOKUP(E43,Quote!B:Q,Client!$G$47-1,FALSE),"")</f>
        <v/>
      </c>
      <c r="E76" s="35"/>
    </row>
    <row r="77" spans="2:5">
      <c r="B77" s="49" t="s">
        <v>151</v>
      </c>
      <c r="D77" s="130" t="str">
        <f>_xlfn.IFNA(VLOOKUP(E44,Quote!B:Q,Client!$G$47-1,FALSE),"")</f>
        <v/>
      </c>
      <c r="E77" s="35"/>
    </row>
    <row r="78" spans="2:5">
      <c r="B78" s="45" t="s">
        <v>152</v>
      </c>
      <c r="D78" s="130" t="str">
        <f>_xlfn.IFNA(VLOOKUP(E45,Quote!B:Q,Client!$G$47-1,FALSE),"")</f>
        <v/>
      </c>
      <c r="E78" s="35"/>
    </row>
    <row r="79" spans="2:5">
      <c r="B79" s="49" t="s">
        <v>153</v>
      </c>
      <c r="D79" s="130" t="str">
        <f>_xlfn.IFNA(VLOOKUP(E46,Quote!B:Q,Client!$G$47-1,FALSE),"")</f>
        <v/>
      </c>
      <c r="E79" s="35"/>
    </row>
    <row r="80" spans="2:5">
      <c r="B80" s="49" t="s">
        <v>154</v>
      </c>
      <c r="D80" s="130" t="str">
        <f>_xlfn.IFNA(VLOOKUP(E47,Quote!B:Q,Client!$G$47-1,FALSE),"")</f>
        <v/>
      </c>
      <c r="E80" s="35"/>
    </row>
    <row r="81" spans="2:6">
      <c r="B81" s="45" t="s">
        <v>155</v>
      </c>
      <c r="D81" s="130" t="str">
        <f>_xlfn.IFNA(VLOOKUP(E48,Quote!B:Q,Client!$G$47-1,FALSE),"")</f>
        <v/>
      </c>
      <c r="E81" s="35"/>
    </row>
    <row r="82" spans="2:6">
      <c r="B82" s="49" t="s">
        <v>306</v>
      </c>
      <c r="D82" s="56"/>
      <c r="E82" s="35"/>
    </row>
    <row r="83" spans="2:6">
      <c r="B83" s="49" t="s">
        <v>307</v>
      </c>
      <c r="D83" s="56"/>
      <c r="E83" s="35"/>
    </row>
    <row r="84" spans="2:6">
      <c r="B84" s="49" t="s">
        <v>308</v>
      </c>
      <c r="D84" s="56"/>
      <c r="E84" s="35"/>
    </row>
    <row r="85" spans="2:6">
      <c r="B85" s="49" t="s">
        <v>309</v>
      </c>
      <c r="D85" s="56"/>
      <c r="E85" s="35"/>
    </row>
    <row r="86" spans="2:6">
      <c r="B86" s="45" t="s">
        <v>310</v>
      </c>
      <c r="D86" s="56"/>
      <c r="E86" s="35"/>
    </row>
    <row r="87" spans="2:6">
      <c r="B87" s="49" t="s">
        <v>311</v>
      </c>
      <c r="D87" s="57"/>
      <c r="E87" s="35"/>
    </row>
    <row r="88" spans="2:6">
      <c r="B88" s="45" t="s">
        <v>312</v>
      </c>
      <c r="D88" s="56"/>
      <c r="E88" s="35"/>
    </row>
    <row r="89" spans="2:6">
      <c r="B89" s="45" t="s">
        <v>313</v>
      </c>
      <c r="D89" s="56"/>
      <c r="E89" s="35"/>
    </row>
    <row r="90" spans="2:6">
      <c r="B90" s="45" t="s">
        <v>314</v>
      </c>
      <c r="D90" s="56"/>
      <c r="E90" s="35"/>
    </row>
    <row r="91" spans="2:6">
      <c r="B91" s="45" t="s">
        <v>315</v>
      </c>
      <c r="D91" s="56"/>
      <c r="E91" s="35"/>
    </row>
    <row r="92" spans="2:6">
      <c r="B92" s="48" t="s">
        <v>41</v>
      </c>
      <c r="D92" s="56" t="str" cm="1">
        <f t="array" aca="1" ref="D92" ca="1">LEFT(LEFT(CELL("filename",A1),FIND("[",CELL("filename",A1))-1),E92-1)</f>
        <v>G:\.shortcut-targets-by-id\14Kgc2xmqdUd6ghjyUQS7ibjKnSHhBoTX\BUD-Template\Create_Folder\Final-Report</v>
      </c>
      <c r="E92" s="35" cm="1">
        <f t="array" aca="1" ref="E92" ca="1">LEN(LEFT(CELL("filename",A1),FIND("[",CELL("filename",A1))-1))</f>
        <v>101</v>
      </c>
    </row>
    <row r="93" spans="2:6">
      <c r="B93" s="49" t="s">
        <v>350</v>
      </c>
      <c r="D93" s="131">
        <f ca="1">SUM(D72:D81)</f>
        <v>297000</v>
      </c>
      <c r="E93" s="98"/>
      <c r="F93" s="57"/>
    </row>
    <row r="94" spans="2:6">
      <c r="B94" s="49" t="s">
        <v>352</v>
      </c>
      <c r="D94" s="56" t="str">
        <f ca="1">F41</f>
        <v>JZD598XMS823</v>
      </c>
      <c r="E94" s="86"/>
      <c r="F94" s="56"/>
    </row>
    <row r="95" spans="2:6">
      <c r="B95" s="49" t="s">
        <v>362</v>
      </c>
      <c r="D95" s="56">
        <f>F51</f>
        <v>0</v>
      </c>
      <c r="E95" s="86"/>
      <c r="F95" s="86"/>
    </row>
    <row r="96" spans="2:6">
      <c r="B96" s="49" t="s">
        <v>363</v>
      </c>
      <c r="D96" s="56">
        <f t="shared" ref="D96:D97" si="0">F52</f>
        <v>0</v>
      </c>
      <c r="E96" s="86"/>
      <c r="F96" s="56"/>
    </row>
    <row r="97" spans="2:5">
      <c r="B97" s="49" t="s">
        <v>364</v>
      </c>
      <c r="D97" s="56">
        <f t="shared" si="0"/>
        <v>0</v>
      </c>
      <c r="E97" s="35"/>
    </row>
    <row r="98" spans="2:5">
      <c r="B98" s="45"/>
      <c r="D98" s="56"/>
      <c r="E98" s="35"/>
    </row>
    <row r="99" spans="2:5">
      <c r="B99" s="45"/>
      <c r="D99" s="56"/>
      <c r="E99" s="35"/>
    </row>
    <row r="100" spans="2:5">
      <c r="B100" s="49"/>
      <c r="D100" s="56"/>
      <c r="E100" s="35"/>
    </row>
    <row r="101" spans="2:5">
      <c r="B101" s="45"/>
      <c r="D101" s="56"/>
      <c r="E101" s="35"/>
    </row>
    <row r="102" spans="2:5">
      <c r="B102" s="45"/>
      <c r="D102" s="56"/>
      <c r="E102" s="35"/>
    </row>
    <row r="103" spans="2:5">
      <c r="B103" s="45"/>
      <c r="D103" s="56"/>
      <c r="E103" s="35"/>
    </row>
    <row r="104" spans="2:5">
      <c r="B104" s="45"/>
      <c r="D104" s="56"/>
      <c r="E104" s="35"/>
    </row>
    <row r="105" spans="2:5">
      <c r="B105" s="45"/>
      <c r="C105" s="20"/>
      <c r="D105" s="56"/>
      <c r="E105" s="35"/>
    </row>
    <row r="106" spans="2:5">
      <c r="B106" s="49"/>
      <c r="C106" s="32"/>
      <c r="D106" s="56"/>
      <c r="E106" s="35"/>
    </row>
    <row r="107" spans="2:5">
      <c r="B107" s="45"/>
      <c r="D107" s="58"/>
      <c r="E107" s="35"/>
    </row>
    <row r="108" spans="2:5">
      <c r="B108" s="45"/>
      <c r="D108" s="58"/>
      <c r="E108" s="87"/>
    </row>
    <row r="109" spans="2:5">
      <c r="B109" s="45"/>
      <c r="D109" s="58"/>
      <c r="E109" s="87"/>
    </row>
    <row r="110" spans="2:5">
      <c r="B110" s="45"/>
      <c r="D110" s="56"/>
      <c r="E110" s="35"/>
    </row>
    <row r="111" spans="2:5">
      <c r="B111" s="45"/>
      <c r="D111" s="56"/>
      <c r="E111" s="35"/>
    </row>
    <row r="112" spans="2:5">
      <c r="B112" s="45"/>
      <c r="C112" s="32"/>
      <c r="D112" s="56"/>
      <c r="E112" s="35"/>
    </row>
    <row r="113" spans="2:5">
      <c r="B113" s="45"/>
      <c r="D113" s="56"/>
      <c r="E113" s="35"/>
    </row>
    <row r="114" spans="2:5">
      <c r="B114" s="45"/>
      <c r="D114" s="58"/>
      <c r="E114" s="35"/>
    </row>
    <row r="115" spans="2:5">
      <c r="B115" s="45"/>
      <c r="D115" s="58"/>
      <c r="E115" s="87"/>
    </row>
    <row r="116" spans="2:5">
      <c r="B116" s="45"/>
      <c r="D116" s="58"/>
      <c r="E116" s="87"/>
    </row>
    <row r="117" spans="2:5">
      <c r="B117" s="45"/>
      <c r="D117" s="58"/>
      <c r="E117" s="35"/>
    </row>
    <row r="118" spans="2:5">
      <c r="B118" s="45"/>
      <c r="C118" s="32"/>
      <c r="D118" s="58"/>
      <c r="E118" s="35"/>
    </row>
    <row r="119" spans="2:5">
      <c r="B119" s="45"/>
      <c r="D119" s="58"/>
      <c r="E119" s="35"/>
    </row>
    <row r="120" spans="2:5">
      <c r="B120" s="45"/>
      <c r="D120" s="58"/>
      <c r="E120" s="35"/>
    </row>
    <row r="121" spans="2:5">
      <c r="B121" s="45"/>
      <c r="D121" s="58"/>
      <c r="E121" s="35"/>
    </row>
    <row r="122" spans="2:5">
      <c r="B122" s="45"/>
      <c r="D122" s="58"/>
      <c r="E122" s="35"/>
    </row>
    <row r="123" spans="2:5">
      <c r="B123" s="45"/>
      <c r="D123" s="58"/>
      <c r="E123" s="35"/>
    </row>
    <row r="124" spans="2:5">
      <c r="B124" s="45"/>
      <c r="D124" s="58"/>
      <c r="E124" s="35"/>
    </row>
    <row r="125" spans="2:5">
      <c r="B125" s="45"/>
      <c r="D125" s="58"/>
      <c r="E125" s="35"/>
    </row>
    <row r="126" spans="2:5">
      <c r="B126" s="45"/>
      <c r="D126" s="58"/>
      <c r="E126" s="35"/>
    </row>
    <row r="127" spans="2:5">
      <c r="B127" s="45"/>
      <c r="D127" s="58"/>
      <c r="E127" s="35"/>
    </row>
    <row r="128" spans="2:5">
      <c r="B128" s="45"/>
      <c r="C128" s="32"/>
      <c r="D128" s="56"/>
      <c r="E128" s="35"/>
    </row>
    <row r="129" spans="2:5">
      <c r="B129" s="45"/>
      <c r="D129" s="56"/>
      <c r="E129" s="35"/>
    </row>
    <row r="130" spans="2:5">
      <c r="B130" s="45"/>
      <c r="D130" s="56"/>
      <c r="E130" s="35"/>
    </row>
    <row r="131" spans="2:5">
      <c r="B131" s="45"/>
      <c r="D131" s="56"/>
      <c r="E131" s="35"/>
    </row>
    <row r="132" spans="2:5">
      <c r="B132" s="45"/>
      <c r="D132" s="56"/>
      <c r="E132" s="35"/>
    </row>
    <row r="133" spans="2:5">
      <c r="B133" s="45"/>
      <c r="D133" s="56"/>
      <c r="E133" s="35"/>
    </row>
    <row r="134" spans="2:5">
      <c r="B134" s="45"/>
      <c r="D134" s="56"/>
      <c r="E134" s="35"/>
    </row>
    <row r="135" spans="2:5">
      <c r="B135" s="45"/>
      <c r="D135" s="56"/>
      <c r="E135" s="35"/>
    </row>
    <row r="136" spans="2:5">
      <c r="B136" s="45"/>
      <c r="D136" s="56"/>
      <c r="E136" s="35"/>
    </row>
    <row r="137" spans="2:5">
      <c r="B137" s="45"/>
      <c r="D137" s="56"/>
      <c r="E137" s="35"/>
    </row>
    <row r="138" spans="2:5">
      <c r="B138" s="45"/>
      <c r="D138" s="56"/>
      <c r="E138" s="35"/>
    </row>
    <row r="139" spans="2:5">
      <c r="B139" s="45"/>
      <c r="D139" s="56"/>
      <c r="E139" s="35"/>
    </row>
    <row r="140" spans="2:5">
      <c r="B140" s="45"/>
      <c r="D140" s="56"/>
      <c r="E140" s="35"/>
    </row>
    <row r="141" spans="2:5">
      <c r="B141" s="19" t="s">
        <v>46</v>
      </c>
    </row>
    <row r="142" spans="2:5">
      <c r="E142" s="32"/>
    </row>
    <row r="143" spans="2:5">
      <c r="E143" s="32"/>
    </row>
    <row r="144" spans="2:5">
      <c r="E144" s="32"/>
    </row>
    <row r="145" spans="3:8">
      <c r="C145" s="50"/>
      <c r="E145" s="32"/>
    </row>
    <row r="146" spans="3:8">
      <c r="E146" s="32"/>
    </row>
    <row r="147" spans="3:8">
      <c r="E147" s="32"/>
    </row>
    <row r="148" spans="3:8" ht="15">
      <c r="E148" s="32"/>
      <c r="H148"/>
    </row>
    <row r="149" spans="3:8" ht="15">
      <c r="H149" s="51"/>
    </row>
    <row r="150" spans="3:8" ht="15">
      <c r="H150" s="51"/>
    </row>
    <row r="151" spans="3:8" ht="15">
      <c r="H151" s="51"/>
    </row>
    <row r="152" spans="3:8" ht="15">
      <c r="E152" s="52"/>
      <c r="H152" s="51"/>
    </row>
    <row r="153" spans="3:8" ht="15">
      <c r="H153" s="51"/>
    </row>
    <row r="154" spans="3:8" ht="15">
      <c r="H154" s="51"/>
    </row>
    <row r="155" spans="3:8" ht="15">
      <c r="H155" s="51"/>
    </row>
    <row r="156" spans="3:8" ht="15">
      <c r="H156"/>
    </row>
    <row r="161" spans="3:4">
      <c r="D161" s="53"/>
    </row>
    <row r="162" spans="3:4">
      <c r="C162" s="53"/>
      <c r="D162" s="53"/>
    </row>
    <row r="163" spans="3:4">
      <c r="C163" s="53"/>
      <c r="D163" s="53"/>
    </row>
    <row r="164" spans="3:4">
      <c r="C164" s="53"/>
      <c r="D164" s="53"/>
    </row>
    <row r="165" spans="3:4">
      <c r="C165" s="53"/>
      <c r="D165" s="53"/>
    </row>
    <row r="166" spans="3:4">
      <c r="C166" s="53"/>
      <c r="D166" s="53"/>
    </row>
    <row r="167" spans="3:4">
      <c r="C167" s="53"/>
      <c r="D167" s="53"/>
    </row>
  </sheetData>
  <phoneticPr fontId="29" type="noConversion"/>
  <dataValidations count="3">
    <dataValidation type="whole" allowBlank="1" showErrorMessage="1" errorTitle="Whole numbers only" error="Enter receipient number, which must be a whole number (e.g. 1, 2, 3, etc.)." sqref="B30:B34" xr:uid="{9E11A54D-38B3-456C-97D4-B84D5C387FB0}">
      <formula1>1</formula1>
      <formula2>1000</formula2>
    </dataValidation>
    <dataValidation type="custom" allowBlank="1" showInputMessage="1" showErrorMessage="1" sqref="G44" xr:uid="{3A8811D0-E80D-4462-B487-FFFE55AE8B03}">
      <formula1>INDIRECT(F39)</formula1>
    </dataValidation>
    <dataValidation type="list" allowBlank="1" showInputMessage="1" showErrorMessage="1" sqref="F46" xr:uid="{0A3144A3-DACB-4873-8E5A-51BBB63870E6}">
      <formula1>INDIRECT($G$45)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2289" r:id="rId4" name="List Box 1">
              <controlPr defaultSize="0" autoLine="0" autoPict="0">
                <anchor moveWithCells="1">
                  <from>
                    <xdr:col>3</xdr:col>
                    <xdr:colOff>19050</xdr:colOff>
                    <xdr:row>4</xdr:row>
                    <xdr:rowOff>38100</xdr:rowOff>
                  </from>
                  <to>
                    <xdr:col>4</xdr:col>
                    <xdr:colOff>1819275</xdr:colOff>
                    <xdr:row>15</xdr:row>
                    <xdr:rowOff>104775</xdr:rowOff>
                  </to>
                </anchor>
              </controlPr>
            </control>
          </mc:Choice>
        </mc:AlternateContent>
        <mc:AlternateContent xmlns:mc="http://schemas.openxmlformats.org/markup-compatibility/2006">
          <mc:Choice Requires="x14">
            <control shapeId="3212290" r:id="rId5" name="List Box 2">
              <controlPr defaultSize="0" autoLine="0" autoPict="0" macro="[0]!SelectTopRowLB3whenclickLB2">
                <anchor moveWithCells="1">
                  <from>
                    <xdr:col>2</xdr:col>
                    <xdr:colOff>285750</xdr:colOff>
                    <xdr:row>4</xdr:row>
                    <xdr:rowOff>28575</xdr:rowOff>
                  </from>
                  <to>
                    <xdr:col>2</xdr:col>
                    <xdr:colOff>3228975</xdr:colOff>
                    <xdr:row>14</xdr:row>
                    <xdr:rowOff>123825</xdr:rowOff>
                  </to>
                </anchor>
              </controlPr>
            </control>
          </mc:Choice>
        </mc:AlternateContent>
        <mc:AlternateContent xmlns:mc="http://schemas.openxmlformats.org/markup-compatibility/2006">
          <mc:Choice Requires="x14">
            <control shapeId="3212291" r:id="rId6" name="List Box 3">
              <controlPr defaultSize="0" autoLine="0" autoPict="0">
                <anchor moveWithCells="1">
                  <from>
                    <xdr:col>1</xdr:col>
                    <xdr:colOff>200025</xdr:colOff>
                    <xdr:row>4</xdr:row>
                    <xdr:rowOff>47625</xdr:rowOff>
                  </from>
                  <to>
                    <xdr:col>1</xdr:col>
                    <xdr:colOff>2114550</xdr:colOff>
                    <xdr:row>12</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6945D4-B25A-4FF7-898C-CEF71295B74E}">
          <x14:formula1>
            <xm:f>Inputs!$B$101:$B$102</xm:f>
          </x14:formula1>
          <xm:sqref>F42</xm:sqref>
        </x14:dataValidation>
        <x14:dataValidation type="list" showInputMessage="1" showErrorMessage="1" xr:uid="{ECAF6C22-AB41-432A-AC58-93A5A144F21F}">
          <x14:formula1>
            <xm:f>Quote!$A:$A</xm:f>
          </x14:formula1>
          <xm:sqref>F44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8B7F2-C0DF-47F1-B69D-193859E267E9}">
  <sheetPr codeName="Sheet15">
    <tabColor rgb="FFFF33CC"/>
  </sheetPr>
  <dimension ref="A1:AB34"/>
  <sheetViews>
    <sheetView workbookViewId="0">
      <pane xSplit="9" ySplit="1" topLeftCell="J2" activePane="bottomRight" state="frozen"/>
      <selection pane="topRight" activeCell="J1" sqref="J1"/>
      <selection pane="bottomLeft" activeCell="A2" sqref="A2"/>
      <selection pane="bottomRight" activeCell="C42" sqref="C42"/>
    </sheetView>
  </sheetViews>
  <sheetFormatPr defaultColWidth="8.7109375" defaultRowHeight="12"/>
  <cols>
    <col min="1" max="1" width="8.7109375" style="112"/>
    <col min="2" max="2" width="26.5703125" style="112" customWidth="1"/>
    <col min="3" max="3" width="40.85546875" style="112" customWidth="1"/>
    <col min="4" max="7" width="8.7109375" style="112"/>
    <col min="8" max="8" width="8.7109375" style="159"/>
    <col min="9" max="9" width="10.42578125" style="159" bestFit="1" customWidth="1"/>
    <col min="10" max="10" width="2.85546875" style="112" customWidth="1"/>
    <col min="11" max="11" width="12.7109375" style="112" customWidth="1"/>
    <col min="12" max="12" width="2.85546875" style="112" customWidth="1"/>
    <col min="13" max="13" width="12.7109375" style="112" customWidth="1"/>
    <col min="14" max="14" width="2.85546875" style="112" customWidth="1"/>
    <col min="15" max="15" width="12.7109375" style="112" customWidth="1"/>
    <col min="16" max="16" width="2.85546875" style="112" customWidth="1"/>
    <col min="17" max="17" width="12.7109375" style="112" customWidth="1"/>
    <col min="18" max="18" width="2.85546875" style="112" customWidth="1"/>
    <col min="19" max="19" width="12.7109375" style="112" customWidth="1"/>
    <col min="20" max="20" width="2.85546875" style="112" customWidth="1"/>
    <col min="21" max="21" width="12.7109375" style="112" customWidth="1"/>
    <col min="22" max="22" width="2.85546875" style="112" customWidth="1"/>
    <col min="23" max="23" width="12.7109375" style="112" customWidth="1"/>
    <col min="24" max="24" width="2.85546875" style="112" customWidth="1"/>
    <col min="25" max="25" width="12.7109375" style="112" customWidth="1"/>
    <col min="26" max="26" width="2.85546875" style="112" customWidth="1"/>
    <col min="27" max="27" width="12.7109375" style="112" customWidth="1"/>
    <col min="28" max="28" width="2.85546875" style="112" customWidth="1"/>
    <col min="29" max="29" width="12.7109375" style="112" customWidth="1"/>
    <col min="30" max="30" width="2.85546875" style="112" customWidth="1"/>
    <col min="31" max="31" width="12.7109375" style="112" customWidth="1"/>
    <col min="32" max="32" width="2.85546875" style="112" customWidth="1"/>
    <col min="33" max="33" width="12.7109375" style="112" customWidth="1"/>
    <col min="34" max="34" width="2.85546875" style="112" customWidth="1"/>
    <col min="35" max="35" width="12.7109375" style="112" customWidth="1"/>
    <col min="36" max="36" width="2.85546875" style="112" customWidth="1"/>
    <col min="37" max="37" width="12.7109375" style="112" customWidth="1"/>
    <col min="38" max="38" width="2.85546875" style="112" customWidth="1"/>
    <col min="39" max="39" width="12.7109375" style="112" customWidth="1"/>
    <col min="40" max="40" width="2.85546875" style="112" customWidth="1"/>
    <col min="41" max="41" width="12.7109375" style="112" customWidth="1"/>
    <col min="42" max="42" width="2.85546875" style="112" customWidth="1"/>
    <col min="43" max="43" width="12.7109375" style="112" customWidth="1"/>
    <col min="44" max="44" width="2.85546875" style="112" customWidth="1"/>
    <col min="45" max="45" width="12.7109375" style="112" customWidth="1"/>
    <col min="46" max="46" width="2.85546875" style="112" customWidth="1"/>
    <col min="47" max="47" width="12.7109375" style="112" customWidth="1"/>
    <col min="48" max="48" width="2.85546875" style="112" customWidth="1"/>
    <col min="49" max="49" width="12.7109375" style="112" customWidth="1"/>
    <col min="50" max="50" width="2.85546875" style="112" customWidth="1"/>
    <col min="51" max="51" width="12.7109375" style="112" customWidth="1"/>
    <col min="52" max="52" width="2.85546875" style="112" customWidth="1"/>
    <col min="53" max="53" width="12.7109375" style="112" customWidth="1"/>
    <col min="54" max="54" width="2.85546875" style="112" customWidth="1"/>
    <col min="55" max="55" width="12.7109375" style="112" customWidth="1"/>
    <col min="56" max="56" width="2.85546875" style="112" customWidth="1"/>
    <col min="57" max="57" width="12.7109375" style="112" customWidth="1"/>
    <col min="58" max="58" width="2.85546875" style="112" customWidth="1"/>
    <col min="59" max="59" width="12.7109375" style="112" customWidth="1"/>
    <col min="60" max="60" width="2.85546875" style="112" customWidth="1"/>
    <col min="61" max="61" width="12.7109375" style="112" customWidth="1"/>
    <col min="62" max="62" width="2.85546875" style="112" customWidth="1"/>
    <col min="63" max="63" width="12.7109375" style="112" customWidth="1"/>
    <col min="64" max="64" width="2.85546875" style="112" customWidth="1"/>
    <col min="65" max="65" width="12.7109375" style="112" customWidth="1"/>
    <col min="66" max="66" width="2.85546875" style="112" customWidth="1"/>
    <col min="67" max="67" width="12.7109375" style="112" customWidth="1"/>
    <col min="68" max="68" width="2.85546875" style="112" customWidth="1"/>
    <col min="69" max="69" width="12.7109375" style="112" customWidth="1"/>
    <col min="70" max="70" width="2.85546875" style="112" customWidth="1"/>
    <col min="71" max="71" width="12.7109375" style="112" customWidth="1"/>
    <col min="72" max="72" width="2.85546875" style="112" customWidth="1"/>
    <col min="73" max="73" width="12.7109375" style="112" customWidth="1"/>
    <col min="74" max="74" width="2.85546875" style="112" customWidth="1"/>
    <col min="75" max="75" width="12.7109375" style="112" customWidth="1"/>
    <col min="76" max="76" width="2.85546875" style="112" customWidth="1"/>
    <col min="77" max="77" width="12.7109375" style="112" customWidth="1"/>
    <col min="78" max="78" width="2.85546875" style="112" customWidth="1"/>
    <col min="79" max="79" width="12.7109375" style="112" customWidth="1"/>
    <col min="80" max="80" width="2.85546875" style="112" customWidth="1"/>
    <col min="81" max="81" width="12.7109375" style="112" customWidth="1"/>
    <col min="82" max="82" width="2.85546875" style="112" customWidth="1"/>
    <col min="83" max="83" width="12.7109375" style="112" customWidth="1"/>
    <col min="84" max="84" width="2.85546875" style="112" customWidth="1"/>
    <col min="85" max="85" width="12.7109375" style="112" customWidth="1"/>
    <col min="86" max="86" width="2.85546875" style="112" customWidth="1"/>
    <col min="87" max="87" width="12.7109375" style="112" customWidth="1"/>
    <col min="88" max="88" width="2.85546875" style="112" customWidth="1"/>
    <col min="89" max="89" width="12.7109375" style="112" customWidth="1"/>
    <col min="90" max="90" width="2.85546875" style="112" customWidth="1"/>
    <col min="91" max="91" width="12.7109375" style="112" customWidth="1"/>
    <col min="92" max="92" width="2.85546875" style="112" customWidth="1"/>
    <col min="93" max="93" width="12.7109375" style="112" customWidth="1"/>
    <col min="94" max="94" width="2.85546875" style="112" customWidth="1"/>
    <col min="95" max="95" width="12.7109375" style="112" customWidth="1"/>
    <col min="96" max="96" width="2.85546875" style="112" customWidth="1"/>
    <col min="97" max="97" width="12.7109375" style="112" customWidth="1"/>
    <col min="98" max="16384" width="8.7109375" style="112"/>
  </cols>
  <sheetData>
    <row r="1" spans="1:27" ht="36">
      <c r="B1" s="105"/>
      <c r="C1" s="106"/>
      <c r="D1" s="107" t="s">
        <v>156</v>
      </c>
      <c r="E1" s="139" t="s">
        <v>157</v>
      </c>
      <c r="F1" s="140" t="s">
        <v>158</v>
      </c>
      <c r="G1" s="140" t="s">
        <v>159</v>
      </c>
      <c r="H1" s="158" t="s">
        <v>160</v>
      </c>
      <c r="I1" s="158" t="s">
        <v>161</v>
      </c>
      <c r="J1" s="260">
        <v>2023</v>
      </c>
      <c r="K1" s="260"/>
      <c r="L1" s="260"/>
      <c r="M1" s="260"/>
      <c r="N1" s="260"/>
      <c r="O1" s="260"/>
      <c r="P1" s="260"/>
      <c r="Q1" s="260"/>
      <c r="R1" s="260"/>
      <c r="S1" s="260"/>
      <c r="T1" s="260"/>
      <c r="U1" s="260"/>
      <c r="V1" s="260"/>
      <c r="W1" s="260"/>
      <c r="X1" s="260"/>
      <c r="Y1" s="260"/>
      <c r="Z1" s="260"/>
      <c r="AA1" s="260"/>
    </row>
    <row r="2" spans="1:27">
      <c r="B2" s="105"/>
      <c r="C2" s="106"/>
      <c r="D2" s="107"/>
      <c r="E2" s="139"/>
      <c r="F2" s="140"/>
      <c r="G2" s="140"/>
      <c r="H2" s="158"/>
      <c r="I2" s="158"/>
      <c r="J2" s="141"/>
      <c r="K2" s="142" t="str">
        <f>TEXT((K8),"mmm-yy")</f>
        <v>Aug-22</v>
      </c>
      <c r="L2" s="141"/>
      <c r="M2" s="142" t="str">
        <f>TEXT((M8),"mmm-yy")</f>
        <v>Aug-22</v>
      </c>
      <c r="N2" s="141"/>
      <c r="O2" s="142" t="str">
        <f>TEXT((O8),"mmm-yy")</f>
        <v>Aug-22</v>
      </c>
      <c r="P2" s="141"/>
      <c r="Q2" s="142" t="str">
        <f>TEXT((Q8),"mmm-yy")</f>
        <v>Oct-22</v>
      </c>
      <c r="R2" s="141"/>
      <c r="S2" s="142" t="str">
        <f>TEXT((S8),"mmm-yy")</f>
        <v>Oct-22</v>
      </c>
      <c r="T2" s="141"/>
      <c r="U2" s="142" t="str">
        <f>TEXT((U8),"mmm-yy")</f>
        <v>Jan-23</v>
      </c>
      <c r="V2" s="141"/>
      <c r="W2" s="142" t="str">
        <f>TEXT((W8),"mmm-yy")</f>
        <v>Jan-23</v>
      </c>
      <c r="X2" s="141"/>
      <c r="Y2" s="142" t="str">
        <f>TEXT((Y8),"mmm-yy")</f>
        <v>Jan-23</v>
      </c>
      <c r="Z2" s="141"/>
      <c r="AA2" s="142" t="str">
        <f>TEXT((AA8),"mmm-yy")</f>
        <v>Jan-23</v>
      </c>
    </row>
    <row r="3" spans="1:27">
      <c r="B3" s="105"/>
      <c r="C3" s="143" t="s">
        <v>162</v>
      </c>
      <c r="D3" s="107"/>
      <c r="E3" s="144"/>
      <c r="F3" s="105"/>
      <c r="G3" s="105"/>
      <c r="H3" s="138"/>
      <c r="I3" s="138"/>
      <c r="J3" s="145"/>
      <c r="K3" s="146">
        <v>1</v>
      </c>
      <c r="L3" s="145"/>
      <c r="M3" s="146">
        <v>2</v>
      </c>
      <c r="N3" s="145"/>
      <c r="O3" s="146">
        <f>M3+1</f>
        <v>3</v>
      </c>
      <c r="P3" s="145"/>
      <c r="Q3" s="146">
        <f>O3+1</f>
        <v>4</v>
      </c>
      <c r="R3" s="145"/>
      <c r="S3" s="146">
        <f>Q3+1</f>
        <v>5</v>
      </c>
      <c r="T3" s="145"/>
      <c r="U3" s="146">
        <f>S3+1</f>
        <v>6</v>
      </c>
      <c r="V3" s="145"/>
      <c r="W3" s="146">
        <f>U3+1</f>
        <v>7</v>
      </c>
      <c r="X3" s="145"/>
      <c r="Y3" s="146">
        <f>W3+1</f>
        <v>8</v>
      </c>
      <c r="Z3" s="145"/>
      <c r="AA3" s="146">
        <f>Y3+1</f>
        <v>9</v>
      </c>
    </row>
    <row r="4" spans="1:27">
      <c r="B4" s="105"/>
      <c r="C4" s="143" t="s">
        <v>163</v>
      </c>
      <c r="D4" s="143"/>
      <c r="E4" s="144"/>
      <c r="F4" s="105"/>
      <c r="G4" s="105"/>
      <c r="H4" s="138"/>
      <c r="I4" s="138"/>
      <c r="J4" s="145"/>
      <c r="K4" s="146" t="str">
        <f>VLOOKUP(K3,GeneralLedger!$A:$G,7,FALSE)</f>
        <v>Vendor1</v>
      </c>
      <c r="L4" s="145"/>
      <c r="M4" s="146" t="str">
        <f>VLOOKUP(M3,GeneralLedger!$A:$G,7,FALSE)</f>
        <v>Vendor2</v>
      </c>
      <c r="N4" s="145"/>
      <c r="O4" s="146" t="str">
        <f>VLOOKUP(O3,GeneralLedger!$A:$G,7,FALSE)</f>
        <v>Vendor3</v>
      </c>
      <c r="P4" s="145"/>
      <c r="Q4" s="146" t="str">
        <f>VLOOKUP(Q3,GeneralLedger!$A:$G,7,FALSE)</f>
        <v>Vendor4</v>
      </c>
      <c r="R4" s="145"/>
      <c r="S4" s="146" t="str">
        <f>VLOOKUP(S3,GeneralLedger!$A:$G,7,FALSE)</f>
        <v>Vendor5</v>
      </c>
      <c r="T4" s="145"/>
      <c r="U4" s="146" t="str">
        <f>VLOOKUP(U3,GeneralLedger!$A:$G,7,FALSE)</f>
        <v>Vendor6</v>
      </c>
      <c r="V4" s="145"/>
      <c r="W4" s="146" t="str">
        <f>VLOOKUP(W3,GeneralLedger!$A:$G,7,FALSE)</f>
        <v>Vendor7</v>
      </c>
      <c r="X4" s="145"/>
      <c r="Y4" s="146" t="str">
        <f>VLOOKUP(Y3,GeneralLedger!$A:$G,7,FALSE)</f>
        <v>Vendor8</v>
      </c>
      <c r="Z4" s="145"/>
      <c r="AA4" s="146" t="str">
        <f>VLOOKUP(AA3,GeneralLedger!$A:$G,7,FALSE)</f>
        <v>Vendor9</v>
      </c>
    </row>
    <row r="5" spans="1:27">
      <c r="B5" s="105"/>
      <c r="C5" s="143" t="s">
        <v>164</v>
      </c>
      <c r="D5" s="143"/>
      <c r="E5" s="144"/>
      <c r="F5" s="105"/>
      <c r="G5" s="105"/>
      <c r="H5" s="138"/>
      <c r="I5" s="138"/>
      <c r="J5" s="147"/>
      <c r="K5" s="147">
        <f>VLOOKUP(K3,GeneralLedger!$A:$F,6,FALSE)</f>
        <v>32900</v>
      </c>
      <c r="L5" s="147"/>
      <c r="M5" s="147">
        <f>VLOOKUP(M3,GeneralLedger!$A:$F,6,FALSE)</f>
        <v>50000</v>
      </c>
      <c r="N5" s="147"/>
      <c r="O5" s="147">
        <f>VLOOKUP(O3,GeneralLedger!$A:$F,6,FALSE)</f>
        <v>44000</v>
      </c>
      <c r="P5" s="147"/>
      <c r="Q5" s="147">
        <f>VLOOKUP(Q3,GeneralLedger!$A:$F,6,FALSE)</f>
        <v>39100</v>
      </c>
      <c r="R5" s="147"/>
      <c r="S5" s="147">
        <f>VLOOKUP(S3,GeneralLedger!$A:$F,6,FALSE)</f>
        <v>34000</v>
      </c>
      <c r="T5" s="147"/>
      <c r="U5" s="147">
        <f>VLOOKUP(U3,GeneralLedger!$A:$F,6,FALSE)</f>
        <v>70000</v>
      </c>
      <c r="V5" s="147"/>
      <c r="W5" s="147">
        <f>VLOOKUP(W3,GeneralLedger!$A:$F,6,FALSE)</f>
        <v>44600</v>
      </c>
      <c r="X5" s="147"/>
      <c r="Y5" s="147">
        <f>VLOOKUP(Y3,GeneralLedger!$A:$F,6,FALSE)</f>
        <v>25000</v>
      </c>
      <c r="Z5" s="147"/>
      <c r="AA5" s="147">
        <f>VLOOKUP(AA3,GeneralLedger!$A:$F,6,FALSE)</f>
        <v>38000</v>
      </c>
    </row>
    <row r="6" spans="1:27">
      <c r="B6" s="105"/>
      <c r="C6" s="143" t="s">
        <v>365</v>
      </c>
      <c r="D6" s="148"/>
      <c r="E6" s="144"/>
      <c r="F6" s="105"/>
      <c r="G6" s="105"/>
      <c r="H6" s="138"/>
      <c r="I6" s="138"/>
      <c r="J6" s="147"/>
      <c r="K6" s="166" t="str">
        <f>VLOOKUP(K3,GeneralLedger!$A:$C,2,FALSE)</f>
        <v>E-Platform</v>
      </c>
      <c r="L6" s="147"/>
      <c r="M6" s="166" t="str">
        <f>VLOOKUP(M3,GeneralLedger!$A:$C,2,FALSE)</f>
        <v>E-Platform</v>
      </c>
      <c r="N6" s="147"/>
      <c r="O6" s="166" t="str">
        <f>VLOOKUP(O3,GeneralLedger!$A:$C,2,FALSE)</f>
        <v>Marketing</v>
      </c>
      <c r="P6" s="147"/>
      <c r="Q6" s="166" t="str">
        <f>VLOOKUP(Q3,GeneralLedger!$A:$C,2,FALSE)</f>
        <v>E-Platform</v>
      </c>
      <c r="R6" s="147"/>
      <c r="S6" s="166" t="str">
        <f>VLOOKUP(S3,GeneralLedger!$A:$C,2,FALSE)</f>
        <v>Marketing</v>
      </c>
      <c r="T6" s="147"/>
      <c r="U6" s="166" t="str">
        <f>VLOOKUP(U3,GeneralLedger!$A:$C,2,FALSE)</f>
        <v>E-Platform</v>
      </c>
      <c r="V6" s="147"/>
      <c r="W6" s="166" t="str">
        <f>VLOOKUP(W3,GeneralLedger!$A:$C,2,FALSE)</f>
        <v>Marketing</v>
      </c>
      <c r="X6" s="147"/>
      <c r="Y6" s="166" t="str">
        <f>VLOOKUP(Y3,GeneralLedger!$A:$C,2,FALSE)</f>
        <v>Production</v>
      </c>
      <c r="Z6" s="147"/>
      <c r="AA6" s="166" t="str">
        <f>VLOOKUP(AA3,GeneralLedger!$A:$C,2,FALSE)</f>
        <v>E-Platform</v>
      </c>
    </row>
    <row r="7" spans="1:27">
      <c r="B7" s="105"/>
      <c r="C7" s="143" t="s">
        <v>165</v>
      </c>
      <c r="D7" s="148"/>
      <c r="E7" s="144"/>
      <c r="F7" s="105"/>
      <c r="G7" s="105"/>
      <c r="H7" s="138"/>
      <c r="I7" s="138"/>
      <c r="J7" s="147"/>
      <c r="K7" s="149" t="str">
        <f>VLOOKUP(K3,GeneralLedger!$A:$C,3,FALSE)</f>
        <v>INV001</v>
      </c>
      <c r="L7" s="147"/>
      <c r="M7" s="149" t="str">
        <f>VLOOKUP(M3,GeneralLedger!$A:$C,3,FALSE)</f>
        <v>INV002</v>
      </c>
      <c r="N7" s="147"/>
      <c r="O7" s="149" t="str">
        <f>VLOOKUP(O3,GeneralLedger!$A:$C,3,FALSE)</f>
        <v>INV003</v>
      </c>
      <c r="P7" s="147"/>
      <c r="Q7" s="149" t="str">
        <f>VLOOKUP(Q3,GeneralLedger!$A:$C,3,FALSE)</f>
        <v>INV004</v>
      </c>
      <c r="R7" s="147"/>
      <c r="S7" s="149" t="str">
        <f>VLOOKUP(S3,GeneralLedger!$A:$C,3,FALSE)</f>
        <v>INV005</v>
      </c>
      <c r="T7" s="147"/>
      <c r="U7" s="149" t="str">
        <f>VLOOKUP(U3,GeneralLedger!$A:$C,3,FALSE)</f>
        <v>INV006</v>
      </c>
      <c r="V7" s="147"/>
      <c r="W7" s="149" t="str">
        <f>VLOOKUP(W3,GeneralLedger!$A:$C,3,FALSE)</f>
        <v>INV007</v>
      </c>
      <c r="X7" s="147"/>
      <c r="Y7" s="149" t="str">
        <f>VLOOKUP(Y3,GeneralLedger!$A:$C,3,FALSE)</f>
        <v>INV008</v>
      </c>
      <c r="Z7" s="147"/>
      <c r="AA7" s="149" t="str">
        <f>VLOOKUP(AA3,GeneralLedger!$A:$C,3,FALSE)</f>
        <v>INV009</v>
      </c>
    </row>
    <row r="8" spans="1:27">
      <c r="A8" s="112" t="s">
        <v>169</v>
      </c>
      <c r="B8" s="105" t="s">
        <v>166</v>
      </c>
      <c r="C8" s="150" t="s">
        <v>167</v>
      </c>
      <c r="D8" s="151"/>
      <c r="E8" s="144"/>
      <c r="F8" s="105"/>
      <c r="G8" s="105"/>
      <c r="H8" s="138"/>
      <c r="I8" s="138"/>
      <c r="J8" s="152"/>
      <c r="K8" s="152">
        <f>VLOOKUP(K3,GeneralLedger!$A:$F,4,FALSE)</f>
        <v>44803</v>
      </c>
      <c r="L8" s="152"/>
      <c r="M8" s="152">
        <f>VLOOKUP(M3,GeneralLedger!$A:$F,4,FALSE)</f>
        <v>44803</v>
      </c>
      <c r="N8" s="152"/>
      <c r="O8" s="152">
        <f>VLOOKUP(O3,GeneralLedger!$A:$F,4,FALSE)</f>
        <v>44803</v>
      </c>
      <c r="P8" s="152"/>
      <c r="Q8" s="152">
        <f>VLOOKUP(Q3,GeneralLedger!$A:$F,4,FALSE)</f>
        <v>44847</v>
      </c>
      <c r="R8" s="152"/>
      <c r="S8" s="152">
        <f>VLOOKUP(S3,GeneralLedger!$A:$F,4,FALSE)</f>
        <v>44847</v>
      </c>
      <c r="T8" s="152"/>
      <c r="U8" s="152">
        <f>VLOOKUP(U3,GeneralLedger!$A:$F,4,FALSE)</f>
        <v>44936</v>
      </c>
      <c r="V8" s="152"/>
      <c r="W8" s="152">
        <f>VLOOKUP(W3,GeneralLedger!$A:$F,4,FALSE)</f>
        <v>44936</v>
      </c>
      <c r="X8" s="152"/>
      <c r="Y8" s="152">
        <f>VLOOKUP(Y3,GeneralLedger!$A:$F,4,FALSE)</f>
        <v>44936</v>
      </c>
      <c r="Z8" s="152"/>
      <c r="AA8" s="152">
        <f>VLOOKUP(AA3,GeneralLedger!$A:$F,4,FALSE)</f>
        <v>44936</v>
      </c>
    </row>
    <row r="9" spans="1:27">
      <c r="B9" s="105"/>
      <c r="C9" s="150" t="s">
        <v>168</v>
      </c>
      <c r="D9" s="151"/>
      <c r="E9" s="105"/>
      <c r="F9" s="105"/>
      <c r="G9" s="105"/>
      <c r="H9" s="138"/>
      <c r="I9" s="138"/>
      <c r="J9" s="153"/>
      <c r="K9" s="152">
        <f>VLOOKUP(K3,GeneralLedger!$A:$F,5,FALSE)</f>
        <v>44811</v>
      </c>
      <c r="L9" s="153"/>
      <c r="M9" s="152">
        <f>VLOOKUP(M3,GeneralLedger!$A:$F,5,FALSE)</f>
        <v>44811</v>
      </c>
      <c r="N9" s="153"/>
      <c r="O9" s="152">
        <f>VLOOKUP(O3,GeneralLedger!$A:$F,5,FALSE)</f>
        <v>44811</v>
      </c>
      <c r="P9" s="153"/>
      <c r="Q9" s="152">
        <f>VLOOKUP(Q3,GeneralLedger!$A:$F,5,FALSE)</f>
        <v>44860</v>
      </c>
      <c r="R9" s="153"/>
      <c r="S9" s="152">
        <f>VLOOKUP(S3,GeneralLedger!$A:$F,5,FALSE)</f>
        <v>44860</v>
      </c>
      <c r="T9" s="153"/>
      <c r="U9" s="152">
        <f>VLOOKUP(U3,GeneralLedger!$A:$F,5,FALSE)</f>
        <v>44970</v>
      </c>
      <c r="V9" s="153"/>
      <c r="W9" s="152">
        <f>VLOOKUP(W3,GeneralLedger!$A:$F,5,FALSE)</f>
        <v>44970</v>
      </c>
      <c r="X9" s="153"/>
      <c r="Y9" s="152">
        <f>VLOOKUP(Y3,GeneralLedger!$A:$F,5,FALSE)</f>
        <v>44970</v>
      </c>
      <c r="Z9" s="153"/>
      <c r="AA9" s="152">
        <f>VLOOKUP(AA3,GeneralLedger!$A:$F,5,FALSE)</f>
        <v>44970</v>
      </c>
    </row>
    <row r="10" spans="1:27">
      <c r="A10" s="112">
        <v>1</v>
      </c>
      <c r="B10" s="154" t="str">
        <f>VLOOKUP(A10,Deliverable!A:B,2,FALSE)</f>
        <v>增設新業務單位的相關開支
Expenditure relating to setting up 
of a new business entity</v>
      </c>
      <c r="C10" s="112" t="str">
        <f>VLOOKUP(A10,Deliverable!A:C,3,FALSE)</f>
        <v>Company Registration</v>
      </c>
      <c r="D10" s="155">
        <f>I10/F10</f>
        <v>18000</v>
      </c>
      <c r="E10" s="112">
        <f ca="1">IF(AND(F10&gt;0,SUMIF(J10:CU10,"&lt;100",J10:CU10)=0),E10,SUMIF(J10:CU10,"&lt;100",J10:CU10))</f>
        <v>0</v>
      </c>
      <c r="F10" s="112">
        <f>VLOOKUP(A10,Deliverable!A:J,5,FALSE)</f>
        <v>1</v>
      </c>
      <c r="G10" s="156">
        <f>H10/I10</f>
        <v>0</v>
      </c>
      <c r="H10" s="159">
        <f>SUMIF(J10:CU10,"&gt;100",J10:CU10)</f>
        <v>0</v>
      </c>
      <c r="I10" s="159">
        <f>VLOOKUP(A10,Deliverable!A:J,10,FALSE)</f>
        <v>18000</v>
      </c>
      <c r="K10" s="159"/>
      <c r="L10" s="159"/>
      <c r="M10" s="159"/>
      <c r="N10" s="159"/>
      <c r="O10" s="159"/>
      <c r="P10" s="159"/>
      <c r="Q10" s="159"/>
      <c r="R10" s="159"/>
      <c r="S10" s="159"/>
      <c r="T10" s="159"/>
      <c r="U10" s="159"/>
      <c r="V10" s="159"/>
      <c r="W10" s="159"/>
      <c r="X10" s="159"/>
      <c r="Y10" s="159"/>
      <c r="Z10" s="159"/>
      <c r="AA10" s="159"/>
    </row>
    <row r="11" spans="1:27">
      <c r="A11" s="112">
        <v>2</v>
      </c>
      <c r="B11" s="154" t="str">
        <f>VLOOKUP(A11,Deliverable!A:B,2,FALSE)</f>
        <v>增設新業務單位的相關開支
Expenditure relating to setting up 
of a new business entity</v>
      </c>
      <c r="C11" s="112" t="str">
        <f>VLOOKUP(A11,Deliverable!A:C,3,FALSE)</f>
        <v>Company Secretary Service</v>
      </c>
      <c r="D11" s="155">
        <f t="shared" ref="D11:D26" si="0">I11/F11</f>
        <v>12000</v>
      </c>
      <c r="E11" s="112">
        <f t="shared" ref="E11:E26" ca="1" si="1">IF(AND(F11&gt;0,SUMIF(J11:CU11,"&lt;100",J11:CU11)=0),E11,SUMIF(J11:CU11,"&lt;100",J11:CU11))</f>
        <v>0</v>
      </c>
      <c r="F11" s="112">
        <f>VLOOKUP(A11,Deliverable!A:J,5,FALSE)</f>
        <v>1</v>
      </c>
      <c r="G11" s="156">
        <f t="shared" ref="G11:G26" si="2">H11/I11</f>
        <v>0</v>
      </c>
      <c r="H11" s="159">
        <f t="shared" ref="H11:H26" si="3">SUMIF(J11:CU11,"&gt;100",J11:CU11)</f>
        <v>0</v>
      </c>
      <c r="I11" s="159">
        <f>VLOOKUP(A11,Deliverable!A:J,10,FALSE)</f>
        <v>12000</v>
      </c>
      <c r="K11" s="159"/>
      <c r="L11" s="159"/>
      <c r="M11" s="159"/>
      <c r="N11" s="159"/>
      <c r="O11" s="159"/>
      <c r="P11" s="159"/>
      <c r="Q11" s="159"/>
      <c r="R11" s="159"/>
      <c r="S11" s="159"/>
      <c r="T11" s="159"/>
      <c r="U11" s="159"/>
      <c r="V11" s="159"/>
      <c r="W11" s="159"/>
      <c r="X11" s="159"/>
      <c r="Y11" s="159"/>
      <c r="Z11" s="159"/>
      <c r="AA11" s="159"/>
    </row>
    <row r="12" spans="1:27">
      <c r="A12" s="112">
        <v>3</v>
      </c>
      <c r="B12" s="154" t="str">
        <f>VLOOKUP(A12,Deliverable!A:B,2,FALSE)</f>
        <v>增聘員工
Recruiting  additional manpower</v>
      </c>
      <c r="C12" s="112" t="str">
        <f>VLOOKUP(A12,Deliverable!A:C,3,FALSE)</f>
        <v>Part-Time Video Production Assistant</v>
      </c>
      <c r="D12" s="155">
        <f t="shared" si="0"/>
        <v>48000</v>
      </c>
      <c r="E12" s="112">
        <f t="shared" ca="1" si="1"/>
        <v>0</v>
      </c>
      <c r="F12" s="112">
        <f>VLOOKUP(A12,Deliverable!A:J,5,FALSE)</f>
        <v>1</v>
      </c>
      <c r="G12" s="156">
        <f t="shared" si="2"/>
        <v>0</v>
      </c>
      <c r="H12" s="159">
        <f t="shared" si="3"/>
        <v>0</v>
      </c>
      <c r="I12" s="159">
        <f>VLOOKUP(A12,Deliverable!A:J,10,FALSE)</f>
        <v>48000</v>
      </c>
      <c r="K12" s="159"/>
      <c r="L12" s="159"/>
      <c r="M12" s="159"/>
      <c r="N12" s="159"/>
      <c r="O12" s="159"/>
      <c r="P12" s="159"/>
      <c r="Q12" s="159"/>
      <c r="R12" s="159"/>
      <c r="S12" s="159"/>
      <c r="T12" s="159"/>
      <c r="U12" s="159"/>
      <c r="V12" s="159"/>
      <c r="W12" s="159"/>
      <c r="X12" s="159"/>
      <c r="Y12" s="159"/>
      <c r="Z12" s="159"/>
      <c r="AA12" s="159"/>
    </row>
    <row r="13" spans="1:27">
      <c r="A13" s="112">
        <v>4</v>
      </c>
      <c r="B13" s="154" t="str">
        <f>VLOOKUP(A13,Deliverable!A:B,2,FALSE)</f>
        <v xml:space="preserve">建立/優化公司網頁
Establishing / enhancing company 
website </v>
      </c>
      <c r="C13" s="112" t="str">
        <f>VLOOKUP(A13,Deliverable!A:C,3,FALSE)</f>
        <v>優化現有網頁 (網址：https://www.ukimms.com/)</v>
      </c>
      <c r="D13" s="155">
        <f t="shared" si="0"/>
        <v>60000</v>
      </c>
      <c r="E13" s="112">
        <f t="shared" ca="1" si="1"/>
        <v>0</v>
      </c>
      <c r="F13" s="112">
        <f>VLOOKUP(A13,Deliverable!A:J,5,FALSE)</f>
        <v>1</v>
      </c>
      <c r="G13" s="156">
        <f t="shared" si="2"/>
        <v>0</v>
      </c>
      <c r="H13" s="159">
        <f t="shared" si="3"/>
        <v>0</v>
      </c>
      <c r="I13" s="159">
        <f>VLOOKUP(A13,Deliverable!A:J,10,FALSE)</f>
        <v>60000</v>
      </c>
      <c r="K13" s="159"/>
      <c r="L13" s="159"/>
      <c r="M13" s="159"/>
      <c r="N13" s="159"/>
      <c r="O13" s="159"/>
      <c r="P13" s="159"/>
      <c r="Q13" s="159"/>
      <c r="R13" s="159"/>
      <c r="S13" s="159"/>
      <c r="T13" s="159"/>
      <c r="U13" s="159"/>
      <c r="V13" s="159"/>
      <c r="W13" s="159"/>
      <c r="X13" s="159"/>
      <c r="Y13" s="159"/>
      <c r="Z13" s="159"/>
      <c r="AA13" s="159"/>
    </row>
    <row r="14" spans="1:27">
      <c r="A14" s="112">
        <v>5</v>
      </c>
      <c r="B14" s="154" t="str">
        <f>VLOOKUP(A14,Deliverable!A:B,2,FALSE)</f>
        <v xml:space="preserve">設計及製作宣傳品
Producing promotional materials </v>
      </c>
      <c r="C14" s="112" t="str">
        <f>VLOOKUP(A14,Deliverable!A:C,3,FALSE)</f>
        <v>Company Catalogue x 3000</v>
      </c>
      <c r="D14" s="155">
        <f t="shared" si="0"/>
        <v>40000</v>
      </c>
      <c r="E14" s="112">
        <f t="shared" ca="1" si="1"/>
        <v>0</v>
      </c>
      <c r="F14" s="112">
        <f>VLOOKUP(A14,Deliverable!A:J,5,FALSE)</f>
        <v>1</v>
      </c>
      <c r="G14" s="156">
        <f t="shared" si="2"/>
        <v>0</v>
      </c>
      <c r="H14" s="159">
        <f t="shared" si="3"/>
        <v>0</v>
      </c>
      <c r="I14" s="159">
        <f>VLOOKUP(A14,Deliverable!A:J,10,FALSE)</f>
        <v>40000</v>
      </c>
      <c r="K14" s="159"/>
      <c r="L14" s="159"/>
      <c r="M14" s="159"/>
      <c r="N14" s="159"/>
      <c r="O14" s="159"/>
      <c r="P14" s="159"/>
      <c r="Q14" s="159"/>
      <c r="R14" s="159"/>
      <c r="S14" s="159"/>
      <c r="T14" s="159"/>
      <c r="U14" s="159"/>
      <c r="V14" s="159"/>
      <c r="W14" s="159"/>
      <c r="X14" s="159"/>
      <c r="Y14" s="159"/>
      <c r="Z14" s="159"/>
      <c r="AA14" s="159"/>
    </row>
    <row r="15" spans="1:27">
      <c r="A15" s="112">
        <v>6</v>
      </c>
      <c r="B15" s="154" t="str">
        <f>VLOOKUP(A15,Deliverable!A:B,2,FALSE)</f>
        <v xml:space="preserve">設計及製作宣傳品
Producing promotional materials </v>
      </c>
      <c r="C15" s="112" t="str">
        <f>VLOOKUP(A15,Deliverable!A:C,3,FALSE)</f>
        <v>Company Brochures x 3000</v>
      </c>
      <c r="D15" s="155">
        <f t="shared" si="0"/>
        <v>40000</v>
      </c>
      <c r="E15" s="112">
        <f t="shared" ca="1" si="1"/>
        <v>0</v>
      </c>
      <c r="F15" s="112">
        <f>VLOOKUP(A15,Deliverable!A:J,5,FALSE)</f>
        <v>1</v>
      </c>
      <c r="G15" s="156">
        <f t="shared" si="2"/>
        <v>0</v>
      </c>
      <c r="H15" s="159">
        <f t="shared" si="3"/>
        <v>0</v>
      </c>
      <c r="I15" s="159">
        <f>VLOOKUP(A15,Deliverable!A:J,10,FALSE)</f>
        <v>40000</v>
      </c>
      <c r="K15" s="159"/>
      <c r="L15" s="159"/>
      <c r="M15" s="159"/>
      <c r="N15" s="159"/>
      <c r="O15" s="159"/>
      <c r="P15" s="159"/>
      <c r="Q15" s="159"/>
      <c r="R15" s="159"/>
      <c r="S15" s="159"/>
      <c r="T15" s="159"/>
      <c r="U15" s="159"/>
      <c r="V15" s="159"/>
      <c r="W15" s="159"/>
      <c r="X15" s="159"/>
      <c r="Y15" s="159"/>
      <c r="Z15" s="159"/>
      <c r="AA15" s="159"/>
    </row>
    <row r="16" spans="1:27">
      <c r="A16" s="112">
        <v>7</v>
      </c>
      <c r="B16" s="154" t="str">
        <f>VLOOKUP(A16,Deliverable!A:B,2,FALSE)</f>
        <v xml:space="preserve">設計及製作宣傳品
Producing promotional materials </v>
      </c>
      <c r="C16" s="112" t="str">
        <f>VLOOKUP(A16,Deliverable!A:C,3,FALSE)</f>
        <v>Company Leaflet x 10000</v>
      </c>
      <c r="D16" s="155">
        <f t="shared" si="0"/>
        <v>20000</v>
      </c>
      <c r="E16" s="112">
        <f t="shared" ca="1" si="1"/>
        <v>0</v>
      </c>
      <c r="F16" s="112">
        <f>VLOOKUP(A16,Deliverable!A:J,5,FALSE)</f>
        <v>1</v>
      </c>
      <c r="G16" s="156">
        <f t="shared" si="2"/>
        <v>0</v>
      </c>
      <c r="H16" s="159">
        <f t="shared" si="3"/>
        <v>0</v>
      </c>
      <c r="I16" s="159">
        <f>VLOOKUP(A16,Deliverable!A:J,10,FALSE)</f>
        <v>20000</v>
      </c>
      <c r="K16" s="159"/>
      <c r="L16" s="159"/>
      <c r="M16" s="159"/>
      <c r="N16" s="159"/>
      <c r="O16" s="159"/>
      <c r="P16" s="159"/>
      <c r="Q16" s="159"/>
      <c r="R16" s="159"/>
      <c r="S16" s="159"/>
      <c r="T16" s="159"/>
      <c r="U16" s="159"/>
      <c r="V16" s="159"/>
      <c r="W16" s="159"/>
      <c r="X16" s="159"/>
      <c r="Y16" s="159"/>
      <c r="Z16" s="159"/>
      <c r="AA16" s="159"/>
    </row>
    <row r="17" spans="1:27">
      <c r="A17" s="112">
        <v>8</v>
      </c>
      <c r="B17" s="154" t="str">
        <f>VLOOKUP(A17,Deliverable!A:B,2,FALSE)</f>
        <v xml:space="preserve">投放直接與項目相關的廣告
Advertising cost directly related to 
the project </v>
      </c>
      <c r="C17" s="112" t="str">
        <f>VLOOKUP(A17,Deliverable!A:C,3,FALSE)</f>
        <v>Facebook Feed x52 and Page Management x12 months</v>
      </c>
      <c r="D17" s="155">
        <f t="shared" si="0"/>
        <v>90000</v>
      </c>
      <c r="E17" s="112">
        <f t="shared" ca="1" si="1"/>
        <v>0</v>
      </c>
      <c r="F17" s="112">
        <f>VLOOKUP(A17,Deliverable!A:J,5,FALSE)</f>
        <v>1</v>
      </c>
      <c r="G17" s="156">
        <f t="shared" si="2"/>
        <v>0</v>
      </c>
      <c r="H17" s="159">
        <f t="shared" si="3"/>
        <v>0</v>
      </c>
      <c r="I17" s="159">
        <f>VLOOKUP(A17,Deliverable!A:J,10,FALSE)</f>
        <v>90000</v>
      </c>
      <c r="K17" s="159"/>
      <c r="L17" s="159"/>
      <c r="M17" s="159"/>
      <c r="N17" s="159"/>
      <c r="O17" s="159"/>
      <c r="P17" s="159"/>
      <c r="Q17" s="159"/>
      <c r="R17" s="159"/>
      <c r="S17" s="159"/>
      <c r="T17" s="159"/>
      <c r="U17" s="159"/>
      <c r="V17" s="159"/>
      <c r="W17" s="159"/>
      <c r="X17" s="159"/>
      <c r="Y17" s="159"/>
      <c r="Z17" s="159"/>
      <c r="AA17" s="159"/>
    </row>
    <row r="18" spans="1:27">
      <c r="A18" s="112">
        <v>9</v>
      </c>
      <c r="B18" s="154" t="str">
        <f>VLOOKUP(A18,Deliverable!A:B,2,FALSE)</f>
        <v xml:space="preserve">投放直接與項目相關的廣告
Advertising cost directly related to 
the project </v>
      </c>
      <c r="C18" s="112" t="str">
        <f>VLOOKUP(A18,Deliverable!A:C,3,FALSE)</f>
        <v>Instagram Feed x52 and Page Management x12 months</v>
      </c>
      <c r="D18" s="155">
        <f t="shared" si="0"/>
        <v>90000</v>
      </c>
      <c r="E18" s="112">
        <f t="shared" ca="1" si="1"/>
        <v>0</v>
      </c>
      <c r="F18" s="112">
        <f>VLOOKUP(A18,Deliverable!A:J,5,FALSE)</f>
        <v>1</v>
      </c>
      <c r="G18" s="156">
        <f t="shared" si="2"/>
        <v>0</v>
      </c>
      <c r="H18" s="159">
        <f t="shared" si="3"/>
        <v>0</v>
      </c>
      <c r="I18" s="159">
        <f>VLOOKUP(A18,Deliverable!A:J,10,FALSE)</f>
        <v>90000</v>
      </c>
      <c r="K18" s="159"/>
      <c r="L18" s="159"/>
      <c r="M18" s="159"/>
      <c r="N18" s="159"/>
      <c r="O18" s="159"/>
      <c r="P18" s="159"/>
      <c r="Q18" s="159"/>
      <c r="R18" s="159"/>
      <c r="S18" s="159"/>
      <c r="T18" s="159"/>
      <c r="U18" s="159"/>
      <c r="V18" s="159"/>
      <c r="W18" s="159"/>
      <c r="X18" s="159"/>
      <c r="Y18" s="159"/>
      <c r="Z18" s="159"/>
      <c r="AA18" s="159"/>
    </row>
    <row r="19" spans="1:27">
      <c r="A19" s="112">
        <v>10</v>
      </c>
      <c r="B19" s="154" t="str">
        <f>VLOOKUP(A19,Deliverable!A:B,2,FALSE)</f>
        <v xml:space="preserve">投放直接與項目相關的廣告
Advertising cost directly related to 
the project </v>
      </c>
      <c r="C19" s="112" t="str">
        <f>VLOOKUP(A19,Deliverable!A:C,3,FALSE)</f>
        <v>LinkedIn Feed x52 and Page Management x12 months</v>
      </c>
      <c r="D19" s="155">
        <f t="shared" si="0"/>
        <v>60000</v>
      </c>
      <c r="E19" s="112">
        <f t="shared" ca="1" si="1"/>
        <v>0</v>
      </c>
      <c r="F19" s="112">
        <f>VLOOKUP(A19,Deliverable!A:J,5,FALSE)</f>
        <v>1</v>
      </c>
      <c r="G19" s="156">
        <f t="shared" si="2"/>
        <v>0</v>
      </c>
      <c r="H19" s="159">
        <f t="shared" si="3"/>
        <v>0</v>
      </c>
      <c r="I19" s="159">
        <f>VLOOKUP(A19,Deliverable!A:J,10,FALSE)</f>
        <v>60000</v>
      </c>
      <c r="K19" s="159"/>
      <c r="L19" s="159"/>
      <c r="M19" s="159"/>
      <c r="N19" s="159"/>
      <c r="O19" s="159"/>
      <c r="P19" s="159"/>
      <c r="Q19" s="159"/>
      <c r="R19" s="159"/>
      <c r="S19" s="159"/>
      <c r="T19" s="159"/>
      <c r="U19" s="159"/>
      <c r="V19" s="159"/>
      <c r="W19" s="159"/>
      <c r="X19" s="159"/>
      <c r="Y19" s="159"/>
      <c r="Z19" s="159"/>
      <c r="AA19" s="159"/>
    </row>
    <row r="20" spans="1:27">
      <c r="A20" s="112">
        <v>11</v>
      </c>
      <c r="B20" s="154" t="str">
        <f>VLOOKUP(A20,Deliverable!A:B,2,FALSE)</f>
        <v xml:space="preserve">投放直接與項目相關的廣告
Advertising cost directly related to 
the project </v>
      </c>
      <c r="C20" s="112" t="str">
        <f>VLOOKUP(A20,Deliverable!A:C,3,FALSE)</f>
        <v>Facebook group seeding x 52 times</v>
      </c>
      <c r="D20" s="155">
        <f t="shared" si="0"/>
        <v>150000</v>
      </c>
      <c r="E20" s="112">
        <f t="shared" ca="1" si="1"/>
        <v>0</v>
      </c>
      <c r="F20" s="112">
        <f>VLOOKUP(A20,Deliverable!A:J,5,FALSE)</f>
        <v>1</v>
      </c>
      <c r="G20" s="156">
        <f t="shared" si="2"/>
        <v>0</v>
      </c>
      <c r="H20" s="159">
        <f t="shared" si="3"/>
        <v>0</v>
      </c>
      <c r="I20" s="159">
        <f>VLOOKUP(A20,Deliverable!A:J,10,FALSE)</f>
        <v>150000</v>
      </c>
      <c r="K20" s="159"/>
      <c r="L20" s="159"/>
      <c r="M20" s="159"/>
      <c r="N20" s="159"/>
      <c r="O20" s="159"/>
      <c r="P20" s="159"/>
      <c r="Q20" s="159"/>
      <c r="R20" s="159"/>
      <c r="S20" s="159"/>
      <c r="T20" s="159"/>
      <c r="U20" s="159"/>
      <c r="V20" s="159"/>
      <c r="W20" s="159"/>
      <c r="X20" s="159"/>
      <c r="Y20" s="159"/>
      <c r="Z20" s="159"/>
      <c r="AA20" s="159"/>
    </row>
    <row r="21" spans="1:27">
      <c r="A21" s="112">
        <v>12</v>
      </c>
      <c r="B21" s="154" t="str">
        <f>VLOOKUP(A21,Deliverable!A:B,2,FALSE)</f>
        <v xml:space="preserve">投放直接與項目相關的廣告
Advertising cost directly related to 
the project </v>
      </c>
      <c r="C21" s="112" t="str">
        <f>VLOOKUP(A21,Deliverable!A:C,3,FALSE)</f>
        <v>X (Twitter) Feed x 52 and page management x12 months</v>
      </c>
      <c r="D21" s="155">
        <f t="shared" si="0"/>
        <v>60000</v>
      </c>
      <c r="E21" s="112">
        <f t="shared" ca="1" si="1"/>
        <v>0</v>
      </c>
      <c r="F21" s="112">
        <f>VLOOKUP(A21,Deliverable!A:J,5,FALSE)</f>
        <v>1</v>
      </c>
      <c r="G21" s="156">
        <f t="shared" si="2"/>
        <v>0</v>
      </c>
      <c r="H21" s="159">
        <f t="shared" si="3"/>
        <v>0</v>
      </c>
      <c r="I21" s="159">
        <f>VLOOKUP(A21,Deliverable!A:J,10,FALSE)</f>
        <v>60000</v>
      </c>
      <c r="K21" s="159"/>
      <c r="L21" s="159"/>
      <c r="M21" s="159"/>
      <c r="N21" s="159"/>
      <c r="O21" s="159"/>
      <c r="P21" s="159"/>
      <c r="Q21" s="159"/>
      <c r="R21" s="159"/>
      <c r="S21" s="159"/>
      <c r="T21" s="159"/>
      <c r="U21" s="159"/>
      <c r="V21" s="159"/>
      <c r="W21" s="159"/>
      <c r="X21" s="159"/>
      <c r="Y21" s="159"/>
      <c r="Z21" s="159"/>
      <c r="AA21" s="159"/>
    </row>
    <row r="22" spans="1:27">
      <c r="A22" s="112">
        <v>13</v>
      </c>
      <c r="B22" s="154" t="str">
        <f>VLOOKUP(A22,Deliverable!A:B,2,FALSE)</f>
        <v>其他項目
Other direct costs</v>
      </c>
      <c r="C22" s="112" t="str">
        <f>VLOOKUP(A22,Deliverable!A:C,3,FALSE)</f>
        <v>HD video (10-15 mins each) x 20</v>
      </c>
      <c r="D22" s="155">
        <f t="shared" si="0"/>
        <v>240000</v>
      </c>
      <c r="E22" s="112">
        <f t="shared" ca="1" si="1"/>
        <v>20</v>
      </c>
      <c r="F22" s="112">
        <f>VLOOKUP(A22,Deliverable!A:J,5,FALSE)</f>
        <v>1</v>
      </c>
      <c r="G22" s="156">
        <f t="shared" si="2"/>
        <v>0</v>
      </c>
      <c r="H22" s="159">
        <f t="shared" si="3"/>
        <v>0</v>
      </c>
      <c r="I22" s="159">
        <f>VLOOKUP(A22,Deliverable!A:J,10,FALSE)</f>
        <v>240000</v>
      </c>
      <c r="K22" s="159"/>
      <c r="L22" s="159"/>
      <c r="M22" s="159"/>
      <c r="N22" s="159"/>
      <c r="O22" s="159"/>
      <c r="P22" s="159"/>
      <c r="Q22" s="159"/>
      <c r="R22" s="159"/>
      <c r="S22" s="159"/>
      <c r="T22" s="159"/>
      <c r="U22" s="159"/>
      <c r="V22" s="159"/>
      <c r="W22" s="159"/>
      <c r="X22" s="159"/>
      <c r="Y22" s="159"/>
      <c r="Z22" s="159"/>
      <c r="AA22" s="159"/>
    </row>
    <row r="23" spans="1:27">
      <c r="A23" s="112">
        <v>14</v>
      </c>
      <c r="B23" s="154" t="str">
        <f>VLOOKUP(A23,Deliverable!A:B,2,FALSE)</f>
        <v>其他項目
Other direct costs</v>
      </c>
      <c r="C23" s="112" t="str">
        <f>VLOOKUP(A23,Deliverable!A:C,3,FALSE)</f>
        <v>Professional photo shooting x 60 photos</v>
      </c>
      <c r="D23" s="155">
        <f t="shared" si="0"/>
        <v>50000</v>
      </c>
      <c r="E23" s="112">
        <f t="shared" ca="1" si="1"/>
        <v>50</v>
      </c>
      <c r="F23" s="112">
        <f>VLOOKUP(A23,Deliverable!A:J,5,FALSE)</f>
        <v>1</v>
      </c>
      <c r="G23" s="156">
        <f t="shared" si="2"/>
        <v>0</v>
      </c>
      <c r="H23" s="159">
        <f t="shared" si="3"/>
        <v>0</v>
      </c>
      <c r="I23" s="159">
        <f>VLOOKUP(A23,Deliverable!A:J,10,FALSE)</f>
        <v>50000</v>
      </c>
      <c r="K23" s="159"/>
      <c r="L23" s="159"/>
      <c r="M23" s="159"/>
      <c r="N23" s="159"/>
      <c r="O23" s="159"/>
      <c r="P23" s="159"/>
      <c r="Q23" s="159"/>
      <c r="R23" s="159"/>
      <c r="S23" s="159"/>
      <c r="T23" s="159"/>
      <c r="U23" s="159"/>
      <c r="V23" s="159"/>
      <c r="W23" s="159"/>
      <c r="X23" s="159"/>
      <c r="Y23" s="159"/>
      <c r="Z23" s="159"/>
      <c r="AA23" s="159"/>
    </row>
    <row r="24" spans="1:27">
      <c r="A24" s="112">
        <v>15</v>
      </c>
      <c r="B24" s="154" t="str">
        <f>VLOOKUP(A24,Deliverable!A:B,2,FALSE)</f>
        <v>其他項目
Other direct costs</v>
      </c>
      <c r="C24" s="112" t="str">
        <f>VLOOKUP(A24,Deliverable!A:C,3,FALSE)</f>
        <v>HD video (10-15 mins each) x 20</v>
      </c>
      <c r="D24" s="155">
        <f t="shared" si="0"/>
        <v>220000</v>
      </c>
      <c r="E24" s="112">
        <f t="shared" ca="1" si="1"/>
        <v>30</v>
      </c>
      <c r="F24" s="112">
        <f>VLOOKUP(A24,Deliverable!A:J,5,FALSE)</f>
        <v>1</v>
      </c>
      <c r="G24" s="156">
        <f t="shared" si="2"/>
        <v>0</v>
      </c>
      <c r="H24" s="159">
        <f t="shared" si="3"/>
        <v>0</v>
      </c>
      <c r="I24" s="159">
        <f>VLOOKUP(A24,Deliverable!A:J,10,FALSE)</f>
        <v>220000</v>
      </c>
      <c r="K24" s="159"/>
      <c r="L24" s="159"/>
      <c r="M24" s="159"/>
      <c r="N24" s="159"/>
      <c r="O24" s="159"/>
      <c r="P24" s="159"/>
      <c r="Q24" s="159"/>
      <c r="R24" s="159"/>
      <c r="S24" s="159"/>
      <c r="T24" s="159"/>
      <c r="U24" s="159"/>
      <c r="V24" s="159"/>
      <c r="W24" s="159"/>
      <c r="X24" s="159"/>
      <c r="Y24" s="159"/>
      <c r="Z24" s="159"/>
      <c r="AA24" s="159"/>
    </row>
    <row r="25" spans="1:27">
      <c r="A25" s="112">
        <v>16</v>
      </c>
      <c r="B25" s="154" t="str">
        <f>VLOOKUP(A25,Deliverable!A:B,2,FALSE)</f>
        <v>其他項目
Other direct costs</v>
      </c>
      <c r="C25" s="112" t="str">
        <f>VLOOKUP(A25,Deliverable!A:C,3,FALSE)</f>
        <v>Company Profile &amp; Marketing Material Design</v>
      </c>
      <c r="D25" s="155">
        <f t="shared" si="0"/>
        <v>50000</v>
      </c>
      <c r="E25" s="112">
        <f t="shared" ca="1" si="1"/>
        <v>60</v>
      </c>
      <c r="F25" s="112">
        <f>VLOOKUP(A25,Deliverable!A:J,5,FALSE)</f>
        <v>1</v>
      </c>
      <c r="G25" s="156">
        <f t="shared" si="2"/>
        <v>0</v>
      </c>
      <c r="H25" s="159">
        <f t="shared" si="3"/>
        <v>0</v>
      </c>
      <c r="I25" s="159">
        <f>VLOOKUP(A25,Deliverable!A:J,10,FALSE)</f>
        <v>50000</v>
      </c>
      <c r="K25" s="159"/>
      <c r="L25" s="159"/>
      <c r="M25" s="159"/>
      <c r="N25" s="159"/>
      <c r="O25" s="159"/>
      <c r="P25" s="159"/>
      <c r="Q25" s="159"/>
      <c r="R25" s="159"/>
      <c r="S25" s="159"/>
      <c r="T25" s="159"/>
      <c r="U25" s="159"/>
      <c r="V25" s="159"/>
      <c r="W25" s="159"/>
      <c r="X25" s="159"/>
      <c r="Y25" s="159"/>
      <c r="Z25" s="159"/>
      <c r="AA25" s="159"/>
    </row>
    <row r="26" spans="1:27">
      <c r="A26" s="112">
        <v>17</v>
      </c>
      <c r="B26" s="154" t="str">
        <f>VLOOKUP(A26,Deliverable!A:B,2,FALSE)</f>
        <v xml:space="preserve">外聘核數費用
External audit fee </v>
      </c>
      <c r="C26" s="112" t="str">
        <f>VLOOKUP(A26,Deliverable!A:C,3,FALSE)</f>
        <v>審計服務</v>
      </c>
      <c r="D26" s="155">
        <f t="shared" si="0"/>
        <v>10000</v>
      </c>
      <c r="E26" s="112">
        <f t="shared" ca="1" si="1"/>
        <v>0</v>
      </c>
      <c r="F26" s="112">
        <f>VLOOKUP(A26,Deliverable!A:J,5,FALSE)</f>
        <v>1</v>
      </c>
      <c r="G26" s="156">
        <f t="shared" si="2"/>
        <v>0</v>
      </c>
      <c r="H26" s="159">
        <f t="shared" si="3"/>
        <v>0</v>
      </c>
      <c r="I26" s="159">
        <f>VLOOKUP(A26,Deliverable!A:J,10,FALSE)</f>
        <v>10000</v>
      </c>
      <c r="K26" s="159"/>
      <c r="L26" s="159"/>
      <c r="M26" s="159"/>
      <c r="N26" s="159"/>
      <c r="O26" s="159"/>
      <c r="P26" s="159"/>
      <c r="Q26" s="159"/>
      <c r="R26" s="159"/>
      <c r="S26" s="159"/>
      <c r="T26" s="159"/>
      <c r="U26" s="159"/>
      <c r="V26" s="159"/>
      <c r="W26" s="159"/>
      <c r="X26" s="159"/>
      <c r="Y26" s="159"/>
      <c r="Z26" s="159"/>
      <c r="AA26" s="159"/>
    </row>
    <row r="27" spans="1:27">
      <c r="B27" s="154"/>
      <c r="D27" s="155"/>
      <c r="G27" s="156"/>
      <c r="K27" s="159"/>
      <c r="L27" s="159"/>
      <c r="M27" s="159"/>
      <c r="N27" s="159"/>
      <c r="O27" s="159"/>
      <c r="P27" s="159"/>
      <c r="Q27" s="159"/>
      <c r="R27" s="159"/>
      <c r="S27" s="159"/>
      <c r="T27" s="159"/>
      <c r="U27" s="159"/>
      <c r="V27" s="159"/>
      <c r="W27" s="159"/>
      <c r="X27" s="159"/>
      <c r="Y27" s="159"/>
      <c r="Z27" s="159"/>
      <c r="AA27" s="159"/>
    </row>
    <row r="28" spans="1:27">
      <c r="B28" s="154"/>
      <c r="D28" s="155"/>
      <c r="G28" s="156"/>
      <c r="K28" s="159"/>
      <c r="L28" s="159"/>
      <c r="M28" s="159"/>
      <c r="N28" s="159"/>
      <c r="O28" s="159"/>
      <c r="P28" s="159"/>
      <c r="Q28" s="159"/>
      <c r="R28" s="159"/>
      <c r="S28" s="159"/>
      <c r="T28" s="159"/>
      <c r="U28" s="159"/>
      <c r="V28" s="159"/>
      <c r="W28" s="159"/>
      <c r="X28" s="159"/>
      <c r="Y28" s="159"/>
      <c r="Z28" s="159"/>
      <c r="AA28" s="159"/>
    </row>
    <row r="29" spans="1:27">
      <c r="B29" s="154"/>
      <c r="D29" s="155"/>
      <c r="G29" s="156"/>
      <c r="K29" s="159"/>
      <c r="L29" s="159"/>
      <c r="M29" s="159"/>
      <c r="N29" s="159"/>
      <c r="O29" s="159"/>
      <c r="P29" s="159"/>
      <c r="Q29" s="159"/>
      <c r="R29" s="159"/>
      <c r="S29" s="159"/>
      <c r="T29" s="159"/>
      <c r="U29" s="159"/>
      <c r="V29" s="159"/>
      <c r="W29" s="159"/>
      <c r="X29" s="159"/>
      <c r="Y29" s="159"/>
      <c r="Z29" s="159"/>
      <c r="AA29" s="159"/>
    </row>
    <row r="30" spans="1:27">
      <c r="B30" s="154"/>
      <c r="D30" s="155"/>
      <c r="G30" s="156"/>
      <c r="K30" s="159"/>
      <c r="L30" s="159"/>
      <c r="M30" s="159"/>
      <c r="N30" s="159"/>
      <c r="O30" s="159"/>
      <c r="P30" s="159"/>
      <c r="Q30" s="159"/>
      <c r="R30" s="159"/>
      <c r="S30" s="159"/>
      <c r="T30" s="159"/>
      <c r="U30" s="159"/>
      <c r="V30" s="159"/>
      <c r="W30" s="159"/>
      <c r="X30" s="159"/>
      <c r="Y30" s="159"/>
      <c r="Z30" s="159"/>
      <c r="AA30" s="159"/>
    </row>
    <row r="31" spans="1:27">
      <c r="B31" s="154"/>
      <c r="D31" s="155"/>
      <c r="G31" s="156"/>
      <c r="K31" s="159"/>
      <c r="L31" s="159"/>
      <c r="M31" s="159"/>
      <c r="N31" s="159"/>
      <c r="O31" s="159"/>
      <c r="P31" s="159"/>
      <c r="Q31" s="159"/>
      <c r="R31" s="159"/>
      <c r="S31" s="159"/>
      <c r="T31" s="159"/>
      <c r="U31" s="159"/>
      <c r="V31" s="159"/>
      <c r="W31" s="159"/>
      <c r="X31" s="159"/>
      <c r="Y31" s="159"/>
      <c r="Z31" s="159"/>
      <c r="AA31" s="159"/>
    </row>
    <row r="32" spans="1:27">
      <c r="B32" s="154"/>
      <c r="D32" s="155"/>
      <c r="G32" s="156"/>
      <c r="K32" s="159"/>
      <c r="L32" s="159"/>
      <c r="M32" s="159"/>
      <c r="N32" s="159"/>
      <c r="O32" s="159"/>
      <c r="P32" s="159"/>
      <c r="Q32" s="159"/>
      <c r="R32" s="159"/>
      <c r="S32" s="159"/>
      <c r="T32" s="159"/>
      <c r="U32" s="159"/>
      <c r="V32" s="159"/>
      <c r="W32" s="159"/>
      <c r="X32" s="159"/>
      <c r="Y32" s="159"/>
      <c r="Z32" s="159"/>
      <c r="AA32" s="159"/>
    </row>
    <row r="33" spans="2:28" ht="12.75" thickBot="1">
      <c r="B33" s="154"/>
      <c r="E33" s="157">
        <f ca="1">SUM(E10:E32)</f>
        <v>0</v>
      </c>
      <c r="F33" s="157"/>
      <c r="G33" s="157"/>
      <c r="H33" s="160">
        <f>SUM(H10:H32)</f>
        <v>0</v>
      </c>
      <c r="I33" s="160">
        <f>SUM(I10:I32)</f>
        <v>1258000</v>
      </c>
      <c r="J33" s="157"/>
      <c r="K33" s="160">
        <f>SUM(K10:K32)</f>
        <v>0</v>
      </c>
      <c r="L33" s="160"/>
      <c r="M33" s="160">
        <f t="shared" ref="M33" si="4">SUM(M10:M32)</f>
        <v>0</v>
      </c>
      <c r="N33" s="160"/>
      <c r="O33" s="160">
        <f t="shared" ref="O33" si="5">SUM(O10:O32)</f>
        <v>0</v>
      </c>
      <c r="P33" s="160"/>
      <c r="Q33" s="160">
        <f t="shared" ref="Q33" si="6">SUM(Q10:Q32)</f>
        <v>0</v>
      </c>
      <c r="R33" s="160"/>
      <c r="S33" s="160">
        <f t="shared" ref="S33" si="7">SUM(S10:S32)</f>
        <v>0</v>
      </c>
      <c r="T33" s="160"/>
      <c r="U33" s="160">
        <f t="shared" ref="U33" si="8">SUM(U10:U32)</f>
        <v>0</v>
      </c>
      <c r="V33" s="160"/>
      <c r="W33" s="160">
        <f t="shared" ref="W33" si="9">SUM(W10:W32)</f>
        <v>0</v>
      </c>
      <c r="X33" s="160"/>
      <c r="Y33" s="160">
        <f t="shared" ref="Y33" si="10">SUM(Y10:Y32)</f>
        <v>0</v>
      </c>
      <c r="Z33" s="160"/>
      <c r="AA33" s="160">
        <f t="shared" ref="AA33" si="11">SUM(AA10:AA32)</f>
        <v>0</v>
      </c>
      <c r="AB33" s="160"/>
    </row>
    <row r="34" spans="2:28" ht="12.75" thickTop="1"/>
  </sheetData>
  <mergeCells count="1">
    <mergeCell ref="J1:AA1"/>
  </mergeCells>
  <phoneticPr fontId="29" type="noConversion"/>
  <conditionalFormatting sqref="G1:G9">
    <cfRule type="dataBar" priority="3">
      <dataBar>
        <cfvo type="percent" val="0"/>
        <cfvo type="percent" val="100"/>
        <color rgb="FF00B050"/>
      </dataBar>
      <extLst>
        <ext xmlns:x14="http://schemas.microsoft.com/office/spreadsheetml/2009/9/main" uri="{B025F937-C7B1-47D3-B67F-A62EFF666E3E}">
          <x14:id>{0D0D55B9-8BFA-4F2A-9ECF-42E3369DED8B}</x14:id>
        </ext>
      </extLst>
    </cfRule>
  </conditionalFormatting>
  <conditionalFormatting sqref="G33">
    <cfRule type="dataBar" priority="2">
      <dataBar>
        <cfvo type="percent" val="0"/>
        <cfvo type="percent" val="100"/>
        <color rgb="FF00B050"/>
      </dataBar>
      <extLst>
        <ext xmlns:x14="http://schemas.microsoft.com/office/spreadsheetml/2009/9/main" uri="{B025F937-C7B1-47D3-B67F-A62EFF666E3E}">
          <x14:id>{D489B1A0-1220-449F-AA67-0130D190F8F9}</x14:id>
        </ext>
      </extLst>
    </cfRule>
  </conditionalFormatting>
  <conditionalFormatting sqref="G10:G32">
    <cfRule type="dataBar" priority="1">
      <dataBar>
        <cfvo type="min"/>
        <cfvo type="max"/>
        <color rgb="FF63C384"/>
      </dataBar>
      <extLst>
        <ext xmlns:x14="http://schemas.microsoft.com/office/spreadsheetml/2009/9/main" uri="{B025F937-C7B1-47D3-B67F-A62EFF666E3E}">
          <x14:id>{539E9D7D-A82C-4A3A-BDE5-7E77B4082D0D}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D0D55B9-8BFA-4F2A-9ECF-42E3369DED8B}">
            <x14:dataBar minLength="0" maxLength="100" gradient="0">
              <x14:cfvo type="percent">
                <xm:f>0</xm:f>
              </x14:cfvo>
              <x14:cfvo type="percent">
                <xm:f>100</xm:f>
              </x14:cfvo>
              <x14:negativeFillColor rgb="FFFF0000"/>
              <x14:axisColor rgb="FF000000"/>
            </x14:dataBar>
          </x14:cfRule>
          <xm:sqref>G1:G9</xm:sqref>
        </x14:conditionalFormatting>
        <x14:conditionalFormatting xmlns:xm="http://schemas.microsoft.com/office/excel/2006/main">
          <x14:cfRule type="dataBar" id="{D489B1A0-1220-449F-AA67-0130D190F8F9}">
            <x14:dataBar minLength="0" maxLength="100" gradient="0">
              <x14:cfvo type="percent">
                <xm:f>0</xm:f>
              </x14:cfvo>
              <x14:cfvo type="percent">
                <xm:f>100</xm:f>
              </x14:cfvo>
              <x14:negativeFillColor rgb="FFFF0000"/>
              <x14:axisColor rgb="FF000000"/>
            </x14:dataBar>
          </x14:cfRule>
          <xm:sqref>G33</xm:sqref>
        </x14:conditionalFormatting>
        <x14:conditionalFormatting xmlns:xm="http://schemas.microsoft.com/office/excel/2006/main">
          <x14:cfRule type="dataBar" id="{539E9D7D-A82C-4A3A-BDE5-7E77B4082D0D}">
            <x14:dataBar minLength="0" maxLength="100" border="1" negativeBarBorderColorSameAsPositive="0">
              <x14:cfvo type="autoMin"/>
              <x14:cfvo type="autoMax"/>
              <x14:borderColor rgb="FF63C384"/>
              <x14:negativeFillColor rgb="FFFF0000"/>
              <x14:negativeBorderColor rgb="FFFF0000"/>
              <x14:axisColor rgb="FF000000"/>
            </x14:dataBar>
          </x14:cfRule>
          <xm:sqref>G10:G32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30E85-CE9D-415E-ACDC-53789093DF19}">
  <sheetPr codeName="Sheet14">
    <tabColor rgb="FFFF33CC"/>
  </sheetPr>
  <dimension ref="A1:L30"/>
  <sheetViews>
    <sheetView workbookViewId="0">
      <selection activeCell="M14" sqref="M14"/>
    </sheetView>
  </sheetViews>
  <sheetFormatPr defaultRowHeight="15"/>
  <cols>
    <col min="2" max="2" width="13" customWidth="1"/>
    <col min="3" max="3" width="10" customWidth="1"/>
    <col min="4" max="4" width="17.140625" customWidth="1"/>
    <col min="5" max="5" width="17.140625" style="68" customWidth="1"/>
    <col min="6" max="6" width="11.28515625" customWidth="1"/>
    <col min="7" max="8" width="11.85546875" customWidth="1"/>
    <col min="9" max="9" width="12.140625" customWidth="1"/>
    <col min="11" max="11" width="20.28515625" customWidth="1"/>
    <col min="12" max="12" width="40" customWidth="1"/>
  </cols>
  <sheetData>
    <row r="1" spans="1:12" ht="15.25">
      <c r="A1" s="108" t="s">
        <v>162</v>
      </c>
      <c r="B1" s="108" t="s">
        <v>170</v>
      </c>
      <c r="C1" s="108" t="s">
        <v>165</v>
      </c>
      <c r="D1" s="108" t="s">
        <v>167</v>
      </c>
      <c r="E1" s="113" t="s">
        <v>168</v>
      </c>
      <c r="F1" s="108" t="s">
        <v>171</v>
      </c>
      <c r="G1" s="108" t="s">
        <v>163</v>
      </c>
      <c r="H1" s="108" t="s">
        <v>518</v>
      </c>
      <c r="I1" s="109" t="s">
        <v>366</v>
      </c>
      <c r="K1" s="201" t="s">
        <v>317</v>
      </c>
      <c r="L1" s="202" t="s">
        <v>325</v>
      </c>
    </row>
    <row r="2" spans="1:12" ht="15.25">
      <c r="A2" s="109">
        <v>1</v>
      </c>
      <c r="B2" s="161" t="s">
        <v>172</v>
      </c>
      <c r="C2" s="162" t="s">
        <v>173</v>
      </c>
      <c r="D2" s="163">
        <v>44803</v>
      </c>
      <c r="E2" s="163">
        <v>44811</v>
      </c>
      <c r="F2" s="162">
        <v>32900</v>
      </c>
      <c r="G2" s="161" t="s">
        <v>174</v>
      </c>
      <c r="H2" s="161"/>
      <c r="I2" s="161"/>
      <c r="K2" s="203" t="s">
        <v>318</v>
      </c>
      <c r="L2" s="204" t="s">
        <v>326</v>
      </c>
    </row>
    <row r="3" spans="1:12" ht="15.25">
      <c r="A3" s="109">
        <v>2</v>
      </c>
      <c r="B3" s="161" t="s">
        <v>172</v>
      </c>
      <c r="C3" s="162" t="s">
        <v>175</v>
      </c>
      <c r="D3" s="163">
        <v>44803</v>
      </c>
      <c r="E3" s="163">
        <v>44811</v>
      </c>
      <c r="F3" s="162">
        <v>50000</v>
      </c>
      <c r="G3" s="161" t="s">
        <v>176</v>
      </c>
      <c r="H3" s="161"/>
      <c r="I3" s="161"/>
      <c r="K3" s="203" t="s">
        <v>319</v>
      </c>
      <c r="L3" s="204" t="s">
        <v>328</v>
      </c>
    </row>
    <row r="4" spans="1:12" ht="15.25">
      <c r="A4" s="109">
        <v>3</v>
      </c>
      <c r="B4" s="161" t="s">
        <v>177</v>
      </c>
      <c r="C4" s="162" t="s">
        <v>178</v>
      </c>
      <c r="D4" s="163">
        <v>44803</v>
      </c>
      <c r="E4" s="163">
        <v>44811</v>
      </c>
      <c r="F4" s="162">
        <v>44000</v>
      </c>
      <c r="G4" s="161" t="s">
        <v>179</v>
      </c>
      <c r="H4" s="161"/>
      <c r="I4" s="161"/>
      <c r="K4" s="203" t="s">
        <v>320</v>
      </c>
      <c r="L4" s="204" t="s">
        <v>327</v>
      </c>
    </row>
    <row r="5" spans="1:12" ht="15.25">
      <c r="A5" s="109">
        <v>4</v>
      </c>
      <c r="B5" s="161" t="s">
        <v>172</v>
      </c>
      <c r="C5" s="162" t="s">
        <v>180</v>
      </c>
      <c r="D5" s="163">
        <v>44847</v>
      </c>
      <c r="E5" s="163">
        <v>44860</v>
      </c>
      <c r="F5" s="162">
        <v>39100</v>
      </c>
      <c r="G5" s="161" t="s">
        <v>181</v>
      </c>
      <c r="H5" s="161"/>
      <c r="I5" s="161"/>
      <c r="K5" s="203" t="s">
        <v>113</v>
      </c>
      <c r="L5" s="205" t="s">
        <v>329</v>
      </c>
    </row>
    <row r="6" spans="1:12" ht="15.25">
      <c r="A6" s="109">
        <v>5</v>
      </c>
      <c r="B6" s="161" t="s">
        <v>177</v>
      </c>
      <c r="C6" s="162" t="s">
        <v>182</v>
      </c>
      <c r="D6" s="163">
        <v>44847</v>
      </c>
      <c r="E6" s="163">
        <v>44860</v>
      </c>
      <c r="F6" s="162">
        <v>34000</v>
      </c>
      <c r="G6" s="161" t="s">
        <v>183</v>
      </c>
      <c r="H6" s="161"/>
      <c r="I6" s="161"/>
      <c r="K6" s="203" t="s">
        <v>321</v>
      </c>
      <c r="L6" s="204" t="s">
        <v>330</v>
      </c>
    </row>
    <row r="7" spans="1:12" ht="15.25">
      <c r="A7" s="109">
        <v>6</v>
      </c>
      <c r="B7" s="161" t="s">
        <v>172</v>
      </c>
      <c r="C7" s="162" t="s">
        <v>184</v>
      </c>
      <c r="D7" s="163">
        <v>44936</v>
      </c>
      <c r="E7" s="163">
        <v>44970</v>
      </c>
      <c r="F7" s="162">
        <v>70000</v>
      </c>
      <c r="G7" s="161" t="s">
        <v>185</v>
      </c>
      <c r="H7" s="161"/>
      <c r="I7" s="161"/>
      <c r="K7" s="203" t="s">
        <v>322</v>
      </c>
      <c r="L7" s="206">
        <v>45427</v>
      </c>
    </row>
    <row r="8" spans="1:12" ht="15.25">
      <c r="A8" s="109">
        <v>7</v>
      </c>
      <c r="B8" s="161" t="s">
        <v>177</v>
      </c>
      <c r="C8" s="162" t="s">
        <v>186</v>
      </c>
      <c r="D8" s="163">
        <v>44936</v>
      </c>
      <c r="E8" s="163">
        <v>44970</v>
      </c>
      <c r="F8" s="162">
        <v>44600</v>
      </c>
      <c r="G8" s="161" t="s">
        <v>187</v>
      </c>
      <c r="H8" s="161"/>
      <c r="I8" s="161"/>
      <c r="K8" s="203" t="s">
        <v>323</v>
      </c>
      <c r="L8" s="206">
        <v>45802</v>
      </c>
    </row>
    <row r="9" spans="1:12" ht="16" thickBot="1">
      <c r="A9" s="109">
        <v>8</v>
      </c>
      <c r="B9" s="161" t="s">
        <v>188</v>
      </c>
      <c r="C9" s="162" t="s">
        <v>189</v>
      </c>
      <c r="D9" s="163">
        <v>44936</v>
      </c>
      <c r="E9" s="163">
        <v>44970</v>
      </c>
      <c r="F9" s="162">
        <v>25000</v>
      </c>
      <c r="G9" s="161" t="s">
        <v>190</v>
      </c>
      <c r="H9" s="161"/>
      <c r="I9" s="161"/>
      <c r="K9" s="207" t="s">
        <v>324</v>
      </c>
      <c r="L9" s="208"/>
    </row>
    <row r="10" spans="1:12">
      <c r="A10" s="109">
        <v>9</v>
      </c>
      <c r="B10" s="161" t="s">
        <v>172</v>
      </c>
      <c r="C10" s="162" t="s">
        <v>191</v>
      </c>
      <c r="D10" s="163">
        <v>44936</v>
      </c>
      <c r="E10" s="163">
        <v>44970</v>
      </c>
      <c r="F10" s="162">
        <v>38000</v>
      </c>
      <c r="G10" s="161" t="s">
        <v>192</v>
      </c>
      <c r="H10" s="161"/>
      <c r="I10" s="161"/>
    </row>
    <row r="11" spans="1:12">
      <c r="A11" s="109">
        <v>10</v>
      </c>
      <c r="B11" s="161" t="s">
        <v>177</v>
      </c>
      <c r="C11" s="162" t="s">
        <v>193</v>
      </c>
      <c r="D11" s="163">
        <v>44936</v>
      </c>
      <c r="E11" s="163">
        <v>44970</v>
      </c>
      <c r="F11" s="162">
        <v>41400</v>
      </c>
      <c r="G11" s="161" t="s">
        <v>194</v>
      </c>
      <c r="H11" s="161"/>
      <c r="I11" s="161"/>
    </row>
    <row r="12" spans="1:12">
      <c r="A12" s="109">
        <v>11</v>
      </c>
      <c r="B12" s="161" t="s">
        <v>188</v>
      </c>
      <c r="C12" s="162" t="s">
        <v>195</v>
      </c>
      <c r="D12" s="163">
        <v>44936</v>
      </c>
      <c r="E12" s="163">
        <v>44970</v>
      </c>
      <c r="F12" s="162">
        <v>15000</v>
      </c>
      <c r="G12" s="161" t="s">
        <v>196</v>
      </c>
      <c r="H12" s="161"/>
      <c r="I12" s="161"/>
    </row>
    <row r="13" spans="1:12">
      <c r="A13" s="109">
        <v>12</v>
      </c>
      <c r="B13" s="161" t="s">
        <v>177</v>
      </c>
      <c r="C13" s="162" t="s">
        <v>197</v>
      </c>
      <c r="D13" s="163">
        <v>44936</v>
      </c>
      <c r="E13" s="163">
        <v>44970</v>
      </c>
      <c r="F13" s="162">
        <v>32000</v>
      </c>
      <c r="G13" s="161" t="s">
        <v>198</v>
      </c>
      <c r="H13" s="161"/>
      <c r="I13" s="161"/>
    </row>
    <row r="14" spans="1:12">
      <c r="A14" s="109">
        <v>13</v>
      </c>
      <c r="B14" s="161" t="s">
        <v>188</v>
      </c>
      <c r="C14" s="162" t="s">
        <v>199</v>
      </c>
      <c r="D14" s="163">
        <v>44936</v>
      </c>
      <c r="E14" s="163">
        <v>44970</v>
      </c>
      <c r="F14" s="162">
        <v>20000</v>
      </c>
      <c r="G14" s="161" t="s">
        <v>200</v>
      </c>
      <c r="H14" s="161"/>
      <c r="I14" s="161"/>
    </row>
    <row r="15" spans="1:12">
      <c r="A15" s="109">
        <v>14</v>
      </c>
      <c r="B15" s="161" t="s">
        <v>172</v>
      </c>
      <c r="C15" s="162" t="s">
        <v>201</v>
      </c>
      <c r="D15" s="163">
        <v>44936</v>
      </c>
      <c r="E15" s="163">
        <v>44970</v>
      </c>
      <c r="F15" s="162">
        <v>14000</v>
      </c>
      <c r="G15" s="161" t="s">
        <v>202</v>
      </c>
      <c r="H15" s="161"/>
      <c r="I15" s="161"/>
    </row>
    <row r="16" spans="1:12">
      <c r="A16" s="109">
        <v>15</v>
      </c>
      <c r="B16" s="161" t="s">
        <v>177</v>
      </c>
      <c r="C16" s="162" t="s">
        <v>203</v>
      </c>
      <c r="D16" s="163">
        <v>44936</v>
      </c>
      <c r="E16" s="163">
        <v>44970</v>
      </c>
      <c r="F16" s="162">
        <v>20000</v>
      </c>
      <c r="G16" s="161" t="s">
        <v>204</v>
      </c>
      <c r="H16" s="161"/>
      <c r="I16" s="161"/>
    </row>
    <row r="17" spans="1:9">
      <c r="A17" s="109">
        <v>16</v>
      </c>
      <c r="B17" s="161" t="s">
        <v>172</v>
      </c>
      <c r="C17" s="162" t="s">
        <v>205</v>
      </c>
      <c r="D17" s="163">
        <v>44985</v>
      </c>
      <c r="E17" s="163">
        <v>44991</v>
      </c>
      <c r="F17" s="162">
        <v>20000</v>
      </c>
      <c r="G17" s="161" t="s">
        <v>206</v>
      </c>
      <c r="H17" s="161"/>
      <c r="I17" s="161"/>
    </row>
    <row r="18" spans="1:9">
      <c r="A18" s="109">
        <v>17</v>
      </c>
      <c r="B18" s="161" t="s">
        <v>177</v>
      </c>
      <c r="C18" s="162" t="s">
        <v>207</v>
      </c>
      <c r="D18" s="163">
        <v>44985</v>
      </c>
      <c r="E18" s="163">
        <v>44991</v>
      </c>
      <c r="F18" s="162">
        <v>56000</v>
      </c>
      <c r="G18" s="161" t="s">
        <v>208</v>
      </c>
      <c r="H18" s="161"/>
      <c r="I18" s="161"/>
    </row>
    <row r="19" spans="1:9">
      <c r="A19" s="109">
        <v>18</v>
      </c>
      <c r="B19" s="161" t="s">
        <v>188</v>
      </c>
      <c r="C19" s="162" t="s">
        <v>209</v>
      </c>
      <c r="D19" s="163">
        <v>44985</v>
      </c>
      <c r="E19" s="163">
        <v>44991</v>
      </c>
      <c r="F19" s="162">
        <v>59000</v>
      </c>
      <c r="G19" s="161" t="s">
        <v>210</v>
      </c>
      <c r="H19" s="161"/>
      <c r="I19" s="161"/>
    </row>
    <row r="20" spans="1:9">
      <c r="A20" s="109">
        <v>19</v>
      </c>
      <c r="B20" s="161" t="s">
        <v>172</v>
      </c>
      <c r="C20" s="162" t="s">
        <v>211</v>
      </c>
      <c r="D20" s="163">
        <v>44992</v>
      </c>
      <c r="E20" s="163">
        <v>45084</v>
      </c>
      <c r="F20" s="162">
        <v>12000</v>
      </c>
      <c r="G20" s="161" t="s">
        <v>212</v>
      </c>
      <c r="H20" s="161"/>
      <c r="I20" s="161"/>
    </row>
    <row r="21" spans="1:9">
      <c r="A21" s="109">
        <v>20</v>
      </c>
      <c r="B21" s="161" t="s">
        <v>177</v>
      </c>
      <c r="C21" s="162" t="s">
        <v>213</v>
      </c>
      <c r="D21" s="163">
        <v>44992</v>
      </c>
      <c r="E21" s="163">
        <v>45084</v>
      </c>
      <c r="F21" s="162">
        <v>68000</v>
      </c>
      <c r="G21" s="161" t="s">
        <v>214</v>
      </c>
      <c r="H21" s="161"/>
      <c r="I21" s="161"/>
    </row>
    <row r="22" spans="1:9">
      <c r="A22" s="109">
        <v>21</v>
      </c>
      <c r="B22" s="161" t="s">
        <v>188</v>
      </c>
      <c r="C22" s="162" t="s">
        <v>215</v>
      </c>
      <c r="D22" s="163">
        <v>44992</v>
      </c>
      <c r="E22" s="163">
        <v>45084</v>
      </c>
      <c r="F22" s="162">
        <v>41500</v>
      </c>
      <c r="G22" s="161" t="s">
        <v>216</v>
      </c>
      <c r="H22" s="161"/>
      <c r="I22" s="161"/>
    </row>
    <row r="23" spans="1:9">
      <c r="A23" s="109">
        <v>22</v>
      </c>
      <c r="B23" s="161" t="s">
        <v>172</v>
      </c>
      <c r="C23" s="162" t="s">
        <v>217</v>
      </c>
      <c r="D23" s="163">
        <v>45009</v>
      </c>
      <c r="E23" s="163">
        <v>45107</v>
      </c>
      <c r="F23" s="162">
        <v>6500</v>
      </c>
      <c r="G23" s="161" t="s">
        <v>218</v>
      </c>
      <c r="H23" s="161"/>
      <c r="I23" s="161"/>
    </row>
    <row r="24" spans="1:9">
      <c r="A24" s="109">
        <v>23</v>
      </c>
      <c r="B24" s="161" t="s">
        <v>177</v>
      </c>
      <c r="C24" s="162" t="s">
        <v>219</v>
      </c>
      <c r="D24" s="163">
        <v>45009</v>
      </c>
      <c r="E24" s="163">
        <v>45107</v>
      </c>
      <c r="F24" s="162">
        <v>96000</v>
      </c>
      <c r="G24" s="161" t="s">
        <v>220</v>
      </c>
      <c r="H24" s="161"/>
      <c r="I24" s="161"/>
    </row>
    <row r="25" spans="1:9">
      <c r="A25" s="109">
        <v>24</v>
      </c>
      <c r="B25" s="161" t="s">
        <v>188</v>
      </c>
      <c r="C25" s="162" t="s">
        <v>221</v>
      </c>
      <c r="D25" s="163">
        <v>45009</v>
      </c>
      <c r="E25" s="163">
        <v>45107</v>
      </c>
      <c r="F25" s="162">
        <v>41500</v>
      </c>
      <c r="G25" s="161" t="s">
        <v>222</v>
      </c>
      <c r="H25" s="161"/>
      <c r="I25" s="161"/>
    </row>
    <row r="26" spans="1:9">
      <c r="A26" s="109">
        <v>25</v>
      </c>
      <c r="B26" s="161" t="s">
        <v>172</v>
      </c>
      <c r="C26" s="162" t="s">
        <v>223</v>
      </c>
      <c r="D26" s="163">
        <v>45033</v>
      </c>
      <c r="E26" s="163">
        <v>45107</v>
      </c>
      <c r="F26" s="164">
        <v>1500</v>
      </c>
      <c r="G26" s="161" t="s">
        <v>224</v>
      </c>
      <c r="H26" s="161"/>
      <c r="I26" s="161"/>
    </row>
    <row r="27" spans="1:9">
      <c r="A27" s="109">
        <v>26</v>
      </c>
      <c r="B27" s="161" t="s">
        <v>177</v>
      </c>
      <c r="C27" s="162" t="s">
        <v>225</v>
      </c>
      <c r="D27" s="163">
        <v>45033</v>
      </c>
      <c r="E27" s="163">
        <v>45107</v>
      </c>
      <c r="F27" s="164">
        <v>64000</v>
      </c>
      <c r="G27" s="161" t="s">
        <v>226</v>
      </c>
      <c r="H27" s="161"/>
      <c r="I27" s="161"/>
    </row>
    <row r="28" spans="1:9">
      <c r="A28" s="109"/>
      <c r="B28" s="109"/>
      <c r="C28" s="111"/>
      <c r="D28" s="110"/>
      <c r="E28" s="165"/>
      <c r="F28" s="111"/>
      <c r="G28" s="109"/>
      <c r="H28" s="109"/>
    </row>
    <row r="30" spans="1:9" ht="15.25">
      <c r="F30" s="211">
        <f>SUM(F2:F29)</f>
        <v>986000</v>
      </c>
    </row>
  </sheetData>
  <phoneticPr fontId="29" type="noConversion"/>
  <hyperlinks>
    <hyperlink ref="L5" r:id="rId1" xr:uid="{82BFC3E0-482A-4CF1-A1C0-4AE6C806BC32}"/>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8501E-04CF-4C68-BD59-59BFCAF252B2}">
  <sheetPr codeName="Sheet7"/>
  <dimension ref="A1:X29"/>
  <sheetViews>
    <sheetView workbookViewId="0"/>
  </sheetViews>
  <sheetFormatPr defaultColWidth="8.7109375" defaultRowHeight="14.75"/>
  <cols>
    <col min="1" max="1" width="20.5703125" style="211" customWidth="1"/>
    <col min="2" max="2" width="9" style="217" customWidth="1"/>
    <col min="3" max="3" width="28.85546875" style="97" customWidth="1"/>
    <col min="4" max="4" width="29.140625" style="211" customWidth="1"/>
    <col min="5" max="5" width="12.42578125" style="218" customWidth="1"/>
    <col min="6" max="7" width="8.7109375" style="218"/>
    <col min="8" max="8" width="11.85546875" style="211" customWidth="1"/>
    <col min="9" max="10" width="8.7109375" style="211"/>
    <col min="11" max="11" width="10.5703125" style="211" customWidth="1"/>
    <col min="12" max="12" width="8.7109375" style="211"/>
    <col min="13" max="13" width="9.7109375" style="253" bestFit="1" customWidth="1"/>
    <col min="14" max="15" width="8.7109375" style="211"/>
    <col min="16" max="16" width="9.5703125" style="211" customWidth="1"/>
    <col min="17" max="17" width="8.7109375" style="256"/>
    <col min="18" max="18" width="3.85546875" style="211" customWidth="1"/>
    <col min="19" max="16384" width="8.7109375" style="211"/>
  </cols>
  <sheetData>
    <row r="1" spans="1:24" ht="29.5">
      <c r="A1" s="237" t="s">
        <v>467</v>
      </c>
      <c r="C1" s="216" t="s">
        <v>282</v>
      </c>
      <c r="D1" s="212" t="s">
        <v>283</v>
      </c>
      <c r="E1" s="217" t="s">
        <v>284</v>
      </c>
      <c r="F1" s="217" t="s">
        <v>285</v>
      </c>
      <c r="G1" s="217" t="s">
        <v>286</v>
      </c>
      <c r="H1" s="213" t="s">
        <v>287</v>
      </c>
      <c r="I1" s="212" t="s">
        <v>288</v>
      </c>
      <c r="J1" s="212" t="s">
        <v>289</v>
      </c>
      <c r="K1" s="212" t="s">
        <v>290</v>
      </c>
      <c r="L1" s="212" t="s">
        <v>291</v>
      </c>
      <c r="M1" s="252" t="s">
        <v>465</v>
      </c>
      <c r="N1" s="245" t="s">
        <v>466</v>
      </c>
      <c r="O1" s="245" t="s">
        <v>520</v>
      </c>
      <c r="P1" s="245" t="s">
        <v>521</v>
      </c>
      <c r="Q1" s="254" t="s">
        <v>531</v>
      </c>
      <c r="T1" s="250"/>
      <c r="U1" s="250" t="s">
        <v>522</v>
      </c>
      <c r="V1" s="250" t="s">
        <v>523</v>
      </c>
      <c r="W1" s="250" t="s">
        <v>524</v>
      </c>
      <c r="X1" s="250" t="s">
        <v>525</v>
      </c>
    </row>
    <row r="2" spans="1:24">
      <c r="C2" s="216" t="s">
        <v>292</v>
      </c>
      <c r="D2" s="212"/>
      <c r="E2" s="217"/>
      <c r="F2" s="217"/>
      <c r="G2" s="217"/>
      <c r="H2" s="214">
        <v>44761</v>
      </c>
      <c r="I2" s="214">
        <v>44715</v>
      </c>
      <c r="J2" s="214">
        <v>44716</v>
      </c>
      <c r="K2" s="214">
        <v>44728</v>
      </c>
      <c r="L2" s="214">
        <v>44719</v>
      </c>
      <c r="M2" s="251">
        <f>I2</f>
        <v>44715</v>
      </c>
      <c r="N2" s="251">
        <f>J2</f>
        <v>44716</v>
      </c>
      <c r="O2" s="251">
        <f>K2</f>
        <v>44728</v>
      </c>
      <c r="P2" s="251">
        <f>L2</f>
        <v>44719</v>
      </c>
      <c r="Q2" s="255"/>
    </row>
    <row r="3" spans="1:24">
      <c r="C3" s="216" t="s">
        <v>293</v>
      </c>
      <c r="D3" s="212"/>
      <c r="E3" s="217"/>
      <c r="F3" s="217"/>
      <c r="G3" s="219" t="str">
        <f>IF(AND(H3&gt;=H2,H3&gt;=I2,H3&gt;=J2,H3&gt;=K2,H3&gt;=L2),"OK","NOT OK")</f>
        <v>OK</v>
      </c>
      <c r="H3" s="214">
        <v>44772</v>
      </c>
      <c r="I3" s="212"/>
      <c r="J3" s="212"/>
      <c r="K3" s="212"/>
      <c r="L3" s="212"/>
    </row>
    <row r="4" spans="1:24">
      <c r="B4" s="217" t="s">
        <v>169</v>
      </c>
      <c r="C4" s="216" t="s">
        <v>294</v>
      </c>
      <c r="D4" s="212"/>
      <c r="E4" s="217"/>
      <c r="F4" s="217"/>
      <c r="G4" s="219" t="str">
        <f>IF(AND(H4&gt;=H3),"OK","NOT OK")</f>
        <v>OK</v>
      </c>
      <c r="H4" s="214">
        <v>44803</v>
      </c>
      <c r="I4" s="212"/>
      <c r="J4" s="212"/>
      <c r="K4" s="212"/>
      <c r="L4" s="212"/>
    </row>
    <row r="5" spans="1:24" ht="36" customHeight="1">
      <c r="B5" s="217">
        <v>1</v>
      </c>
      <c r="C5" s="215" t="str">
        <f>VLOOKUP(B5,Deliverable!A:B,2,FALSE)</f>
        <v>增設新業務單位的相關開支
Expenditure relating to setting up 
of a new business entity</v>
      </c>
      <c r="D5" s="215" t="str">
        <f>VLOOKUP(B5,Deliverable!A:C,3,FALSE)</f>
        <v>Company Registration</v>
      </c>
      <c r="E5" s="217">
        <f>VLOOKUP(B5,Deliverable!A:J,10,FALSE)</f>
        <v>18000</v>
      </c>
      <c r="F5" s="217">
        <v>1</v>
      </c>
      <c r="G5" s="217" t="str">
        <f ca="1">IF(H5=MIN(H5:L5),"OK","NOT OK")</f>
        <v>OK</v>
      </c>
      <c r="H5" s="212">
        <v>40000</v>
      </c>
      <c r="I5" s="212">
        <f ca="1">ROUNDUP($H5*U5,-3)</f>
        <v>60000</v>
      </c>
      <c r="J5" s="212">
        <f t="shared" ref="J5:J8" ca="1" si="0">ROUNDUP($H5*V5,-3)</f>
        <v>54000</v>
      </c>
      <c r="K5" s="212">
        <f t="shared" ref="K5:K8" ca="1" si="1">ROUNDUP($H5*W5,-3)</f>
        <v>58000</v>
      </c>
      <c r="L5" s="212">
        <f t="shared" ref="L5:L8" ca="1" si="2">ROUNDUP($H5*X5,-3)</f>
        <v>52000</v>
      </c>
      <c r="M5" s="253" cm="1">
        <f t="array" aca="1" ref="M5" ca="1">ROUNDUP(
    I5 / VLOOKUP(
        RIGHT(INDEX(M:M, ROW()-4-$R5), 5),
        Inputs!$D$3:$E$10, 2, FALSE
    ),
-3)</f>
        <v>55000</v>
      </c>
      <c r="N5" s="253" cm="1">
        <f t="array" aca="1" ref="N5" ca="1">ROUNDUP(
    J5 / VLOOKUP(
        RIGHT(INDEX(N:N, ROW()-4-$R5), 5),
        Inputs!$D$3:$E$10, 2, FALSE
    ),
-3)</f>
        <v>7000</v>
      </c>
      <c r="O5" s="253" cm="1">
        <f t="array" aca="1" ref="O5" ca="1">ROUNDUP(
    K5 / VLOOKUP(
        RIGHT(INDEX(O:O, ROW()-4-$R5), 5),
        Inputs!$D$3:$E$10, 2, FALSE
    ),
-3)</f>
        <v>53000</v>
      </c>
      <c r="P5" s="253" cm="1">
        <f t="array" aca="1" ref="P5" ca="1">ROUNDUP(
    L5 / VLOOKUP(
        RIGHT(INDEX(P:P, ROW()-4-$R5), 5),
        Inputs!$D$3:$E$10, 2, FALSE
    ),
-3)</f>
        <v>9000</v>
      </c>
      <c r="Q5" s="253"/>
      <c r="R5" s="257" t="str" cm="1">
        <f t="array" aca="1" ref="R5" ca="1">IF(ISBLANK(INDIRECT(ADDRESS(ROW()-1, COLUMN()))), "0", R4+1)</f>
        <v>0</v>
      </c>
      <c r="U5" s="211">
        <f ca="1">RANDBETWEEN(110,160)/100</f>
        <v>1.49</v>
      </c>
      <c r="V5" s="211">
        <f t="shared" ref="V5:X9" ca="1" si="3">RANDBETWEEN(110,160)/100</f>
        <v>1.33</v>
      </c>
      <c r="W5" s="211">
        <f t="shared" ca="1" si="3"/>
        <v>1.43</v>
      </c>
      <c r="X5" s="211">
        <f t="shared" ca="1" si="3"/>
        <v>1.29</v>
      </c>
    </row>
    <row r="6" spans="1:24" ht="36.75">
      <c r="B6" s="217">
        <v>2</v>
      </c>
      <c r="C6" s="215" t="str">
        <f>VLOOKUP(B6,Deliverable!A:B,2,FALSE)</f>
        <v>增設新業務單位的相關開支
Expenditure relating to setting up 
of a new business entity</v>
      </c>
      <c r="D6" s="215" t="str">
        <f>VLOOKUP(B6,Deliverable!A:C,3,FALSE)</f>
        <v>Company Secretary Service</v>
      </c>
      <c r="E6" s="217">
        <f>VLOOKUP(B6,Deliverable!A:J,10,FALSE)</f>
        <v>12000</v>
      </c>
      <c r="F6" s="217">
        <v>1</v>
      </c>
      <c r="G6" s="217" t="str">
        <f t="shared" ref="G6:G9" ca="1" si="4">IF(H6=MIN(H6:L6),"OK","NOT OK")</f>
        <v>OK</v>
      </c>
      <c r="H6" s="212">
        <v>12500</v>
      </c>
      <c r="I6" s="212">
        <f t="shared" ref="I6:I8" ca="1" si="5">ROUNDUP($H6*U6,-3)</f>
        <v>20000</v>
      </c>
      <c r="J6" s="212">
        <f t="shared" ca="1" si="0"/>
        <v>20000</v>
      </c>
      <c r="K6" s="212">
        <f t="shared" ca="1" si="1"/>
        <v>18000</v>
      </c>
      <c r="L6" s="212">
        <f t="shared" ca="1" si="2"/>
        <v>16000</v>
      </c>
      <c r="M6" s="253" cm="1">
        <f t="array" aca="1" ref="M6" ca="1">ROUNDUP(
    I6 / VLOOKUP(
        RIGHT(INDEX(M:M, ROW()-4-$R6), 5),
        Inputs!$D$3:$E$10, 2, FALSE
    ),
-3)</f>
        <v>19000</v>
      </c>
      <c r="N6" s="253" cm="1">
        <f t="array" aca="1" ref="N6" ca="1">ROUNDUP(
    J6 / VLOOKUP(
        RIGHT(INDEX(N:N, ROW()-4-$R6), 5),
        Inputs!$D$3:$E$10, 2, FALSE
    ),
-3)</f>
        <v>3000</v>
      </c>
      <c r="O6" s="253" cm="1">
        <f t="array" aca="1" ref="O6" ca="1">ROUNDUP(
    K6 / VLOOKUP(
        RIGHT(INDEX(O:O, ROW()-4-$R6), 5),
        Inputs!$D$3:$E$10, 2, FALSE
    ),
-3)</f>
        <v>17000</v>
      </c>
      <c r="P6" s="253" cm="1">
        <f t="array" aca="1" ref="P6" ca="1">ROUNDUP(
    L6 / VLOOKUP(
        RIGHT(INDEX(P:P, ROW()-4-$R6), 5),
        Inputs!$D$3:$E$10, 2, FALSE
    ),
-3)</f>
        <v>3000</v>
      </c>
      <c r="Q6" s="253"/>
      <c r="R6" s="257" cm="1">
        <f t="array" aca="1" ref="R6" ca="1">IF(ISBLANK(INDIRECT(ADDRESS(ROW()-1, COLUMN()))), "0", R5+1)</f>
        <v>1</v>
      </c>
      <c r="U6" s="211">
        <f t="shared" ref="U6:U9" ca="1" si="6">RANDBETWEEN(110,160)/100</f>
        <v>1.55</v>
      </c>
      <c r="V6" s="211">
        <f t="shared" ca="1" si="3"/>
        <v>1.55</v>
      </c>
      <c r="W6" s="211">
        <f t="shared" ca="1" si="3"/>
        <v>1.42</v>
      </c>
      <c r="X6" s="211">
        <f t="shared" ca="1" si="3"/>
        <v>1.28</v>
      </c>
    </row>
    <row r="7" spans="1:24" ht="24.5">
      <c r="B7" s="217">
        <v>3</v>
      </c>
      <c r="C7" s="215" t="str">
        <f>VLOOKUP(B7,Deliverable!A:B,2,FALSE)</f>
        <v>增聘員工
Recruiting  additional manpower</v>
      </c>
      <c r="D7" s="215" t="str">
        <f>VLOOKUP(B7,Deliverable!A:C,3,FALSE)</f>
        <v>Part-Time Video Production Assistant</v>
      </c>
      <c r="E7" s="217">
        <f>VLOOKUP(B7,Deliverable!A:J,10,FALSE)</f>
        <v>48000</v>
      </c>
      <c r="F7" s="217">
        <v>1</v>
      </c>
      <c r="G7" s="217" t="str">
        <f t="shared" ca="1" si="4"/>
        <v>OK</v>
      </c>
      <c r="H7" s="212">
        <v>144000</v>
      </c>
      <c r="I7" s="212">
        <f t="shared" ca="1" si="5"/>
        <v>178000</v>
      </c>
      <c r="J7" s="212">
        <f t="shared" ca="1" si="0"/>
        <v>191000</v>
      </c>
      <c r="K7" s="212">
        <f t="shared" ca="1" si="1"/>
        <v>183000</v>
      </c>
      <c r="L7" s="212">
        <f t="shared" ca="1" si="2"/>
        <v>222000</v>
      </c>
      <c r="M7" s="253" cm="1">
        <f t="array" aca="1" ref="M7" ca="1">ROUNDUP(
    I7 / VLOOKUP(
        RIGHT(INDEX(M:M, ROW()-4-$R7), 5),
        Inputs!$D$3:$E$10, 2, FALSE
    ),
-3)</f>
        <v>162000</v>
      </c>
      <c r="N7" s="253" cm="1">
        <f t="array" aca="1" ref="N7" ca="1">ROUNDUP(
    J7 / VLOOKUP(
        RIGHT(INDEX(N:N, ROW()-4-$R7), 5),
        Inputs!$D$3:$E$10, 2, FALSE
    ),
-3)</f>
        <v>25000</v>
      </c>
      <c r="O7" s="253" cm="1">
        <f t="array" aca="1" ref="O7" ca="1">ROUNDUP(
    K7 / VLOOKUP(
        RIGHT(INDEX(O:O, ROW()-4-$R7), 5),
        Inputs!$D$3:$E$10, 2, FALSE
    ),
-3)</f>
        <v>167000</v>
      </c>
      <c r="P7" s="253" cm="1">
        <f t="array" aca="1" ref="P7" ca="1">ROUNDUP(
    L7 / VLOOKUP(
        RIGHT(INDEX(P:P, ROW()-4-$R7), 5),
        Inputs!$D$3:$E$10, 2, FALSE
    ),
-3)</f>
        <v>37000</v>
      </c>
      <c r="Q7" s="253"/>
      <c r="R7" s="257" cm="1">
        <f t="array" aca="1" ref="R7" ca="1">IF(ISBLANK(INDIRECT(ADDRESS(ROW()-1, COLUMN()))), "0", R6+1)</f>
        <v>2</v>
      </c>
      <c r="U7" s="211">
        <f t="shared" ca="1" si="6"/>
        <v>1.23</v>
      </c>
      <c r="V7" s="211">
        <f t="shared" ca="1" si="3"/>
        <v>1.32</v>
      </c>
      <c r="W7" s="211">
        <f t="shared" ca="1" si="3"/>
        <v>1.27</v>
      </c>
      <c r="X7" s="211">
        <f t="shared" ca="1" si="3"/>
        <v>1.54</v>
      </c>
    </row>
    <row r="8" spans="1:24" ht="36.75">
      <c r="B8" s="217">
        <v>4</v>
      </c>
      <c r="C8" s="215" t="str">
        <f>VLOOKUP(B8,Deliverable!A:B,2,FALSE)</f>
        <v xml:space="preserve">建立/優化公司網頁
Establishing / enhancing company 
website </v>
      </c>
      <c r="D8" s="215" t="str">
        <f>VLOOKUP(B8,Deliverable!A:C,3,FALSE)</f>
        <v>優化現有網頁 (網址：https://www.ukimms.com/)</v>
      </c>
      <c r="E8" s="217">
        <f>VLOOKUP(B8,Deliverable!A:J,10,FALSE)</f>
        <v>60000</v>
      </c>
      <c r="F8" s="217">
        <v>1</v>
      </c>
      <c r="G8" s="217" t="str">
        <f t="shared" ca="1" si="4"/>
        <v>OK</v>
      </c>
      <c r="H8" s="212">
        <v>50000</v>
      </c>
      <c r="I8" s="212">
        <f t="shared" ca="1" si="5"/>
        <v>67000</v>
      </c>
      <c r="J8" s="212">
        <f t="shared" ca="1" si="0"/>
        <v>63000</v>
      </c>
      <c r="K8" s="212">
        <f t="shared" ca="1" si="1"/>
        <v>75000</v>
      </c>
      <c r="L8" s="212">
        <f t="shared" ca="1" si="2"/>
        <v>74000</v>
      </c>
      <c r="M8" s="253" cm="1">
        <f t="array" aca="1" ref="M8" ca="1">ROUNDUP(
    I8 / VLOOKUP(
        RIGHT(INDEX(M:M, ROW()-4-$R8), 5),
        Inputs!$D$3:$E$10, 2, FALSE
    ),
-3)</f>
        <v>61000</v>
      </c>
      <c r="N8" s="253" cm="1">
        <f t="array" aca="1" ref="N8" ca="1">ROUNDUP(
    J8 / VLOOKUP(
        RIGHT(INDEX(N:N, ROW()-4-$R8), 5),
        Inputs!$D$3:$E$10, 2, FALSE
    ),
-3)</f>
        <v>9000</v>
      </c>
      <c r="O8" s="253" cm="1">
        <f t="array" aca="1" ref="O8" ca="1">ROUNDUP(
    K8 / VLOOKUP(
        RIGHT(INDEX(O:O, ROW()-4-$R8), 5),
        Inputs!$D$3:$E$10, 2, FALSE
    ),
-3)</f>
        <v>69000</v>
      </c>
      <c r="P8" s="253" cm="1">
        <f t="array" aca="1" ref="P8" ca="1">ROUNDUP(
    L8 / VLOOKUP(
        RIGHT(INDEX(P:P, ROW()-4-$R8), 5),
        Inputs!$D$3:$E$10, 2, FALSE
    ),
-3)</f>
        <v>13000</v>
      </c>
      <c r="Q8" s="253"/>
      <c r="R8" s="257" cm="1">
        <f t="array" aca="1" ref="R8" ca="1">IF(ISBLANK(INDIRECT(ADDRESS(ROW()-1, COLUMN()))), "0", R7+1)</f>
        <v>3</v>
      </c>
      <c r="U8" s="211">
        <f t="shared" ca="1" si="6"/>
        <v>1.33</v>
      </c>
      <c r="V8" s="211">
        <f t="shared" ca="1" si="3"/>
        <v>1.26</v>
      </c>
      <c r="W8" s="211">
        <f t="shared" ca="1" si="3"/>
        <v>1.5</v>
      </c>
      <c r="X8" s="211">
        <f t="shared" ca="1" si="3"/>
        <v>1.47</v>
      </c>
    </row>
    <row r="9" spans="1:24">
      <c r="G9" s="217" t="str">
        <f t="shared" ca="1" si="4"/>
        <v>OK</v>
      </c>
      <c r="H9" s="211">
        <f>SUM(H5:H8)</f>
        <v>246500</v>
      </c>
      <c r="I9" s="211">
        <f t="shared" ref="I9:P9" ca="1" si="7">SUM(I5:I8)</f>
        <v>325000</v>
      </c>
      <c r="J9" s="211">
        <f t="shared" ca="1" si="7"/>
        <v>328000</v>
      </c>
      <c r="K9" s="211">
        <f t="shared" ca="1" si="7"/>
        <v>334000</v>
      </c>
      <c r="L9" s="211">
        <f t="shared" ca="1" si="7"/>
        <v>364000</v>
      </c>
      <c r="M9" s="211">
        <f t="shared" ca="1" si="7"/>
        <v>297000</v>
      </c>
      <c r="N9" s="211">
        <f t="shared" ca="1" si="7"/>
        <v>44000</v>
      </c>
      <c r="O9" s="211">
        <f t="shared" ca="1" si="7"/>
        <v>306000</v>
      </c>
      <c r="P9" s="211">
        <f t="shared" ca="1" si="7"/>
        <v>62000</v>
      </c>
      <c r="Q9" s="211"/>
      <c r="R9" s="257"/>
      <c r="U9" s="211">
        <f t="shared" ca="1" si="6"/>
        <v>1.4</v>
      </c>
      <c r="V9" s="211">
        <f t="shared" ca="1" si="3"/>
        <v>1.5</v>
      </c>
      <c r="W9" s="211">
        <f t="shared" ca="1" si="3"/>
        <v>1.21</v>
      </c>
      <c r="X9" s="211">
        <f t="shared" ca="1" si="3"/>
        <v>1.49</v>
      </c>
    </row>
    <row r="13" spans="1:24" ht="29.5">
      <c r="A13" s="237" t="s">
        <v>461</v>
      </c>
      <c r="C13" s="216" t="s">
        <v>282</v>
      </c>
      <c r="D13" s="212" t="s">
        <v>283</v>
      </c>
      <c r="E13" s="217" t="s">
        <v>284</v>
      </c>
      <c r="F13" s="217" t="s">
        <v>285</v>
      </c>
      <c r="G13" s="217" t="s">
        <v>286</v>
      </c>
      <c r="H13" s="213" t="s">
        <v>462</v>
      </c>
      <c r="I13" s="212" t="s">
        <v>455</v>
      </c>
      <c r="J13" s="212" t="s">
        <v>456</v>
      </c>
      <c r="K13" s="212" t="s">
        <v>457</v>
      </c>
      <c r="L13" s="212" t="s">
        <v>519</v>
      </c>
      <c r="M13" s="252" t="s">
        <v>526</v>
      </c>
      <c r="N13" s="245" t="s">
        <v>466</v>
      </c>
      <c r="O13" s="245" t="s">
        <v>520</v>
      </c>
      <c r="P13" s="245" t="s">
        <v>521</v>
      </c>
      <c r="Q13" s="254" t="s">
        <v>466</v>
      </c>
    </row>
    <row r="14" spans="1:24">
      <c r="C14" s="216" t="s">
        <v>292</v>
      </c>
      <c r="D14" s="212"/>
      <c r="E14" s="217"/>
      <c r="F14" s="217"/>
      <c r="G14" s="217"/>
      <c r="H14" s="214">
        <v>44761</v>
      </c>
      <c r="I14" s="214">
        <v>44715</v>
      </c>
      <c r="J14" s="214">
        <v>44716</v>
      </c>
      <c r="K14" s="214">
        <v>44728</v>
      </c>
      <c r="L14" s="214">
        <v>44719</v>
      </c>
      <c r="M14" s="251">
        <f>I14</f>
        <v>44715</v>
      </c>
      <c r="N14" s="251">
        <f>J14</f>
        <v>44716</v>
      </c>
      <c r="O14" s="251">
        <f>K14</f>
        <v>44728</v>
      </c>
      <c r="P14" s="251">
        <f>L14</f>
        <v>44719</v>
      </c>
      <c r="Q14" s="255"/>
    </row>
    <row r="15" spans="1:24">
      <c r="C15" s="216" t="s">
        <v>293</v>
      </c>
      <c r="D15" s="212"/>
      <c r="E15" s="217"/>
      <c r="F15" s="217"/>
      <c r="G15" s="219" t="str">
        <f>IF(AND(H15&gt;=H14,H15&gt;=I14,H15&gt;=J14,H15&gt;=K14,H15&gt;=L14),"OK","NOT OK")</f>
        <v>NOT OK</v>
      </c>
    </row>
    <row r="16" spans="1:24">
      <c r="B16" s="217" t="s">
        <v>169</v>
      </c>
      <c r="C16" s="216" t="s">
        <v>294</v>
      </c>
      <c r="D16" s="212"/>
      <c r="E16" s="217"/>
      <c r="F16" s="217"/>
      <c r="G16" s="219" t="str">
        <f>IF(AND(H16&gt;=H15),"OK","NOT OK")</f>
        <v>OK</v>
      </c>
    </row>
    <row r="17" spans="1:24" ht="24.5">
      <c r="B17" s="217">
        <v>5</v>
      </c>
      <c r="C17" s="215" t="str">
        <f>VLOOKUP(B17,Deliverable!A:B,2,FALSE)</f>
        <v xml:space="preserve">設計及製作宣傳品
Producing promotional materials </v>
      </c>
      <c r="D17" s="215" t="str">
        <f>VLOOKUP(B17,Deliverable!A:C,3,FALSE)</f>
        <v>Company Catalogue x 3000</v>
      </c>
      <c r="E17" s="217">
        <f>VLOOKUP(B17,Deliverable!A:J,10,FALSE)</f>
        <v>40000</v>
      </c>
      <c r="F17" s="217">
        <v>1</v>
      </c>
      <c r="G17" s="217" t="str">
        <f ca="1">IF(H17=MIN(H17:L17),"OK","NOT OK")</f>
        <v>OK</v>
      </c>
      <c r="H17" s="212">
        <v>40000</v>
      </c>
      <c r="I17" s="212">
        <f t="shared" ref="I17:I19" ca="1" si="8">ROUNDUP($H17*U17,-3)</f>
        <v>61000</v>
      </c>
      <c r="J17" s="212">
        <f t="shared" ref="J17:J19" ca="1" si="9">ROUNDUP($H17*V17,-3)</f>
        <v>56000</v>
      </c>
      <c r="K17" s="212">
        <f t="shared" ref="K17:K19" ca="1" si="10">ROUNDUP($H17*W17,-3)</f>
        <v>51000</v>
      </c>
      <c r="L17" s="212">
        <f t="shared" ref="L17:L19" ca="1" si="11">ROUNDUP($H17*X17,-3)</f>
        <v>46000</v>
      </c>
      <c r="M17" s="253" cm="1">
        <f t="array" aca="1" ref="M17" ca="1">ROUNDUP(
    I17 / VLOOKUP(
        RIGHT(INDEX(M:M, ROW()-4-$R17), 5),
        Inputs!$D$3:$E$10, 2, FALSE
    ),
-3)</f>
        <v>11000</v>
      </c>
      <c r="N17" s="253" cm="1">
        <f t="array" aca="1" ref="N17" ca="1">ROUNDUP(
    J17 / VLOOKUP(
        RIGHT(INDEX(N:N, ROW()-4-$R17), 5),
        Inputs!$D$3:$E$10, 2, FALSE
    ),
-3)</f>
        <v>8000</v>
      </c>
      <c r="O17" s="253" cm="1">
        <f t="array" aca="1" ref="O17" ca="1">ROUNDUP(
    K17 / VLOOKUP(
        RIGHT(INDEX(O:O, ROW()-4-$R17), 5),
        Inputs!$D$3:$E$10, 2, FALSE
    ),
-3)</f>
        <v>47000</v>
      </c>
      <c r="P17" s="253" cm="1">
        <f t="array" aca="1" ref="P17" ca="1">ROUNDUP(
    L17 / VLOOKUP(
        RIGHT(INDEX(P:P, ROW()-4-$R17), 5),
        Inputs!$D$3:$E$10, 2, FALSE
    ),
-3)</f>
        <v>8000</v>
      </c>
      <c r="Q17" s="253"/>
      <c r="R17" s="257" t="str" cm="1">
        <f t="array" aca="1" ref="R17" ca="1">IF(ISBLANK(INDIRECT(ADDRESS(ROW()-1, COLUMN()))), "0", R16+1)</f>
        <v>0</v>
      </c>
      <c r="U17" s="211">
        <f t="shared" ref="U17:X19" ca="1" si="12">RANDBETWEEN(105,160)/100</f>
        <v>1.51</v>
      </c>
      <c r="V17" s="211">
        <f t="shared" ca="1" si="12"/>
        <v>1.38</v>
      </c>
      <c r="W17" s="211">
        <f t="shared" ca="1" si="12"/>
        <v>1.26</v>
      </c>
      <c r="X17" s="211">
        <f t="shared" ca="1" si="12"/>
        <v>1.1399999999999999</v>
      </c>
    </row>
    <row r="18" spans="1:24" ht="24.5">
      <c r="B18" s="217">
        <v>6</v>
      </c>
      <c r="C18" s="215" t="str">
        <f>VLOOKUP(B18,Deliverable!A:B,2,FALSE)</f>
        <v xml:space="preserve">設計及製作宣傳品
Producing promotional materials </v>
      </c>
      <c r="D18" s="215" t="str">
        <f>VLOOKUP(B18,Deliverable!A:C,3,FALSE)</f>
        <v>Company Brochures x 3000</v>
      </c>
      <c r="E18" s="217">
        <f>VLOOKUP(B18,Deliverable!A:J,10,FALSE)</f>
        <v>40000</v>
      </c>
      <c r="F18" s="217">
        <v>1</v>
      </c>
      <c r="G18" s="217" t="str">
        <f t="shared" ref="G18:G20" ca="1" si="13">IF(H18=MIN(H18:L18),"OK","NOT OK")</f>
        <v>OK</v>
      </c>
      <c r="H18" s="212">
        <v>40000</v>
      </c>
      <c r="I18" s="212">
        <f t="shared" ca="1" si="8"/>
        <v>64000</v>
      </c>
      <c r="J18" s="212">
        <f t="shared" ca="1" si="9"/>
        <v>45000</v>
      </c>
      <c r="K18" s="212">
        <f t="shared" ca="1" si="10"/>
        <v>62000</v>
      </c>
      <c r="L18" s="212">
        <f t="shared" ca="1" si="11"/>
        <v>63000</v>
      </c>
      <c r="M18" s="253" cm="1">
        <f t="array" aca="1" ref="M18" ca="1">ROUNDUP(
    I18 / VLOOKUP(
        RIGHT(INDEX(M:M, ROW()-4-$R18), 5),
        Inputs!$D$3:$E$10, 2, FALSE
    ),
-3)</f>
        <v>11000</v>
      </c>
      <c r="N18" s="253" cm="1">
        <f t="array" aca="1" ref="N18" ca="1">ROUNDUP(
    J18 / VLOOKUP(
        RIGHT(INDEX(N:N, ROW()-4-$R18), 5),
        Inputs!$D$3:$E$10, 2, FALSE
    ),
-3)</f>
        <v>6000</v>
      </c>
      <c r="O18" s="253" cm="1">
        <f t="array" aca="1" ref="O18" ca="1">ROUNDUP(
    K18 / VLOOKUP(
        RIGHT(INDEX(O:O, ROW()-4-$R18), 5),
        Inputs!$D$3:$E$10, 2, FALSE
    ),
-3)</f>
        <v>57000</v>
      </c>
      <c r="P18" s="253" cm="1">
        <f t="array" aca="1" ref="P18" ca="1">ROUNDUP(
    L18 / VLOOKUP(
        RIGHT(INDEX(P:P, ROW()-4-$R18), 5),
        Inputs!$D$3:$E$10, 2, FALSE
    ),
-3)</f>
        <v>11000</v>
      </c>
      <c r="Q18" s="253"/>
      <c r="R18" s="257" cm="1">
        <f t="array" aca="1" ref="R18" ca="1">IF(ISBLANK(INDIRECT(ADDRESS(ROW()-1, COLUMN()))), "0", R17+1)</f>
        <v>1</v>
      </c>
      <c r="U18" s="211">
        <f t="shared" ca="1" si="12"/>
        <v>1.6</v>
      </c>
      <c r="V18" s="211">
        <f t="shared" ca="1" si="12"/>
        <v>1.1200000000000001</v>
      </c>
      <c r="W18" s="211">
        <f t="shared" ca="1" si="12"/>
        <v>1.55</v>
      </c>
      <c r="X18" s="211">
        <f t="shared" ca="1" si="12"/>
        <v>1.56</v>
      </c>
    </row>
    <row r="19" spans="1:24" ht="24.5">
      <c r="B19" s="217">
        <v>7</v>
      </c>
      <c r="C19" s="215" t="str">
        <f>VLOOKUP(B19,Deliverable!A:B,2,FALSE)</f>
        <v xml:space="preserve">設計及製作宣傳品
Producing promotional materials </v>
      </c>
      <c r="D19" s="215" t="str">
        <f>VLOOKUP(B19,Deliverable!A:C,3,FALSE)</f>
        <v>Company Leaflet x 10000</v>
      </c>
      <c r="E19" s="217">
        <f>VLOOKUP(B19,Deliverable!A:J,10,FALSE)</f>
        <v>20000</v>
      </c>
      <c r="F19" s="217">
        <v>1</v>
      </c>
      <c r="G19" s="217" t="str">
        <f t="shared" ca="1" si="13"/>
        <v>OK</v>
      </c>
      <c r="H19" s="212">
        <v>20000</v>
      </c>
      <c r="I19" s="212">
        <f t="shared" ca="1" si="8"/>
        <v>24000</v>
      </c>
      <c r="J19" s="212">
        <f t="shared" ca="1" si="9"/>
        <v>25000</v>
      </c>
      <c r="K19" s="212">
        <f t="shared" ca="1" si="10"/>
        <v>26000</v>
      </c>
      <c r="L19" s="212">
        <f t="shared" ca="1" si="11"/>
        <v>32000</v>
      </c>
      <c r="M19" s="253" cm="1">
        <f t="array" aca="1" ref="M19" ca="1">ROUNDUP(
    I19 / VLOOKUP(
        RIGHT(INDEX(M:M, ROW()-4-$R19), 5),
        Inputs!$D$3:$E$10, 2, FALSE
    ),
-3)</f>
        <v>4000</v>
      </c>
      <c r="N19" s="253" cm="1">
        <f t="array" aca="1" ref="N19" ca="1">ROUNDUP(
    J19 / VLOOKUP(
        RIGHT(INDEX(N:N, ROW()-4-$R19), 5),
        Inputs!$D$3:$E$10, 2, FALSE
    ),
-3)</f>
        <v>4000</v>
      </c>
      <c r="O19" s="253" cm="1">
        <f t="array" aca="1" ref="O19" ca="1">ROUNDUP(
    K19 / VLOOKUP(
        RIGHT(INDEX(O:O, ROW()-4-$R19), 5),
        Inputs!$D$3:$E$10, 2, FALSE
    ),
-3)</f>
        <v>24000</v>
      </c>
      <c r="P19" s="253" cm="1">
        <f t="array" aca="1" ref="P19" ca="1">ROUNDUP(
    L19 / VLOOKUP(
        RIGHT(INDEX(P:P, ROW()-4-$R19), 5),
        Inputs!$D$3:$E$10, 2, FALSE
    ),
-3)</f>
        <v>6000</v>
      </c>
      <c r="Q19" s="253"/>
      <c r="R19" s="257" cm="1">
        <f t="array" aca="1" ref="R19" ca="1">IF(ISBLANK(INDIRECT(ADDRESS(ROW()-1, COLUMN()))), "0", R18+1)</f>
        <v>2</v>
      </c>
      <c r="U19" s="211">
        <f t="shared" ca="1" si="12"/>
        <v>1.17</v>
      </c>
      <c r="V19" s="211">
        <f t="shared" ca="1" si="12"/>
        <v>1.21</v>
      </c>
      <c r="W19" s="211">
        <f t="shared" ca="1" si="12"/>
        <v>1.27</v>
      </c>
      <c r="X19" s="211">
        <f t="shared" ca="1" si="12"/>
        <v>1.56</v>
      </c>
    </row>
    <row r="20" spans="1:24">
      <c r="C20" s="215"/>
      <c r="D20" s="215"/>
      <c r="E20" s="217"/>
      <c r="F20" s="217"/>
      <c r="G20" s="217" t="str">
        <f t="shared" ca="1" si="13"/>
        <v>OK</v>
      </c>
      <c r="H20" s="211">
        <f>SUM(H16:H19)</f>
        <v>100000</v>
      </c>
      <c r="I20" s="211">
        <f t="shared" ref="I20:P20" ca="1" si="14">SUM(I16:I19)</f>
        <v>149000</v>
      </c>
      <c r="J20" s="211">
        <f t="shared" ca="1" si="14"/>
        <v>126000</v>
      </c>
      <c r="K20" s="211">
        <f t="shared" ca="1" si="14"/>
        <v>139000</v>
      </c>
      <c r="L20" s="211">
        <f t="shared" ca="1" si="14"/>
        <v>141000</v>
      </c>
      <c r="M20" s="211">
        <f t="shared" ca="1" si="14"/>
        <v>26000</v>
      </c>
      <c r="N20" s="211">
        <f t="shared" ca="1" si="14"/>
        <v>18000</v>
      </c>
      <c r="O20" s="211">
        <f t="shared" ca="1" si="14"/>
        <v>128000</v>
      </c>
      <c r="P20" s="211">
        <f t="shared" ca="1" si="14"/>
        <v>25000</v>
      </c>
    </row>
    <row r="22" spans="1:24" ht="29.5">
      <c r="A22" s="237" t="s">
        <v>463</v>
      </c>
      <c r="C22" s="216" t="s">
        <v>282</v>
      </c>
      <c r="D22" s="212" t="s">
        <v>283</v>
      </c>
      <c r="E22" s="217" t="s">
        <v>284</v>
      </c>
      <c r="F22" s="217" t="s">
        <v>285</v>
      </c>
      <c r="G22" s="217" t="s">
        <v>286</v>
      </c>
      <c r="H22" s="213" t="s">
        <v>464</v>
      </c>
      <c r="I22" s="212" t="s">
        <v>198</v>
      </c>
      <c r="J22" s="212" t="s">
        <v>456</v>
      </c>
      <c r="K22" s="212" t="s">
        <v>457</v>
      </c>
      <c r="L22" s="212" t="s">
        <v>458</v>
      </c>
      <c r="M22" s="252" t="s">
        <v>465</v>
      </c>
      <c r="N22" s="245" t="s">
        <v>466</v>
      </c>
      <c r="O22" s="245" t="s">
        <v>520</v>
      </c>
      <c r="P22" s="245" t="s">
        <v>521</v>
      </c>
      <c r="Q22" s="254" t="s">
        <v>466</v>
      </c>
    </row>
    <row r="23" spans="1:24">
      <c r="C23" s="216" t="s">
        <v>292</v>
      </c>
      <c r="D23" s="212"/>
      <c r="E23" s="217"/>
      <c r="F23" s="217"/>
      <c r="G23" s="217"/>
      <c r="H23" s="214">
        <v>44761</v>
      </c>
      <c r="I23" s="214">
        <v>44715</v>
      </c>
      <c r="J23" s="214">
        <v>44716</v>
      </c>
      <c r="K23" s="214">
        <v>44728</v>
      </c>
      <c r="L23" s="214">
        <v>44719</v>
      </c>
      <c r="M23" s="251">
        <f>I23</f>
        <v>44715</v>
      </c>
      <c r="N23" s="251">
        <f>J23</f>
        <v>44716</v>
      </c>
      <c r="O23" s="251">
        <f>K23</f>
        <v>44728</v>
      </c>
      <c r="P23" s="251">
        <f>L23</f>
        <v>44719</v>
      </c>
      <c r="Q23" s="255"/>
    </row>
    <row r="24" spans="1:24">
      <c r="C24" s="216" t="s">
        <v>293</v>
      </c>
      <c r="D24" s="212"/>
      <c r="E24" s="217"/>
      <c r="F24" s="217"/>
      <c r="G24" s="219" t="str">
        <f>IF(AND(H24&gt;=H23,H24&gt;=I23,H24&gt;=J23,H24&gt;=K23,H24&gt;=L23),"OK","NOT OK")</f>
        <v>NOT OK</v>
      </c>
    </row>
    <row r="25" spans="1:24">
      <c r="B25" s="217" t="s">
        <v>169</v>
      </c>
      <c r="C25" s="216" t="s">
        <v>294</v>
      </c>
      <c r="D25" s="212"/>
      <c r="E25" s="217"/>
      <c r="F25" s="217"/>
      <c r="G25" s="219" t="str">
        <f>IF(AND(H25&gt;=H24),"OK","NOT OK")</f>
        <v>OK</v>
      </c>
    </row>
    <row r="26" spans="1:24" ht="24.5">
      <c r="B26" s="217">
        <v>5</v>
      </c>
      <c r="C26" s="215" t="str">
        <f>VLOOKUP(B26,Deliverable!A:B,2,FALSE)</f>
        <v xml:space="preserve">設計及製作宣傳品
Producing promotional materials </v>
      </c>
      <c r="D26" s="215" t="str">
        <f>VLOOKUP(B26,Deliverable!A:C,3,FALSE)</f>
        <v>Company Catalogue x 3000</v>
      </c>
      <c r="E26" s="217">
        <f>VLOOKUP(B26,Deliverable!A:J,10,FALSE)</f>
        <v>40000</v>
      </c>
      <c r="F26" s="217">
        <v>1</v>
      </c>
      <c r="G26" s="217" t="str">
        <f ca="1">IF(H26=MIN(H26:L26),"OK","NOT OK")</f>
        <v>OK</v>
      </c>
      <c r="H26" s="212">
        <v>40000</v>
      </c>
      <c r="I26" s="212">
        <f t="shared" ref="I26:I28" ca="1" si="15">ROUNDUP($H26*U26,-3)</f>
        <v>61000</v>
      </c>
      <c r="J26" s="212">
        <f t="shared" ref="J26:J28" ca="1" si="16">ROUNDUP($H26*V26,-3)</f>
        <v>64000</v>
      </c>
      <c r="K26" s="212">
        <f t="shared" ref="K26:K28" ca="1" si="17">ROUNDUP($H26*W26,-3)</f>
        <v>61000</v>
      </c>
      <c r="L26" s="212">
        <f t="shared" ref="L26:L28" ca="1" si="18">ROUNDUP($H26*X26,-3)</f>
        <v>54000</v>
      </c>
      <c r="M26" s="253" cm="1">
        <f t="array" aca="1" ref="M26" ca="1">ROUNDUP(
    I26 / VLOOKUP(
        RIGHT(INDEX(M:M, ROW()-4-$R26), 5),
        Inputs!$D$3:$E$10, 2, FALSE
    ),
-3)</f>
        <v>56000</v>
      </c>
      <c r="N26" s="253" cm="1">
        <f t="array" aca="1" ref="N26" ca="1">ROUNDUP(
    J26 / VLOOKUP(
        RIGHT(INDEX(N:N, ROW()-4-$R26), 5),
        Inputs!$D$3:$E$10, 2, FALSE
    ),
-3)</f>
        <v>9000</v>
      </c>
      <c r="O26" s="253" cm="1">
        <f t="array" aca="1" ref="O26" ca="1">ROUNDUP(
    K26 / VLOOKUP(
        RIGHT(INDEX(O:O, ROW()-4-$R26), 5),
        Inputs!$D$3:$E$10, 2, FALSE
    ),
-3)</f>
        <v>56000</v>
      </c>
      <c r="P26" s="253" cm="1">
        <f t="array" aca="1" ref="P26" ca="1">ROUNDUP(
    L26 / VLOOKUP(
        RIGHT(INDEX(P:P, ROW()-4-$R26), 5),
        Inputs!$D$3:$E$10, 2, FALSE
    ),
-3)</f>
        <v>9000</v>
      </c>
      <c r="Q26" s="253"/>
      <c r="R26" s="257" t="str" cm="1">
        <f t="array" aca="1" ref="R26" ca="1">IF(ISBLANK(INDIRECT(ADDRESS(ROW()-1, COLUMN()))), "0", R25+1)</f>
        <v>0</v>
      </c>
      <c r="U26" s="211">
        <f t="shared" ref="U26:X28" ca="1" si="19">RANDBETWEEN(105,160)/100</f>
        <v>1.52</v>
      </c>
      <c r="V26" s="211">
        <f t="shared" ca="1" si="19"/>
        <v>1.58</v>
      </c>
      <c r="W26" s="211">
        <f t="shared" ca="1" si="19"/>
        <v>1.52</v>
      </c>
      <c r="X26" s="211">
        <f t="shared" ca="1" si="19"/>
        <v>1.34</v>
      </c>
    </row>
    <row r="27" spans="1:24" ht="24.5">
      <c r="B27" s="217">
        <v>6</v>
      </c>
      <c r="C27" s="215" t="str">
        <f>VLOOKUP(B27,Deliverable!A:B,2,FALSE)</f>
        <v xml:space="preserve">設計及製作宣傳品
Producing promotional materials </v>
      </c>
      <c r="D27" s="215" t="str">
        <f>VLOOKUP(B27,Deliverable!A:C,3,FALSE)</f>
        <v>Company Brochures x 3000</v>
      </c>
      <c r="E27" s="217">
        <f>VLOOKUP(B27,Deliverable!A:J,10,FALSE)</f>
        <v>40000</v>
      </c>
      <c r="F27" s="217">
        <v>1</v>
      </c>
      <c r="G27" s="217" t="str">
        <f t="shared" ref="G27:G29" ca="1" si="20">IF(H27=MIN(H27:L27),"OK","NOT OK")</f>
        <v>OK</v>
      </c>
      <c r="H27" s="212">
        <v>40000</v>
      </c>
      <c r="I27" s="212">
        <f t="shared" ca="1" si="15"/>
        <v>50000</v>
      </c>
      <c r="J27" s="212">
        <f t="shared" ca="1" si="16"/>
        <v>44000</v>
      </c>
      <c r="K27" s="212">
        <f t="shared" ca="1" si="17"/>
        <v>54000</v>
      </c>
      <c r="L27" s="212">
        <f t="shared" ca="1" si="18"/>
        <v>60000</v>
      </c>
      <c r="M27" s="253" cm="1">
        <f t="array" aca="1" ref="M27" ca="1">ROUNDUP(
    I27 / VLOOKUP(
        RIGHT(INDEX(M:M, ROW()-4-$R27), 5),
        Inputs!$D$3:$E$10, 2, FALSE
    ),
-3)</f>
        <v>46000</v>
      </c>
      <c r="N27" s="253" cm="1">
        <f t="array" aca="1" ref="N27" ca="1">ROUNDUP(
    J27 / VLOOKUP(
        RIGHT(INDEX(N:N, ROW()-4-$R27), 5),
        Inputs!$D$3:$E$10, 2, FALSE
    ),
-3)</f>
        <v>6000</v>
      </c>
      <c r="O27" s="253" cm="1">
        <f t="array" aca="1" ref="O27" ca="1">ROUNDUP(
    K27 / VLOOKUP(
        RIGHT(INDEX(O:O, ROW()-4-$R27), 5),
        Inputs!$D$3:$E$10, 2, FALSE
    ),
-3)</f>
        <v>50000</v>
      </c>
      <c r="P27" s="253" cm="1">
        <f t="array" aca="1" ref="P27" ca="1">ROUNDUP(
    L27 / VLOOKUP(
        RIGHT(INDEX(P:P, ROW()-4-$R27), 5),
        Inputs!$D$3:$E$10, 2, FALSE
    ),
-3)</f>
        <v>10000</v>
      </c>
      <c r="Q27" s="253"/>
      <c r="R27" s="257" cm="1">
        <f t="array" aca="1" ref="R27" ca="1">IF(ISBLANK(INDIRECT(ADDRESS(ROW()-1, COLUMN()))), "0", R26+1)</f>
        <v>1</v>
      </c>
      <c r="U27" s="211">
        <f t="shared" ca="1" si="19"/>
        <v>1.25</v>
      </c>
      <c r="V27" s="211">
        <f t="shared" ca="1" si="19"/>
        <v>1.08</v>
      </c>
      <c r="W27" s="211">
        <f t="shared" ca="1" si="19"/>
        <v>1.33</v>
      </c>
      <c r="X27" s="211">
        <f t="shared" ca="1" si="19"/>
        <v>1.49</v>
      </c>
    </row>
    <row r="28" spans="1:24" ht="24.5">
      <c r="B28" s="217">
        <v>7</v>
      </c>
      <c r="C28" s="215" t="str">
        <f>VLOOKUP(B28,Deliverable!A:B,2,FALSE)</f>
        <v xml:space="preserve">設計及製作宣傳品
Producing promotional materials </v>
      </c>
      <c r="D28" s="215" t="str">
        <f>VLOOKUP(B28,Deliverable!A:C,3,FALSE)</f>
        <v>Company Leaflet x 10000</v>
      </c>
      <c r="E28" s="217">
        <f>VLOOKUP(B28,Deliverable!A:J,10,FALSE)</f>
        <v>20000</v>
      </c>
      <c r="F28" s="217">
        <v>1</v>
      </c>
      <c r="G28" s="217" t="str">
        <f t="shared" ca="1" si="20"/>
        <v>OK</v>
      </c>
      <c r="H28" s="212">
        <v>20000</v>
      </c>
      <c r="I28" s="212">
        <f t="shared" ca="1" si="15"/>
        <v>21000</v>
      </c>
      <c r="J28" s="212">
        <f t="shared" ca="1" si="16"/>
        <v>30000</v>
      </c>
      <c r="K28" s="212">
        <f t="shared" ca="1" si="17"/>
        <v>24000</v>
      </c>
      <c r="L28" s="212">
        <f t="shared" ca="1" si="18"/>
        <v>23000</v>
      </c>
      <c r="M28" s="253" cm="1">
        <f t="array" aca="1" ref="M28" ca="1">ROUNDUP(
    I28 / VLOOKUP(
        RIGHT(INDEX(M:M, ROW()-4-$R28), 5),
        Inputs!$D$3:$E$10, 2, FALSE
    ),
-3)</f>
        <v>20000</v>
      </c>
      <c r="N28" s="253" cm="1">
        <f t="array" aca="1" ref="N28" ca="1">ROUNDUP(
    J28 / VLOOKUP(
        RIGHT(INDEX(N:N, ROW()-4-$R28), 5),
        Inputs!$D$3:$E$10, 2, FALSE
    ),
-3)</f>
        <v>4000</v>
      </c>
      <c r="O28" s="253" cm="1">
        <f t="array" aca="1" ref="O28" ca="1">ROUNDUP(
    K28 / VLOOKUP(
        RIGHT(INDEX(O:O, ROW()-4-$R28), 5),
        Inputs!$D$3:$E$10, 2, FALSE
    ),
-3)</f>
        <v>22000</v>
      </c>
      <c r="P28" s="253" cm="1">
        <f t="array" aca="1" ref="P28" ca="1">ROUNDUP(
    L28 / VLOOKUP(
        RIGHT(INDEX(P:P, ROW()-4-$R28), 5),
        Inputs!$D$3:$E$10, 2, FALSE
    ),
-3)</f>
        <v>4000</v>
      </c>
      <c r="Q28" s="253"/>
      <c r="R28" s="257" cm="1">
        <f t="array" aca="1" ref="R28" ca="1">IF(ISBLANK(INDIRECT(ADDRESS(ROW()-1, COLUMN()))), "0", R27+1)</f>
        <v>2</v>
      </c>
      <c r="U28" s="211">
        <f t="shared" ca="1" si="19"/>
        <v>1.05</v>
      </c>
      <c r="V28" s="211">
        <f t="shared" ca="1" si="19"/>
        <v>1.5</v>
      </c>
      <c r="W28" s="211">
        <f t="shared" ca="1" si="19"/>
        <v>1.18</v>
      </c>
      <c r="X28" s="211">
        <f t="shared" ca="1" si="19"/>
        <v>1.1499999999999999</v>
      </c>
    </row>
    <row r="29" spans="1:24">
      <c r="G29" s="217" t="str">
        <f t="shared" ca="1" si="20"/>
        <v>OK</v>
      </c>
      <c r="H29" s="211">
        <f>SUM(H25:H28)</f>
        <v>100000</v>
      </c>
      <c r="I29" s="211">
        <f t="shared" ref="I29:P29" ca="1" si="21">SUM(I25:I28)</f>
        <v>132000</v>
      </c>
      <c r="J29" s="211">
        <f t="shared" ca="1" si="21"/>
        <v>138000</v>
      </c>
      <c r="K29" s="211">
        <f t="shared" ca="1" si="21"/>
        <v>139000</v>
      </c>
      <c r="L29" s="211">
        <f t="shared" ca="1" si="21"/>
        <v>137000</v>
      </c>
      <c r="M29" s="211">
        <f t="shared" ca="1" si="21"/>
        <v>122000</v>
      </c>
      <c r="N29" s="211">
        <f t="shared" ca="1" si="21"/>
        <v>19000</v>
      </c>
      <c r="O29" s="211">
        <f t="shared" ca="1" si="21"/>
        <v>128000</v>
      </c>
      <c r="P29" s="211">
        <f t="shared" ca="1" si="21"/>
        <v>23000</v>
      </c>
    </row>
  </sheetData>
  <phoneticPr fontId="2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97069-C4A0-4599-981F-E8DF44934E43}">
  <sheetPr codeName="Sheet13"/>
  <dimension ref="B1:I16"/>
  <sheetViews>
    <sheetView workbookViewId="0">
      <selection activeCell="C6" sqref="C6"/>
    </sheetView>
  </sheetViews>
  <sheetFormatPr defaultColWidth="8.7109375" defaultRowHeight="12"/>
  <cols>
    <col min="1" max="1" width="11.5703125" style="154" customWidth="1"/>
    <col min="2" max="2" width="24.85546875" style="154" customWidth="1"/>
    <col min="3" max="3" width="66" style="154" customWidth="1"/>
    <col min="4" max="5" width="8.7109375" style="154"/>
    <col min="6" max="6" width="30.28515625" style="154" customWidth="1"/>
    <col min="7" max="7" width="65.85546875" style="154" customWidth="1"/>
    <col min="8" max="8" width="5.42578125" style="154" customWidth="1"/>
    <col min="9" max="9" width="25.42578125" style="154" bestFit="1" customWidth="1"/>
    <col min="10" max="10" width="31.28515625" style="154" customWidth="1"/>
    <col min="11" max="16384" width="8.7109375" style="154"/>
  </cols>
  <sheetData>
    <row r="1" spans="2:9" ht="12.75" thickBot="1">
      <c r="B1" s="171" t="s">
        <v>227</v>
      </c>
      <c r="C1" s="167" t="s">
        <v>343</v>
      </c>
      <c r="F1" s="171" t="s">
        <v>227</v>
      </c>
      <c r="G1" s="167" t="s">
        <v>343</v>
      </c>
      <c r="I1" s="168" t="s">
        <v>347</v>
      </c>
    </row>
    <row r="2" spans="2:9" ht="72">
      <c r="B2" s="169" t="s">
        <v>397</v>
      </c>
      <c r="C2" s="169" t="s">
        <v>369</v>
      </c>
      <c r="F2" s="169" t="s">
        <v>397</v>
      </c>
      <c r="G2" s="169" t="s">
        <v>416</v>
      </c>
      <c r="I2" s="170" t="s">
        <v>367</v>
      </c>
    </row>
    <row r="3" spans="2:9" ht="90.75" customHeight="1">
      <c r="B3" s="169" t="s">
        <v>399</v>
      </c>
      <c r="C3" s="169" t="s">
        <v>532</v>
      </c>
      <c r="F3" s="169" t="s">
        <v>399</v>
      </c>
      <c r="G3" s="169" t="s">
        <v>533</v>
      </c>
      <c r="I3" s="170" t="s">
        <v>296</v>
      </c>
    </row>
    <row r="4" spans="2:9" ht="48">
      <c r="B4" s="169" t="s">
        <v>400</v>
      </c>
      <c r="C4" s="169" t="s">
        <v>297</v>
      </c>
      <c r="F4" s="169" t="s">
        <v>400</v>
      </c>
      <c r="G4" s="169" t="s">
        <v>417</v>
      </c>
      <c r="I4" s="170" t="s">
        <v>295</v>
      </c>
    </row>
    <row r="5" spans="2:9" ht="60">
      <c r="B5" s="169" t="s">
        <v>401</v>
      </c>
      <c r="C5" s="169" t="s">
        <v>442</v>
      </c>
      <c r="F5" s="169" t="s">
        <v>401</v>
      </c>
      <c r="G5" s="169" t="s">
        <v>418</v>
      </c>
      <c r="I5" s="170" t="s">
        <v>304</v>
      </c>
    </row>
    <row r="6" spans="2:9" ht="36">
      <c r="B6" s="169" t="s">
        <v>402</v>
      </c>
      <c r="C6" s="169" t="s">
        <v>371</v>
      </c>
      <c r="F6" s="169" t="s">
        <v>402</v>
      </c>
      <c r="G6" s="154" t="s">
        <v>419</v>
      </c>
      <c r="I6" s="170" t="s">
        <v>262</v>
      </c>
    </row>
    <row r="7" spans="2:9" ht="36">
      <c r="B7" s="169" t="s">
        <v>403</v>
      </c>
      <c r="C7" s="169" t="s">
        <v>298</v>
      </c>
      <c r="F7" s="169" t="s">
        <v>403</v>
      </c>
      <c r="G7" s="154" t="s">
        <v>420</v>
      </c>
      <c r="I7" s="170" t="s">
        <v>299</v>
      </c>
    </row>
    <row r="8" spans="2:9" ht="36">
      <c r="B8" s="169" t="s">
        <v>404</v>
      </c>
      <c r="C8" s="169" t="s">
        <v>370</v>
      </c>
      <c r="F8" s="169" t="s">
        <v>404</v>
      </c>
      <c r="G8" s="169" t="s">
        <v>422</v>
      </c>
      <c r="I8" s="170" t="s">
        <v>261</v>
      </c>
    </row>
    <row r="9" spans="2:9" ht="36">
      <c r="B9" s="169" t="s">
        <v>406</v>
      </c>
      <c r="C9" s="169" t="s">
        <v>300</v>
      </c>
      <c r="F9" s="169" t="s">
        <v>406</v>
      </c>
      <c r="G9" s="169" t="s">
        <v>421</v>
      </c>
      <c r="I9" s="170" t="s">
        <v>348</v>
      </c>
    </row>
    <row r="10" spans="2:9" ht="36">
      <c r="B10" s="169" t="s">
        <v>407</v>
      </c>
      <c r="C10" s="169" t="s">
        <v>301</v>
      </c>
      <c r="F10" s="169" t="s">
        <v>407</v>
      </c>
      <c r="G10" s="169" t="s">
        <v>423</v>
      </c>
      <c r="I10" s="170" t="s">
        <v>349</v>
      </c>
    </row>
    <row r="11" spans="2:9" ht="24">
      <c r="B11" s="169" t="s">
        <v>409</v>
      </c>
      <c r="C11" s="169" t="s">
        <v>372</v>
      </c>
      <c r="F11" s="169" t="s">
        <v>409</v>
      </c>
      <c r="G11" s="169" t="s">
        <v>424</v>
      </c>
    </row>
    <row r="12" spans="2:9" ht="24">
      <c r="B12" s="169" t="s">
        <v>441</v>
      </c>
      <c r="C12" s="169" t="s">
        <v>373</v>
      </c>
      <c r="F12" s="169" t="s">
        <v>441</v>
      </c>
      <c r="G12" s="169" t="s">
        <v>425</v>
      </c>
    </row>
    <row r="13" spans="2:9" ht="24">
      <c r="B13" s="169" t="s">
        <v>410</v>
      </c>
      <c r="C13" s="169" t="s">
        <v>302</v>
      </c>
      <c r="F13" s="169" t="s">
        <v>410</v>
      </c>
      <c r="G13" s="154" t="s">
        <v>426</v>
      </c>
    </row>
    <row r="14" spans="2:9" ht="36">
      <c r="B14" s="169" t="s">
        <v>411</v>
      </c>
      <c r="C14" s="169" t="s">
        <v>303</v>
      </c>
      <c r="F14" s="169" t="s">
        <v>411</v>
      </c>
      <c r="G14" s="169" t="s">
        <v>427</v>
      </c>
    </row>
    <row r="15" spans="2:9" ht="98.25" customHeight="1">
      <c r="B15" s="169" t="s">
        <v>413</v>
      </c>
      <c r="C15" s="169" t="s">
        <v>429</v>
      </c>
      <c r="F15" s="169" t="s">
        <v>413</v>
      </c>
      <c r="G15" s="169" t="s">
        <v>430</v>
      </c>
    </row>
    <row r="16" spans="2:9" ht="24">
      <c r="B16" s="169" t="s">
        <v>415</v>
      </c>
      <c r="C16" s="169" t="s">
        <v>305</v>
      </c>
      <c r="F16" s="169" t="s">
        <v>415</v>
      </c>
      <c r="G16" s="169" t="s">
        <v>428</v>
      </c>
    </row>
  </sheetData>
  <phoneticPr fontId="2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52D3-D6C8-42DB-B862-C761066E7E21}">
  <sheetPr codeName="Sheet12">
    <tabColor rgb="FF00B0F0"/>
  </sheetPr>
  <dimension ref="A1:K23"/>
  <sheetViews>
    <sheetView workbookViewId="0">
      <selection activeCell="C3" sqref="C3"/>
    </sheetView>
  </sheetViews>
  <sheetFormatPr defaultColWidth="8.7109375" defaultRowHeight="14.5"/>
  <cols>
    <col min="1" max="1" width="10.42578125" style="199" customWidth="1"/>
    <col min="2" max="2" width="26.28515625" style="188" customWidth="1"/>
    <col min="3" max="3" width="27.28515625" style="200" customWidth="1"/>
    <col min="4" max="4" width="60.7109375" style="180" customWidth="1"/>
    <col min="5" max="6" width="8.7109375" style="197"/>
    <col min="7" max="7" width="14.85546875" style="197" customWidth="1"/>
    <col min="8" max="8" width="11.7109375" style="197" customWidth="1"/>
    <col min="9" max="9" width="13.28515625" style="197" customWidth="1"/>
    <col min="10" max="10" width="11.7109375" style="198" customWidth="1"/>
    <col min="11" max="11" width="74.28515625" style="220" customWidth="1"/>
    <col min="12" max="16384" width="8.7109375" style="180"/>
  </cols>
  <sheetData>
    <row r="1" spans="1:11" ht="15.5" thickBot="1">
      <c r="C1" s="200" t="s">
        <v>432</v>
      </c>
      <c r="D1" s="180" t="s">
        <v>431</v>
      </c>
    </row>
    <row r="2" spans="1:11" s="177" customFormat="1" ht="36.75" thickBot="1">
      <c r="A2" s="172" t="s">
        <v>260</v>
      </c>
      <c r="B2" s="173" t="s">
        <v>346</v>
      </c>
      <c r="C2" s="174" t="s">
        <v>227</v>
      </c>
      <c r="D2" s="174" t="s">
        <v>228</v>
      </c>
      <c r="E2" s="174" t="s">
        <v>229</v>
      </c>
      <c r="F2" s="174" t="s">
        <v>230</v>
      </c>
      <c r="G2" s="174" t="s">
        <v>231</v>
      </c>
      <c r="H2" s="175" t="s">
        <v>232</v>
      </c>
      <c r="I2" s="175" t="s">
        <v>163</v>
      </c>
      <c r="J2" s="176" t="s">
        <v>345</v>
      </c>
      <c r="K2" s="221" t="s">
        <v>344</v>
      </c>
    </row>
    <row r="3" spans="1:11" ht="54.5">
      <c r="A3" s="199">
        <v>1</v>
      </c>
      <c r="B3" s="183" t="s">
        <v>396</v>
      </c>
      <c r="C3" s="184" t="s">
        <v>233</v>
      </c>
      <c r="D3" s="178" t="s">
        <v>234</v>
      </c>
      <c r="E3" s="178">
        <v>1</v>
      </c>
      <c r="F3" s="189">
        <v>0</v>
      </c>
      <c r="G3" s="190">
        <f>F3/E3</f>
        <v>0</v>
      </c>
      <c r="H3" s="191">
        <f>F3-E3</f>
        <v>-1</v>
      </c>
      <c r="I3" s="177"/>
      <c r="J3" s="179">
        <v>18000</v>
      </c>
      <c r="K3" s="222" t="str">
        <f>VLOOKUP(B3,Checklist!B:C,2,FALSE)</f>
        <v>•	當地新業務單位與企業符合申請書所述之直接投資關係的官方文件(如當地政府所發出的商業登記證/營業執照/章程/股東登記等) 
•	租賃合同
•	每月租金支出證明
•	單位照片等</v>
      </c>
    </row>
    <row r="4" spans="1:11" ht="54.5">
      <c r="A4" s="199">
        <v>2</v>
      </c>
      <c r="B4" s="183" t="s">
        <v>396</v>
      </c>
      <c r="C4" s="184" t="s">
        <v>235</v>
      </c>
      <c r="D4" s="181" t="s">
        <v>235</v>
      </c>
      <c r="E4" s="177">
        <v>1</v>
      </c>
      <c r="F4" s="177">
        <v>0</v>
      </c>
      <c r="G4" s="192">
        <f t="shared" ref="G4:G18" si="0">F4/E4</f>
        <v>0</v>
      </c>
      <c r="H4" s="193">
        <f t="shared" ref="H4:H18" si="1">F4-E4</f>
        <v>-1</v>
      </c>
      <c r="I4" s="177"/>
      <c r="J4" s="179">
        <v>12000</v>
      </c>
      <c r="K4" s="222" t="str">
        <f>VLOOKUP(B4,Checklist!B:C,2,FALSE)</f>
        <v>•	當地新業務單位與企業符合申請書所述之直接投資關係的官方文件(如當地政府所發出的商業登記證/營業執照/章程/股東登記等) 
•	租賃合同
•	每月租金支出證明
•	單位照片等</v>
      </c>
    </row>
    <row r="5" spans="1:11" ht="76">
      <c r="A5" s="199">
        <v>3</v>
      </c>
      <c r="B5" s="182" t="s">
        <v>398</v>
      </c>
      <c r="C5" s="184" t="s">
        <v>236</v>
      </c>
      <c r="D5" s="181" t="s">
        <v>237</v>
      </c>
      <c r="E5" s="177">
        <v>1</v>
      </c>
      <c r="F5" s="177">
        <v>0</v>
      </c>
      <c r="G5" s="192">
        <f t="shared" si="0"/>
        <v>0</v>
      </c>
      <c r="H5" s="193">
        <f t="shared" si="1"/>
        <v>-1</v>
      </c>
      <c r="I5" s="177"/>
      <c r="J5" s="179">
        <v>48000</v>
      </c>
      <c r="K5" s="222" t="str">
        <f>VLOOKUP(B5,Checklist!B:C,2,FALSE)</f>
        <v>•	公開招聘廣告(需顯示刊登日期) (職位名稱及內容跟項目內容一致)
•	應徵人士履歷表 (包括聘用及落選的) (職位名稱及內容跟項目內容一致)  (最少3份)
•	甄選記錄 (最少3份) 面試評核表 (需包括獲聘者及落選者), 面試評核表需包括面試日期, 面試職位, 評分記錄, 及企業蓋章及簽署
•	僱用合約  (生效於項目推行日期內)
•	每月支薪證明 (銀行轉賬紀錄) (不可現金出糧) (需顯示公司戶口及員工名稱)
•	符合當地勞工法的每月強積金/社保等供款明細記錄 (需顯示公司及員工名稱)</v>
      </c>
    </row>
    <row r="6" spans="1:11" ht="120">
      <c r="A6" s="199">
        <v>4</v>
      </c>
      <c r="B6" s="183" t="s">
        <v>405</v>
      </c>
      <c r="C6" s="184" t="s">
        <v>238</v>
      </c>
      <c r="D6" s="181" t="s">
        <v>332</v>
      </c>
      <c r="E6" s="177">
        <v>1</v>
      </c>
      <c r="F6" s="177">
        <v>0</v>
      </c>
      <c r="G6" s="192">
        <f t="shared" si="0"/>
        <v>0</v>
      </c>
      <c r="H6" s="193">
        <f t="shared" si="1"/>
        <v>-1</v>
      </c>
      <c r="I6" s="177"/>
      <c r="J6" s="179">
        <v>60000</v>
      </c>
      <c r="K6" s="222" t="str">
        <f>VLOOKUP(B6,Checklist!B:C,2,FALSE)</f>
        <v>•	公司網頁建立/優化(前後)截圖，頁面截圖</v>
      </c>
    </row>
    <row r="7" spans="1:11" ht="36">
      <c r="A7" s="199">
        <v>5</v>
      </c>
      <c r="B7" s="182" t="s">
        <v>408</v>
      </c>
      <c r="C7" s="184" t="s">
        <v>239</v>
      </c>
      <c r="D7" s="181" t="s">
        <v>240</v>
      </c>
      <c r="E7" s="177">
        <v>1</v>
      </c>
      <c r="F7" s="177">
        <v>0</v>
      </c>
      <c r="G7" s="192">
        <f t="shared" si="0"/>
        <v>0</v>
      </c>
      <c r="H7" s="193">
        <f t="shared" si="1"/>
        <v>-1</v>
      </c>
      <c r="I7" s="177"/>
      <c r="J7" s="179">
        <v>40000</v>
      </c>
      <c r="K7" s="222" t="str">
        <f>VLOOKUP(B7,Checklist!B:C,2,FALSE)</f>
        <v>•	成果照片
•	送貨單(列明數量)</v>
      </c>
    </row>
    <row r="8" spans="1:11" ht="36">
      <c r="A8" s="199">
        <v>6</v>
      </c>
      <c r="B8" s="182" t="s">
        <v>408</v>
      </c>
      <c r="C8" s="184" t="s">
        <v>241</v>
      </c>
      <c r="D8" s="181" t="s">
        <v>242</v>
      </c>
      <c r="E8" s="177">
        <v>1</v>
      </c>
      <c r="F8" s="177">
        <v>0</v>
      </c>
      <c r="G8" s="192">
        <f t="shared" si="0"/>
        <v>0</v>
      </c>
      <c r="H8" s="193">
        <f t="shared" si="1"/>
        <v>-1</v>
      </c>
      <c r="I8" s="177"/>
      <c r="J8" s="179">
        <v>40000</v>
      </c>
      <c r="K8" s="222" t="str">
        <f>VLOOKUP(B8,Checklist!B:C,2,FALSE)</f>
        <v>•	成果照片
•	送貨單(列明數量)</v>
      </c>
    </row>
    <row r="9" spans="1:11" ht="36">
      <c r="A9" s="199">
        <v>7</v>
      </c>
      <c r="B9" s="182" t="s">
        <v>408</v>
      </c>
      <c r="C9" s="184" t="s">
        <v>243</v>
      </c>
      <c r="D9" s="181" t="s">
        <v>244</v>
      </c>
      <c r="E9" s="177">
        <v>1</v>
      </c>
      <c r="F9" s="177">
        <v>0</v>
      </c>
      <c r="G9" s="192">
        <f t="shared" si="0"/>
        <v>0</v>
      </c>
      <c r="H9" s="193">
        <f t="shared" si="1"/>
        <v>-1</v>
      </c>
      <c r="I9" s="177"/>
      <c r="J9" s="179">
        <v>20000</v>
      </c>
      <c r="K9" s="222" t="str">
        <f>VLOOKUP(B9,Checklist!B:C,2,FALSE)</f>
        <v>•	成果照片
•	送貨單(列明數量)</v>
      </c>
    </row>
    <row r="10" spans="1:11" ht="72">
      <c r="A10" s="199">
        <v>8</v>
      </c>
      <c r="B10" s="183" t="s">
        <v>412</v>
      </c>
      <c r="C10" s="184" t="s">
        <v>245</v>
      </c>
      <c r="D10" s="181" t="s">
        <v>246</v>
      </c>
      <c r="E10" s="177">
        <v>1</v>
      </c>
      <c r="F10" s="177">
        <v>0</v>
      </c>
      <c r="G10" s="192">
        <f t="shared" si="0"/>
        <v>0</v>
      </c>
      <c r="H10" s="193">
        <f t="shared" si="1"/>
        <v>-1</v>
      </c>
      <c r="I10" s="177"/>
      <c r="J10" s="179">
        <v>90000</v>
      </c>
      <c r="K10" s="222" t="str">
        <f>VLOOKUP(B10,Checklist!B:C,2,FALSE)</f>
        <v>•	廣告類: 成果照片、活動截圖、廣告用量報告
•	網紅圖文帖:截圖，報告，發出日期，連結，粉絲數。
•	網紅視頻:錄像記錄，報告，發出日期，連結，粉絲數。
•	其他廣告: 成果照片，可證明執行日期資料。</v>
      </c>
    </row>
    <row r="11" spans="1:11" ht="48">
      <c r="A11" s="199">
        <v>9</v>
      </c>
      <c r="B11" s="183" t="s">
        <v>412</v>
      </c>
      <c r="C11" s="184" t="s">
        <v>247</v>
      </c>
      <c r="D11" s="181" t="s">
        <v>247</v>
      </c>
      <c r="E11" s="177">
        <v>1</v>
      </c>
      <c r="F11" s="177">
        <v>0</v>
      </c>
      <c r="G11" s="192">
        <f t="shared" si="0"/>
        <v>0</v>
      </c>
      <c r="H11" s="193">
        <f t="shared" si="1"/>
        <v>-1</v>
      </c>
      <c r="I11" s="177"/>
      <c r="J11" s="179">
        <v>90000</v>
      </c>
      <c r="K11" s="222" t="str">
        <f>VLOOKUP(B11,Checklist!B:C,2,FALSE)</f>
        <v>•	廣告類: 成果照片、活動截圖、廣告用量報告
•	網紅圖文帖:截圖，報告，發出日期，連結，粉絲數。
•	網紅視頻:錄像記錄，報告，發出日期，連結，粉絲數。
•	其他廣告: 成果照片，可證明執行日期資料。</v>
      </c>
    </row>
    <row r="12" spans="1:11" ht="60">
      <c r="A12" s="199">
        <v>10</v>
      </c>
      <c r="B12" s="183" t="s">
        <v>412</v>
      </c>
      <c r="C12" s="184" t="s">
        <v>248</v>
      </c>
      <c r="D12" s="181" t="s">
        <v>249</v>
      </c>
      <c r="E12" s="177">
        <v>1</v>
      </c>
      <c r="F12" s="177">
        <v>0</v>
      </c>
      <c r="G12" s="192">
        <f t="shared" si="0"/>
        <v>0</v>
      </c>
      <c r="H12" s="193">
        <f t="shared" si="1"/>
        <v>-1</v>
      </c>
      <c r="I12" s="177"/>
      <c r="J12" s="179">
        <v>60000</v>
      </c>
      <c r="K12" s="222" t="str">
        <f>VLOOKUP(B12,Checklist!B:C,2,FALSE)</f>
        <v>•	廣告類: 成果照片、活動截圖、廣告用量報告
•	網紅圖文帖:截圖，報告，發出日期，連結，粉絲數。
•	網紅視頻:錄像記錄，報告，發出日期，連結，粉絲數。
•	其他廣告: 成果照片，可證明執行日期資料。</v>
      </c>
    </row>
    <row r="13" spans="1:11" ht="48">
      <c r="A13" s="199">
        <v>11</v>
      </c>
      <c r="B13" s="183" t="s">
        <v>412</v>
      </c>
      <c r="C13" s="184" t="s">
        <v>250</v>
      </c>
      <c r="D13" s="181" t="s">
        <v>251</v>
      </c>
      <c r="E13" s="177">
        <v>1</v>
      </c>
      <c r="F13" s="177">
        <v>0</v>
      </c>
      <c r="G13" s="192">
        <f t="shared" si="0"/>
        <v>0</v>
      </c>
      <c r="H13" s="193">
        <f t="shared" si="1"/>
        <v>-1</v>
      </c>
      <c r="I13" s="177"/>
      <c r="J13" s="179">
        <v>150000</v>
      </c>
      <c r="K13" s="222" t="str">
        <f>VLOOKUP(B13,Checklist!B:C,2,FALSE)</f>
        <v>•	廣告類: 成果照片、活動截圖、廣告用量報告
•	網紅圖文帖:截圖，報告，發出日期，連結，粉絲數。
•	網紅視頻:錄像記錄，報告，發出日期，連結，粉絲數。
•	其他廣告: 成果照片，可證明執行日期資料。</v>
      </c>
    </row>
    <row r="14" spans="1:11" ht="60">
      <c r="A14" s="199">
        <v>12</v>
      </c>
      <c r="B14" s="183" t="s">
        <v>412</v>
      </c>
      <c r="C14" s="184" t="s">
        <v>252</v>
      </c>
      <c r="D14" s="181" t="s">
        <v>253</v>
      </c>
      <c r="E14" s="177">
        <v>1</v>
      </c>
      <c r="F14" s="177">
        <v>0</v>
      </c>
      <c r="G14" s="192">
        <f t="shared" si="0"/>
        <v>0</v>
      </c>
      <c r="H14" s="193">
        <f t="shared" si="1"/>
        <v>-1</v>
      </c>
      <c r="I14" s="177"/>
      <c r="J14" s="179">
        <v>60000</v>
      </c>
      <c r="K14" s="222" t="str">
        <f>VLOOKUP(B14,Checklist!B:C,2,FALSE)</f>
        <v>•	廣告類: 成果照片、活動截圖、廣告用量報告
•	網紅圖文帖:截圖，報告，發出日期，連結，粉絲數。
•	網紅視頻:錄像記錄，報告，發出日期，連結，粉絲數。
•	其他廣告: 成果照片，可證明執行日期資料。</v>
      </c>
    </row>
    <row r="15" spans="1:11" ht="60">
      <c r="A15" s="199">
        <v>13</v>
      </c>
      <c r="B15" s="185" t="s">
        <v>443</v>
      </c>
      <c r="C15" s="184" t="s">
        <v>254</v>
      </c>
      <c r="D15" s="181" t="s">
        <v>316</v>
      </c>
      <c r="E15" s="177">
        <v>1</v>
      </c>
      <c r="F15" s="177">
        <v>0</v>
      </c>
      <c r="G15" s="192">
        <f t="shared" si="0"/>
        <v>0</v>
      </c>
      <c r="H15" s="193">
        <f t="shared" si="1"/>
        <v>-1</v>
      </c>
      <c r="I15" s="177"/>
      <c r="J15" s="179">
        <v>240000</v>
      </c>
      <c r="K15" s="222" t="str">
        <f>VLOOKUP(B15,Checklist!B:C,2,FALSE)</f>
        <v>•	成果照片/影片，截圖及錄像</v>
      </c>
    </row>
    <row r="16" spans="1:11" ht="36">
      <c r="A16" s="199">
        <v>14</v>
      </c>
      <c r="B16" s="185" t="s">
        <v>443</v>
      </c>
      <c r="C16" s="184" t="s">
        <v>255</v>
      </c>
      <c r="D16" s="181" t="s">
        <v>256</v>
      </c>
      <c r="E16" s="177">
        <v>1</v>
      </c>
      <c r="F16" s="177">
        <v>0</v>
      </c>
      <c r="G16" s="192">
        <f t="shared" si="0"/>
        <v>0</v>
      </c>
      <c r="H16" s="193">
        <f t="shared" si="1"/>
        <v>-1</v>
      </c>
      <c r="I16" s="177"/>
      <c r="J16" s="179">
        <v>50000</v>
      </c>
      <c r="K16" s="222" t="str">
        <f>VLOOKUP(B16,Checklist!B:C,2,FALSE)</f>
        <v>•	成果照片/影片，截圖及錄像</v>
      </c>
    </row>
    <row r="17" spans="1:11" ht="72">
      <c r="A17" s="199">
        <v>15</v>
      </c>
      <c r="B17" s="185" t="s">
        <v>443</v>
      </c>
      <c r="C17" s="184" t="s">
        <v>254</v>
      </c>
      <c r="D17" s="181" t="s">
        <v>257</v>
      </c>
      <c r="E17" s="177">
        <v>1</v>
      </c>
      <c r="F17" s="177">
        <v>0</v>
      </c>
      <c r="G17" s="192">
        <f t="shared" si="0"/>
        <v>0</v>
      </c>
      <c r="H17" s="193">
        <f t="shared" si="1"/>
        <v>-1</v>
      </c>
      <c r="I17" s="177"/>
      <c r="J17" s="179">
        <v>220000</v>
      </c>
      <c r="K17" s="222" t="str">
        <f>VLOOKUP(B17,Checklist!B:C,2,FALSE)</f>
        <v>•	成果照片/影片，截圖及錄像</v>
      </c>
    </row>
    <row r="18" spans="1:11" ht="60">
      <c r="A18" s="199">
        <v>16</v>
      </c>
      <c r="B18" s="185" t="s">
        <v>443</v>
      </c>
      <c r="C18" s="184" t="s">
        <v>258</v>
      </c>
      <c r="D18" s="181" t="s">
        <v>263</v>
      </c>
      <c r="E18" s="177">
        <v>1</v>
      </c>
      <c r="F18" s="177">
        <v>0</v>
      </c>
      <c r="G18" s="192">
        <f t="shared" si="0"/>
        <v>0</v>
      </c>
      <c r="H18" s="193">
        <f t="shared" si="1"/>
        <v>-1</v>
      </c>
      <c r="I18" s="177"/>
      <c r="J18" s="179">
        <v>50000</v>
      </c>
      <c r="K18" s="222" t="str">
        <f>VLOOKUP(B18,Checklist!B:C,2,FALSE)</f>
        <v>•	成果照片/影片，截圖及錄像</v>
      </c>
    </row>
    <row r="19" spans="1:11" ht="24.75" thickBot="1">
      <c r="A19" s="199">
        <v>17</v>
      </c>
      <c r="B19" s="186" t="s">
        <v>414</v>
      </c>
      <c r="C19" s="210" t="s">
        <v>259</v>
      </c>
      <c r="D19" s="187" t="s">
        <v>259</v>
      </c>
      <c r="E19" s="194">
        <v>1</v>
      </c>
      <c r="F19" s="194">
        <v>0</v>
      </c>
      <c r="G19" s="195">
        <f t="shared" ref="G19" si="2">F19/E19</f>
        <v>0</v>
      </c>
      <c r="H19" s="196">
        <f t="shared" ref="H19" si="3">F19-E19</f>
        <v>-1</v>
      </c>
      <c r="I19" s="177"/>
      <c r="J19" s="179">
        <v>10000</v>
      </c>
      <c r="K19" s="222" t="str">
        <f>VLOOKUP(B19,Checklist!B:C,2,FALSE)</f>
        <v>•	核數報告</v>
      </c>
    </row>
    <row r="22" spans="1:11" ht="15.25" thickBot="1">
      <c r="J22" s="209">
        <f>SUM(J3:J21)</f>
        <v>1258000</v>
      </c>
    </row>
    <row r="23" spans="1:11" ht="15.25" thickTop="1"/>
  </sheetData>
  <phoneticPr fontId="29" type="noConversion"/>
  <conditionalFormatting sqref="G2:G19">
    <cfRule type="dataBar" priority="4">
      <dataBar>
        <cfvo type="percent" val="0"/>
        <cfvo type="percent" val="100"/>
        <color rgb="FF00B050"/>
      </dataBar>
      <extLst>
        <ext xmlns:x14="http://schemas.microsoft.com/office/spreadsheetml/2009/9/main" uri="{B025F937-C7B1-47D3-B67F-A62EFF666E3E}">
          <x14:id>{B5C14246-767A-4785-8B05-C2C7CB4F304D}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5C14246-767A-4785-8B05-C2C7CB4F304D}">
            <x14:dataBar minLength="0" maxLength="100" gradient="0">
              <x14:cfvo type="percent">
                <xm:f>0</xm:f>
              </x14:cfvo>
              <x14:cfvo type="percent">
                <xm:f>100</xm:f>
              </x14:cfvo>
              <x14:negativeFillColor rgb="FFFF0000"/>
              <x14:axisColor rgb="FF000000"/>
            </x14:dataBar>
          </x14:cfRule>
          <xm:sqref>G2:G19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4FD5682-0966-4F2C-85A7-A6952AF31D5A}">
          <x14:formula1>
            <xm:f>Checklist!$B$2:$B$16</xm:f>
          </x14:formula1>
          <xm:sqref>B3:B19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2AF0E-56D5-442E-B7A6-9A3682520DB1}">
  <sheetPr codeName="Sheet11">
    <tabColor rgb="FFFF33CC"/>
  </sheetPr>
  <dimension ref="A1:D29"/>
  <sheetViews>
    <sheetView workbookViewId="0">
      <selection activeCell="C19" sqref="C19"/>
    </sheetView>
  </sheetViews>
  <sheetFormatPr defaultRowHeight="15"/>
  <cols>
    <col min="1" max="1" width="87" customWidth="1"/>
    <col min="2" max="2" width="12" customWidth="1"/>
    <col min="3" max="3" width="14.85546875" customWidth="1"/>
  </cols>
  <sheetData>
    <row r="1" spans="1:4">
      <c r="A1" s="223"/>
      <c r="B1" s="109"/>
      <c r="C1" s="223"/>
      <c r="D1" s="223"/>
    </row>
    <row r="2" spans="1:4">
      <c r="A2" s="223" t="s">
        <v>273</v>
      </c>
      <c r="B2" s="109"/>
      <c r="C2" s="223" t="s">
        <v>266</v>
      </c>
      <c r="D2" s="223"/>
    </row>
    <row r="3" spans="1:4">
      <c r="A3" s="223" t="s">
        <v>277</v>
      </c>
      <c r="B3" s="109"/>
      <c r="C3" s="226"/>
      <c r="D3" s="223"/>
    </row>
    <row r="4" spans="1:4">
      <c r="A4" s="223"/>
      <c r="B4" s="109"/>
      <c r="C4" s="226"/>
      <c r="D4" s="223"/>
    </row>
    <row r="5" spans="1:4" ht="15.75" thickBot="1">
      <c r="A5" s="223" t="s">
        <v>278</v>
      </c>
      <c r="B5" s="109"/>
      <c r="C5" s="227">
        <f>SUM(C3:C4)</f>
        <v>0</v>
      </c>
      <c r="D5" s="223"/>
    </row>
    <row r="6" spans="1:4" ht="15.75" thickTop="1">
      <c r="A6" s="223"/>
      <c r="B6" s="109"/>
      <c r="C6" s="223"/>
      <c r="D6" s="223"/>
    </row>
    <row r="7" spans="1:4">
      <c r="A7" s="223" t="s">
        <v>279</v>
      </c>
      <c r="B7" s="109"/>
      <c r="C7" s="223"/>
      <c r="D7" s="223"/>
    </row>
    <row r="8" spans="1:4">
      <c r="A8" s="224" t="s">
        <v>396</v>
      </c>
      <c r="B8" s="109"/>
      <c r="C8" s="226">
        <f>SUMIF(付款情況!B9:B30,A8,付款情況!H9:H30)</f>
        <v>0</v>
      </c>
      <c r="D8" s="223"/>
    </row>
    <row r="9" spans="1:4">
      <c r="A9" s="224" t="s">
        <v>398</v>
      </c>
      <c r="B9" s="109"/>
      <c r="C9" s="226">
        <f>SUMIF(付款情況!B9:B30,A9,付款情況!H9:H30)</f>
        <v>0</v>
      </c>
      <c r="D9" s="223"/>
    </row>
    <row r="10" spans="1:4">
      <c r="A10" s="224" t="s">
        <v>433</v>
      </c>
      <c r="B10" s="109"/>
      <c r="C10" s="226">
        <f>SUMIF(付款情況!B9:B30,A10,付款情況!H9:H30)</f>
        <v>0</v>
      </c>
      <c r="D10" s="223"/>
    </row>
    <row r="11" spans="1:4">
      <c r="A11" s="224" t="s">
        <v>434</v>
      </c>
      <c r="B11" s="109"/>
      <c r="C11" s="226">
        <f>SUMIF(付款情況!B9:B30,A11,付款情況!H9:H30)</f>
        <v>0</v>
      </c>
      <c r="D11" s="223"/>
    </row>
    <row r="12" spans="1:4">
      <c r="A12" s="224" t="s">
        <v>435</v>
      </c>
      <c r="B12" s="109"/>
      <c r="C12" s="226">
        <f>SUMIF(付款情況!B9:B30,A12,付款情況!H9:H30)</f>
        <v>0</v>
      </c>
      <c r="D12" s="223"/>
    </row>
    <row r="13" spans="1:4">
      <c r="A13" s="224" t="s">
        <v>436</v>
      </c>
      <c r="B13" s="109"/>
      <c r="C13" s="226">
        <f>SUMIF(付款情況!B9:B30,A13,付款情況!H9:H30)</f>
        <v>0</v>
      </c>
      <c r="D13" s="223"/>
    </row>
    <row r="14" spans="1:4">
      <c r="A14" s="224" t="s">
        <v>437</v>
      </c>
      <c r="B14" s="109"/>
      <c r="C14" s="226">
        <f>SUMIF(付款情況!B9:B30,A14,付款情況!H9:H30)</f>
        <v>0</v>
      </c>
      <c r="D14" s="223"/>
    </row>
    <row r="15" spans="1:4">
      <c r="A15" s="224" t="s">
        <v>405</v>
      </c>
      <c r="B15" s="109"/>
      <c r="C15" s="226">
        <f>SUMIF(付款情況!B9:B30,A15,付款情況!H9:H30)</f>
        <v>0</v>
      </c>
      <c r="D15" s="223"/>
    </row>
    <row r="16" spans="1:4">
      <c r="A16" s="224" t="s">
        <v>438</v>
      </c>
      <c r="B16" s="109"/>
      <c r="C16" s="226">
        <f>SUMIF(付款情況!B9:B30,A16,付款情況!H9:H30)</f>
        <v>0</v>
      </c>
      <c r="D16" s="223"/>
    </row>
    <row r="17" spans="1:4">
      <c r="A17" s="224" t="s">
        <v>408</v>
      </c>
      <c r="B17" s="109"/>
      <c r="C17" s="226">
        <f>SUMIF(付款情況!B9:B30,A17,付款情況!H9:H30)</f>
        <v>0</v>
      </c>
      <c r="D17" s="223"/>
    </row>
    <row r="18" spans="1:4" ht="29">
      <c r="A18" s="228" t="s">
        <v>441</v>
      </c>
      <c r="B18" s="109"/>
      <c r="C18" s="226">
        <f>SUMIF(付款情況!B9:B30,A18,付款情況!H9:H30)</f>
        <v>0</v>
      </c>
      <c r="D18" s="223"/>
    </row>
    <row r="19" spans="1:4">
      <c r="A19" s="224" t="s">
        <v>439</v>
      </c>
      <c r="B19" s="109"/>
      <c r="C19" s="226">
        <f>SUMIF(付款情況!B9:B30,A19,付款情況!H9:H30)</f>
        <v>0</v>
      </c>
      <c r="D19" s="223"/>
    </row>
    <row r="20" spans="1:4">
      <c r="A20" s="224" t="s">
        <v>440</v>
      </c>
      <c r="B20" s="109"/>
      <c r="C20" s="226">
        <f>SUMIF(付款情況!B9:B30,A20,付款情況!H9:H30)</f>
        <v>0</v>
      </c>
      <c r="D20" s="223"/>
    </row>
    <row r="21" spans="1:4">
      <c r="A21" s="224" t="s">
        <v>412</v>
      </c>
      <c r="B21" s="109"/>
      <c r="C21" s="226">
        <f>SUMIF(付款情況!B9:B30,A21,付款情況!H9:H30)</f>
        <v>0</v>
      </c>
      <c r="D21" s="223"/>
    </row>
    <row r="22" spans="1:4">
      <c r="A22" s="223" t="s">
        <v>414</v>
      </c>
      <c r="B22" s="109"/>
      <c r="C22" s="226">
        <f>SUMIF(付款情況!B9:B30,A22,付款情況!H9:H30)</f>
        <v>0</v>
      </c>
      <c r="D22" s="223" t="s">
        <v>280</v>
      </c>
    </row>
    <row r="23" spans="1:4">
      <c r="A23" s="223"/>
      <c r="B23" s="109"/>
      <c r="C23" s="226"/>
    </row>
    <row r="24" spans="1:4" ht="15.75" thickBot="1">
      <c r="A24" s="223"/>
      <c r="B24" s="109"/>
      <c r="C24" s="227">
        <f>SUM(C8:C23)</f>
        <v>0</v>
      </c>
      <c r="D24" s="223"/>
    </row>
    <row r="25" spans="1:4" ht="15.75" thickTop="1">
      <c r="A25" s="223"/>
      <c r="B25" s="109"/>
      <c r="C25" s="226"/>
      <c r="D25" s="223"/>
    </row>
    <row r="26" spans="1:4">
      <c r="A26" s="223"/>
      <c r="B26" s="109"/>
      <c r="C26" s="226"/>
      <c r="D26" s="223"/>
    </row>
    <row r="27" spans="1:4" ht="15.75" thickBot="1">
      <c r="A27" s="223" t="s">
        <v>281</v>
      </c>
      <c r="B27" s="109"/>
      <c r="C27" s="227">
        <f>C5-C24</f>
        <v>0</v>
      </c>
      <c r="D27" s="223"/>
    </row>
    <row r="28" spans="1:4" ht="15.75" thickTop="1">
      <c r="A28" s="225"/>
      <c r="B28" s="109"/>
      <c r="C28" s="225"/>
      <c r="D28" s="225"/>
    </row>
    <row r="29" spans="1:4">
      <c r="A29" s="225"/>
      <c r="C29" s="225"/>
      <c r="D29" s="225"/>
    </row>
  </sheetData>
  <phoneticPr fontId="2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EEF3-C95A-489A-ACAF-6B884B4C9C9E}">
  <sheetPr codeName="Sheet16"/>
  <dimension ref="A1:Z18"/>
  <sheetViews>
    <sheetView workbookViewId="0">
      <selection activeCell="K29" sqref="K29"/>
    </sheetView>
  </sheetViews>
  <sheetFormatPr defaultColWidth="8.7109375" defaultRowHeight="14.75"/>
  <cols>
    <col min="1" max="1" width="2.7109375" style="211" customWidth="1"/>
    <col min="2" max="2" width="11.42578125" style="211" customWidth="1"/>
    <col min="3" max="7" width="17.85546875" style="211" customWidth="1"/>
    <col min="8" max="8" width="8.7109375" style="211"/>
    <col min="9" max="9" width="3.85546875" style="211" customWidth="1"/>
    <col min="10" max="10" width="8.7109375" style="211"/>
    <col min="11" max="11" width="3.7109375" style="211" customWidth="1"/>
    <col min="12" max="17" width="15.85546875" style="211" customWidth="1"/>
    <col min="18" max="16384" width="8.7109375" style="211"/>
  </cols>
  <sheetData>
    <row r="1" spans="1:26" ht="15.25">
      <c r="A1" s="232"/>
      <c r="B1" s="97" t="s">
        <v>445</v>
      </c>
      <c r="C1" s="97" t="s">
        <v>446</v>
      </c>
      <c r="D1" s="97" t="s">
        <v>447</v>
      </c>
      <c r="E1" s="231" t="s">
        <v>450</v>
      </c>
      <c r="F1" s="231" t="s">
        <v>448</v>
      </c>
      <c r="G1" s="231" t="s">
        <v>449</v>
      </c>
      <c r="H1" s="232"/>
      <c r="I1" s="232"/>
      <c r="J1" s="232"/>
      <c r="L1" s="235" t="s">
        <v>454</v>
      </c>
      <c r="N1" s="233"/>
      <c r="P1" s="233"/>
      <c r="Q1" s="232"/>
      <c r="R1" s="232"/>
      <c r="S1" s="232"/>
      <c r="T1" s="232"/>
      <c r="U1" s="232"/>
      <c r="V1" s="232"/>
      <c r="W1" s="232"/>
      <c r="X1" s="232"/>
      <c r="Y1" s="232"/>
      <c r="Z1" s="232"/>
    </row>
    <row r="2" spans="1:26" ht="15.2" customHeight="1">
      <c r="A2" s="232"/>
      <c r="B2" s="97"/>
      <c r="C2" s="97"/>
      <c r="D2" s="97"/>
      <c r="E2" s="231"/>
      <c r="F2" s="231"/>
      <c r="G2" s="231"/>
      <c r="L2" s="235" t="s">
        <v>451</v>
      </c>
      <c r="N2" s="236" t="s">
        <v>452</v>
      </c>
      <c r="P2" s="233" t="s">
        <v>453</v>
      </c>
    </row>
    <row r="3" spans="1:26">
      <c r="A3" s="211">
        <v>1</v>
      </c>
      <c r="F3" s="233"/>
      <c r="G3" s="233"/>
      <c r="K3" s="211">
        <v>1</v>
      </c>
      <c r="L3" s="235"/>
      <c r="N3" s="233"/>
      <c r="P3" s="233"/>
    </row>
    <row r="4" spans="1:26">
      <c r="A4" s="211">
        <v>2</v>
      </c>
      <c r="F4" s="233"/>
      <c r="G4" s="233"/>
      <c r="K4" s="211">
        <v>2</v>
      </c>
      <c r="L4" s="235"/>
      <c r="N4" s="233"/>
      <c r="P4" s="233"/>
    </row>
    <row r="5" spans="1:26">
      <c r="A5" s="211">
        <v>3</v>
      </c>
      <c r="F5" s="233"/>
      <c r="G5" s="233"/>
      <c r="K5" s="211">
        <v>3</v>
      </c>
      <c r="L5" s="235"/>
      <c r="N5" s="233"/>
      <c r="P5" s="233"/>
    </row>
    <row r="6" spans="1:26">
      <c r="A6" s="211">
        <v>4</v>
      </c>
      <c r="F6" s="233"/>
      <c r="G6" s="233"/>
      <c r="K6" s="211">
        <v>4</v>
      </c>
      <c r="L6" s="235"/>
      <c r="N6" s="233"/>
      <c r="P6" s="233"/>
    </row>
    <row r="7" spans="1:26">
      <c r="A7" s="211">
        <v>5</v>
      </c>
      <c r="F7" s="233"/>
      <c r="G7" s="233"/>
      <c r="K7" s="211">
        <v>5</v>
      </c>
      <c r="L7" s="235"/>
      <c r="N7" s="233"/>
      <c r="P7" s="233"/>
    </row>
    <row r="8" spans="1:26">
      <c r="A8" s="211">
        <v>6</v>
      </c>
      <c r="F8" s="233"/>
      <c r="G8" s="233"/>
      <c r="K8" s="211">
        <v>6</v>
      </c>
      <c r="L8" s="235"/>
      <c r="N8" s="233"/>
      <c r="P8" s="233"/>
    </row>
    <row r="9" spans="1:26">
      <c r="A9" s="211">
        <v>7</v>
      </c>
      <c r="F9" s="233"/>
      <c r="G9" s="233"/>
      <c r="K9" s="211">
        <v>7</v>
      </c>
      <c r="L9" s="235"/>
      <c r="N9" s="233"/>
      <c r="P9" s="233"/>
    </row>
    <row r="10" spans="1:26">
      <c r="A10" s="211">
        <v>8</v>
      </c>
      <c r="F10" s="233"/>
      <c r="G10" s="233"/>
      <c r="K10" s="211">
        <v>8</v>
      </c>
      <c r="L10" s="235"/>
      <c r="N10" s="233"/>
      <c r="P10" s="233"/>
    </row>
    <row r="11" spans="1:26">
      <c r="A11" s="211">
        <v>9</v>
      </c>
      <c r="F11" s="233"/>
      <c r="G11" s="233"/>
      <c r="K11" s="211">
        <v>9</v>
      </c>
      <c r="L11" s="235"/>
      <c r="N11" s="233"/>
      <c r="P11" s="233"/>
    </row>
    <row r="12" spans="1:26">
      <c r="A12" s="211">
        <v>10</v>
      </c>
      <c r="F12" s="233"/>
      <c r="G12" s="233"/>
      <c r="K12" s="211">
        <v>10</v>
      </c>
      <c r="L12" s="235"/>
      <c r="N12" s="233"/>
      <c r="P12" s="233"/>
    </row>
    <row r="13" spans="1:26">
      <c r="A13" s="211">
        <v>11</v>
      </c>
      <c r="F13" s="233"/>
      <c r="G13" s="233"/>
      <c r="K13" s="211">
        <v>11</v>
      </c>
      <c r="L13" s="235"/>
      <c r="N13" s="233"/>
      <c r="P13" s="233"/>
    </row>
    <row r="14" spans="1:26">
      <c r="A14" s="211">
        <v>12</v>
      </c>
      <c r="F14" s="233"/>
      <c r="G14" s="233"/>
      <c r="K14" s="211">
        <v>12</v>
      </c>
      <c r="L14" s="235"/>
      <c r="N14" s="233"/>
      <c r="P14" s="233"/>
    </row>
    <row r="15" spans="1:26">
      <c r="A15" s="211">
        <v>13</v>
      </c>
      <c r="K15" s="211">
        <v>13</v>
      </c>
      <c r="L15" s="235"/>
      <c r="N15" s="233"/>
      <c r="P15" s="233"/>
    </row>
    <row r="16" spans="1:26">
      <c r="L16" s="235"/>
      <c r="N16" s="233"/>
      <c r="P16" s="233"/>
    </row>
    <row r="17" spans="6:16" ht="15.5" thickBot="1">
      <c r="F17" s="234">
        <f>SUM(F3:F14)</f>
        <v>0</v>
      </c>
      <c r="G17" s="234">
        <f>SUM(G3:G14)</f>
        <v>0</v>
      </c>
      <c r="L17" s="235"/>
      <c r="N17" s="234">
        <f>SUM(N3:N16)</f>
        <v>0</v>
      </c>
      <c r="P17" s="234">
        <f>SUM(P3:P16)</f>
        <v>0</v>
      </c>
    </row>
    <row r="18" spans="6:16" ht="15.5" thickTop="1">
      <c r="L18" s="235"/>
      <c r="N18" s="233"/>
      <c r="P18" s="233"/>
    </row>
  </sheetData>
  <phoneticPr fontId="2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27CD-2421-46EC-AA2A-B3E004003344}">
  <dimension ref="A1:N60"/>
  <sheetViews>
    <sheetView tabSelected="1" workbookViewId="0">
      <selection activeCell="P21" sqref="P21"/>
    </sheetView>
  </sheetViews>
  <sheetFormatPr defaultRowHeight="15"/>
  <cols>
    <col min="1" max="1" width="15.90234375" customWidth="1"/>
    <col min="2" max="2" width="6.1875" customWidth="1"/>
    <col min="3" max="3" width="23.046875" customWidth="1"/>
    <col min="4" max="4" width="6.046875" customWidth="1"/>
    <col min="5" max="5" width="9.6171875" customWidth="1"/>
    <col min="6" max="6" width="1.47265625" customWidth="1"/>
    <col min="7" max="7" width="12.90234375" customWidth="1"/>
    <col min="8" max="8" width="18.6171875" style="68" customWidth="1"/>
    <col min="9" max="9" width="12.33203125" style="68" customWidth="1"/>
    <col min="10" max="10" width="18.76171875" style="68" customWidth="1"/>
    <col min="11" max="11" width="9.6171875" style="68" customWidth="1"/>
    <col min="12" max="12" width="19.1875" style="68" customWidth="1"/>
    <col min="13" max="13" width="9.6171875" style="68" customWidth="1"/>
    <col min="14" max="14" width="18.76171875" style="68" customWidth="1"/>
  </cols>
  <sheetData>
    <row r="1" spans="1:14" ht="19.75" customHeight="1">
      <c r="A1" s="261" t="s">
        <v>534</v>
      </c>
      <c r="B1" s="262"/>
      <c r="C1" s="263">
        <v>45305</v>
      </c>
      <c r="D1" s="264" t="s">
        <v>535</v>
      </c>
      <c r="E1" s="263">
        <v>45670</v>
      </c>
      <c r="F1" s="265"/>
      <c r="G1" s="3"/>
      <c r="H1" s="273" t="s">
        <v>562</v>
      </c>
      <c r="I1" s="274"/>
      <c r="J1" s="274" t="s">
        <v>559</v>
      </c>
      <c r="K1" s="274"/>
      <c r="L1" s="274" t="s">
        <v>560</v>
      </c>
      <c r="M1" s="274"/>
      <c r="N1" s="274" t="s">
        <v>561</v>
      </c>
    </row>
    <row r="2" spans="1:14" ht="15.25">
      <c r="A2" s="266" t="s">
        <v>538</v>
      </c>
      <c r="B2" s="267"/>
      <c r="C2" s="268" t="s">
        <v>539</v>
      </c>
      <c r="D2" s="216"/>
      <c r="E2" s="265"/>
      <c r="F2" s="265"/>
      <c r="G2" s="283" t="s">
        <v>286</v>
      </c>
      <c r="H2" s="284" t="s">
        <v>563</v>
      </c>
      <c r="I2" s="283" t="s">
        <v>286</v>
      </c>
      <c r="J2" s="285" t="s">
        <v>536</v>
      </c>
      <c r="K2" s="283" t="s">
        <v>286</v>
      </c>
      <c r="L2" s="285" t="s">
        <v>537</v>
      </c>
      <c r="M2" s="283" t="s">
        <v>286</v>
      </c>
      <c r="N2" s="285"/>
    </row>
    <row r="3" spans="1:14">
      <c r="B3" s="265"/>
      <c r="C3" s="216" t="s">
        <v>540</v>
      </c>
      <c r="D3" s="216"/>
      <c r="E3" s="265"/>
      <c r="F3" s="265"/>
      <c r="G3" s="265"/>
      <c r="H3" s="269">
        <v>45393</v>
      </c>
      <c r="I3" s="270"/>
      <c r="J3" s="272">
        <v>45393</v>
      </c>
      <c r="K3" s="270"/>
      <c r="L3" s="272">
        <v>45393</v>
      </c>
      <c r="M3" s="270"/>
      <c r="N3" s="272"/>
    </row>
    <row r="4" spans="1:14" ht="15.25">
      <c r="A4" s="97"/>
      <c r="B4" s="265"/>
      <c r="C4" s="216" t="s">
        <v>541</v>
      </c>
      <c r="D4" s="216"/>
      <c r="E4" s="265"/>
      <c r="F4" s="265"/>
      <c r="G4" s="271" t="str">
        <f>IF(AND(H4&gt;=H3,H4&gt;=J3,H4&gt;=L3,H4&gt;=M3,H4&gt;=N3),"OK","NOT OK")</f>
        <v>OK</v>
      </c>
      <c r="H4" s="269">
        <v>45429</v>
      </c>
      <c r="I4" s="271" t="str">
        <f>IF(AND(J4&gt;=J3,J4&lt;=H5),"OK","NOT OK")</f>
        <v>NOT OK</v>
      </c>
      <c r="J4" s="272">
        <v>45433</v>
      </c>
      <c r="K4" s="271" t="str">
        <f>IF(AND(L4&gt;=L3,L4&lt;=H5),"OK","NOT OK")</f>
        <v>NOT OK</v>
      </c>
      <c r="L4" s="272">
        <v>45352</v>
      </c>
      <c r="M4" s="271" t="str">
        <f>IF(AND(N4&gt;=N3,N4&lt;=J5),"OK","NOT OK")</f>
        <v>OK</v>
      </c>
      <c r="N4" s="272"/>
    </row>
    <row r="5" spans="1:14" ht="15.25">
      <c r="A5" s="97"/>
      <c r="B5" s="265"/>
      <c r="C5" s="216" t="s">
        <v>542</v>
      </c>
      <c r="D5" s="216"/>
      <c r="E5" s="265"/>
      <c r="F5" s="265"/>
      <c r="G5" s="271" t="str">
        <f>IF(AND(H5&gt;=H4,H5&gt;=C1),"OK","NOT OK")</f>
        <v>OK</v>
      </c>
      <c r="H5" s="269">
        <v>45432</v>
      </c>
      <c r="I5" s="270"/>
      <c r="J5" s="272"/>
      <c r="K5" s="265"/>
      <c r="L5" s="272"/>
      <c r="M5" s="265"/>
      <c r="N5" s="272"/>
    </row>
    <row r="6" spans="1:14" ht="15.25">
      <c r="A6" s="97"/>
      <c r="B6" s="265"/>
      <c r="C6" s="216" t="s">
        <v>573</v>
      </c>
      <c r="D6" s="215"/>
      <c r="E6" s="265"/>
      <c r="F6" s="265"/>
      <c r="G6" s="271" t="str">
        <f>IF((H6="Yes"),"OK","NOT OK")</f>
        <v>OK</v>
      </c>
      <c r="H6" s="265" t="s">
        <v>574</v>
      </c>
      <c r="I6" s="271" t="str">
        <f>IF((J6="Yes"),"OK","NOT OK")</f>
        <v>OK</v>
      </c>
      <c r="J6" s="272" t="s">
        <v>574</v>
      </c>
      <c r="K6" s="271" t="str">
        <f>IF((L6="Yes"),"OK","NOT OK")</f>
        <v>OK</v>
      </c>
      <c r="L6" s="272" t="s">
        <v>574</v>
      </c>
      <c r="M6" s="271" t="str">
        <f>IF((N6="Yes"),"OK","NOT OK")</f>
        <v>NOT OK</v>
      </c>
      <c r="N6" s="272"/>
    </row>
    <row r="7" spans="1:14" ht="15.25">
      <c r="A7" s="97"/>
      <c r="B7" s="265"/>
      <c r="C7" s="215"/>
      <c r="D7" s="215"/>
      <c r="E7" s="265"/>
      <c r="F7" s="265"/>
      <c r="G7" s="265"/>
      <c r="H7" s="265"/>
      <c r="I7" s="265"/>
      <c r="J7" s="272"/>
      <c r="K7" s="265"/>
      <c r="L7" s="272"/>
      <c r="M7" s="265"/>
      <c r="N7" s="272"/>
    </row>
    <row r="8" spans="1:14" ht="15.25">
      <c r="A8" s="266" t="s">
        <v>538</v>
      </c>
      <c r="B8" s="267"/>
      <c r="C8" s="268" t="s">
        <v>543</v>
      </c>
      <c r="D8" s="215"/>
      <c r="E8" s="265"/>
      <c r="F8" s="265"/>
      <c r="G8" s="275" t="s">
        <v>286</v>
      </c>
      <c r="H8" s="276" t="s">
        <v>564</v>
      </c>
      <c r="I8" s="275" t="s">
        <v>286</v>
      </c>
      <c r="J8" s="277" t="s">
        <v>544</v>
      </c>
      <c r="K8" s="275" t="s">
        <v>286</v>
      </c>
      <c r="L8" s="278" t="s">
        <v>545</v>
      </c>
      <c r="M8" s="275" t="s">
        <v>286</v>
      </c>
      <c r="N8" s="277"/>
    </row>
    <row r="9" spans="1:14" ht="15.25">
      <c r="A9" s="97"/>
      <c r="B9" s="265"/>
      <c r="C9" s="216" t="s">
        <v>540</v>
      </c>
      <c r="D9" s="216"/>
      <c r="E9" s="265"/>
      <c r="F9" s="265"/>
      <c r="G9" s="265"/>
      <c r="H9" s="269">
        <v>45332</v>
      </c>
      <c r="I9" s="270"/>
      <c r="J9" s="272">
        <v>45332</v>
      </c>
      <c r="K9" s="270"/>
      <c r="L9" s="272">
        <v>45332</v>
      </c>
      <c r="M9" s="270"/>
      <c r="N9" s="272"/>
    </row>
    <row r="10" spans="1:14" ht="15.25">
      <c r="A10" s="97"/>
      <c r="B10" s="265"/>
      <c r="C10" s="216" t="s">
        <v>541</v>
      </c>
      <c r="D10" s="216"/>
      <c r="E10" s="265"/>
      <c r="F10" s="265"/>
      <c r="G10" s="271" t="str">
        <f>IF(AND(H10&gt;=H9,H10&gt;=J9,H10&gt;=L9,H10&gt;=M9,H10&gt;=N9),"OK","NOT OK")</f>
        <v>OK</v>
      </c>
      <c r="H10" s="269">
        <v>45352</v>
      </c>
      <c r="I10" s="271" t="str">
        <f>IF(AND(J10&gt;=J9,J10&lt;=H11),"OK","NOT OK")</f>
        <v>NOT OK</v>
      </c>
      <c r="J10" s="272">
        <v>45373</v>
      </c>
      <c r="K10" s="271" t="str">
        <f>IF(AND(L10&gt;=L9,L10&lt;=H11),"OK","NOT OK")</f>
        <v>NOT OK</v>
      </c>
      <c r="L10" s="272">
        <v>45404</v>
      </c>
      <c r="M10" s="271" t="str">
        <f>IF(AND(N10&gt;=N9,N10&lt;=J11),"OK","NOT OK")</f>
        <v>OK</v>
      </c>
      <c r="N10" s="272"/>
    </row>
    <row r="11" spans="1:14" ht="15.25">
      <c r="A11" s="97"/>
      <c r="B11" s="265"/>
      <c r="C11" s="216" t="s">
        <v>542</v>
      </c>
      <c r="D11" s="216"/>
      <c r="E11" s="265"/>
      <c r="F11" s="265"/>
      <c r="G11" s="271" t="str">
        <f>IF(AND(H11&gt;=H10,H11&gt;=C1),"OK","NOT OK")</f>
        <v>OK</v>
      </c>
      <c r="H11" s="269">
        <v>45355</v>
      </c>
      <c r="I11" s="270"/>
      <c r="J11" s="272"/>
      <c r="K11" s="265"/>
      <c r="L11" s="272"/>
      <c r="M11" s="265"/>
      <c r="N11" s="272"/>
    </row>
    <row r="12" spans="1:14" ht="15.25">
      <c r="A12" s="97"/>
      <c r="B12" s="265"/>
      <c r="C12" s="216" t="s">
        <v>573</v>
      </c>
      <c r="D12" s="215"/>
      <c r="E12" s="265"/>
      <c r="F12" s="265"/>
      <c r="G12" s="271" t="str">
        <f>IF((H12="Yes"),"OK","NOT OK")</f>
        <v>OK</v>
      </c>
      <c r="H12" s="265" t="s">
        <v>574</v>
      </c>
      <c r="I12" s="271" t="str">
        <f>IF((J12="Yes"),"OK","NOT OK")</f>
        <v>OK</v>
      </c>
      <c r="J12" s="272" t="s">
        <v>574</v>
      </c>
      <c r="K12" s="271" t="str">
        <f>IF((L12="Yes"),"OK","NOT OK")</f>
        <v>NOT OK</v>
      </c>
      <c r="L12" s="272"/>
      <c r="M12" s="271" t="str">
        <f>IF((N12="Yes"),"OK","NOT OK")</f>
        <v>NOT OK</v>
      </c>
      <c r="N12" s="272"/>
    </row>
    <row r="13" spans="1:14">
      <c r="J13" s="272"/>
      <c r="L13" s="272"/>
      <c r="N13" s="272"/>
    </row>
    <row r="14" spans="1:14" ht="15.25">
      <c r="A14" s="266" t="s">
        <v>538</v>
      </c>
      <c r="B14" s="267"/>
      <c r="C14" s="268" t="s">
        <v>546</v>
      </c>
      <c r="D14" s="215"/>
      <c r="E14" s="265"/>
      <c r="F14" s="265"/>
      <c r="G14" s="275" t="s">
        <v>286</v>
      </c>
      <c r="H14" s="276" t="s">
        <v>565</v>
      </c>
      <c r="I14" s="275" t="s">
        <v>286</v>
      </c>
      <c r="J14" s="277" t="s">
        <v>547</v>
      </c>
      <c r="K14" s="275" t="s">
        <v>286</v>
      </c>
      <c r="L14" s="277"/>
      <c r="M14" s="275" t="s">
        <v>286</v>
      </c>
      <c r="N14" s="277"/>
    </row>
    <row r="15" spans="1:14" ht="15.25">
      <c r="A15" s="97"/>
      <c r="B15" s="265"/>
      <c r="C15" s="216" t="s">
        <v>540</v>
      </c>
      <c r="D15" s="216"/>
      <c r="E15" s="265"/>
      <c r="F15" s="265"/>
      <c r="G15" s="265"/>
      <c r="H15" s="269">
        <v>45393</v>
      </c>
      <c r="I15" s="270"/>
      <c r="J15" s="272">
        <v>45393</v>
      </c>
      <c r="K15" s="270"/>
      <c r="L15" s="269"/>
      <c r="M15" s="270"/>
      <c r="N15" s="272"/>
    </row>
    <row r="16" spans="1:14" ht="15.25">
      <c r="A16" s="97"/>
      <c r="B16" s="265"/>
      <c r="C16" s="216" t="s">
        <v>541</v>
      </c>
      <c r="D16" s="216"/>
      <c r="E16" s="265"/>
      <c r="F16" s="265"/>
      <c r="G16" s="271" t="str">
        <f>IF(AND(H16&gt;=H15,H16&gt;=J15,H16&gt;=L15,H16&gt;=M15,H16&gt;=N15),"OK","NOT OK")</f>
        <v>OK</v>
      </c>
      <c r="H16" s="269">
        <v>45448</v>
      </c>
      <c r="I16" s="271" t="str">
        <f>IF(AND(J16&gt;=J15,J16&lt;=H17),"OK","NOT OK")</f>
        <v>NOT OK</v>
      </c>
      <c r="J16" s="272">
        <v>45587</v>
      </c>
      <c r="K16" s="271" t="str">
        <f>IF(AND(L16&gt;=L15,L16&lt;=H17),"OK","NOT OK")</f>
        <v>OK</v>
      </c>
      <c r="L16" s="269"/>
      <c r="M16" s="271" t="str">
        <f>IF(AND(N16&gt;=N15,N16&lt;=J17),"OK","NOT OK")</f>
        <v>OK</v>
      </c>
      <c r="N16" s="272"/>
    </row>
    <row r="17" spans="1:14" ht="15.25">
      <c r="A17" s="97"/>
      <c r="B17" s="265"/>
      <c r="C17" s="216" t="s">
        <v>542</v>
      </c>
      <c r="D17" s="216"/>
      <c r="E17" s="265"/>
      <c r="F17" s="265"/>
      <c r="G17" s="271" t="str">
        <f>IF(AND(H17&gt;=H16,H17&gt;=C1),"OK","NOT OK")</f>
        <v>OK</v>
      </c>
      <c r="H17" s="269">
        <v>45455</v>
      </c>
      <c r="I17" s="270"/>
      <c r="J17" s="272"/>
      <c r="K17" s="265"/>
      <c r="L17" s="269"/>
      <c r="M17" s="265"/>
      <c r="N17" s="272"/>
    </row>
    <row r="18" spans="1:14" ht="15.25">
      <c r="A18" s="97"/>
      <c r="B18" s="265"/>
      <c r="C18" s="216" t="s">
        <v>573</v>
      </c>
      <c r="D18" s="215"/>
      <c r="E18" s="265"/>
      <c r="F18" s="265"/>
      <c r="G18" s="271" t="str">
        <f>IF((H18="Yes"),"OK","NOT OK")</f>
        <v>OK</v>
      </c>
      <c r="H18" s="265" t="s">
        <v>574</v>
      </c>
      <c r="I18" s="271" t="str">
        <f>IF((J18="Yes"),"OK","NOT OK")</f>
        <v>OK</v>
      </c>
      <c r="J18" s="272" t="s">
        <v>574</v>
      </c>
      <c r="K18" s="271" t="str">
        <f>IF((L18="Yes"),"OK","NOT OK")</f>
        <v>NOT OK</v>
      </c>
      <c r="L18" s="272"/>
      <c r="M18" s="271" t="str">
        <f>IF((N18="Yes"),"OK","NOT OK")</f>
        <v>NOT OK</v>
      </c>
      <c r="N18" s="272"/>
    </row>
    <row r="19" spans="1:14">
      <c r="J19" s="269"/>
      <c r="L19" s="269"/>
      <c r="N19" s="269"/>
    </row>
    <row r="20" spans="1:14" ht="15.25">
      <c r="A20" s="266" t="s">
        <v>538</v>
      </c>
      <c r="B20" s="267"/>
      <c r="C20" s="268" t="s">
        <v>548</v>
      </c>
      <c r="D20" s="215"/>
      <c r="E20" s="265"/>
      <c r="F20" s="265"/>
      <c r="G20" s="275" t="s">
        <v>286</v>
      </c>
      <c r="H20" s="276" t="s">
        <v>566</v>
      </c>
      <c r="I20" s="275" t="s">
        <v>286</v>
      </c>
      <c r="J20" s="279" t="s">
        <v>549</v>
      </c>
      <c r="K20" s="275" t="s">
        <v>286</v>
      </c>
      <c r="L20" s="279"/>
      <c r="M20" s="275" t="s">
        <v>286</v>
      </c>
      <c r="N20" s="279"/>
    </row>
    <row r="21" spans="1:14" ht="15.25">
      <c r="A21" s="97"/>
      <c r="B21" s="265"/>
      <c r="C21" s="216" t="s">
        <v>540</v>
      </c>
      <c r="D21" s="216"/>
      <c r="E21" s="265"/>
      <c r="F21" s="265"/>
      <c r="G21" s="265"/>
      <c r="H21" s="269">
        <v>45393</v>
      </c>
      <c r="I21" s="270"/>
      <c r="J21" s="269">
        <v>45393</v>
      </c>
      <c r="K21" s="270"/>
      <c r="L21" s="269"/>
      <c r="M21" s="270"/>
      <c r="N21" s="269"/>
    </row>
    <row r="22" spans="1:14" ht="15.25">
      <c r="A22" s="97"/>
      <c r="B22" s="265"/>
      <c r="C22" s="216" t="s">
        <v>541</v>
      </c>
      <c r="D22" s="216"/>
      <c r="E22" s="265"/>
      <c r="F22" s="265"/>
      <c r="G22" s="271" t="str">
        <f>IF(AND(H22&gt;=H21,H22&gt;=J21,H22&gt;=L21,H22&gt;=M21,H22&gt;=N21),"OK","NOT OK")</f>
        <v>OK</v>
      </c>
      <c r="H22" s="269">
        <v>45511</v>
      </c>
      <c r="I22" s="271" t="str">
        <f>IF(AND(J22&gt;=J21,J22&lt;=H23),"OK","NOT OK")</f>
        <v>OK</v>
      </c>
      <c r="J22" s="269">
        <v>45503</v>
      </c>
      <c r="K22" s="271" t="str">
        <f>IF(AND(L22&gt;=L21,L22&lt;=H23),"OK","NOT OK")</f>
        <v>OK</v>
      </c>
      <c r="L22" s="269"/>
      <c r="M22" s="271" t="str">
        <f>IF(AND(N22&gt;=N21,N22&lt;=J23),"OK","NOT OK")</f>
        <v>OK</v>
      </c>
      <c r="N22" s="269"/>
    </row>
    <row r="23" spans="1:14" ht="15.25">
      <c r="A23" s="97"/>
      <c r="B23" s="265"/>
      <c r="C23" s="216" t="s">
        <v>542</v>
      </c>
      <c r="D23" s="216"/>
      <c r="E23" s="265"/>
      <c r="F23" s="265"/>
      <c r="G23" s="271" t="str">
        <f>IF(AND(H23&gt;=H22,H23&gt;=C1),"OK","NOT OK")</f>
        <v>OK</v>
      </c>
      <c r="H23" s="269">
        <v>45523</v>
      </c>
      <c r="I23" s="270"/>
      <c r="J23" s="269"/>
      <c r="K23" s="265"/>
      <c r="L23" s="269"/>
      <c r="M23" s="265"/>
      <c r="N23" s="269"/>
    </row>
    <row r="24" spans="1:14" ht="15.25">
      <c r="A24" s="97"/>
      <c r="B24" s="265"/>
      <c r="C24" s="216" t="s">
        <v>573</v>
      </c>
      <c r="D24" s="215"/>
      <c r="E24" s="265"/>
      <c r="F24" s="265"/>
      <c r="G24" s="271" t="str">
        <f>IF((H24="Yes"),"OK","NOT OK")</f>
        <v>OK</v>
      </c>
      <c r="H24" s="265" t="s">
        <v>574</v>
      </c>
      <c r="I24" s="271" t="str">
        <f>IF((J24="Yes"),"OK","NOT OK")</f>
        <v>OK</v>
      </c>
      <c r="J24" s="272" t="s">
        <v>574</v>
      </c>
      <c r="K24" s="271" t="str">
        <f>IF((L24="Yes"),"OK","NOT OK")</f>
        <v>NOT OK</v>
      </c>
      <c r="L24" s="272"/>
      <c r="M24" s="271" t="str">
        <f>IF((N24="Yes"),"OK","NOT OK")</f>
        <v>NOT OK</v>
      </c>
      <c r="N24" s="272"/>
    </row>
    <row r="25" spans="1:14">
      <c r="J25" s="269"/>
      <c r="L25" s="269"/>
      <c r="N25" s="269"/>
    </row>
    <row r="26" spans="1:14" ht="15.25">
      <c r="A26" s="266" t="s">
        <v>538</v>
      </c>
      <c r="B26" s="267"/>
      <c r="C26" s="268" t="s">
        <v>550</v>
      </c>
      <c r="D26" s="215"/>
      <c r="E26" s="265"/>
      <c r="F26" s="265"/>
      <c r="G26" s="275" t="s">
        <v>286</v>
      </c>
      <c r="H26" s="276" t="s">
        <v>567</v>
      </c>
      <c r="I26" s="275" t="s">
        <v>286</v>
      </c>
      <c r="J26" s="280" t="s">
        <v>551</v>
      </c>
      <c r="K26" s="275" t="s">
        <v>286</v>
      </c>
      <c r="L26" s="281" t="s">
        <v>552</v>
      </c>
      <c r="M26" s="275" t="s">
        <v>286</v>
      </c>
      <c r="N26" s="280"/>
    </row>
    <row r="27" spans="1:14" ht="15.25">
      <c r="A27" s="97"/>
      <c r="B27" s="265"/>
      <c r="C27" s="216" t="s">
        <v>540</v>
      </c>
      <c r="D27" s="216"/>
      <c r="E27" s="265"/>
      <c r="F27" s="265"/>
      <c r="G27" s="265"/>
      <c r="H27" s="269">
        <v>45318</v>
      </c>
      <c r="I27" s="270"/>
      <c r="J27" s="269">
        <v>45318</v>
      </c>
      <c r="K27" s="270"/>
      <c r="L27" s="269">
        <v>45318</v>
      </c>
      <c r="M27" s="270"/>
      <c r="N27" s="269"/>
    </row>
    <row r="28" spans="1:14" ht="15.25">
      <c r="A28" s="97"/>
      <c r="B28" s="265"/>
      <c r="C28" s="216" t="s">
        <v>541</v>
      </c>
      <c r="D28" s="216"/>
      <c r="E28" s="265"/>
      <c r="F28" s="265"/>
      <c r="G28" s="271" t="str">
        <f>IF(AND(H28&gt;=H27,H28&gt;=J27,H28&gt;=L27,H28&gt;=M27,H28&gt;=N27),"OK","NOT OK")</f>
        <v>OK</v>
      </c>
      <c r="H28" s="269">
        <v>45376</v>
      </c>
      <c r="I28" s="271" t="str">
        <f>IF(AND(J28&gt;=J27,J28&lt;=H29),"OK","NOT OK")</f>
        <v>OK</v>
      </c>
      <c r="J28" s="269">
        <v>45351</v>
      </c>
      <c r="K28" s="271" t="str">
        <f>IF(AND(L28&gt;=L27,L28&lt;=H29),"OK","NOT OK")</f>
        <v>OK</v>
      </c>
      <c r="L28" s="269">
        <v>45352</v>
      </c>
      <c r="M28" s="271" t="str">
        <f>IF(AND(N28&gt;=N27,N28&lt;=J29),"OK","NOT OK")</f>
        <v>OK</v>
      </c>
      <c r="N28" s="269"/>
    </row>
    <row r="29" spans="1:14" ht="15.25">
      <c r="A29" s="97"/>
      <c r="B29" s="265"/>
      <c r="C29" s="216" t="s">
        <v>542</v>
      </c>
      <c r="D29" s="216"/>
      <c r="E29" s="265"/>
      <c r="F29" s="265"/>
      <c r="G29" s="271" t="str">
        <f>IF(AND(H29&gt;=H28,H29&gt;=C1),"OK","NOT OK")</f>
        <v>OK</v>
      </c>
      <c r="H29" s="269">
        <v>45384</v>
      </c>
      <c r="I29" s="270"/>
      <c r="J29" s="269"/>
      <c r="K29" s="265"/>
      <c r="L29" s="269"/>
      <c r="M29" s="265"/>
      <c r="N29" s="269"/>
    </row>
    <row r="30" spans="1:14" ht="15.25">
      <c r="A30" s="97"/>
      <c r="B30" s="265"/>
      <c r="C30" s="216" t="s">
        <v>573</v>
      </c>
      <c r="D30" s="215"/>
      <c r="E30" s="265"/>
      <c r="F30" s="265"/>
      <c r="G30" s="271" t="str">
        <f>IF((H30="Yes"),"OK","NOT OK")</f>
        <v>OK</v>
      </c>
      <c r="H30" s="265" t="s">
        <v>574</v>
      </c>
      <c r="I30" s="271" t="str">
        <f>IF((J30="Yes"),"OK","NOT OK")</f>
        <v>OK</v>
      </c>
      <c r="J30" s="272" t="s">
        <v>574</v>
      </c>
      <c r="K30" s="271" t="str">
        <f>IF((L30="Yes"),"OK","NOT OK")</f>
        <v>OK</v>
      </c>
      <c r="L30" s="272" t="s">
        <v>574</v>
      </c>
      <c r="M30" s="271" t="str">
        <f>IF((N30="Yes"),"OK","NOT OK")</f>
        <v>NOT OK</v>
      </c>
      <c r="N30" s="272"/>
    </row>
    <row r="31" spans="1:14">
      <c r="J31" s="269"/>
      <c r="L31" s="269"/>
      <c r="N31" s="269"/>
    </row>
    <row r="32" spans="1:14" ht="15.25">
      <c r="A32" s="266" t="s">
        <v>538</v>
      </c>
      <c r="B32" s="267"/>
      <c r="C32" s="268" t="s">
        <v>553</v>
      </c>
      <c r="D32" s="215"/>
      <c r="E32" s="265"/>
      <c r="F32" s="265"/>
      <c r="G32" s="275" t="s">
        <v>286</v>
      </c>
      <c r="H32" s="276" t="s">
        <v>568</v>
      </c>
      <c r="I32" s="275" t="s">
        <v>286</v>
      </c>
      <c r="J32" s="281" t="s">
        <v>554</v>
      </c>
      <c r="K32" s="275" t="s">
        <v>286</v>
      </c>
      <c r="L32" s="279"/>
      <c r="M32" s="275" t="s">
        <v>286</v>
      </c>
      <c r="N32" s="281"/>
    </row>
    <row r="33" spans="1:14" ht="15.25">
      <c r="A33" s="97"/>
      <c r="B33" s="265"/>
      <c r="C33" s="216" t="s">
        <v>540</v>
      </c>
      <c r="D33" s="216"/>
      <c r="E33" s="265"/>
      <c r="F33" s="265"/>
      <c r="G33" s="265"/>
      <c r="H33" s="269">
        <v>45318</v>
      </c>
      <c r="I33" s="270"/>
      <c r="J33" s="269">
        <v>45318</v>
      </c>
      <c r="K33" s="270"/>
      <c r="L33" s="269">
        <v>45318</v>
      </c>
      <c r="M33" s="270"/>
      <c r="N33" s="269"/>
    </row>
    <row r="34" spans="1:14" ht="15.25">
      <c r="A34" s="97"/>
      <c r="B34" s="265"/>
      <c r="C34" s="216" t="s">
        <v>541</v>
      </c>
      <c r="D34" s="216"/>
      <c r="E34" s="265"/>
      <c r="F34" s="265"/>
      <c r="G34" s="271" t="str">
        <f>IF(AND(H34&gt;=H33,H34&gt;=J33,H34&gt;=L33,H34&gt;=M33,H34&gt;=N33),"OK","NOT OK")</f>
        <v>OK</v>
      </c>
      <c r="H34" s="269">
        <v>45352</v>
      </c>
      <c r="I34" s="271" t="str">
        <f>IF(AND(J34&gt;=J33,J34&lt;=H35),"OK","NOT OK")</f>
        <v>OK</v>
      </c>
      <c r="J34" s="269">
        <v>45352</v>
      </c>
      <c r="K34" s="271" t="str">
        <f>IF(AND(L34&gt;=L33,L34&lt;=H35),"OK","NOT OK")</f>
        <v>NOT OK</v>
      </c>
      <c r="L34" s="269"/>
      <c r="M34" s="271" t="str">
        <f>IF(AND(N34&gt;=N33,N34&lt;=J35),"OK","NOT OK")</f>
        <v>OK</v>
      </c>
      <c r="N34" s="269"/>
    </row>
    <row r="35" spans="1:14" ht="15.25">
      <c r="A35" s="97"/>
      <c r="B35" s="265"/>
      <c r="C35" s="216" t="s">
        <v>542</v>
      </c>
      <c r="D35" s="216"/>
      <c r="E35" s="265"/>
      <c r="F35" s="265"/>
      <c r="G35" s="271" t="str">
        <f>IF(AND(H35&gt;=H34,H35&gt;=C1),"OK","NOT OK")</f>
        <v>OK</v>
      </c>
      <c r="H35" s="269">
        <v>45355</v>
      </c>
      <c r="I35" s="270"/>
      <c r="J35" s="269"/>
      <c r="K35" s="265"/>
      <c r="L35" s="269"/>
      <c r="M35" s="265"/>
      <c r="N35" s="269"/>
    </row>
    <row r="36" spans="1:14" ht="15.25">
      <c r="A36" s="97"/>
      <c r="B36" s="265"/>
      <c r="C36" s="216" t="s">
        <v>573</v>
      </c>
      <c r="D36" s="215"/>
      <c r="E36" s="265"/>
      <c r="F36" s="265"/>
      <c r="G36" s="271" t="str">
        <f>IF((H36="Yes"),"OK","NOT OK")</f>
        <v>OK</v>
      </c>
      <c r="H36" s="265" t="s">
        <v>574</v>
      </c>
      <c r="I36" s="271" t="str">
        <f>IF((J36="Yes"),"OK","NOT OK")</f>
        <v>OK</v>
      </c>
      <c r="J36" s="272" t="s">
        <v>574</v>
      </c>
      <c r="K36" s="271" t="str">
        <f>IF((L36="Yes"),"OK","NOT OK")</f>
        <v>NOT OK</v>
      </c>
      <c r="L36" s="272"/>
      <c r="M36" s="271" t="str">
        <f>IF((N36="Yes"),"OK","NOT OK")</f>
        <v>NOT OK</v>
      </c>
      <c r="N36" s="272"/>
    </row>
    <row r="37" spans="1:14">
      <c r="H37" s="269"/>
      <c r="J37" s="269"/>
      <c r="L37" s="269"/>
      <c r="N37" s="269"/>
    </row>
    <row r="38" spans="1:14" ht="15.25">
      <c r="A38" s="266" t="s">
        <v>538</v>
      </c>
      <c r="B38" s="267"/>
      <c r="C38" s="268" t="s">
        <v>555</v>
      </c>
      <c r="D38" s="215"/>
      <c r="E38" s="265"/>
      <c r="F38" s="265"/>
      <c r="G38" s="275" t="s">
        <v>286</v>
      </c>
      <c r="H38" s="282" t="s">
        <v>569</v>
      </c>
      <c r="I38" s="275" t="s">
        <v>286</v>
      </c>
      <c r="J38" s="279"/>
      <c r="K38" s="275" t="s">
        <v>286</v>
      </c>
      <c r="L38" s="279"/>
      <c r="M38" s="275" t="s">
        <v>286</v>
      </c>
      <c r="N38" s="279"/>
    </row>
    <row r="39" spans="1:14" ht="15.25">
      <c r="A39" s="97"/>
      <c r="B39" s="265"/>
      <c r="C39" s="216" t="s">
        <v>540</v>
      </c>
      <c r="D39" s="216"/>
      <c r="E39" s="265"/>
      <c r="F39" s="265"/>
      <c r="G39" s="265"/>
      <c r="H39" s="269">
        <v>45318</v>
      </c>
      <c r="I39" s="270"/>
      <c r="J39" s="269">
        <v>45318</v>
      </c>
      <c r="K39" s="270"/>
      <c r="L39" s="269">
        <v>45318</v>
      </c>
      <c r="M39" s="270"/>
      <c r="N39" s="269"/>
    </row>
    <row r="40" spans="1:14" ht="15.25">
      <c r="A40" s="97"/>
      <c r="B40" s="265"/>
      <c r="C40" s="216" t="s">
        <v>541</v>
      </c>
      <c r="D40" s="216"/>
      <c r="E40" s="265"/>
      <c r="F40" s="265"/>
      <c r="G40" s="271" t="str">
        <f>IF(AND(H40&gt;=H39,H40&gt;=J39,H40&gt;=L39,H40&gt;=M39,H40&gt;=N39),"OK","NOT OK")</f>
        <v>OK</v>
      </c>
      <c r="H40" s="269">
        <v>45461</v>
      </c>
      <c r="I40" s="271" t="str">
        <f>IF(AND(J40&gt;=J39,J40&lt;=H41),"OK","NOT OK")</f>
        <v>NOT OK</v>
      </c>
      <c r="J40" s="269"/>
      <c r="K40" s="271" t="str">
        <f>IF(AND(L40&gt;=L39,L40&lt;=H41),"OK","NOT OK")</f>
        <v>NOT OK</v>
      </c>
      <c r="L40" s="269"/>
      <c r="M40" s="271" t="str">
        <f>IF(AND(N40&gt;=N39,N40&lt;=J41),"OK","NOT OK")</f>
        <v>OK</v>
      </c>
      <c r="N40" s="269"/>
    </row>
    <row r="41" spans="1:14" ht="15.25">
      <c r="A41" s="97"/>
      <c r="B41" s="265"/>
      <c r="C41" s="216" t="s">
        <v>542</v>
      </c>
      <c r="D41" s="216"/>
      <c r="E41" s="265"/>
      <c r="F41" s="265"/>
      <c r="G41" s="271" t="str">
        <f>IF(AND(H41&gt;=H40,H41&gt;=C1),"OK","NOT OK")</f>
        <v>OK</v>
      </c>
      <c r="H41" s="269">
        <v>45475</v>
      </c>
      <c r="I41" s="270"/>
      <c r="J41" s="269"/>
      <c r="K41" s="265"/>
      <c r="L41" s="269"/>
      <c r="M41" s="265"/>
      <c r="N41" s="269"/>
    </row>
    <row r="42" spans="1:14" ht="15.25">
      <c r="A42" s="97"/>
      <c r="B42" s="265"/>
      <c r="C42" s="216" t="s">
        <v>573</v>
      </c>
      <c r="D42" s="215"/>
      <c r="E42" s="265"/>
      <c r="F42" s="265"/>
      <c r="G42" s="271" t="str">
        <f>IF((H42="Yes"),"OK","NOT OK")</f>
        <v>OK</v>
      </c>
      <c r="H42" s="265" t="s">
        <v>574</v>
      </c>
      <c r="I42" s="271" t="str">
        <f>IF((J42="Yes"),"OK","NOT OK")</f>
        <v>NOT OK</v>
      </c>
      <c r="J42" s="272"/>
      <c r="K42" s="271" t="str">
        <f>IF((L42="Yes"),"OK","NOT OK")</f>
        <v>NOT OK</v>
      </c>
      <c r="L42" s="272"/>
      <c r="M42" s="271" t="str">
        <f>IF((N42="Yes"),"OK","NOT OK")</f>
        <v>NOT OK</v>
      </c>
      <c r="N42" s="272"/>
    </row>
    <row r="43" spans="1:14">
      <c r="H43" s="269"/>
      <c r="J43" s="269"/>
      <c r="L43" s="269"/>
      <c r="N43" s="269"/>
    </row>
    <row r="44" spans="1:14" ht="15.25">
      <c r="A44" s="266" t="s">
        <v>538</v>
      </c>
      <c r="B44" s="267"/>
      <c r="C44" s="268" t="s">
        <v>556</v>
      </c>
      <c r="D44" s="215"/>
      <c r="E44" s="265"/>
      <c r="F44" s="265"/>
      <c r="G44" s="275" t="s">
        <v>286</v>
      </c>
      <c r="H44" s="282" t="s">
        <v>571</v>
      </c>
      <c r="I44" s="275" t="s">
        <v>286</v>
      </c>
      <c r="J44" s="279"/>
      <c r="K44" s="275" t="s">
        <v>286</v>
      </c>
      <c r="L44" s="279"/>
      <c r="M44" s="275" t="s">
        <v>286</v>
      </c>
      <c r="N44" s="279"/>
    </row>
    <row r="45" spans="1:14" ht="15.25">
      <c r="A45" s="97"/>
      <c r="B45" s="265"/>
      <c r="C45" s="216" t="s">
        <v>540</v>
      </c>
      <c r="D45" s="216"/>
      <c r="E45" s="265"/>
      <c r="F45" s="265"/>
      <c r="G45" s="265"/>
      <c r="H45" s="269">
        <v>45318</v>
      </c>
      <c r="I45" s="270"/>
      <c r="J45" s="269">
        <v>45318</v>
      </c>
      <c r="K45" s="270"/>
      <c r="L45" s="269">
        <v>45318</v>
      </c>
      <c r="M45" s="270"/>
      <c r="N45" s="269"/>
    </row>
    <row r="46" spans="1:14" ht="15.25">
      <c r="A46" s="97"/>
      <c r="B46" s="265"/>
      <c r="C46" s="216" t="s">
        <v>541</v>
      </c>
      <c r="D46" s="216"/>
      <c r="E46" s="265"/>
      <c r="F46" s="265"/>
      <c r="G46" s="271" t="str">
        <f>IF(AND(H46&gt;=H45,H46&gt;=J45,H46&gt;=L45,H46&gt;=M45,H46&gt;=N45),"OK","NOT OK")</f>
        <v>OK</v>
      </c>
      <c r="H46" s="269">
        <v>45351</v>
      </c>
      <c r="I46" s="271" t="str">
        <f>IF(AND(J46&gt;=J45,J46&lt;=H47),"OK","NOT OK")</f>
        <v>NOT OK</v>
      </c>
      <c r="J46" s="269"/>
      <c r="K46" s="271" t="str">
        <f>IF(AND(L46&gt;=L45,L46&lt;=H47),"OK","NOT OK")</f>
        <v>NOT OK</v>
      </c>
      <c r="L46" s="269"/>
      <c r="M46" s="271" t="str">
        <f>IF(AND(N46&gt;=N45,N46&lt;=J47),"OK","NOT OK")</f>
        <v>OK</v>
      </c>
      <c r="N46" s="269"/>
    </row>
    <row r="47" spans="1:14" ht="15.25">
      <c r="A47" s="97"/>
      <c r="B47" s="265"/>
      <c r="C47" s="216" t="s">
        <v>542</v>
      </c>
      <c r="D47" s="216"/>
      <c r="E47" s="265"/>
      <c r="F47" s="265"/>
      <c r="G47" s="271" t="str">
        <f>IF(AND(H47&gt;=H46,H47&gt;=C1),"OK","NOT OK")</f>
        <v>OK</v>
      </c>
      <c r="H47" s="269">
        <v>45355</v>
      </c>
      <c r="I47" s="270"/>
      <c r="J47" s="269"/>
      <c r="K47" s="265"/>
      <c r="L47" s="269"/>
      <c r="M47" s="265"/>
      <c r="N47" s="269"/>
    </row>
    <row r="48" spans="1:14" ht="15.25">
      <c r="A48" s="97"/>
      <c r="B48" s="265"/>
      <c r="C48" s="216" t="s">
        <v>573</v>
      </c>
      <c r="D48" s="215"/>
      <c r="E48" s="265"/>
      <c r="F48" s="265"/>
      <c r="G48" s="271" t="str">
        <f>IF((H48="Yes"),"OK","NOT OK")</f>
        <v>OK</v>
      </c>
      <c r="H48" s="265" t="s">
        <v>574</v>
      </c>
      <c r="I48" s="271" t="str">
        <f>IF((J48="Yes"),"OK","NOT OK")</f>
        <v>NOT OK</v>
      </c>
      <c r="J48" s="272"/>
      <c r="K48" s="271" t="str">
        <f>IF((L48="Yes"),"OK","NOT OK")</f>
        <v>NOT OK</v>
      </c>
      <c r="L48" s="272"/>
      <c r="M48" s="271" t="str">
        <f>IF((N48="Yes"),"OK","NOT OK")</f>
        <v>NOT OK</v>
      </c>
      <c r="N48" s="272"/>
    </row>
    <row r="49" spans="1:14">
      <c r="H49" s="269"/>
    </row>
    <row r="50" spans="1:14" ht="15.25">
      <c r="A50" s="266" t="s">
        <v>538</v>
      </c>
      <c r="B50" s="267"/>
      <c r="C50" s="268" t="s">
        <v>557</v>
      </c>
      <c r="D50" s="215"/>
      <c r="E50" s="265"/>
      <c r="F50" s="265"/>
      <c r="G50" s="275" t="s">
        <v>286</v>
      </c>
      <c r="H50" s="282" t="s">
        <v>570</v>
      </c>
      <c r="I50" s="275" t="s">
        <v>286</v>
      </c>
      <c r="J50" s="279"/>
      <c r="K50" s="275" t="s">
        <v>286</v>
      </c>
      <c r="L50" s="279"/>
      <c r="M50" s="275" t="s">
        <v>286</v>
      </c>
      <c r="N50" s="279"/>
    </row>
    <row r="51" spans="1:14" ht="15.25">
      <c r="A51" s="97"/>
      <c r="B51" s="265"/>
      <c r="C51" s="216" t="s">
        <v>540</v>
      </c>
      <c r="D51" s="216"/>
      <c r="E51" s="265"/>
      <c r="F51" s="265"/>
      <c r="G51" s="265"/>
      <c r="H51" s="269">
        <v>45318</v>
      </c>
      <c r="I51" s="270"/>
      <c r="J51" s="269">
        <v>45318</v>
      </c>
      <c r="K51" s="270"/>
      <c r="L51" s="269">
        <v>45318</v>
      </c>
      <c r="M51" s="270"/>
      <c r="N51" s="269"/>
    </row>
    <row r="52" spans="1:14" ht="15.25">
      <c r="A52" s="97"/>
      <c r="B52" s="265"/>
      <c r="C52" s="216" t="s">
        <v>541</v>
      </c>
      <c r="D52" s="216"/>
      <c r="E52" s="265"/>
      <c r="F52" s="265"/>
      <c r="G52" s="271" t="str">
        <f>IF(AND(H52&gt;=H51,H52&gt;=J51,H52&gt;=L51,H52&gt;=M51,H52&gt;=N51),"OK","NOT OK")</f>
        <v>OK</v>
      </c>
      <c r="H52" s="269">
        <v>45373</v>
      </c>
      <c r="I52" s="271" t="str">
        <f>IF(AND(J52&gt;=J51,J52&lt;=H53),"OK","NOT OK")</f>
        <v>NOT OK</v>
      </c>
      <c r="J52" s="269"/>
      <c r="K52" s="271" t="str">
        <f>IF(AND(L52&gt;=L51,L52&lt;=H53),"OK","NOT OK")</f>
        <v>NOT OK</v>
      </c>
      <c r="L52" s="269"/>
      <c r="M52" s="271" t="str">
        <f>IF(AND(N52&gt;=N51,N52&lt;=J53),"OK","NOT OK")</f>
        <v>OK</v>
      </c>
      <c r="N52" s="269"/>
    </row>
    <row r="53" spans="1:14" ht="15.25">
      <c r="A53" s="97"/>
      <c r="B53" s="265"/>
      <c r="C53" s="216" t="s">
        <v>542</v>
      </c>
      <c r="D53" s="216"/>
      <c r="E53" s="265"/>
      <c r="F53" s="265"/>
      <c r="G53" s="271" t="str">
        <f>IF(AND(H53&gt;=H52,H53&gt;=C1),"OK","NOT OK")</f>
        <v>OK</v>
      </c>
      <c r="H53" s="269">
        <v>45384</v>
      </c>
      <c r="I53" s="270"/>
      <c r="J53" s="269"/>
      <c r="K53" s="265"/>
      <c r="L53" s="269"/>
      <c r="M53" s="265"/>
      <c r="N53" s="269"/>
    </row>
    <row r="54" spans="1:14" ht="15.25">
      <c r="A54" s="97"/>
      <c r="B54" s="265"/>
      <c r="C54" s="216" t="s">
        <v>573</v>
      </c>
      <c r="D54" s="215"/>
      <c r="E54" s="265"/>
      <c r="F54" s="265"/>
      <c r="G54" s="271" t="str">
        <f>IF((H54="Yes"),"OK","NOT OK")</f>
        <v>OK</v>
      </c>
      <c r="H54" s="265" t="s">
        <v>574</v>
      </c>
      <c r="I54" s="271" t="str">
        <f>IF((J54="Yes"),"OK","NOT OK")</f>
        <v>NOT OK</v>
      </c>
      <c r="J54" s="272"/>
      <c r="K54" s="271" t="str">
        <f>IF((L54="Yes"),"OK","NOT OK")</f>
        <v>NOT OK</v>
      </c>
      <c r="L54" s="272"/>
      <c r="M54" s="271" t="str">
        <f>IF((N54="Yes"),"OK","NOT OK")</f>
        <v>NOT OK</v>
      </c>
      <c r="N54" s="272"/>
    </row>
    <row r="56" spans="1:14" ht="15.25">
      <c r="A56" s="266" t="s">
        <v>538</v>
      </c>
      <c r="B56" s="267"/>
      <c r="C56" s="268" t="s">
        <v>558</v>
      </c>
      <c r="D56" s="215"/>
      <c r="E56" s="265"/>
      <c r="F56" s="265"/>
      <c r="G56" s="275" t="s">
        <v>286</v>
      </c>
      <c r="H56" s="282" t="s">
        <v>572</v>
      </c>
      <c r="I56" s="275" t="s">
        <v>286</v>
      </c>
      <c r="J56" s="279"/>
      <c r="K56" s="275" t="s">
        <v>286</v>
      </c>
      <c r="L56" s="279"/>
      <c r="M56" s="275" t="s">
        <v>286</v>
      </c>
      <c r="N56" s="279"/>
    </row>
    <row r="57" spans="1:14" ht="15.25">
      <c r="A57" s="97"/>
      <c r="B57" s="265"/>
      <c r="C57" s="216" t="s">
        <v>540</v>
      </c>
      <c r="D57" s="216"/>
      <c r="E57" s="265"/>
      <c r="F57" s="265"/>
      <c r="G57" s="265"/>
      <c r="H57" s="269">
        <v>45318</v>
      </c>
      <c r="I57" s="270"/>
      <c r="J57" s="269">
        <v>45318</v>
      </c>
      <c r="K57" s="270"/>
      <c r="L57" s="269">
        <v>45318</v>
      </c>
      <c r="M57" s="270"/>
      <c r="N57" s="269"/>
    </row>
    <row r="58" spans="1:14" ht="15.25">
      <c r="A58" s="97"/>
      <c r="B58" s="265"/>
      <c r="C58" s="216" t="s">
        <v>541</v>
      </c>
      <c r="D58" s="216"/>
      <c r="E58" s="265"/>
      <c r="F58" s="265"/>
      <c r="G58" s="271" t="str">
        <f>IF(AND(H58&gt;=H57,H58&gt;=J57,H58&gt;=L57,H58&gt;=M57,H58&gt;=N57),"OK","NOT OK")</f>
        <v>OK</v>
      </c>
      <c r="H58" s="269">
        <v>45341</v>
      </c>
      <c r="I58" s="271" t="str">
        <f>IF(AND(J58&gt;=J57,J58&lt;=H59),"OK","NOT OK")</f>
        <v>NOT OK</v>
      </c>
      <c r="J58" s="269"/>
      <c r="K58" s="271" t="str">
        <f>IF(AND(L58&gt;=L57,L58&lt;=H59),"OK","NOT OK")</f>
        <v>NOT OK</v>
      </c>
      <c r="L58" s="269"/>
      <c r="M58" s="271" t="str">
        <f>IF(AND(N58&gt;=N57,N58&lt;=J59),"OK","NOT OK")</f>
        <v>OK</v>
      </c>
      <c r="N58" s="269"/>
    </row>
    <row r="59" spans="1:14" ht="15.25">
      <c r="A59" s="97"/>
      <c r="B59" s="265"/>
      <c r="C59" s="216" t="s">
        <v>542</v>
      </c>
      <c r="D59" s="216"/>
      <c r="E59" s="265"/>
      <c r="F59" s="265"/>
      <c r="G59" s="271" t="str">
        <f>IF(AND(H59&gt;=H58,H59&gt;=C1),"OK","NOT OK")</f>
        <v>OK</v>
      </c>
      <c r="H59" s="269">
        <v>45341</v>
      </c>
      <c r="I59" s="270"/>
      <c r="J59" s="269"/>
      <c r="K59" s="265"/>
      <c r="L59" s="269"/>
      <c r="M59" s="265"/>
      <c r="N59" s="269"/>
    </row>
    <row r="60" spans="1:14" ht="15.25">
      <c r="A60" s="97"/>
      <c r="B60" s="265"/>
      <c r="C60" s="216" t="s">
        <v>573</v>
      </c>
      <c r="D60" s="215"/>
      <c r="E60" s="265"/>
      <c r="F60" s="265"/>
      <c r="G60" s="271" t="str">
        <f>IF((H60="Yes"),"OK","NOT OK")</f>
        <v>OK</v>
      </c>
      <c r="H60" s="265" t="s">
        <v>574</v>
      </c>
      <c r="I60" s="271" t="str">
        <f>IF((J60="Yes"),"OK","NOT OK")</f>
        <v>NOT OK</v>
      </c>
      <c r="J60" s="272"/>
      <c r="K60" s="271" t="str">
        <f>IF((L60="Yes"),"OK","NOT OK")</f>
        <v>NOT OK</v>
      </c>
      <c r="L60" s="272"/>
      <c r="M60" s="271" t="str">
        <f>IF((N60="Yes"),"OK","NOT OK")</f>
        <v>NOT OK</v>
      </c>
      <c r="N60" s="272"/>
    </row>
  </sheetData>
  <phoneticPr fontId="29"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ACD73-CC99-496E-AC9B-DC8424A25882}">
  <sheetPr codeName="Sheet10"/>
  <dimension ref="A1:C14"/>
  <sheetViews>
    <sheetView workbookViewId="0">
      <selection activeCell="H11" sqref="H11"/>
    </sheetView>
  </sheetViews>
  <sheetFormatPr defaultRowHeight="15"/>
  <cols>
    <col min="1" max="1" width="15" customWidth="1"/>
    <col min="3" max="3" width="17.7109375" customWidth="1"/>
  </cols>
  <sheetData>
    <row r="1" spans="1:3">
      <c r="A1" s="108" t="s">
        <v>264</v>
      </c>
      <c r="B1" s="109"/>
      <c r="C1" s="109"/>
    </row>
    <row r="2" spans="1:3">
      <c r="A2" s="109"/>
      <c r="B2" s="109"/>
      <c r="C2" s="109"/>
    </row>
    <row r="3" spans="1:3">
      <c r="A3" s="108" t="s">
        <v>265</v>
      </c>
      <c r="B3" s="109"/>
      <c r="C3" s="113" t="s">
        <v>266</v>
      </c>
    </row>
    <row r="4" spans="1:3" ht="15.75" thickBot="1">
      <c r="A4" s="108" t="s">
        <v>267</v>
      </c>
      <c r="B4" s="109"/>
      <c r="C4" s="114">
        <v>124750</v>
      </c>
    </row>
    <row r="5" spans="1:3" ht="15.75" thickTop="1">
      <c r="A5" s="109"/>
      <c r="B5" s="109"/>
      <c r="C5" s="109"/>
    </row>
    <row r="6" spans="1:3">
      <c r="A6" s="109"/>
      <c r="B6" s="109"/>
      <c r="C6" s="109"/>
    </row>
    <row r="7" spans="1:3">
      <c r="A7" s="108" t="s">
        <v>268</v>
      </c>
      <c r="B7" s="109"/>
      <c r="C7" s="109"/>
    </row>
    <row r="8" spans="1:3">
      <c r="A8" s="108" t="s">
        <v>269</v>
      </c>
      <c r="B8" s="109"/>
      <c r="C8" s="115">
        <v>-506900</v>
      </c>
    </row>
    <row r="9" spans="1:3">
      <c r="A9" s="109" t="s">
        <v>270</v>
      </c>
      <c r="B9" s="109"/>
      <c r="C9" s="115">
        <v>10000</v>
      </c>
    </row>
    <row r="10" spans="1:3" ht="15.75" thickBot="1">
      <c r="A10" s="109"/>
      <c r="B10" s="109"/>
      <c r="C10" s="114">
        <v>-497000</v>
      </c>
    </row>
    <row r="11" spans="1:3" ht="15.75" thickTop="1">
      <c r="A11" s="109"/>
      <c r="B11" s="109"/>
      <c r="C11" s="115"/>
    </row>
    <row r="12" spans="1:3">
      <c r="A12" s="109"/>
      <c r="B12" s="109"/>
      <c r="C12" s="115"/>
    </row>
    <row r="13" spans="1:3" ht="15.75" thickBot="1">
      <c r="A13" s="108" t="s">
        <v>271</v>
      </c>
      <c r="B13" s="109"/>
      <c r="C13" s="114">
        <f>C10</f>
        <v>-497000</v>
      </c>
    </row>
    <row r="14" spans="1:3" ht="15.75" thickTop="1"/>
  </sheetData>
  <phoneticPr fontId="29"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5684B-251A-4F67-B953-7DCE30A5DAC6}">
  <sheetPr codeName="Sheet8"/>
  <dimension ref="A1:B6"/>
  <sheetViews>
    <sheetView workbookViewId="0">
      <selection activeCell="N18" sqref="N18"/>
    </sheetView>
  </sheetViews>
  <sheetFormatPr defaultRowHeight="15"/>
  <cols>
    <col min="1" max="1" width="17.7109375" customWidth="1"/>
    <col min="2" max="2" width="20.7109375" customWidth="1"/>
  </cols>
  <sheetData>
    <row r="1" spans="1:2">
      <c r="A1" s="108" t="s">
        <v>273</v>
      </c>
      <c r="B1" s="109"/>
    </row>
    <row r="2" spans="1:2">
      <c r="A2" s="109"/>
      <c r="B2" s="109"/>
    </row>
    <row r="3" spans="1:2">
      <c r="A3" s="108" t="s">
        <v>274</v>
      </c>
      <c r="B3" s="109">
        <v>374250</v>
      </c>
    </row>
    <row r="4" spans="1:2">
      <c r="A4" s="108" t="s">
        <v>275</v>
      </c>
      <c r="B4" s="109">
        <v>124750</v>
      </c>
    </row>
    <row r="5" spans="1:2" ht="15.75" thickBot="1">
      <c r="A5" s="108" t="s">
        <v>276</v>
      </c>
      <c r="B5" s="116">
        <f>SUM(B3:B4)</f>
        <v>499000</v>
      </c>
    </row>
    <row r="6" spans="1:2" ht="15.75" thickTop="1"/>
  </sheetData>
  <phoneticPr fontId="2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N499"/>
  <sheetViews>
    <sheetView workbookViewId="0"/>
  </sheetViews>
  <sheetFormatPr defaultRowHeight="15"/>
  <cols>
    <col min="2" max="2" width="43" customWidth="1"/>
    <col min="3" max="3" width="36.85546875" customWidth="1"/>
    <col min="4" max="4" width="35.5703125" customWidth="1"/>
    <col min="7" max="7" width="38" customWidth="1"/>
  </cols>
  <sheetData>
    <row r="1" spans="2:14">
      <c r="B1" s="18"/>
      <c r="C1" s="3" t="s">
        <v>79</v>
      </c>
      <c r="E1" s="17">
        <f t="shared" ref="E1:E7" si="0">--ISNUMBER(SEARCH($B$1,D1))</f>
        <v>0</v>
      </c>
      <c r="F1" s="17" t="str">
        <f>IF(E1=1,COUNTIF($E$1:$E1,1),"")</f>
        <v/>
      </c>
      <c r="G1" s="7" t="str">
        <f>IFERROR(INDEX($D$1:$D$499,MATCH(ROWS($F1:$F$1),$F$1:$F$499,0)),"")</f>
        <v>Client</v>
      </c>
      <c r="L1" s="90" t="s">
        <v>77</v>
      </c>
      <c r="M1" s="89" t="s">
        <v>69</v>
      </c>
      <c r="N1" s="91">
        <v>2</v>
      </c>
    </row>
    <row r="2" spans="2:14">
      <c r="C2" s="74">
        <v>7</v>
      </c>
      <c r="E2" s="17">
        <f t="shared" si="0"/>
        <v>0</v>
      </c>
      <c r="F2" s="17" t="str">
        <f>IF(E2=1,COUNTIF($E$1:$E2,1),"")</f>
        <v/>
      </c>
      <c r="G2" s="7" t="str">
        <f>IFERROR(INDEX($D$1:$D$499,MATCH(ROWS($F$1:$F2),$F$1:$F$499,0)),"")</f>
        <v>付款情況</v>
      </c>
      <c r="M2" s="89" t="s">
        <v>70</v>
      </c>
    </row>
    <row r="3" spans="2:14">
      <c r="B3" s="3"/>
      <c r="E3" s="17">
        <f t="shared" si="0"/>
        <v>0</v>
      </c>
      <c r="F3" s="17" t="str">
        <f>IF(E3=1,COUNTIF($E$1:$E3,1),"")</f>
        <v/>
      </c>
      <c r="G3" s="7" t="str">
        <f>IFERROR(INDEX($D$1:$D$499,MATCH(ROWS($F$1:$F3),$F$1:$F$499,0)),"")</f>
        <v>GeneralLedger</v>
      </c>
      <c r="M3" s="89" t="s">
        <v>78</v>
      </c>
    </row>
    <row r="4" spans="2:14">
      <c r="D4" t="s">
        <v>342</v>
      </c>
      <c r="E4" s="17">
        <f t="shared" si="0"/>
        <v>1</v>
      </c>
      <c r="F4" s="17">
        <f>IF(E4=1,COUNTIF($E$1:$E4,1),"")</f>
        <v>1</v>
      </c>
      <c r="G4" s="7" t="str">
        <f>IFERROR(INDEX($D$1:$D$499,MATCH(ROWS($F$1:$F4),$F$1:$F$499,0)),"")</f>
        <v>Quote</v>
      </c>
    </row>
    <row r="5" spans="2:14">
      <c r="D5" t="s">
        <v>335</v>
      </c>
      <c r="E5" s="17">
        <f t="shared" si="0"/>
        <v>1</v>
      </c>
      <c r="F5" s="17">
        <f>IF(E5=1,COUNTIF($E$1:$E5,1),"")</f>
        <v>2</v>
      </c>
      <c r="G5" s="7" t="str">
        <f>IFERROR(INDEX($D$1:$D$499,MATCH(ROWS($F$1:$F5),$F$1:$F$499,0)),"")</f>
        <v>Checklist</v>
      </c>
    </row>
    <row r="6" spans="2:14">
      <c r="D6" t="s">
        <v>336</v>
      </c>
      <c r="E6" s="17">
        <f t="shared" si="0"/>
        <v>1</v>
      </c>
      <c r="F6" s="17">
        <f>IF(E6=1,COUNTIF($E$1:$E6,1),"")</f>
        <v>3</v>
      </c>
      <c r="G6" s="7" t="str">
        <f>IFERROR(INDEX($D$1:$D$499,MATCH(ROWS($F$1:$F6),$F$1:$F$499,0)),"")</f>
        <v>Deliverable</v>
      </c>
    </row>
    <row r="7" spans="2:14">
      <c r="D7" t="s">
        <v>337</v>
      </c>
      <c r="E7" s="17">
        <f t="shared" si="0"/>
        <v>1</v>
      </c>
      <c r="F7" s="17">
        <f>IF(E7=1,COUNTIF($E$1:$E7,1),"")</f>
        <v>4</v>
      </c>
      <c r="G7" s="7" t="str">
        <f>IFERROR(INDEX($D$1:$D$499,MATCH(ROWS($F$1:$F7),$F$1:$F$499,0)),"")</f>
        <v>BalanceSheet</v>
      </c>
    </row>
    <row r="8" spans="2:14">
      <c r="D8" t="s">
        <v>338</v>
      </c>
      <c r="E8" s="17">
        <f t="shared" ref="E8:E64" si="1">--ISNUMBER(SEARCH($B$1,D8))</f>
        <v>1</v>
      </c>
      <c r="F8" s="17">
        <f>IF(E8=1,COUNTIF($E$1:$E8,1),"")</f>
        <v>5</v>
      </c>
      <c r="G8" s="7" t="str">
        <f>IFERROR(INDEX($D$1:$D$499,MATCH(ROWS($F$1:$F8),$F$1:$F$499,0)),"")</f>
        <v>相關收入</v>
      </c>
    </row>
    <row r="9" spans="2:14">
      <c r="D9" t="s">
        <v>339</v>
      </c>
      <c r="E9" s="17">
        <f t="shared" si="1"/>
        <v>1</v>
      </c>
      <c r="F9" s="17">
        <f>IF(E9=1,COUNTIF($E$1:$E9,1),"")</f>
        <v>6</v>
      </c>
      <c r="G9" s="7" t="str">
        <f>IFERROR(INDEX($D$1:$D$499,MATCH(ROWS($F$1:$F9),$F$1:$F$499,0)),"")</f>
        <v>Income&amp;Expenses</v>
      </c>
    </row>
    <row r="10" spans="2:14">
      <c r="D10" t="s">
        <v>340</v>
      </c>
      <c r="E10" s="17">
        <f t="shared" si="1"/>
        <v>1</v>
      </c>
      <c r="F10" s="17">
        <f>IF(E10=1,COUNTIF($E$1:$E10,1),"")</f>
        <v>7</v>
      </c>
      <c r="G10" s="7" t="str">
        <f>IFERROR(INDEX($D$1:$D$499,MATCH(ROWS($F$1:$F10),$F$1:$F$499,0)),"")</f>
        <v/>
      </c>
    </row>
    <row r="11" spans="2:14">
      <c r="D11" t="s">
        <v>272</v>
      </c>
      <c r="E11" s="17">
        <f t="shared" si="1"/>
        <v>1</v>
      </c>
      <c r="F11" s="17">
        <f>IF(E11=1,COUNTIF($E$1:$E11,1),"")</f>
        <v>8</v>
      </c>
      <c r="G11" s="7" t="str">
        <f>IFERROR(INDEX($D$1:$D$499,MATCH(ROWS($F$1:$F11),$F$1:$F$499,0)),"")</f>
        <v/>
      </c>
    </row>
    <row r="12" spans="2:14">
      <c r="D12" t="s">
        <v>341</v>
      </c>
      <c r="E12" s="17">
        <f t="shared" si="1"/>
        <v>1</v>
      </c>
      <c r="F12" s="17">
        <f>IF(E12=1,COUNTIF($E$1:$E12,1),"")</f>
        <v>9</v>
      </c>
      <c r="G12" s="7" t="str">
        <f>IFERROR(INDEX($D$1:$D$499,MATCH(ROWS($F$1:$F12),$F$1:$F$499,0)),"")</f>
        <v/>
      </c>
    </row>
    <row r="13" spans="2:14">
      <c r="E13" s="17">
        <f t="shared" si="1"/>
        <v>0</v>
      </c>
      <c r="F13" s="17" t="str">
        <f>IF(E13=1,COUNTIF($E$1:$E13,1),"")</f>
        <v/>
      </c>
      <c r="G13" s="7" t="str">
        <f>IFERROR(INDEX($D$1:$D$499,MATCH(ROWS($F$1:$F13),$F$1:$F$499,0)),"")</f>
        <v/>
      </c>
    </row>
    <row r="14" spans="2:14">
      <c r="E14" s="17">
        <f t="shared" si="1"/>
        <v>0</v>
      </c>
      <c r="F14" s="17" t="str">
        <f>IF(E14=1,COUNTIF($E$1:$E14,1),"")</f>
        <v/>
      </c>
      <c r="G14" s="7" t="str">
        <f>IFERROR(INDEX($D$1:$D$499,MATCH(ROWS($F$1:$F14),$F$1:$F$499,0)),"")</f>
        <v/>
      </c>
    </row>
    <row r="15" spans="2:14">
      <c r="E15" s="17">
        <f t="shared" si="1"/>
        <v>0</v>
      </c>
      <c r="F15" s="17" t="str">
        <f>IF(E15=1,COUNTIF($E$1:$E15,1),"")</f>
        <v/>
      </c>
      <c r="G15" s="7" t="str">
        <f>IFERROR(INDEX($D$1:$D$499,MATCH(ROWS($F$1:$F15),$F$1:$F$499,0)),"")</f>
        <v/>
      </c>
    </row>
    <row r="16" spans="2:14">
      <c r="E16" s="17">
        <f t="shared" si="1"/>
        <v>0</v>
      </c>
      <c r="F16" s="17" t="str">
        <f>IF(E16=1,COUNTIF($E$1:$E16,1),"")</f>
        <v/>
      </c>
      <c r="G16" s="7" t="str">
        <f>IFERROR(INDEX($D$1:$D$499,MATCH(ROWS($F$1:$F16),$F$1:$F$499,0)),"")</f>
        <v/>
      </c>
    </row>
    <row r="17" spans="5:7">
      <c r="E17" s="17">
        <f t="shared" si="1"/>
        <v>0</v>
      </c>
      <c r="F17" s="17" t="str">
        <f>IF(E17=1,COUNTIF($E$1:$E17,1),"")</f>
        <v/>
      </c>
      <c r="G17" s="7" t="str">
        <f>IFERROR(INDEX($D$1:$D$499,MATCH(ROWS($F$1:$F17),$F$1:$F$499,0)),"")</f>
        <v/>
      </c>
    </row>
    <row r="18" spans="5:7">
      <c r="E18" s="17">
        <f t="shared" si="1"/>
        <v>0</v>
      </c>
      <c r="F18" s="17" t="str">
        <f>IF(E18=1,COUNTIF($E$1:$E18,1),"")</f>
        <v/>
      </c>
      <c r="G18" s="7" t="str">
        <f>IFERROR(INDEX($D$1:$D$499,MATCH(ROWS($F$1:$F18),$F$1:$F$499,0)),"")</f>
        <v/>
      </c>
    </row>
    <row r="19" spans="5:7">
      <c r="E19" s="17">
        <f t="shared" si="1"/>
        <v>0</v>
      </c>
      <c r="F19" s="17" t="str">
        <f>IF(E19=1,COUNTIF($E$1:$E19,1),"")</f>
        <v/>
      </c>
      <c r="G19" s="7" t="str">
        <f>IFERROR(INDEX($D$1:$D$499,MATCH(ROWS($F$1:$F19),$F$1:$F$499,0)),"")</f>
        <v/>
      </c>
    </row>
    <row r="20" spans="5:7">
      <c r="E20" s="17">
        <f t="shared" si="1"/>
        <v>0</v>
      </c>
      <c r="F20" s="17" t="str">
        <f>IF(E20=1,COUNTIF($E$1:$E20,1),"")</f>
        <v/>
      </c>
      <c r="G20" s="7" t="str">
        <f>IFERROR(INDEX($D$1:$D$499,MATCH(ROWS($F$1:$F20),$F$1:$F$499,0)),"")</f>
        <v/>
      </c>
    </row>
    <row r="21" spans="5:7">
      <c r="E21" s="17">
        <f t="shared" si="1"/>
        <v>0</v>
      </c>
      <c r="F21" s="17" t="str">
        <f>IF(E21=1,COUNTIF($E$1:$E21,1),"")</f>
        <v/>
      </c>
      <c r="G21" s="7" t="str">
        <f>IFERROR(INDEX($D$1:$D$499,MATCH(ROWS($F$1:$F21),$F$1:$F$499,0)),"")</f>
        <v/>
      </c>
    </row>
    <row r="22" spans="5:7">
      <c r="E22" s="17">
        <f t="shared" si="1"/>
        <v>0</v>
      </c>
      <c r="F22" s="17" t="str">
        <f>IF(E22=1,COUNTIF($E$1:$E22,1),"")</f>
        <v/>
      </c>
      <c r="G22" s="7" t="str">
        <f>IFERROR(INDEX($D$1:$D$499,MATCH(ROWS($F$1:$F22),$F$1:$F$499,0)),"")</f>
        <v/>
      </c>
    </row>
    <row r="23" spans="5:7">
      <c r="E23" s="17">
        <f t="shared" si="1"/>
        <v>0</v>
      </c>
      <c r="F23" s="17" t="str">
        <f>IF(E23=1,COUNTIF($E$1:$E23,1),"")</f>
        <v/>
      </c>
      <c r="G23" s="7" t="str">
        <f>IFERROR(INDEX($D$1:$D$499,MATCH(ROWS($F$1:$F23),$F$1:$F$499,0)),"")</f>
        <v/>
      </c>
    </row>
    <row r="24" spans="5:7">
      <c r="E24" s="17">
        <f t="shared" si="1"/>
        <v>0</v>
      </c>
      <c r="F24" s="17" t="str">
        <f>IF(E24=1,COUNTIF($E$1:$E24,1),"")</f>
        <v/>
      </c>
      <c r="G24" s="7" t="str">
        <f>IFERROR(INDEX($D$1:$D$499,MATCH(ROWS($F$1:$F24),$F$1:$F$499,0)),"")</f>
        <v/>
      </c>
    </row>
    <row r="25" spans="5:7">
      <c r="E25" s="17">
        <f t="shared" si="1"/>
        <v>0</v>
      </c>
      <c r="F25" s="17" t="str">
        <f>IF(E25=1,COUNTIF($E$1:$E25,1),"")</f>
        <v/>
      </c>
      <c r="G25" s="7" t="str">
        <f>IFERROR(INDEX($D$1:$D$499,MATCH(ROWS($F$1:$F25),$F$1:$F$499,0)),"")</f>
        <v/>
      </c>
    </row>
    <row r="26" spans="5:7">
      <c r="E26" s="17">
        <f t="shared" si="1"/>
        <v>0</v>
      </c>
      <c r="F26" s="17" t="str">
        <f>IF(E26=1,COUNTIF($E$1:$E26,1),"")</f>
        <v/>
      </c>
      <c r="G26" s="7" t="str">
        <f>IFERROR(INDEX($D$1:$D$499,MATCH(ROWS($F$1:$F26),$F$1:$F$499,0)),"")</f>
        <v/>
      </c>
    </row>
    <row r="27" spans="5:7">
      <c r="E27" s="17">
        <f t="shared" si="1"/>
        <v>0</v>
      </c>
      <c r="F27" s="17" t="str">
        <f>IF(E27=1,COUNTIF($E$1:$E27,1),"")</f>
        <v/>
      </c>
      <c r="G27" s="7" t="str">
        <f>IFERROR(INDEX($D$1:$D$499,MATCH(ROWS($F$1:$F27),$F$1:$F$499,0)),"")</f>
        <v/>
      </c>
    </row>
    <row r="28" spans="5:7">
      <c r="E28" s="17">
        <f t="shared" si="1"/>
        <v>0</v>
      </c>
      <c r="F28" s="17" t="str">
        <f>IF(E28=1,COUNTIF($E$1:$E28,1),"")</f>
        <v/>
      </c>
      <c r="G28" s="7" t="str">
        <f>IFERROR(INDEX($D$1:$D$499,MATCH(ROWS($F$1:$F28),$F$1:$F$499,0)),"")</f>
        <v/>
      </c>
    </row>
    <row r="29" spans="5:7">
      <c r="E29" s="17">
        <f t="shared" si="1"/>
        <v>0</v>
      </c>
      <c r="F29" s="17" t="str">
        <f>IF(E29=1,COUNTIF($E$1:$E29,1),"")</f>
        <v/>
      </c>
      <c r="G29" s="7" t="str">
        <f>IFERROR(INDEX($D$1:$D$499,MATCH(ROWS($F$1:$F29),$F$1:$F$499,0)),"")</f>
        <v/>
      </c>
    </row>
    <row r="30" spans="5:7">
      <c r="E30" s="17">
        <f t="shared" si="1"/>
        <v>0</v>
      </c>
      <c r="F30" s="17" t="str">
        <f>IF(E30=1,COUNTIF($E$1:$E30,1),"")</f>
        <v/>
      </c>
      <c r="G30" s="7" t="str">
        <f>IFERROR(INDEX($D$1:$D$499,MATCH(ROWS($F$1:$F30),$F$1:$F$499,0)),"")</f>
        <v/>
      </c>
    </row>
    <row r="31" spans="5:7">
      <c r="E31" s="17">
        <f t="shared" si="1"/>
        <v>0</v>
      </c>
      <c r="F31" s="17" t="str">
        <f>IF(E31=1,COUNTIF($E$1:$E31,1),"")</f>
        <v/>
      </c>
      <c r="G31" s="7" t="str">
        <f>IFERROR(INDEX($D$1:$D$499,MATCH(ROWS($F$1:$F31),$F$1:$F$499,0)),"")</f>
        <v/>
      </c>
    </row>
    <row r="32" spans="5:7">
      <c r="E32" s="17">
        <f t="shared" si="1"/>
        <v>0</v>
      </c>
      <c r="F32" s="17" t="str">
        <f>IF(E32=1,COUNTIF($E$1:$E32,1),"")</f>
        <v/>
      </c>
      <c r="G32" s="7" t="str">
        <f>IFERROR(INDEX($D$1:$D$499,MATCH(ROWS($F$1:$F32),$F$1:$F$499,0)),"")</f>
        <v/>
      </c>
    </row>
    <row r="33" spans="5:7">
      <c r="E33" s="17">
        <f t="shared" si="1"/>
        <v>0</v>
      </c>
      <c r="F33" s="17" t="str">
        <f>IF(E33=1,COUNTIF($E$1:$E33,1),"")</f>
        <v/>
      </c>
      <c r="G33" s="7" t="str">
        <f>IFERROR(INDEX($D$1:$D$499,MATCH(ROWS($F$1:$F33),$F$1:$F$499,0)),"")</f>
        <v/>
      </c>
    </row>
    <row r="34" spans="5:7">
      <c r="E34" s="17">
        <f t="shared" si="1"/>
        <v>0</v>
      </c>
      <c r="F34" s="17" t="str">
        <f>IF(E34=1,COUNTIF($E$1:$E34,1),"")</f>
        <v/>
      </c>
      <c r="G34" s="7" t="str">
        <f>IFERROR(INDEX($D$1:$D$499,MATCH(ROWS($F$1:$F34),$F$1:$F$499,0)),"")</f>
        <v/>
      </c>
    </row>
    <row r="35" spans="5:7">
      <c r="E35" s="17">
        <f t="shared" si="1"/>
        <v>0</v>
      </c>
      <c r="F35" s="17" t="str">
        <f>IF(E35=1,COUNTIF($E$1:$E35,1),"")</f>
        <v/>
      </c>
      <c r="G35" s="7" t="str">
        <f>IFERROR(INDEX($D$1:$D$499,MATCH(ROWS($F$1:$F35),$F$1:$F$499,0)),"")</f>
        <v/>
      </c>
    </row>
    <row r="36" spans="5:7">
      <c r="E36" s="17">
        <f t="shared" si="1"/>
        <v>0</v>
      </c>
      <c r="F36" s="17" t="str">
        <f>IF(E36=1,COUNTIF($E$1:$E36,1),"")</f>
        <v/>
      </c>
      <c r="G36" s="7" t="str">
        <f>IFERROR(INDEX($D$1:$D$499,MATCH(ROWS($F$1:$F36),$F$1:$F$499,0)),"")</f>
        <v/>
      </c>
    </row>
    <row r="37" spans="5:7">
      <c r="E37" s="17">
        <f t="shared" si="1"/>
        <v>0</v>
      </c>
      <c r="F37" s="17" t="str">
        <f>IF(E37=1,COUNTIF($E$1:$E37,1),"")</f>
        <v/>
      </c>
      <c r="G37" s="7" t="str">
        <f>IFERROR(INDEX($D$1:$D$499,MATCH(ROWS($F$1:$F37),$F$1:$F$499,0)),"")</f>
        <v/>
      </c>
    </row>
    <row r="38" spans="5:7">
      <c r="E38" s="17">
        <f t="shared" si="1"/>
        <v>0</v>
      </c>
      <c r="F38" s="17" t="str">
        <f>IF(E38=1,COUNTIF($E$1:$E38,1),"")</f>
        <v/>
      </c>
      <c r="G38" s="7" t="str">
        <f>IFERROR(INDEX($D$1:$D$499,MATCH(ROWS($F$1:$F38),$F$1:$F$499,0)),"")</f>
        <v/>
      </c>
    </row>
    <row r="39" spans="5:7">
      <c r="E39" s="17">
        <f t="shared" si="1"/>
        <v>0</v>
      </c>
      <c r="F39" s="17" t="str">
        <f>IF(E39=1,COUNTIF($E$1:$E39,1),"")</f>
        <v/>
      </c>
      <c r="G39" s="7" t="str">
        <f>IFERROR(INDEX($D$1:$D$499,MATCH(ROWS($F$1:$F39),$F$1:$F$499,0)),"")</f>
        <v/>
      </c>
    </row>
    <row r="40" spans="5:7">
      <c r="E40" s="17">
        <f t="shared" si="1"/>
        <v>0</v>
      </c>
      <c r="F40" s="17" t="str">
        <f>IF(E40=1,COUNTIF($E$1:$E40,1),"")</f>
        <v/>
      </c>
      <c r="G40" s="7" t="str">
        <f>IFERROR(INDEX($D$1:$D$499,MATCH(ROWS($F$1:$F40),$F$1:$F$499,0)),"")</f>
        <v/>
      </c>
    </row>
    <row r="41" spans="5:7">
      <c r="E41" s="17">
        <f t="shared" si="1"/>
        <v>0</v>
      </c>
      <c r="F41" s="17" t="str">
        <f>IF(E41=1,COUNTIF($E$1:$E41,1),"")</f>
        <v/>
      </c>
      <c r="G41" s="7" t="str">
        <f>IFERROR(INDEX($D$1:$D$499,MATCH(ROWS($F$1:$F41),$F$1:$F$499,0)),"")</f>
        <v/>
      </c>
    </row>
    <row r="42" spans="5:7">
      <c r="E42" s="17">
        <f t="shared" si="1"/>
        <v>0</v>
      </c>
      <c r="F42" s="17" t="str">
        <f>IF(E42=1,COUNTIF($E$1:$E42,1),"")</f>
        <v/>
      </c>
      <c r="G42" s="7" t="str">
        <f>IFERROR(INDEX($D$1:$D$499,MATCH(ROWS($F$1:$F42),$F$1:$F$499,0)),"")</f>
        <v/>
      </c>
    </row>
    <row r="43" spans="5:7">
      <c r="E43" s="17">
        <f t="shared" si="1"/>
        <v>0</v>
      </c>
      <c r="F43" s="17" t="str">
        <f>IF(E43=1,COUNTIF($E$1:$E43,1),"")</f>
        <v/>
      </c>
      <c r="G43" s="7" t="str">
        <f>IFERROR(INDEX($D$1:$D$499,MATCH(ROWS($F$1:$F43),$F$1:$F$499,0)),"")</f>
        <v/>
      </c>
    </row>
    <row r="44" spans="5:7">
      <c r="E44" s="17">
        <f t="shared" si="1"/>
        <v>0</v>
      </c>
      <c r="F44" s="17" t="str">
        <f>IF(E44=1,COUNTIF($E$1:$E44,1),"")</f>
        <v/>
      </c>
      <c r="G44" s="7" t="str">
        <f>IFERROR(INDEX($D$1:$D$499,MATCH(ROWS($F$1:$F44),$F$1:$F$499,0)),"")</f>
        <v/>
      </c>
    </row>
    <row r="45" spans="5:7">
      <c r="E45" s="17">
        <f t="shared" si="1"/>
        <v>0</v>
      </c>
      <c r="F45" s="17" t="str">
        <f>IF(E45=1,COUNTIF($E$1:$E45,1),"")</f>
        <v/>
      </c>
      <c r="G45" s="7" t="str">
        <f>IFERROR(INDEX($D$1:$D$499,MATCH(ROWS($F$1:$F45),$F$1:$F$499,0)),"")</f>
        <v/>
      </c>
    </row>
    <row r="46" spans="5:7">
      <c r="E46" s="17">
        <f t="shared" si="1"/>
        <v>0</v>
      </c>
      <c r="F46" s="17" t="str">
        <f>IF(E46=1,COUNTIF($E$1:$E46,1),"")</f>
        <v/>
      </c>
      <c r="G46" s="7" t="str">
        <f>IFERROR(INDEX($D$1:$D$499,MATCH(ROWS($F$1:$F46),$F$1:$F$499,0)),"")</f>
        <v/>
      </c>
    </row>
    <row r="47" spans="5:7">
      <c r="E47" s="17">
        <f t="shared" si="1"/>
        <v>0</v>
      </c>
      <c r="F47" s="17" t="str">
        <f>IF(E47=1,COUNTIF($E$1:$E47,1),"")</f>
        <v/>
      </c>
      <c r="G47" s="7" t="str">
        <f>IFERROR(INDEX($D$1:$D$499,MATCH(ROWS($F$1:$F47),$F$1:$F$499,0)),"")</f>
        <v/>
      </c>
    </row>
    <row r="48" spans="5:7">
      <c r="E48" s="17">
        <f t="shared" si="1"/>
        <v>0</v>
      </c>
      <c r="F48" s="17" t="str">
        <f>IF(E48=1,COUNTIF($E$1:$E48,1),"")</f>
        <v/>
      </c>
      <c r="G48" s="7" t="str">
        <f>IFERROR(INDEX($D$1:$D$499,MATCH(ROWS($F$1:$F48),$F$1:$F$499,0)),"")</f>
        <v/>
      </c>
    </row>
    <row r="49" spans="5:7">
      <c r="E49" s="17">
        <f t="shared" si="1"/>
        <v>0</v>
      </c>
      <c r="F49" s="17" t="str">
        <f>IF(E49=1,COUNTIF($E$1:$E49,1),"")</f>
        <v/>
      </c>
      <c r="G49" s="7" t="str">
        <f>IFERROR(INDEX($D$1:$D$499,MATCH(ROWS($F$1:$F49),$F$1:$F$499,0)),"")</f>
        <v/>
      </c>
    </row>
    <row r="50" spans="5:7">
      <c r="E50" s="17">
        <f t="shared" si="1"/>
        <v>0</v>
      </c>
      <c r="F50" s="17" t="str">
        <f>IF(E50=1,COUNTIF($E$1:$E50,1),"")</f>
        <v/>
      </c>
      <c r="G50" s="7" t="str">
        <f>IFERROR(INDEX($D$1:$D$499,MATCH(ROWS($F$1:$F50),$F$1:$F$499,0)),"")</f>
        <v/>
      </c>
    </row>
    <row r="51" spans="5:7">
      <c r="E51" s="17">
        <f t="shared" si="1"/>
        <v>0</v>
      </c>
      <c r="F51" s="17" t="str">
        <f>IF(E51=1,COUNTIF($E$1:$E51,1),"")</f>
        <v/>
      </c>
      <c r="G51" s="7" t="str">
        <f>IFERROR(INDEX($D$1:$D$499,MATCH(ROWS($F$1:$F51),$F$1:$F$499,0)),"")</f>
        <v/>
      </c>
    </row>
    <row r="52" spans="5:7">
      <c r="E52" s="17">
        <f t="shared" si="1"/>
        <v>0</v>
      </c>
      <c r="F52" s="17" t="str">
        <f>IF(E52=1,COUNTIF($E$1:$E52,1),"")</f>
        <v/>
      </c>
      <c r="G52" s="7" t="str">
        <f>IFERROR(INDEX($D$1:$D$499,MATCH(ROWS($F$1:$F52),$F$1:$F$499,0)),"")</f>
        <v/>
      </c>
    </row>
    <row r="53" spans="5:7">
      <c r="E53" s="17">
        <f t="shared" si="1"/>
        <v>0</v>
      </c>
      <c r="F53" s="17" t="str">
        <f>IF(E53=1,COUNTIF($E$1:$E53,1),"")</f>
        <v/>
      </c>
      <c r="G53" s="7" t="str">
        <f>IFERROR(INDEX($D$1:$D$499,MATCH(ROWS($F$1:$F53),$F$1:$F$499,0)),"")</f>
        <v/>
      </c>
    </row>
    <row r="54" spans="5:7">
      <c r="E54" s="17">
        <f t="shared" si="1"/>
        <v>0</v>
      </c>
      <c r="F54" s="17" t="str">
        <f>IF(E54=1,COUNTIF($E$1:$E54,1),"")</f>
        <v/>
      </c>
      <c r="G54" s="7" t="str">
        <f>IFERROR(INDEX($D$1:$D$499,MATCH(ROWS($F$1:$F54),$F$1:$F$499,0)),"")</f>
        <v/>
      </c>
    </row>
    <row r="55" spans="5:7">
      <c r="E55" s="17">
        <f t="shared" si="1"/>
        <v>0</v>
      </c>
      <c r="F55" s="17" t="str">
        <f>IF(E55=1,COUNTIF($E$1:$E55,1),"")</f>
        <v/>
      </c>
      <c r="G55" s="7" t="str">
        <f>IFERROR(INDEX($D$1:$D$499,MATCH(ROWS($F$1:$F55),$F$1:$F$499,0)),"")</f>
        <v/>
      </c>
    </row>
    <row r="56" spans="5:7">
      <c r="E56" s="17">
        <f t="shared" si="1"/>
        <v>0</v>
      </c>
      <c r="F56" s="17" t="str">
        <f>IF(E56=1,COUNTIF($E$1:$E56,1),"")</f>
        <v/>
      </c>
      <c r="G56" s="7" t="str">
        <f>IFERROR(INDEX($D$1:$D$499,MATCH(ROWS($F$1:$F56),$F$1:$F$499,0)),"")</f>
        <v/>
      </c>
    </row>
    <row r="57" spans="5:7">
      <c r="E57" s="17">
        <f t="shared" si="1"/>
        <v>0</v>
      </c>
      <c r="F57" s="17" t="str">
        <f>IF(E57=1,COUNTIF($E$1:$E57,1),"")</f>
        <v/>
      </c>
      <c r="G57" s="7" t="str">
        <f>IFERROR(INDEX($D$1:$D$499,MATCH(ROWS($F$1:$F57),$F$1:$F$499,0)),"")</f>
        <v/>
      </c>
    </row>
    <row r="58" spans="5:7">
      <c r="E58" s="17">
        <f t="shared" si="1"/>
        <v>0</v>
      </c>
      <c r="F58" s="17" t="str">
        <f>IF(E58=1,COUNTIF($E$1:$E58,1),"")</f>
        <v/>
      </c>
      <c r="G58" s="7" t="str">
        <f>IFERROR(INDEX($D$1:$D$499,MATCH(ROWS($F$1:$F58),$F$1:$F$499,0)),"")</f>
        <v/>
      </c>
    </row>
    <row r="59" spans="5:7">
      <c r="E59" s="17">
        <f t="shared" si="1"/>
        <v>0</v>
      </c>
      <c r="F59" s="17" t="str">
        <f>IF(E59=1,COUNTIF($E$1:$E59,1),"")</f>
        <v/>
      </c>
      <c r="G59" s="7" t="str">
        <f>IFERROR(INDEX($D$1:$D$499,MATCH(ROWS($F$1:$F59),$F$1:$F$499,0)),"")</f>
        <v/>
      </c>
    </row>
    <row r="60" spans="5:7">
      <c r="E60" s="17">
        <f t="shared" si="1"/>
        <v>0</v>
      </c>
      <c r="F60" s="17" t="str">
        <f>IF(E60=1,COUNTIF($E$1:$E60,1),"")</f>
        <v/>
      </c>
      <c r="G60" s="7" t="str">
        <f>IFERROR(INDEX($D$1:$D$499,MATCH(ROWS($F$1:$F60),$F$1:$F$499,0)),"")</f>
        <v/>
      </c>
    </row>
    <row r="61" spans="5:7">
      <c r="E61" s="17">
        <f t="shared" si="1"/>
        <v>0</v>
      </c>
      <c r="F61" s="17" t="str">
        <f>IF(E61=1,COUNTIF($E$1:$E61,1),"")</f>
        <v/>
      </c>
      <c r="G61" s="7" t="str">
        <f>IFERROR(INDEX($D$1:$D$499,MATCH(ROWS($F$1:$F61),$F$1:$F$499,0)),"")</f>
        <v/>
      </c>
    </row>
    <row r="62" spans="5:7">
      <c r="E62" s="17">
        <f t="shared" si="1"/>
        <v>0</v>
      </c>
      <c r="F62" s="17" t="str">
        <f>IF(E62=1,COUNTIF($E$1:$E62,1),"")</f>
        <v/>
      </c>
      <c r="G62" s="7" t="str">
        <f>IFERROR(INDEX($D$1:$D$499,MATCH(ROWS($F$1:$F62),$F$1:$F$499,0)),"")</f>
        <v/>
      </c>
    </row>
    <row r="63" spans="5:7">
      <c r="E63" s="17">
        <f t="shared" si="1"/>
        <v>0</v>
      </c>
      <c r="F63" s="17" t="str">
        <f>IF(E63=1,COUNTIF($E$1:$E63,1),"")</f>
        <v/>
      </c>
      <c r="G63" s="7" t="str">
        <f>IFERROR(INDEX($D$1:$D$499,MATCH(ROWS($F$1:$F63),$F$1:$F$499,0)),"")</f>
        <v/>
      </c>
    </row>
    <row r="64" spans="5:7">
      <c r="E64" s="17">
        <f t="shared" si="1"/>
        <v>0</v>
      </c>
      <c r="F64" s="17" t="str">
        <f>IF(E64=1,COUNTIF($E$1:$E64,1),"")</f>
        <v/>
      </c>
      <c r="G64" s="7" t="str">
        <f>IFERROR(INDEX($D$1:$D$499,MATCH(ROWS($F$1:$F64),$F$1:$F$499,0)),"")</f>
        <v/>
      </c>
    </row>
    <row r="65" spans="5:7">
      <c r="E65" s="17">
        <f t="shared" ref="E65:E128" si="2">--ISNUMBER(SEARCH($B$1,D65))</f>
        <v>0</v>
      </c>
      <c r="F65" s="17" t="str">
        <f>IF(E65=1,COUNTIF($E$1:$E65,1),"")</f>
        <v/>
      </c>
      <c r="G65" s="7" t="str">
        <f>IFERROR(INDEX($D$1:$D$499,MATCH(ROWS($F$1:$F65),$F$1:$F$499,0)),"")</f>
        <v/>
      </c>
    </row>
    <row r="66" spans="5:7">
      <c r="E66" s="17">
        <f t="shared" si="2"/>
        <v>0</v>
      </c>
      <c r="F66" s="17" t="str">
        <f>IF(E66=1,COUNTIF($E$1:$E66,1),"")</f>
        <v/>
      </c>
      <c r="G66" s="7" t="str">
        <f>IFERROR(INDEX($D$1:$D$499,MATCH(ROWS($F$1:$F66),$F$1:$F$499,0)),"")</f>
        <v/>
      </c>
    </row>
    <row r="67" spans="5:7">
      <c r="E67" s="17">
        <f t="shared" si="2"/>
        <v>0</v>
      </c>
      <c r="F67" s="17" t="str">
        <f>IF(E67=1,COUNTIF($E$1:$E67,1),"")</f>
        <v/>
      </c>
      <c r="G67" s="7" t="str">
        <f>IFERROR(INDEX($D$1:$D$499,MATCH(ROWS($F$1:$F67),$F$1:$F$499,0)),"")</f>
        <v/>
      </c>
    </row>
    <row r="68" spans="5:7">
      <c r="E68" s="17">
        <f t="shared" si="2"/>
        <v>0</v>
      </c>
      <c r="F68" s="17" t="str">
        <f>IF(E68=1,COUNTIF($E$1:$E68,1),"")</f>
        <v/>
      </c>
      <c r="G68" s="7" t="str">
        <f>IFERROR(INDEX($D$1:$D$499,MATCH(ROWS($F$1:$F68),$F$1:$F$499,0)),"")</f>
        <v/>
      </c>
    </row>
    <row r="69" spans="5:7">
      <c r="E69" s="17">
        <f t="shared" si="2"/>
        <v>0</v>
      </c>
      <c r="F69" s="17" t="str">
        <f>IF(E69=1,COUNTIF($E$1:$E69,1),"")</f>
        <v/>
      </c>
      <c r="G69" s="7" t="str">
        <f>IFERROR(INDEX($D$1:$D$499,MATCH(ROWS($F$1:$F69),$F$1:$F$499,0)),"")</f>
        <v/>
      </c>
    </row>
    <row r="70" spans="5:7">
      <c r="E70" s="17">
        <f t="shared" si="2"/>
        <v>0</v>
      </c>
      <c r="F70" s="17" t="str">
        <f>IF(E70=1,COUNTIF($E$1:$E70,1),"")</f>
        <v/>
      </c>
      <c r="G70" s="7" t="str">
        <f>IFERROR(INDEX($D$1:$D$499,MATCH(ROWS($F$1:$F70),$F$1:$F$499,0)),"")</f>
        <v/>
      </c>
    </row>
    <row r="71" spans="5:7">
      <c r="E71" s="17">
        <f t="shared" si="2"/>
        <v>0</v>
      </c>
      <c r="F71" s="17" t="str">
        <f>IF(E71=1,COUNTIF($E$1:$E71,1),"")</f>
        <v/>
      </c>
      <c r="G71" s="7" t="str">
        <f>IFERROR(INDEX($D$1:$D$499,MATCH(ROWS($F$1:$F71),$F$1:$F$499,0)),"")</f>
        <v/>
      </c>
    </row>
    <row r="72" spans="5:7">
      <c r="E72" s="17">
        <f t="shared" si="2"/>
        <v>0</v>
      </c>
      <c r="F72" s="17" t="str">
        <f>IF(E72=1,COUNTIF($E$1:$E72,1),"")</f>
        <v/>
      </c>
      <c r="G72" s="7" t="str">
        <f>IFERROR(INDEX($D$1:$D$499,MATCH(ROWS($F$1:$F72),$F$1:$F$499,0)),"")</f>
        <v/>
      </c>
    </row>
    <row r="73" spans="5:7">
      <c r="E73" s="17">
        <f t="shared" si="2"/>
        <v>0</v>
      </c>
      <c r="F73" s="17" t="str">
        <f>IF(E73=1,COUNTIF($E$1:$E73,1),"")</f>
        <v/>
      </c>
      <c r="G73" s="7" t="str">
        <f>IFERROR(INDEX($D$1:$D$499,MATCH(ROWS($F$1:$F73),$F$1:$F$499,0)),"")</f>
        <v/>
      </c>
    </row>
    <row r="74" spans="5:7">
      <c r="E74" s="17">
        <f t="shared" si="2"/>
        <v>0</v>
      </c>
      <c r="F74" s="17" t="str">
        <f>IF(E74=1,COUNTIF($E$1:$E74,1),"")</f>
        <v/>
      </c>
      <c r="G74" s="7" t="str">
        <f>IFERROR(INDEX($D$1:$D$499,MATCH(ROWS($F$1:$F74),$F$1:$F$499,0)),"")</f>
        <v/>
      </c>
    </row>
    <row r="75" spans="5:7">
      <c r="E75" s="17">
        <f t="shared" si="2"/>
        <v>0</v>
      </c>
      <c r="F75" s="17" t="str">
        <f>IF(E75=1,COUNTIF($E$1:$E75,1),"")</f>
        <v/>
      </c>
      <c r="G75" s="7" t="str">
        <f>IFERROR(INDEX($D$1:$D$499,MATCH(ROWS($F$1:$F75),$F$1:$F$499,0)),"")</f>
        <v/>
      </c>
    </row>
    <row r="76" spans="5:7">
      <c r="E76" s="17">
        <f t="shared" si="2"/>
        <v>0</v>
      </c>
      <c r="F76" s="17" t="str">
        <f>IF(E76=1,COUNTIF($E$1:$E76,1),"")</f>
        <v/>
      </c>
      <c r="G76" s="7" t="str">
        <f>IFERROR(INDEX($D$1:$D$499,MATCH(ROWS($F$1:$F76),$F$1:$F$499,0)),"")</f>
        <v/>
      </c>
    </row>
    <row r="77" spans="5:7">
      <c r="E77" s="17">
        <f t="shared" si="2"/>
        <v>0</v>
      </c>
      <c r="F77" s="17" t="str">
        <f>IF(E77=1,COUNTIF($E$1:$E77,1),"")</f>
        <v/>
      </c>
      <c r="G77" s="7" t="str">
        <f>IFERROR(INDEX($D$1:$D$499,MATCH(ROWS($F$1:$F77),$F$1:$F$499,0)),"")</f>
        <v/>
      </c>
    </row>
    <row r="78" spans="5:7">
      <c r="E78" s="17">
        <f t="shared" si="2"/>
        <v>0</v>
      </c>
      <c r="F78" s="17" t="str">
        <f>IF(E78=1,COUNTIF($E$1:$E78,1),"")</f>
        <v/>
      </c>
      <c r="G78" s="7" t="str">
        <f>IFERROR(INDEX($D$1:$D$499,MATCH(ROWS($F$1:$F78),$F$1:$F$499,0)),"")</f>
        <v/>
      </c>
    </row>
    <row r="79" spans="5:7">
      <c r="E79" s="17">
        <f t="shared" si="2"/>
        <v>0</v>
      </c>
      <c r="F79" s="17" t="str">
        <f>IF(E79=1,COUNTIF($E$1:$E79,1),"")</f>
        <v/>
      </c>
      <c r="G79" s="7" t="str">
        <f>IFERROR(INDEX($D$1:$D$499,MATCH(ROWS($F$1:$F79),$F$1:$F$499,0)),"")</f>
        <v/>
      </c>
    </row>
    <row r="80" spans="5:7">
      <c r="E80" s="17">
        <f t="shared" si="2"/>
        <v>0</v>
      </c>
      <c r="F80" s="17" t="str">
        <f>IF(E80=1,COUNTIF($E$1:$E80,1),"")</f>
        <v/>
      </c>
      <c r="G80" s="7" t="str">
        <f>IFERROR(INDEX($D$1:$D$499,MATCH(ROWS($F$1:$F80),$F$1:$F$499,0)),"")</f>
        <v/>
      </c>
    </row>
    <row r="81" spans="5:7">
      <c r="E81" s="17">
        <f t="shared" si="2"/>
        <v>0</v>
      </c>
      <c r="F81" s="17" t="str">
        <f>IF(E81=1,COUNTIF($E$1:$E81,1),"")</f>
        <v/>
      </c>
      <c r="G81" s="7" t="str">
        <f>IFERROR(INDEX($D$1:$D$499,MATCH(ROWS($F$1:$F81),$F$1:$F$499,0)),"")</f>
        <v/>
      </c>
    </row>
    <row r="82" spans="5:7">
      <c r="E82" s="17">
        <f t="shared" si="2"/>
        <v>0</v>
      </c>
      <c r="F82" s="17" t="str">
        <f>IF(E82=1,COUNTIF($E$1:$E82,1),"")</f>
        <v/>
      </c>
      <c r="G82" s="7" t="str">
        <f>IFERROR(INDEX($D$1:$D$499,MATCH(ROWS($F$1:$F82),$F$1:$F$499,0)),"")</f>
        <v/>
      </c>
    </row>
    <row r="83" spans="5:7">
      <c r="E83" s="17">
        <f t="shared" si="2"/>
        <v>0</v>
      </c>
      <c r="F83" s="17" t="str">
        <f>IF(E83=1,COUNTIF($E$1:$E83,1),"")</f>
        <v/>
      </c>
      <c r="G83" s="7" t="str">
        <f>IFERROR(INDEX($D$1:$D$499,MATCH(ROWS($F$1:$F83),$F$1:$F$499,0)),"")</f>
        <v/>
      </c>
    </row>
    <row r="84" spans="5:7">
      <c r="E84" s="17">
        <f t="shared" si="2"/>
        <v>0</v>
      </c>
      <c r="F84" s="17" t="str">
        <f>IF(E84=1,COUNTIF($E$1:$E84,1),"")</f>
        <v/>
      </c>
      <c r="G84" s="7" t="str">
        <f>IFERROR(INDEX($D$1:$D$499,MATCH(ROWS($F$1:$F84),$F$1:$F$499,0)),"")</f>
        <v/>
      </c>
    </row>
    <row r="85" spans="5:7">
      <c r="E85" s="17">
        <f t="shared" si="2"/>
        <v>0</v>
      </c>
      <c r="F85" s="17" t="str">
        <f>IF(E85=1,COUNTIF($E$1:$E85,1),"")</f>
        <v/>
      </c>
      <c r="G85" s="7" t="str">
        <f>IFERROR(INDEX($D$1:$D$499,MATCH(ROWS($F$1:$F85),$F$1:$F$499,0)),"")</f>
        <v/>
      </c>
    </row>
    <row r="86" spans="5:7">
      <c r="E86" s="17">
        <f t="shared" si="2"/>
        <v>0</v>
      </c>
      <c r="F86" s="17" t="str">
        <f>IF(E86=1,COUNTIF($E$1:$E86,1),"")</f>
        <v/>
      </c>
      <c r="G86" s="7" t="str">
        <f>IFERROR(INDEX($D$1:$D$499,MATCH(ROWS($F$1:$F86),$F$1:$F$499,0)),"")</f>
        <v/>
      </c>
    </row>
    <row r="87" spans="5:7">
      <c r="E87" s="17">
        <f t="shared" si="2"/>
        <v>0</v>
      </c>
      <c r="F87" s="17" t="str">
        <f>IF(E87=1,COUNTIF($E$1:$E87,1),"")</f>
        <v/>
      </c>
      <c r="G87" s="7" t="str">
        <f>IFERROR(INDEX($D$1:$D$499,MATCH(ROWS($F$1:$F87),$F$1:$F$499,0)),"")</f>
        <v/>
      </c>
    </row>
    <row r="88" spans="5:7">
      <c r="E88" s="17">
        <f t="shared" si="2"/>
        <v>0</v>
      </c>
      <c r="F88" s="17" t="str">
        <f>IF(E88=1,COUNTIF($E$1:$E88,1),"")</f>
        <v/>
      </c>
      <c r="G88" s="7" t="str">
        <f>IFERROR(INDEX($D$1:$D$499,MATCH(ROWS($F$1:$F88),$F$1:$F$499,0)),"")</f>
        <v/>
      </c>
    </row>
    <row r="89" spans="5:7">
      <c r="E89" s="17">
        <f t="shared" si="2"/>
        <v>0</v>
      </c>
      <c r="F89" s="17" t="str">
        <f>IF(E89=1,COUNTIF($E$1:$E89,1),"")</f>
        <v/>
      </c>
      <c r="G89" s="7" t="str">
        <f>IFERROR(INDEX($D$1:$D$499,MATCH(ROWS($F$1:$F89),$F$1:$F$499,0)),"")</f>
        <v/>
      </c>
    </row>
    <row r="90" spans="5:7">
      <c r="E90" s="17">
        <f t="shared" si="2"/>
        <v>0</v>
      </c>
      <c r="F90" s="17" t="str">
        <f>IF(E90=1,COUNTIF($E$1:$E90,1),"")</f>
        <v/>
      </c>
      <c r="G90" s="7" t="str">
        <f>IFERROR(INDEX($D$1:$D$499,MATCH(ROWS($F$1:$F90),$F$1:$F$499,0)),"")</f>
        <v/>
      </c>
    </row>
    <row r="91" spans="5:7">
      <c r="E91" s="17">
        <f t="shared" si="2"/>
        <v>0</v>
      </c>
      <c r="F91" s="17" t="str">
        <f>IF(E91=1,COUNTIF($E$1:$E91,1),"")</f>
        <v/>
      </c>
      <c r="G91" s="7" t="str">
        <f>IFERROR(INDEX($D$1:$D$499,MATCH(ROWS($F$1:$F91),$F$1:$F$499,0)),"")</f>
        <v/>
      </c>
    </row>
    <row r="92" spans="5:7">
      <c r="E92" s="17">
        <f t="shared" si="2"/>
        <v>0</v>
      </c>
      <c r="F92" s="17" t="str">
        <f>IF(E92=1,COUNTIF($E$1:$E92,1),"")</f>
        <v/>
      </c>
      <c r="G92" s="7" t="str">
        <f>IFERROR(INDEX($D$1:$D$499,MATCH(ROWS($F$1:$F92),$F$1:$F$499,0)),"")</f>
        <v/>
      </c>
    </row>
    <row r="93" spans="5:7">
      <c r="E93" s="17">
        <f t="shared" si="2"/>
        <v>0</v>
      </c>
      <c r="F93" s="17" t="str">
        <f>IF(E93=1,COUNTIF($E$1:$E93,1),"")</f>
        <v/>
      </c>
      <c r="G93" s="7" t="str">
        <f>IFERROR(INDEX($D$1:$D$499,MATCH(ROWS($F$1:$F93),$F$1:$F$499,0)),"")</f>
        <v/>
      </c>
    </row>
    <row r="94" spans="5:7">
      <c r="E94" s="17">
        <f t="shared" si="2"/>
        <v>0</v>
      </c>
      <c r="F94" s="17" t="str">
        <f>IF(E94=1,COUNTIF($E$1:$E94,1),"")</f>
        <v/>
      </c>
      <c r="G94" s="7" t="str">
        <f>IFERROR(INDEX($D$1:$D$499,MATCH(ROWS($F$1:$F94),$F$1:$F$499,0)),"")</f>
        <v/>
      </c>
    </row>
    <row r="95" spans="5:7">
      <c r="E95" s="17">
        <f t="shared" si="2"/>
        <v>0</v>
      </c>
      <c r="F95" s="17" t="str">
        <f>IF(E95=1,COUNTIF($E$1:$E95,1),"")</f>
        <v/>
      </c>
      <c r="G95" s="7" t="str">
        <f>IFERROR(INDEX($D$1:$D$499,MATCH(ROWS($F$1:$F95),$F$1:$F$499,0)),"")</f>
        <v/>
      </c>
    </row>
    <row r="96" spans="5:7">
      <c r="E96" s="17">
        <f t="shared" si="2"/>
        <v>0</v>
      </c>
      <c r="F96" s="17" t="str">
        <f>IF(E96=1,COUNTIF($E$1:$E96,1),"")</f>
        <v/>
      </c>
      <c r="G96" s="7" t="str">
        <f>IFERROR(INDEX($D$1:$D$499,MATCH(ROWS($F$1:$F96),$F$1:$F$499,0)),"")</f>
        <v/>
      </c>
    </row>
    <row r="97" spans="5:7">
      <c r="E97" s="17">
        <f t="shared" si="2"/>
        <v>0</v>
      </c>
      <c r="F97" s="17" t="str">
        <f>IF(E97=1,COUNTIF($E$1:$E97,1),"")</f>
        <v/>
      </c>
      <c r="G97" s="7" t="str">
        <f>IFERROR(INDEX($D$1:$D$499,MATCH(ROWS($F$1:$F97),$F$1:$F$499,0)),"")</f>
        <v/>
      </c>
    </row>
    <row r="98" spans="5:7">
      <c r="E98" s="17">
        <f t="shared" si="2"/>
        <v>0</v>
      </c>
      <c r="F98" s="17" t="str">
        <f>IF(E98=1,COUNTIF($E$1:$E98,1),"")</f>
        <v/>
      </c>
      <c r="G98" s="7" t="str">
        <f>IFERROR(INDEX($D$1:$D$499,MATCH(ROWS($F$1:$F98),$F$1:$F$499,0)),"")</f>
        <v/>
      </c>
    </row>
    <row r="99" spans="5:7">
      <c r="E99" s="17">
        <f t="shared" si="2"/>
        <v>0</v>
      </c>
      <c r="F99" s="17" t="str">
        <f>IF(E99=1,COUNTIF($E$1:$E99,1),"")</f>
        <v/>
      </c>
      <c r="G99" s="7" t="str">
        <f>IFERROR(INDEX($D$1:$D$499,MATCH(ROWS($F$1:$F99),$F$1:$F$499,0)),"")</f>
        <v/>
      </c>
    </row>
    <row r="100" spans="5:7">
      <c r="E100" s="17">
        <f t="shared" si="2"/>
        <v>0</v>
      </c>
      <c r="F100" s="17" t="str">
        <f>IF(E100=1,COUNTIF($E$1:$E100,1),"")</f>
        <v/>
      </c>
      <c r="G100" s="7" t="str">
        <f>IFERROR(INDEX($D$1:$D$499,MATCH(ROWS($F$1:$F100),$F$1:$F$499,0)),"")</f>
        <v/>
      </c>
    </row>
    <row r="101" spans="5:7">
      <c r="E101" s="17">
        <f t="shared" si="2"/>
        <v>0</v>
      </c>
      <c r="F101" s="17" t="str">
        <f>IF(E101=1,COUNTIF($E$1:$E101,1),"")</f>
        <v/>
      </c>
      <c r="G101" s="7" t="str">
        <f>IFERROR(INDEX($D$1:$D$499,MATCH(ROWS($F$1:$F101),$F$1:$F$499,0)),"")</f>
        <v/>
      </c>
    </row>
    <row r="102" spans="5:7">
      <c r="E102" s="17">
        <f t="shared" si="2"/>
        <v>0</v>
      </c>
      <c r="F102" s="17" t="str">
        <f>IF(E102=1,COUNTIF($E$1:$E102,1),"")</f>
        <v/>
      </c>
      <c r="G102" s="7" t="str">
        <f>IFERROR(INDEX($D$1:$D$499,MATCH(ROWS($F$1:$F102),$F$1:$F$499,0)),"")</f>
        <v/>
      </c>
    </row>
    <row r="103" spans="5:7">
      <c r="E103" s="17">
        <f t="shared" si="2"/>
        <v>0</v>
      </c>
      <c r="F103" s="17" t="str">
        <f>IF(E103=1,COUNTIF($E$1:$E103,1),"")</f>
        <v/>
      </c>
      <c r="G103" s="7" t="str">
        <f>IFERROR(INDEX($D$1:$D$499,MATCH(ROWS($F$1:$F103),$F$1:$F$499,0)),"")</f>
        <v/>
      </c>
    </row>
    <row r="104" spans="5:7">
      <c r="E104" s="17">
        <f t="shared" si="2"/>
        <v>0</v>
      </c>
      <c r="F104" s="17" t="str">
        <f>IF(E104=1,COUNTIF($E$1:$E104,1),"")</f>
        <v/>
      </c>
      <c r="G104" s="7" t="str">
        <f>IFERROR(INDEX($D$1:$D$499,MATCH(ROWS($F$1:$F104),$F$1:$F$499,0)),"")</f>
        <v/>
      </c>
    </row>
    <row r="105" spans="5:7">
      <c r="E105" s="17">
        <f t="shared" si="2"/>
        <v>0</v>
      </c>
      <c r="F105" s="17" t="str">
        <f>IF(E105=1,COUNTIF($E$1:$E105,1),"")</f>
        <v/>
      </c>
      <c r="G105" s="7" t="str">
        <f>IFERROR(INDEX($D$1:$D$499,MATCH(ROWS($F$1:$F105),$F$1:$F$499,0)),"")</f>
        <v/>
      </c>
    </row>
    <row r="106" spans="5:7">
      <c r="E106" s="17">
        <f t="shared" si="2"/>
        <v>0</v>
      </c>
      <c r="F106" s="17" t="str">
        <f>IF(E106=1,COUNTIF($E$1:$E106,1),"")</f>
        <v/>
      </c>
      <c r="G106" s="7" t="str">
        <f>IFERROR(INDEX($D$1:$D$499,MATCH(ROWS($F$1:$F106),$F$1:$F$499,0)),"")</f>
        <v/>
      </c>
    </row>
    <row r="107" spans="5:7">
      <c r="E107" s="17">
        <f t="shared" si="2"/>
        <v>0</v>
      </c>
      <c r="F107" s="17" t="str">
        <f>IF(E107=1,COUNTIF($E$1:$E107,1),"")</f>
        <v/>
      </c>
      <c r="G107" s="7" t="str">
        <f>IFERROR(INDEX($D$1:$D$499,MATCH(ROWS($F$1:$F107),$F$1:$F$499,0)),"")</f>
        <v/>
      </c>
    </row>
    <row r="108" spans="5:7">
      <c r="E108" s="17">
        <f t="shared" si="2"/>
        <v>0</v>
      </c>
      <c r="F108" s="17" t="str">
        <f>IF(E108=1,COUNTIF($E$1:$E108,1),"")</f>
        <v/>
      </c>
      <c r="G108" s="7" t="str">
        <f>IFERROR(INDEX($D$1:$D$499,MATCH(ROWS($F$1:$F108),$F$1:$F$499,0)),"")</f>
        <v/>
      </c>
    </row>
    <row r="109" spans="5:7">
      <c r="E109" s="17">
        <f t="shared" si="2"/>
        <v>0</v>
      </c>
      <c r="F109" s="17" t="str">
        <f>IF(E109=1,COUNTIF($E$1:$E109,1),"")</f>
        <v/>
      </c>
      <c r="G109" s="7" t="str">
        <f>IFERROR(INDEX($D$1:$D$499,MATCH(ROWS($F$1:$F109),$F$1:$F$499,0)),"")</f>
        <v/>
      </c>
    </row>
    <row r="110" spans="5:7">
      <c r="E110" s="17">
        <f t="shared" si="2"/>
        <v>0</v>
      </c>
      <c r="F110" s="17" t="str">
        <f>IF(E110=1,COUNTIF($E$1:$E110,1),"")</f>
        <v/>
      </c>
      <c r="G110" s="7" t="str">
        <f>IFERROR(INDEX($D$1:$D$499,MATCH(ROWS($F$1:$F110),$F$1:$F$499,0)),"")</f>
        <v/>
      </c>
    </row>
    <row r="111" spans="5:7">
      <c r="E111" s="17">
        <f t="shared" si="2"/>
        <v>0</v>
      </c>
      <c r="F111" s="17" t="str">
        <f>IF(E111=1,COUNTIF($E$1:$E111,1),"")</f>
        <v/>
      </c>
      <c r="G111" s="7" t="str">
        <f>IFERROR(INDEX($D$1:$D$499,MATCH(ROWS($F$1:$F111),$F$1:$F$499,0)),"")</f>
        <v/>
      </c>
    </row>
    <row r="112" spans="5:7">
      <c r="E112" s="17">
        <f t="shared" si="2"/>
        <v>0</v>
      </c>
      <c r="F112" s="17" t="str">
        <f>IF(E112=1,COUNTIF($E$1:$E112,1),"")</f>
        <v/>
      </c>
      <c r="G112" s="7" t="str">
        <f>IFERROR(INDEX($D$1:$D$499,MATCH(ROWS($F$1:$F112),$F$1:$F$499,0)),"")</f>
        <v/>
      </c>
    </row>
    <row r="113" spans="5:7">
      <c r="E113" s="17">
        <f t="shared" si="2"/>
        <v>0</v>
      </c>
      <c r="F113" s="17" t="str">
        <f>IF(E113=1,COUNTIF($E$1:$E113,1),"")</f>
        <v/>
      </c>
      <c r="G113" s="7" t="str">
        <f>IFERROR(INDEX($D$1:$D$499,MATCH(ROWS($F$1:$F113),$F$1:$F$499,0)),"")</f>
        <v/>
      </c>
    </row>
    <row r="114" spans="5:7">
      <c r="E114" s="17">
        <f t="shared" si="2"/>
        <v>0</v>
      </c>
      <c r="F114" s="17" t="str">
        <f>IF(E114=1,COUNTIF($E$1:$E114,1),"")</f>
        <v/>
      </c>
      <c r="G114" s="7" t="str">
        <f>IFERROR(INDEX($D$1:$D$499,MATCH(ROWS($F$1:$F114),$F$1:$F$499,0)),"")</f>
        <v/>
      </c>
    </row>
    <row r="115" spans="5:7">
      <c r="E115" s="17">
        <f t="shared" si="2"/>
        <v>0</v>
      </c>
      <c r="F115" s="17" t="str">
        <f>IF(E115=1,COUNTIF($E$1:$E115,1),"")</f>
        <v/>
      </c>
      <c r="G115" s="7" t="str">
        <f>IFERROR(INDEX($D$1:$D$499,MATCH(ROWS($F$1:$F115),$F$1:$F$499,0)),"")</f>
        <v/>
      </c>
    </row>
    <row r="116" spans="5:7">
      <c r="E116" s="17">
        <f t="shared" si="2"/>
        <v>0</v>
      </c>
      <c r="F116" s="17" t="str">
        <f>IF(E116=1,COUNTIF($E$1:$E116,1),"")</f>
        <v/>
      </c>
      <c r="G116" s="7" t="str">
        <f>IFERROR(INDEX($D$1:$D$499,MATCH(ROWS($F$1:$F116),$F$1:$F$499,0)),"")</f>
        <v/>
      </c>
    </row>
    <row r="117" spans="5:7">
      <c r="E117" s="17">
        <f t="shared" si="2"/>
        <v>0</v>
      </c>
      <c r="F117" s="17" t="str">
        <f>IF(E117=1,COUNTIF($E$1:$E117,1),"")</f>
        <v/>
      </c>
      <c r="G117" s="7" t="str">
        <f>IFERROR(INDEX($D$1:$D$499,MATCH(ROWS($F$1:$F117),$F$1:$F$499,0)),"")</f>
        <v/>
      </c>
    </row>
    <row r="118" spans="5:7">
      <c r="E118" s="17">
        <f t="shared" si="2"/>
        <v>0</v>
      </c>
      <c r="F118" s="17" t="str">
        <f>IF(E118=1,COUNTIF($E$1:$E118,1),"")</f>
        <v/>
      </c>
      <c r="G118" s="7" t="str">
        <f>IFERROR(INDEX($D$1:$D$499,MATCH(ROWS($F$1:$F118),$F$1:$F$499,0)),"")</f>
        <v/>
      </c>
    </row>
    <row r="119" spans="5:7">
      <c r="E119" s="17">
        <f t="shared" si="2"/>
        <v>0</v>
      </c>
      <c r="F119" s="17" t="str">
        <f>IF(E119=1,COUNTIF($E$1:$E119,1),"")</f>
        <v/>
      </c>
      <c r="G119" s="7" t="str">
        <f>IFERROR(INDEX($D$1:$D$499,MATCH(ROWS($F$1:$F119),$F$1:$F$499,0)),"")</f>
        <v/>
      </c>
    </row>
    <row r="120" spans="5:7">
      <c r="E120" s="17">
        <f t="shared" si="2"/>
        <v>0</v>
      </c>
      <c r="F120" s="17" t="str">
        <f>IF(E120=1,COUNTIF($E$1:$E120,1),"")</f>
        <v/>
      </c>
      <c r="G120" s="7" t="str">
        <f>IFERROR(INDEX($D$1:$D$499,MATCH(ROWS($F$1:$F120),$F$1:$F$499,0)),"")</f>
        <v/>
      </c>
    </row>
    <row r="121" spans="5:7">
      <c r="E121" s="17">
        <f t="shared" si="2"/>
        <v>0</v>
      </c>
      <c r="F121" s="17" t="str">
        <f>IF(E121=1,COUNTIF($E$1:$E121,1),"")</f>
        <v/>
      </c>
      <c r="G121" s="7" t="str">
        <f>IFERROR(INDEX($D$1:$D$499,MATCH(ROWS($F$1:$F121),$F$1:$F$499,0)),"")</f>
        <v/>
      </c>
    </row>
    <row r="122" spans="5:7">
      <c r="E122" s="17">
        <f t="shared" si="2"/>
        <v>0</v>
      </c>
      <c r="F122" s="17" t="str">
        <f>IF(E122=1,COUNTIF($E$1:$E122,1),"")</f>
        <v/>
      </c>
      <c r="G122" s="7" t="str">
        <f>IFERROR(INDEX($D$1:$D$499,MATCH(ROWS($F$1:$F122),$F$1:$F$499,0)),"")</f>
        <v/>
      </c>
    </row>
    <row r="123" spans="5:7">
      <c r="E123" s="17">
        <f t="shared" si="2"/>
        <v>0</v>
      </c>
      <c r="F123" s="17" t="str">
        <f>IF(E123=1,COUNTIF($E$1:$E123,1),"")</f>
        <v/>
      </c>
      <c r="G123" s="7" t="str">
        <f>IFERROR(INDEX($D$1:$D$499,MATCH(ROWS($F$1:$F123),$F$1:$F$499,0)),"")</f>
        <v/>
      </c>
    </row>
    <row r="124" spans="5:7">
      <c r="E124" s="17">
        <f t="shared" si="2"/>
        <v>0</v>
      </c>
      <c r="F124" s="17" t="str">
        <f>IF(E124=1,COUNTIF($E$1:$E124,1),"")</f>
        <v/>
      </c>
      <c r="G124" s="7" t="str">
        <f>IFERROR(INDEX($D$1:$D$499,MATCH(ROWS($F$1:$F124),$F$1:$F$499,0)),"")</f>
        <v/>
      </c>
    </row>
    <row r="125" spans="5:7">
      <c r="E125" s="17">
        <f t="shared" si="2"/>
        <v>0</v>
      </c>
      <c r="F125" s="17" t="str">
        <f>IF(E125=1,COUNTIF($E$1:$E125,1),"")</f>
        <v/>
      </c>
      <c r="G125" s="7" t="str">
        <f>IFERROR(INDEX($D$1:$D$499,MATCH(ROWS($F$1:$F125),$F$1:$F$499,0)),"")</f>
        <v/>
      </c>
    </row>
    <row r="126" spans="5:7">
      <c r="E126" s="17">
        <f t="shared" si="2"/>
        <v>0</v>
      </c>
      <c r="F126" s="17" t="str">
        <f>IF(E126=1,COUNTIF($E$1:$E126,1),"")</f>
        <v/>
      </c>
      <c r="G126" s="7" t="str">
        <f>IFERROR(INDEX($D$1:$D$499,MATCH(ROWS($F$1:$F126),$F$1:$F$499,0)),"")</f>
        <v/>
      </c>
    </row>
    <row r="127" spans="5:7">
      <c r="E127" s="17">
        <f t="shared" si="2"/>
        <v>0</v>
      </c>
      <c r="F127" s="17" t="str">
        <f>IF(E127=1,COUNTIF($E$1:$E127,1),"")</f>
        <v/>
      </c>
      <c r="G127" s="7" t="str">
        <f>IFERROR(INDEX($D$1:$D$499,MATCH(ROWS($F$1:$F127),$F$1:$F$499,0)),"")</f>
        <v/>
      </c>
    </row>
    <row r="128" spans="5:7">
      <c r="E128" s="17">
        <f t="shared" si="2"/>
        <v>0</v>
      </c>
      <c r="F128" s="17" t="str">
        <f>IF(E128=1,COUNTIF($E$1:$E128,1),"")</f>
        <v/>
      </c>
      <c r="G128" s="7" t="str">
        <f>IFERROR(INDEX($D$1:$D$499,MATCH(ROWS($F$1:$F128),$F$1:$F$499,0)),"")</f>
        <v/>
      </c>
    </row>
    <row r="129" spans="5:7">
      <c r="E129" s="17">
        <f t="shared" ref="E129:E192" si="3">--ISNUMBER(SEARCH($B$1,D129))</f>
        <v>0</v>
      </c>
      <c r="F129" s="17" t="str">
        <f>IF(E129=1,COUNTIF($E$1:$E129,1),"")</f>
        <v/>
      </c>
      <c r="G129" s="7" t="str">
        <f>IFERROR(INDEX($D$1:$D$499,MATCH(ROWS($F$1:$F129),$F$1:$F$499,0)),"")</f>
        <v/>
      </c>
    </row>
    <row r="130" spans="5:7">
      <c r="E130" s="17">
        <f t="shared" si="3"/>
        <v>0</v>
      </c>
      <c r="F130" s="17" t="str">
        <f>IF(E130=1,COUNTIF($E$1:$E130,1),"")</f>
        <v/>
      </c>
      <c r="G130" s="7" t="str">
        <f>IFERROR(INDEX($D$1:$D$499,MATCH(ROWS($F$1:$F130),$F$1:$F$499,0)),"")</f>
        <v/>
      </c>
    </row>
    <row r="131" spans="5:7">
      <c r="E131" s="17">
        <f t="shared" si="3"/>
        <v>0</v>
      </c>
      <c r="F131" s="17" t="str">
        <f>IF(E131=1,COUNTIF($E$1:$E131,1),"")</f>
        <v/>
      </c>
      <c r="G131" s="7" t="str">
        <f>IFERROR(INDEX($D$1:$D$499,MATCH(ROWS($F$1:$F131),$F$1:$F$499,0)),"")</f>
        <v/>
      </c>
    </row>
    <row r="132" spans="5:7">
      <c r="E132" s="17">
        <f t="shared" si="3"/>
        <v>0</v>
      </c>
      <c r="F132" s="17" t="str">
        <f>IF(E132=1,COUNTIF($E$1:$E132,1),"")</f>
        <v/>
      </c>
      <c r="G132" s="7" t="str">
        <f>IFERROR(INDEX($D$1:$D$499,MATCH(ROWS($F$1:$F132),$F$1:$F$499,0)),"")</f>
        <v/>
      </c>
    </row>
    <row r="133" spans="5:7">
      <c r="E133" s="17">
        <f t="shared" si="3"/>
        <v>0</v>
      </c>
      <c r="F133" s="17" t="str">
        <f>IF(E133=1,COUNTIF($E$1:$E133,1),"")</f>
        <v/>
      </c>
      <c r="G133" s="7" t="str">
        <f>IFERROR(INDEX($D$1:$D$499,MATCH(ROWS($F$1:$F133),$F$1:$F$499,0)),"")</f>
        <v/>
      </c>
    </row>
    <row r="134" spans="5:7">
      <c r="E134" s="17">
        <f t="shared" si="3"/>
        <v>0</v>
      </c>
      <c r="F134" s="17" t="str">
        <f>IF(E134=1,COUNTIF($E$1:$E134,1),"")</f>
        <v/>
      </c>
      <c r="G134" s="7" t="str">
        <f>IFERROR(INDEX($D$1:$D$499,MATCH(ROWS($F$1:$F134),$F$1:$F$499,0)),"")</f>
        <v/>
      </c>
    </row>
    <row r="135" spans="5:7">
      <c r="E135" s="17">
        <f t="shared" si="3"/>
        <v>0</v>
      </c>
      <c r="F135" s="17" t="str">
        <f>IF(E135=1,COUNTIF($E$1:$E135,1),"")</f>
        <v/>
      </c>
      <c r="G135" s="7" t="str">
        <f>IFERROR(INDEX($D$1:$D$499,MATCH(ROWS($F$1:$F135),$F$1:$F$499,0)),"")</f>
        <v/>
      </c>
    </row>
    <row r="136" spans="5:7">
      <c r="E136" s="17">
        <f t="shared" si="3"/>
        <v>0</v>
      </c>
      <c r="F136" s="17" t="str">
        <f>IF(E136=1,COUNTIF($E$1:$E136,1),"")</f>
        <v/>
      </c>
      <c r="G136" s="7" t="str">
        <f>IFERROR(INDEX($D$1:$D$499,MATCH(ROWS($F$1:$F136),$F$1:$F$499,0)),"")</f>
        <v/>
      </c>
    </row>
    <row r="137" spans="5:7">
      <c r="E137" s="17">
        <f t="shared" si="3"/>
        <v>0</v>
      </c>
      <c r="F137" s="17" t="str">
        <f>IF(E137=1,COUNTIF($E$1:$E137,1),"")</f>
        <v/>
      </c>
      <c r="G137" s="7" t="str">
        <f>IFERROR(INDEX($D$1:$D$499,MATCH(ROWS($F$1:$F137),$F$1:$F$499,0)),"")</f>
        <v/>
      </c>
    </row>
    <row r="138" spans="5:7">
      <c r="E138" s="17">
        <f t="shared" si="3"/>
        <v>0</v>
      </c>
      <c r="F138" s="17" t="str">
        <f>IF(E138=1,COUNTIF($E$1:$E138,1),"")</f>
        <v/>
      </c>
      <c r="G138" s="7" t="str">
        <f>IFERROR(INDEX($D$1:$D$499,MATCH(ROWS($F$1:$F138),$F$1:$F$499,0)),"")</f>
        <v/>
      </c>
    </row>
    <row r="139" spans="5:7">
      <c r="E139" s="17">
        <f t="shared" si="3"/>
        <v>0</v>
      </c>
      <c r="F139" s="17" t="str">
        <f>IF(E139=1,COUNTIF($E$1:$E139,1),"")</f>
        <v/>
      </c>
      <c r="G139" s="7" t="str">
        <f>IFERROR(INDEX($D$1:$D$499,MATCH(ROWS($F$1:$F139),$F$1:$F$499,0)),"")</f>
        <v/>
      </c>
    </row>
    <row r="140" spans="5:7">
      <c r="E140" s="17">
        <f t="shared" si="3"/>
        <v>0</v>
      </c>
      <c r="F140" s="17" t="str">
        <f>IF(E140=1,COUNTIF($E$1:$E140,1),"")</f>
        <v/>
      </c>
      <c r="G140" s="7" t="str">
        <f>IFERROR(INDEX($D$1:$D$499,MATCH(ROWS($F$1:$F140),$F$1:$F$499,0)),"")</f>
        <v/>
      </c>
    </row>
    <row r="141" spans="5:7">
      <c r="E141" s="17">
        <f t="shared" si="3"/>
        <v>0</v>
      </c>
      <c r="F141" s="17" t="str">
        <f>IF(E141=1,COUNTIF($E$1:$E141,1),"")</f>
        <v/>
      </c>
      <c r="G141" s="7" t="str">
        <f>IFERROR(INDEX($D$1:$D$499,MATCH(ROWS($F$1:$F141),$F$1:$F$499,0)),"")</f>
        <v/>
      </c>
    </row>
    <row r="142" spans="5:7">
      <c r="E142" s="17">
        <f t="shared" si="3"/>
        <v>0</v>
      </c>
      <c r="F142" s="17" t="str">
        <f>IF(E142=1,COUNTIF($E$1:$E142,1),"")</f>
        <v/>
      </c>
      <c r="G142" s="7" t="str">
        <f>IFERROR(INDEX($D$1:$D$499,MATCH(ROWS($F$1:$F142),$F$1:$F$499,0)),"")</f>
        <v/>
      </c>
    </row>
    <row r="143" spans="5:7">
      <c r="E143" s="17">
        <f t="shared" si="3"/>
        <v>0</v>
      </c>
      <c r="F143" s="17" t="str">
        <f>IF(E143=1,COUNTIF($E$1:$E143,1),"")</f>
        <v/>
      </c>
      <c r="G143" s="7" t="str">
        <f>IFERROR(INDEX($D$1:$D$499,MATCH(ROWS($F$1:$F143),$F$1:$F$499,0)),"")</f>
        <v/>
      </c>
    </row>
    <row r="144" spans="5:7">
      <c r="E144" s="17">
        <f t="shared" si="3"/>
        <v>0</v>
      </c>
      <c r="F144" s="17" t="str">
        <f>IF(E144=1,COUNTIF($E$1:$E144,1),"")</f>
        <v/>
      </c>
      <c r="G144" s="7" t="str">
        <f>IFERROR(INDEX($D$1:$D$499,MATCH(ROWS($F$1:$F144),$F$1:$F$499,0)),"")</f>
        <v/>
      </c>
    </row>
    <row r="145" spans="5:7">
      <c r="E145" s="17">
        <f t="shared" si="3"/>
        <v>0</v>
      </c>
      <c r="F145" s="17" t="str">
        <f>IF(E145=1,COUNTIF($E$1:$E145,1),"")</f>
        <v/>
      </c>
      <c r="G145" s="7" t="str">
        <f>IFERROR(INDEX($D$1:$D$499,MATCH(ROWS($F$1:$F145),$F$1:$F$499,0)),"")</f>
        <v/>
      </c>
    </row>
    <row r="146" spans="5:7">
      <c r="E146" s="17">
        <f t="shared" si="3"/>
        <v>0</v>
      </c>
      <c r="F146" s="17" t="str">
        <f>IF(E146=1,COUNTIF($E$1:$E146,1),"")</f>
        <v/>
      </c>
      <c r="G146" s="7" t="str">
        <f>IFERROR(INDEX($D$1:$D$499,MATCH(ROWS($F$1:$F146),$F$1:$F$499,0)),"")</f>
        <v/>
      </c>
    </row>
    <row r="147" spans="5:7">
      <c r="E147" s="17">
        <f t="shared" si="3"/>
        <v>0</v>
      </c>
      <c r="F147" s="17" t="str">
        <f>IF(E147=1,COUNTIF($E$1:$E147,1),"")</f>
        <v/>
      </c>
      <c r="G147" s="7" t="str">
        <f>IFERROR(INDEX($D$1:$D$499,MATCH(ROWS($F$1:$F147),$F$1:$F$499,0)),"")</f>
        <v/>
      </c>
    </row>
    <row r="148" spans="5:7">
      <c r="E148" s="17">
        <f t="shared" si="3"/>
        <v>0</v>
      </c>
      <c r="F148" s="17" t="str">
        <f>IF(E148=1,COUNTIF($E$1:$E148,1),"")</f>
        <v/>
      </c>
      <c r="G148" s="7" t="str">
        <f>IFERROR(INDEX($D$1:$D$499,MATCH(ROWS($F$1:$F148),$F$1:$F$499,0)),"")</f>
        <v/>
      </c>
    </row>
    <row r="149" spans="5:7">
      <c r="E149" s="17">
        <f t="shared" si="3"/>
        <v>0</v>
      </c>
      <c r="F149" s="17" t="str">
        <f>IF(E149=1,COUNTIF($E$1:$E149,1),"")</f>
        <v/>
      </c>
      <c r="G149" s="7" t="str">
        <f>IFERROR(INDEX($D$1:$D$499,MATCH(ROWS($F$1:$F149),$F$1:$F$499,0)),"")</f>
        <v/>
      </c>
    </row>
    <row r="150" spans="5:7">
      <c r="E150" s="17">
        <f t="shared" si="3"/>
        <v>0</v>
      </c>
      <c r="F150" s="17" t="str">
        <f>IF(E150=1,COUNTIF($E$1:$E150,1),"")</f>
        <v/>
      </c>
      <c r="G150" s="7" t="str">
        <f>IFERROR(INDEX($D$1:$D$499,MATCH(ROWS($F$1:$F150),$F$1:$F$499,0)),"")</f>
        <v/>
      </c>
    </row>
    <row r="151" spans="5:7">
      <c r="E151" s="17">
        <f t="shared" si="3"/>
        <v>0</v>
      </c>
      <c r="F151" s="17" t="str">
        <f>IF(E151=1,COUNTIF($E$1:$E151,1),"")</f>
        <v/>
      </c>
      <c r="G151" s="7" t="str">
        <f>IFERROR(INDEX($D$1:$D$499,MATCH(ROWS($F$1:$F151),$F$1:$F$499,0)),"")</f>
        <v/>
      </c>
    </row>
    <row r="152" spans="5:7">
      <c r="E152" s="17">
        <f t="shared" si="3"/>
        <v>0</v>
      </c>
      <c r="F152" s="17" t="str">
        <f>IF(E152=1,COUNTIF($E$1:$E152,1),"")</f>
        <v/>
      </c>
      <c r="G152" s="7" t="str">
        <f>IFERROR(INDEX($D$1:$D$499,MATCH(ROWS($F$1:$F152),$F$1:$F$499,0)),"")</f>
        <v/>
      </c>
    </row>
    <row r="153" spans="5:7">
      <c r="E153" s="17">
        <f t="shared" si="3"/>
        <v>0</v>
      </c>
      <c r="F153" s="17" t="str">
        <f>IF(E153=1,COUNTIF($E$1:$E153,1),"")</f>
        <v/>
      </c>
      <c r="G153" s="7" t="str">
        <f>IFERROR(INDEX($D$1:$D$499,MATCH(ROWS($F$1:$F153),$F$1:$F$499,0)),"")</f>
        <v/>
      </c>
    </row>
    <row r="154" spans="5:7">
      <c r="E154" s="17">
        <f t="shared" si="3"/>
        <v>0</v>
      </c>
      <c r="F154" s="17" t="str">
        <f>IF(E154=1,COUNTIF($E$1:$E154,1),"")</f>
        <v/>
      </c>
      <c r="G154" s="7" t="str">
        <f>IFERROR(INDEX($D$1:$D$499,MATCH(ROWS($F$1:$F154),$F$1:$F$499,0)),"")</f>
        <v/>
      </c>
    </row>
    <row r="155" spans="5:7">
      <c r="E155" s="17">
        <f t="shared" si="3"/>
        <v>0</v>
      </c>
      <c r="F155" s="17" t="str">
        <f>IF(E155=1,COUNTIF($E$1:$E155,1),"")</f>
        <v/>
      </c>
      <c r="G155" s="7" t="str">
        <f>IFERROR(INDEX($D$1:$D$499,MATCH(ROWS($F$1:$F155),$F$1:$F$499,0)),"")</f>
        <v/>
      </c>
    </row>
    <row r="156" spans="5:7">
      <c r="E156" s="17">
        <f t="shared" si="3"/>
        <v>0</v>
      </c>
      <c r="F156" s="17" t="str">
        <f>IF(E156=1,COUNTIF($E$1:$E156,1),"")</f>
        <v/>
      </c>
      <c r="G156" s="7" t="str">
        <f>IFERROR(INDEX($D$1:$D$499,MATCH(ROWS($F$1:$F156),$F$1:$F$499,0)),"")</f>
        <v/>
      </c>
    </row>
    <row r="157" spans="5:7">
      <c r="E157" s="17">
        <f t="shared" si="3"/>
        <v>0</v>
      </c>
      <c r="F157" s="17" t="str">
        <f>IF(E157=1,COUNTIF($E$1:$E157,1),"")</f>
        <v/>
      </c>
      <c r="G157" s="7" t="str">
        <f>IFERROR(INDEX($D$1:$D$499,MATCH(ROWS($F$1:$F157),$F$1:$F$499,0)),"")</f>
        <v/>
      </c>
    </row>
    <row r="158" spans="5:7">
      <c r="E158" s="17">
        <f t="shared" si="3"/>
        <v>0</v>
      </c>
      <c r="F158" s="17" t="str">
        <f>IF(E158=1,COUNTIF($E$1:$E158,1),"")</f>
        <v/>
      </c>
      <c r="G158" s="7" t="str">
        <f>IFERROR(INDEX($D$1:$D$499,MATCH(ROWS($F$1:$F158),$F$1:$F$499,0)),"")</f>
        <v/>
      </c>
    </row>
    <row r="159" spans="5:7">
      <c r="E159" s="17">
        <f t="shared" si="3"/>
        <v>0</v>
      </c>
      <c r="F159" s="17" t="str">
        <f>IF(E159=1,COUNTIF($E$1:$E159,1),"")</f>
        <v/>
      </c>
      <c r="G159" s="7" t="str">
        <f>IFERROR(INDEX($D$1:$D$499,MATCH(ROWS($F$1:$F159),$F$1:$F$499,0)),"")</f>
        <v/>
      </c>
    </row>
    <row r="160" spans="5:7">
      <c r="E160" s="17">
        <f t="shared" si="3"/>
        <v>0</v>
      </c>
      <c r="F160" s="17" t="str">
        <f>IF(E160=1,COUNTIF($E$1:$E160,1),"")</f>
        <v/>
      </c>
      <c r="G160" s="7" t="str">
        <f>IFERROR(INDEX($D$1:$D$499,MATCH(ROWS($F$1:$F160),$F$1:$F$499,0)),"")</f>
        <v/>
      </c>
    </row>
    <row r="161" spans="5:7">
      <c r="E161" s="17">
        <f t="shared" si="3"/>
        <v>0</v>
      </c>
      <c r="F161" s="17" t="str">
        <f>IF(E161=1,COUNTIF($E$1:$E161,1),"")</f>
        <v/>
      </c>
      <c r="G161" s="7" t="str">
        <f>IFERROR(INDEX($D$1:$D$499,MATCH(ROWS($F$1:$F161),$F$1:$F$499,0)),"")</f>
        <v/>
      </c>
    </row>
    <row r="162" spans="5:7">
      <c r="E162" s="17">
        <f t="shared" si="3"/>
        <v>0</v>
      </c>
      <c r="F162" s="17" t="str">
        <f>IF(E162=1,COUNTIF($E$1:$E162,1),"")</f>
        <v/>
      </c>
      <c r="G162" s="7" t="str">
        <f>IFERROR(INDEX($D$1:$D$499,MATCH(ROWS($F$1:$F162),$F$1:$F$499,0)),"")</f>
        <v/>
      </c>
    </row>
    <row r="163" spans="5:7">
      <c r="E163" s="17">
        <f t="shared" si="3"/>
        <v>0</v>
      </c>
      <c r="F163" s="17" t="str">
        <f>IF(E163=1,COUNTIF($E$1:$E163,1),"")</f>
        <v/>
      </c>
      <c r="G163" s="7" t="str">
        <f>IFERROR(INDEX($D$1:$D$499,MATCH(ROWS($F$1:$F163),$F$1:$F$499,0)),"")</f>
        <v/>
      </c>
    </row>
    <row r="164" spans="5:7">
      <c r="E164" s="17">
        <f t="shared" si="3"/>
        <v>0</v>
      </c>
      <c r="F164" s="17" t="str">
        <f>IF(E164=1,COUNTIF($E$1:$E164,1),"")</f>
        <v/>
      </c>
      <c r="G164" s="7" t="str">
        <f>IFERROR(INDEX($D$1:$D$499,MATCH(ROWS($F$1:$F164),$F$1:$F$499,0)),"")</f>
        <v/>
      </c>
    </row>
    <row r="165" spans="5:7">
      <c r="E165" s="17">
        <f t="shared" si="3"/>
        <v>0</v>
      </c>
      <c r="F165" s="17" t="str">
        <f>IF(E165=1,COUNTIF($E$1:$E165,1),"")</f>
        <v/>
      </c>
      <c r="G165" s="7" t="str">
        <f>IFERROR(INDEX($D$1:$D$499,MATCH(ROWS($F$1:$F165),$F$1:$F$499,0)),"")</f>
        <v/>
      </c>
    </row>
    <row r="166" spans="5:7">
      <c r="E166" s="17">
        <f t="shared" si="3"/>
        <v>0</v>
      </c>
      <c r="F166" s="17" t="str">
        <f>IF(E166=1,COUNTIF($E$1:$E166,1),"")</f>
        <v/>
      </c>
      <c r="G166" s="7" t="str">
        <f>IFERROR(INDEX($D$1:$D$499,MATCH(ROWS($F$1:$F166),$F$1:$F$499,0)),"")</f>
        <v/>
      </c>
    </row>
    <row r="167" spans="5:7">
      <c r="E167" s="17">
        <f t="shared" si="3"/>
        <v>0</v>
      </c>
      <c r="F167" s="17" t="str">
        <f>IF(E167=1,COUNTIF($E$1:$E167,1),"")</f>
        <v/>
      </c>
      <c r="G167" s="7" t="str">
        <f>IFERROR(INDEX($D$1:$D$499,MATCH(ROWS($F$1:$F167),$F$1:$F$499,0)),"")</f>
        <v/>
      </c>
    </row>
    <row r="168" spans="5:7">
      <c r="E168" s="17">
        <f t="shared" si="3"/>
        <v>0</v>
      </c>
      <c r="F168" s="17" t="str">
        <f>IF(E168=1,COUNTIF($E$1:$E168,1),"")</f>
        <v/>
      </c>
      <c r="G168" s="7" t="str">
        <f>IFERROR(INDEX($D$1:$D$499,MATCH(ROWS($F$1:$F168),$F$1:$F$499,0)),"")</f>
        <v/>
      </c>
    </row>
    <row r="169" spans="5:7">
      <c r="E169" s="17">
        <f t="shared" si="3"/>
        <v>0</v>
      </c>
      <c r="F169" s="17" t="str">
        <f>IF(E169=1,COUNTIF($E$1:$E169,1),"")</f>
        <v/>
      </c>
      <c r="G169" s="7" t="str">
        <f>IFERROR(INDEX($D$1:$D$499,MATCH(ROWS($F$1:$F169),$F$1:$F$499,0)),"")</f>
        <v/>
      </c>
    </row>
    <row r="170" spans="5:7">
      <c r="E170" s="17">
        <f t="shared" si="3"/>
        <v>0</v>
      </c>
      <c r="F170" s="17" t="str">
        <f>IF(E170=1,COUNTIF($E$1:$E170,1),"")</f>
        <v/>
      </c>
      <c r="G170" s="7" t="str">
        <f>IFERROR(INDEX($D$1:$D$499,MATCH(ROWS($F$1:$F170),$F$1:$F$499,0)),"")</f>
        <v/>
      </c>
    </row>
    <row r="171" spans="5:7">
      <c r="E171" s="17">
        <f t="shared" si="3"/>
        <v>0</v>
      </c>
      <c r="F171" s="17" t="str">
        <f>IF(E171=1,COUNTIF($E$1:$E171,1),"")</f>
        <v/>
      </c>
      <c r="G171" s="7" t="str">
        <f>IFERROR(INDEX($D$1:$D$499,MATCH(ROWS($F$1:$F171),$F$1:$F$499,0)),"")</f>
        <v/>
      </c>
    </row>
    <row r="172" spans="5:7">
      <c r="E172" s="17">
        <f t="shared" si="3"/>
        <v>0</v>
      </c>
      <c r="F172" s="17" t="str">
        <f>IF(E172=1,COUNTIF($E$1:$E172,1),"")</f>
        <v/>
      </c>
      <c r="G172" s="7" t="str">
        <f>IFERROR(INDEX($D$1:$D$499,MATCH(ROWS($F$1:$F172),$F$1:$F$499,0)),"")</f>
        <v/>
      </c>
    </row>
    <row r="173" spans="5:7">
      <c r="E173" s="17">
        <f t="shared" si="3"/>
        <v>0</v>
      </c>
      <c r="F173" s="17" t="str">
        <f>IF(E173=1,COUNTIF($E$1:$E173,1),"")</f>
        <v/>
      </c>
      <c r="G173" s="7" t="str">
        <f>IFERROR(INDEX($D$1:$D$499,MATCH(ROWS($F$1:$F173),$F$1:$F$499,0)),"")</f>
        <v/>
      </c>
    </row>
    <row r="174" spans="5:7">
      <c r="E174" s="17">
        <f t="shared" si="3"/>
        <v>0</v>
      </c>
      <c r="F174" s="17" t="str">
        <f>IF(E174=1,COUNTIF($E$1:$E174,1),"")</f>
        <v/>
      </c>
      <c r="G174" s="7" t="str">
        <f>IFERROR(INDEX($D$1:$D$499,MATCH(ROWS($F$1:$F174),$F$1:$F$499,0)),"")</f>
        <v/>
      </c>
    </row>
    <row r="175" spans="5:7">
      <c r="E175" s="17">
        <f t="shared" si="3"/>
        <v>0</v>
      </c>
      <c r="F175" s="17" t="str">
        <f>IF(E175=1,COUNTIF($E$1:$E175,1),"")</f>
        <v/>
      </c>
      <c r="G175" s="7" t="str">
        <f>IFERROR(INDEX($D$1:$D$499,MATCH(ROWS($F$1:$F175),$F$1:$F$499,0)),"")</f>
        <v/>
      </c>
    </row>
    <row r="176" spans="5:7">
      <c r="E176" s="17">
        <f t="shared" si="3"/>
        <v>0</v>
      </c>
      <c r="F176" s="17" t="str">
        <f>IF(E176=1,COUNTIF($E$1:$E176,1),"")</f>
        <v/>
      </c>
      <c r="G176" s="7" t="str">
        <f>IFERROR(INDEX($D$1:$D$499,MATCH(ROWS($F$1:$F176),$F$1:$F$499,0)),"")</f>
        <v/>
      </c>
    </row>
    <row r="177" spans="5:7">
      <c r="E177" s="17">
        <f t="shared" si="3"/>
        <v>0</v>
      </c>
      <c r="F177" s="17" t="str">
        <f>IF(E177=1,COUNTIF($E$1:$E177,1),"")</f>
        <v/>
      </c>
      <c r="G177" s="7" t="str">
        <f>IFERROR(INDEX($D$1:$D$499,MATCH(ROWS($F$1:$F177),$F$1:$F$499,0)),"")</f>
        <v/>
      </c>
    </row>
    <row r="178" spans="5:7">
      <c r="E178" s="17">
        <f t="shared" si="3"/>
        <v>0</v>
      </c>
      <c r="F178" s="17" t="str">
        <f>IF(E178=1,COUNTIF($E$1:$E178,1),"")</f>
        <v/>
      </c>
      <c r="G178" s="7" t="str">
        <f>IFERROR(INDEX($D$1:$D$499,MATCH(ROWS($F$1:$F178),$F$1:$F$499,0)),"")</f>
        <v/>
      </c>
    </row>
    <row r="179" spans="5:7">
      <c r="E179" s="17">
        <f t="shared" si="3"/>
        <v>0</v>
      </c>
      <c r="F179" s="17" t="str">
        <f>IF(E179=1,COUNTIF($E$1:$E179,1),"")</f>
        <v/>
      </c>
      <c r="G179" s="7" t="str">
        <f>IFERROR(INDEX($D$1:$D$499,MATCH(ROWS($F$1:$F179),$F$1:$F$499,0)),"")</f>
        <v/>
      </c>
    </row>
    <row r="180" spans="5:7">
      <c r="E180" s="17">
        <f t="shared" si="3"/>
        <v>0</v>
      </c>
      <c r="F180" s="17" t="str">
        <f>IF(E180=1,COUNTIF($E$1:$E180,1),"")</f>
        <v/>
      </c>
      <c r="G180" s="7" t="str">
        <f>IFERROR(INDEX($D$1:$D$499,MATCH(ROWS($F$1:$F180),$F$1:$F$499,0)),"")</f>
        <v/>
      </c>
    </row>
    <row r="181" spans="5:7">
      <c r="E181" s="17">
        <f t="shared" si="3"/>
        <v>0</v>
      </c>
      <c r="F181" s="17" t="str">
        <f>IF(E181=1,COUNTIF($E$1:$E181,1),"")</f>
        <v/>
      </c>
      <c r="G181" s="7" t="str">
        <f>IFERROR(INDEX($D$1:$D$499,MATCH(ROWS($F$1:$F181),$F$1:$F$499,0)),"")</f>
        <v/>
      </c>
    </row>
    <row r="182" spans="5:7">
      <c r="E182" s="17">
        <f t="shared" si="3"/>
        <v>0</v>
      </c>
      <c r="F182" s="17" t="str">
        <f>IF(E182=1,COUNTIF($E$1:$E182,1),"")</f>
        <v/>
      </c>
      <c r="G182" s="7" t="str">
        <f>IFERROR(INDEX($D$1:$D$499,MATCH(ROWS($F$1:$F182),$F$1:$F$499,0)),"")</f>
        <v/>
      </c>
    </row>
    <row r="183" spans="5:7">
      <c r="E183" s="17">
        <f t="shared" si="3"/>
        <v>0</v>
      </c>
      <c r="F183" s="17" t="str">
        <f>IF(E183=1,COUNTIF($E$1:$E183,1),"")</f>
        <v/>
      </c>
      <c r="G183" s="7" t="str">
        <f>IFERROR(INDEX($D$1:$D$499,MATCH(ROWS($F$1:$F183),$F$1:$F$499,0)),"")</f>
        <v/>
      </c>
    </row>
    <row r="184" spans="5:7">
      <c r="E184" s="17">
        <f t="shared" si="3"/>
        <v>0</v>
      </c>
      <c r="F184" s="17" t="str">
        <f>IF(E184=1,COUNTIF($E$1:$E184,1),"")</f>
        <v/>
      </c>
      <c r="G184" s="7" t="str">
        <f>IFERROR(INDEX($D$1:$D$499,MATCH(ROWS($F$1:$F184),$F$1:$F$499,0)),"")</f>
        <v/>
      </c>
    </row>
    <row r="185" spans="5:7">
      <c r="E185" s="17">
        <f t="shared" si="3"/>
        <v>0</v>
      </c>
      <c r="F185" s="17" t="str">
        <f>IF(E185=1,COUNTIF($E$1:$E185,1),"")</f>
        <v/>
      </c>
      <c r="G185" s="7" t="str">
        <f>IFERROR(INDEX($D$1:$D$499,MATCH(ROWS($F$1:$F185),$F$1:$F$499,0)),"")</f>
        <v/>
      </c>
    </row>
    <row r="186" spans="5:7">
      <c r="E186" s="17">
        <f t="shared" si="3"/>
        <v>0</v>
      </c>
      <c r="F186" s="17" t="str">
        <f>IF(E186=1,COUNTIF($E$1:$E186,1),"")</f>
        <v/>
      </c>
      <c r="G186" s="7" t="str">
        <f>IFERROR(INDEX($D$1:$D$499,MATCH(ROWS($F$1:$F186),$F$1:$F$499,0)),"")</f>
        <v/>
      </c>
    </row>
    <row r="187" spans="5:7">
      <c r="E187" s="17">
        <f t="shared" si="3"/>
        <v>0</v>
      </c>
      <c r="F187" s="17" t="str">
        <f>IF(E187=1,COUNTIF($E$1:$E187,1),"")</f>
        <v/>
      </c>
      <c r="G187" s="7" t="str">
        <f>IFERROR(INDEX($D$1:$D$499,MATCH(ROWS($F$1:$F187),$F$1:$F$499,0)),"")</f>
        <v/>
      </c>
    </row>
    <row r="188" spans="5:7">
      <c r="E188" s="17">
        <f t="shared" si="3"/>
        <v>0</v>
      </c>
      <c r="F188" s="17" t="str">
        <f>IF(E188=1,COUNTIF($E$1:$E188,1),"")</f>
        <v/>
      </c>
      <c r="G188" s="7" t="str">
        <f>IFERROR(INDEX($D$1:$D$499,MATCH(ROWS($F$1:$F188),$F$1:$F$499,0)),"")</f>
        <v/>
      </c>
    </row>
    <row r="189" spans="5:7">
      <c r="E189" s="17">
        <f t="shared" si="3"/>
        <v>0</v>
      </c>
      <c r="F189" s="17" t="str">
        <f>IF(E189=1,COUNTIF($E$1:$E189,1),"")</f>
        <v/>
      </c>
      <c r="G189" s="7" t="str">
        <f>IFERROR(INDEX($D$1:$D$499,MATCH(ROWS($F$1:$F189),$F$1:$F$499,0)),"")</f>
        <v/>
      </c>
    </row>
    <row r="190" spans="5:7">
      <c r="E190" s="17">
        <f t="shared" si="3"/>
        <v>0</v>
      </c>
      <c r="F190" s="17" t="str">
        <f>IF(E190=1,COUNTIF($E$1:$E190,1),"")</f>
        <v/>
      </c>
      <c r="G190" s="7" t="str">
        <f>IFERROR(INDEX($D$1:$D$499,MATCH(ROWS($F$1:$F190),$F$1:$F$499,0)),"")</f>
        <v/>
      </c>
    </row>
    <row r="191" spans="5:7">
      <c r="E191" s="17">
        <f t="shared" si="3"/>
        <v>0</v>
      </c>
      <c r="F191" s="17" t="str">
        <f>IF(E191=1,COUNTIF($E$1:$E191,1),"")</f>
        <v/>
      </c>
      <c r="G191" s="7" t="str">
        <f>IFERROR(INDEX($D$1:$D$499,MATCH(ROWS($F$1:$F191),$F$1:$F$499,0)),"")</f>
        <v/>
      </c>
    </row>
    <row r="192" spans="5:7">
      <c r="E192" s="17">
        <f t="shared" si="3"/>
        <v>0</v>
      </c>
      <c r="F192" s="17" t="str">
        <f>IF(E192=1,COUNTIF($E$1:$E192,1),"")</f>
        <v/>
      </c>
      <c r="G192" s="7" t="str">
        <f>IFERROR(INDEX($D$1:$D$499,MATCH(ROWS($F$1:$F192),$F$1:$F$499,0)),"")</f>
        <v/>
      </c>
    </row>
    <row r="193" spans="5:7">
      <c r="E193" s="17">
        <f t="shared" ref="E193:E256" si="4">--ISNUMBER(SEARCH($B$1,D193))</f>
        <v>0</v>
      </c>
      <c r="F193" s="17" t="str">
        <f>IF(E193=1,COUNTIF($E$1:$E193,1),"")</f>
        <v/>
      </c>
      <c r="G193" s="7" t="str">
        <f>IFERROR(INDEX($D$1:$D$499,MATCH(ROWS($F$1:$F193),$F$1:$F$499,0)),"")</f>
        <v/>
      </c>
    </row>
    <row r="194" spans="5:7">
      <c r="E194" s="17">
        <f t="shared" si="4"/>
        <v>0</v>
      </c>
      <c r="F194" s="17" t="str">
        <f>IF(E194=1,COUNTIF($E$1:$E194,1),"")</f>
        <v/>
      </c>
      <c r="G194" s="7" t="str">
        <f>IFERROR(INDEX($D$1:$D$499,MATCH(ROWS($F$1:$F194),$F$1:$F$499,0)),"")</f>
        <v/>
      </c>
    </row>
    <row r="195" spans="5:7">
      <c r="E195" s="17">
        <f t="shared" si="4"/>
        <v>0</v>
      </c>
      <c r="F195" s="17" t="str">
        <f>IF(E195=1,COUNTIF($E$1:$E195,1),"")</f>
        <v/>
      </c>
      <c r="G195" s="7" t="str">
        <f>IFERROR(INDEX($D$1:$D$499,MATCH(ROWS($F$1:$F195),$F$1:$F$499,0)),"")</f>
        <v/>
      </c>
    </row>
    <row r="196" spans="5:7">
      <c r="E196" s="17">
        <f t="shared" si="4"/>
        <v>0</v>
      </c>
      <c r="F196" s="17" t="str">
        <f>IF(E196=1,COUNTIF($E$1:$E196,1),"")</f>
        <v/>
      </c>
      <c r="G196" s="7" t="str">
        <f>IFERROR(INDEX($D$1:$D$499,MATCH(ROWS($F$1:$F196),$F$1:$F$499,0)),"")</f>
        <v/>
      </c>
    </row>
    <row r="197" spans="5:7">
      <c r="E197" s="17">
        <f t="shared" si="4"/>
        <v>0</v>
      </c>
      <c r="F197" s="17" t="str">
        <f>IF(E197=1,COUNTIF($E$1:$E197,1),"")</f>
        <v/>
      </c>
      <c r="G197" s="7" t="str">
        <f>IFERROR(INDEX($D$1:$D$499,MATCH(ROWS($F$1:$F197),$F$1:$F$499,0)),"")</f>
        <v/>
      </c>
    </row>
    <row r="198" spans="5:7">
      <c r="E198" s="17">
        <f t="shared" si="4"/>
        <v>0</v>
      </c>
      <c r="F198" s="17" t="str">
        <f>IF(E198=1,COUNTIF($E$1:$E198,1),"")</f>
        <v/>
      </c>
      <c r="G198" s="7" t="str">
        <f>IFERROR(INDEX($D$1:$D$499,MATCH(ROWS($F$1:$F198),$F$1:$F$499,0)),"")</f>
        <v/>
      </c>
    </row>
    <row r="199" spans="5:7">
      <c r="E199" s="17">
        <f t="shared" si="4"/>
        <v>0</v>
      </c>
      <c r="F199" s="17" t="str">
        <f>IF(E199=1,COUNTIF($E$1:$E199,1),"")</f>
        <v/>
      </c>
      <c r="G199" s="7" t="str">
        <f>IFERROR(INDEX($D$1:$D$499,MATCH(ROWS($F$1:$F199),$F$1:$F$499,0)),"")</f>
        <v/>
      </c>
    </row>
    <row r="200" spans="5:7">
      <c r="E200" s="17">
        <f t="shared" si="4"/>
        <v>0</v>
      </c>
      <c r="F200" s="17" t="str">
        <f>IF(E200=1,COUNTIF($E$1:$E200,1),"")</f>
        <v/>
      </c>
      <c r="G200" s="7" t="str">
        <f>IFERROR(INDEX($D$1:$D$499,MATCH(ROWS($F$1:$F200),$F$1:$F$499,0)),"")</f>
        <v/>
      </c>
    </row>
    <row r="201" spans="5:7">
      <c r="E201" s="17">
        <f t="shared" si="4"/>
        <v>0</v>
      </c>
      <c r="F201" s="17" t="str">
        <f>IF(E201=1,COUNTIF($E$1:$E201,1),"")</f>
        <v/>
      </c>
      <c r="G201" s="7" t="str">
        <f>IFERROR(INDEX($D$1:$D$499,MATCH(ROWS($F$1:$F201),$F$1:$F$499,0)),"")</f>
        <v/>
      </c>
    </row>
    <row r="202" spans="5:7">
      <c r="E202" s="17">
        <f t="shared" si="4"/>
        <v>0</v>
      </c>
      <c r="F202" s="17" t="str">
        <f>IF(E202=1,COUNTIF($E$1:$E202,1),"")</f>
        <v/>
      </c>
      <c r="G202" s="7" t="str">
        <f>IFERROR(INDEX($D$1:$D$499,MATCH(ROWS($F$1:$F202),$F$1:$F$499,0)),"")</f>
        <v/>
      </c>
    </row>
    <row r="203" spans="5:7">
      <c r="E203" s="17">
        <f t="shared" si="4"/>
        <v>0</v>
      </c>
      <c r="F203" s="17" t="str">
        <f>IF(E203=1,COUNTIF($E$1:$E203,1),"")</f>
        <v/>
      </c>
      <c r="G203" s="7" t="str">
        <f>IFERROR(INDEX($D$1:$D$499,MATCH(ROWS($F$1:$F203),$F$1:$F$499,0)),"")</f>
        <v/>
      </c>
    </row>
    <row r="204" spans="5:7">
      <c r="E204" s="17">
        <f t="shared" si="4"/>
        <v>0</v>
      </c>
      <c r="F204" s="17" t="str">
        <f>IF(E204=1,COUNTIF($E$1:$E204,1),"")</f>
        <v/>
      </c>
      <c r="G204" s="7" t="str">
        <f>IFERROR(INDEX($D$1:$D$499,MATCH(ROWS($F$1:$F204),$F$1:$F$499,0)),"")</f>
        <v/>
      </c>
    </row>
    <row r="205" spans="5:7">
      <c r="E205" s="17">
        <f t="shared" si="4"/>
        <v>0</v>
      </c>
      <c r="F205" s="17" t="str">
        <f>IF(E205=1,COUNTIF($E$1:$E205,1),"")</f>
        <v/>
      </c>
      <c r="G205" s="7" t="str">
        <f>IFERROR(INDEX($D$1:$D$499,MATCH(ROWS($F$1:$F205),$F$1:$F$499,0)),"")</f>
        <v/>
      </c>
    </row>
    <row r="206" spans="5:7">
      <c r="E206" s="17">
        <f t="shared" si="4"/>
        <v>0</v>
      </c>
      <c r="F206" s="17" t="str">
        <f>IF(E206=1,COUNTIF($E$1:$E206,1),"")</f>
        <v/>
      </c>
      <c r="G206" s="7" t="str">
        <f>IFERROR(INDEX($D$1:$D$499,MATCH(ROWS($F$1:$F206),$F$1:$F$499,0)),"")</f>
        <v/>
      </c>
    </row>
    <row r="207" spans="5:7">
      <c r="E207" s="17">
        <f t="shared" si="4"/>
        <v>0</v>
      </c>
      <c r="F207" s="17" t="str">
        <f>IF(E207=1,COUNTIF($E$1:$E207,1),"")</f>
        <v/>
      </c>
      <c r="G207" s="7" t="str">
        <f>IFERROR(INDEX($D$1:$D$499,MATCH(ROWS($F$1:$F207),$F$1:$F$499,0)),"")</f>
        <v/>
      </c>
    </row>
    <row r="208" spans="5:7">
      <c r="E208" s="17">
        <f t="shared" si="4"/>
        <v>0</v>
      </c>
      <c r="F208" s="17" t="str">
        <f>IF(E208=1,COUNTIF($E$1:$E208,1),"")</f>
        <v/>
      </c>
      <c r="G208" s="7" t="str">
        <f>IFERROR(INDEX($D$1:$D$499,MATCH(ROWS($F$1:$F208),$F$1:$F$499,0)),"")</f>
        <v/>
      </c>
    </row>
    <row r="209" spans="5:7">
      <c r="E209" s="17">
        <f t="shared" si="4"/>
        <v>0</v>
      </c>
      <c r="F209" s="17" t="str">
        <f>IF(E209=1,COUNTIF($E$1:$E209,1),"")</f>
        <v/>
      </c>
      <c r="G209" s="7" t="str">
        <f>IFERROR(INDEX($D$1:$D$499,MATCH(ROWS($F$1:$F209),$F$1:$F$499,0)),"")</f>
        <v/>
      </c>
    </row>
    <row r="210" spans="5:7">
      <c r="E210" s="17">
        <f t="shared" si="4"/>
        <v>0</v>
      </c>
      <c r="F210" s="17" t="str">
        <f>IF(E210=1,COUNTIF($E$1:$E210,1),"")</f>
        <v/>
      </c>
      <c r="G210" s="7" t="str">
        <f>IFERROR(INDEX($D$1:$D$499,MATCH(ROWS($F$1:$F210),$F$1:$F$499,0)),"")</f>
        <v/>
      </c>
    </row>
    <row r="211" spans="5:7">
      <c r="E211" s="17">
        <f t="shared" si="4"/>
        <v>0</v>
      </c>
      <c r="F211" s="17" t="str">
        <f>IF(E211=1,COUNTIF($E$1:$E211,1),"")</f>
        <v/>
      </c>
      <c r="G211" s="7" t="str">
        <f>IFERROR(INDEX($D$1:$D$499,MATCH(ROWS($F$1:$F211),$F$1:$F$499,0)),"")</f>
        <v/>
      </c>
    </row>
    <row r="212" spans="5:7">
      <c r="E212" s="17">
        <f t="shared" si="4"/>
        <v>0</v>
      </c>
      <c r="F212" s="17" t="str">
        <f>IF(E212=1,COUNTIF($E$1:$E212,1),"")</f>
        <v/>
      </c>
      <c r="G212" s="7" t="str">
        <f>IFERROR(INDEX($D$1:$D$499,MATCH(ROWS($F$1:$F212),$F$1:$F$499,0)),"")</f>
        <v/>
      </c>
    </row>
    <row r="213" spans="5:7">
      <c r="E213" s="17">
        <f t="shared" si="4"/>
        <v>0</v>
      </c>
      <c r="F213" s="17" t="str">
        <f>IF(E213=1,COUNTIF($E$1:$E213,1),"")</f>
        <v/>
      </c>
      <c r="G213" s="7" t="str">
        <f>IFERROR(INDEX($D$1:$D$499,MATCH(ROWS($F$1:$F213),$F$1:$F$499,0)),"")</f>
        <v/>
      </c>
    </row>
    <row r="214" spans="5:7">
      <c r="E214" s="17">
        <f t="shared" si="4"/>
        <v>0</v>
      </c>
      <c r="F214" s="17" t="str">
        <f>IF(E214=1,COUNTIF($E$1:$E214,1),"")</f>
        <v/>
      </c>
      <c r="G214" s="7" t="str">
        <f>IFERROR(INDEX($D$1:$D$499,MATCH(ROWS($F$1:$F214),$F$1:$F$499,0)),"")</f>
        <v/>
      </c>
    </row>
    <row r="215" spans="5:7">
      <c r="E215" s="17">
        <f t="shared" si="4"/>
        <v>0</v>
      </c>
      <c r="F215" s="17" t="str">
        <f>IF(E215=1,COUNTIF($E$1:$E215,1),"")</f>
        <v/>
      </c>
      <c r="G215" s="7" t="str">
        <f>IFERROR(INDEX($D$1:$D$499,MATCH(ROWS($F$1:$F215),$F$1:$F$499,0)),"")</f>
        <v/>
      </c>
    </row>
    <row r="216" spans="5:7">
      <c r="E216" s="17">
        <f t="shared" si="4"/>
        <v>0</v>
      </c>
      <c r="F216" s="17" t="str">
        <f>IF(E216=1,COUNTIF($E$1:$E216,1),"")</f>
        <v/>
      </c>
      <c r="G216" s="7" t="str">
        <f>IFERROR(INDEX($D$1:$D$499,MATCH(ROWS($F$1:$F216),$F$1:$F$499,0)),"")</f>
        <v/>
      </c>
    </row>
    <row r="217" spans="5:7">
      <c r="E217" s="17">
        <f t="shared" si="4"/>
        <v>0</v>
      </c>
      <c r="F217" s="17" t="str">
        <f>IF(E217=1,COUNTIF($E$1:$E217,1),"")</f>
        <v/>
      </c>
      <c r="G217" s="7" t="str">
        <f>IFERROR(INDEX($D$1:$D$499,MATCH(ROWS($F$1:$F217),$F$1:$F$499,0)),"")</f>
        <v/>
      </c>
    </row>
    <row r="218" spans="5:7">
      <c r="E218" s="17">
        <f t="shared" si="4"/>
        <v>0</v>
      </c>
      <c r="F218" s="17" t="str">
        <f>IF(E218=1,COUNTIF($E$1:$E218,1),"")</f>
        <v/>
      </c>
      <c r="G218" s="7" t="str">
        <f>IFERROR(INDEX($D$1:$D$499,MATCH(ROWS($F$1:$F218),$F$1:$F$499,0)),"")</f>
        <v/>
      </c>
    </row>
    <row r="219" spans="5:7">
      <c r="E219" s="17">
        <f t="shared" si="4"/>
        <v>0</v>
      </c>
      <c r="F219" s="17" t="str">
        <f>IF(E219=1,COUNTIF($E$1:$E219,1),"")</f>
        <v/>
      </c>
      <c r="G219" s="7" t="str">
        <f>IFERROR(INDEX($D$1:$D$499,MATCH(ROWS($F$1:$F219),$F$1:$F$499,0)),"")</f>
        <v/>
      </c>
    </row>
    <row r="220" spans="5:7">
      <c r="E220" s="17">
        <f t="shared" si="4"/>
        <v>0</v>
      </c>
      <c r="F220" s="17" t="str">
        <f>IF(E220=1,COUNTIF($E$1:$E220,1),"")</f>
        <v/>
      </c>
      <c r="G220" s="7" t="str">
        <f>IFERROR(INDEX($D$1:$D$499,MATCH(ROWS($F$1:$F220),$F$1:$F$499,0)),"")</f>
        <v/>
      </c>
    </row>
    <row r="221" spans="5:7">
      <c r="E221" s="17">
        <f t="shared" si="4"/>
        <v>0</v>
      </c>
      <c r="F221" s="17" t="str">
        <f>IF(E221=1,COUNTIF($E$1:$E221,1),"")</f>
        <v/>
      </c>
      <c r="G221" s="7" t="str">
        <f>IFERROR(INDEX($D$1:$D$499,MATCH(ROWS($F$1:$F221),$F$1:$F$499,0)),"")</f>
        <v/>
      </c>
    </row>
    <row r="222" spans="5:7">
      <c r="E222" s="17">
        <f t="shared" si="4"/>
        <v>0</v>
      </c>
      <c r="F222" s="17" t="str">
        <f>IF(E222=1,COUNTIF($E$1:$E222,1),"")</f>
        <v/>
      </c>
      <c r="G222" s="7" t="str">
        <f>IFERROR(INDEX($D$1:$D$499,MATCH(ROWS($F$1:$F222),$F$1:$F$499,0)),"")</f>
        <v/>
      </c>
    </row>
    <row r="223" spans="5:7">
      <c r="E223" s="17">
        <f t="shared" si="4"/>
        <v>0</v>
      </c>
      <c r="F223" s="17" t="str">
        <f>IF(E223=1,COUNTIF($E$1:$E223,1),"")</f>
        <v/>
      </c>
      <c r="G223" s="7" t="str">
        <f>IFERROR(INDEX($D$1:$D$499,MATCH(ROWS($F$1:$F223),$F$1:$F$499,0)),"")</f>
        <v/>
      </c>
    </row>
    <row r="224" spans="5:7">
      <c r="E224" s="17">
        <f t="shared" si="4"/>
        <v>0</v>
      </c>
      <c r="F224" s="17" t="str">
        <f>IF(E224=1,COUNTIF($E$1:$E224,1),"")</f>
        <v/>
      </c>
      <c r="G224" s="7" t="str">
        <f>IFERROR(INDEX($D$1:$D$499,MATCH(ROWS($F$1:$F224),$F$1:$F$499,0)),"")</f>
        <v/>
      </c>
    </row>
    <row r="225" spans="5:7">
      <c r="E225" s="17">
        <f t="shared" si="4"/>
        <v>0</v>
      </c>
      <c r="F225" s="17" t="str">
        <f>IF(E225=1,COUNTIF($E$1:$E225,1),"")</f>
        <v/>
      </c>
      <c r="G225" s="7" t="str">
        <f>IFERROR(INDEX($D$1:$D$499,MATCH(ROWS($F$1:$F225),$F$1:$F$499,0)),"")</f>
        <v/>
      </c>
    </row>
    <row r="226" spans="5:7">
      <c r="E226" s="17">
        <f t="shared" si="4"/>
        <v>0</v>
      </c>
      <c r="F226" s="17" t="str">
        <f>IF(E226=1,COUNTIF($E$1:$E226,1),"")</f>
        <v/>
      </c>
      <c r="G226" s="7" t="str">
        <f>IFERROR(INDEX($D$1:$D$499,MATCH(ROWS($F$1:$F226),$F$1:$F$499,0)),"")</f>
        <v/>
      </c>
    </row>
    <row r="227" spans="5:7">
      <c r="E227" s="17">
        <f t="shared" si="4"/>
        <v>0</v>
      </c>
      <c r="F227" s="17" t="str">
        <f>IF(E227=1,COUNTIF($E$1:$E227,1),"")</f>
        <v/>
      </c>
      <c r="G227" s="7" t="str">
        <f>IFERROR(INDEX($D$1:$D$499,MATCH(ROWS($F$1:$F227),$F$1:$F$499,0)),"")</f>
        <v/>
      </c>
    </row>
    <row r="228" spans="5:7">
      <c r="E228" s="17">
        <f t="shared" si="4"/>
        <v>0</v>
      </c>
      <c r="F228" s="17" t="str">
        <f>IF(E228=1,COUNTIF($E$1:$E228,1),"")</f>
        <v/>
      </c>
      <c r="G228" s="7" t="str">
        <f>IFERROR(INDEX($D$1:$D$499,MATCH(ROWS($F$1:$F228),$F$1:$F$499,0)),"")</f>
        <v/>
      </c>
    </row>
    <row r="229" spans="5:7">
      <c r="E229" s="17">
        <f t="shared" si="4"/>
        <v>0</v>
      </c>
      <c r="F229" s="17" t="str">
        <f>IF(E229=1,COUNTIF($E$1:$E229,1),"")</f>
        <v/>
      </c>
      <c r="G229" s="7" t="str">
        <f>IFERROR(INDEX($D$1:$D$499,MATCH(ROWS($F$1:$F229),$F$1:$F$499,0)),"")</f>
        <v/>
      </c>
    </row>
    <row r="230" spans="5:7">
      <c r="E230" s="17">
        <f t="shared" si="4"/>
        <v>0</v>
      </c>
      <c r="F230" s="17" t="str">
        <f>IF(E230=1,COUNTIF($E$1:$E230,1),"")</f>
        <v/>
      </c>
      <c r="G230" s="7" t="str">
        <f>IFERROR(INDEX($D$1:$D$499,MATCH(ROWS($F$1:$F230),$F$1:$F$499,0)),"")</f>
        <v/>
      </c>
    </row>
    <row r="231" spans="5:7">
      <c r="E231" s="17">
        <f t="shared" si="4"/>
        <v>0</v>
      </c>
      <c r="F231" s="17" t="str">
        <f>IF(E231=1,COUNTIF($E$1:$E231,1),"")</f>
        <v/>
      </c>
      <c r="G231" s="7" t="str">
        <f>IFERROR(INDEX($D$1:$D$499,MATCH(ROWS($F$1:$F231),$F$1:$F$499,0)),"")</f>
        <v/>
      </c>
    </row>
    <row r="232" spans="5:7">
      <c r="E232" s="17">
        <f t="shared" si="4"/>
        <v>0</v>
      </c>
      <c r="F232" s="17" t="str">
        <f>IF(E232=1,COUNTIF($E$1:$E232,1),"")</f>
        <v/>
      </c>
      <c r="G232" s="7" t="str">
        <f>IFERROR(INDEX($D$1:$D$499,MATCH(ROWS($F$1:$F232),$F$1:$F$499,0)),"")</f>
        <v/>
      </c>
    </row>
    <row r="233" spans="5:7">
      <c r="E233" s="17">
        <f t="shared" si="4"/>
        <v>0</v>
      </c>
      <c r="F233" s="17" t="str">
        <f>IF(E233=1,COUNTIF($E$1:$E233,1),"")</f>
        <v/>
      </c>
      <c r="G233" s="7" t="str">
        <f>IFERROR(INDEX($D$1:$D$499,MATCH(ROWS($F$1:$F233),$F$1:$F$499,0)),"")</f>
        <v/>
      </c>
    </row>
    <row r="234" spans="5:7">
      <c r="E234" s="17">
        <f t="shared" si="4"/>
        <v>0</v>
      </c>
      <c r="F234" s="17" t="str">
        <f>IF(E234=1,COUNTIF($E$1:$E234,1),"")</f>
        <v/>
      </c>
      <c r="G234" s="7" t="str">
        <f>IFERROR(INDEX($D$1:$D$499,MATCH(ROWS($F$1:$F234),$F$1:$F$499,0)),"")</f>
        <v/>
      </c>
    </row>
    <row r="235" spans="5:7">
      <c r="E235" s="17">
        <f t="shared" si="4"/>
        <v>0</v>
      </c>
      <c r="F235" s="17" t="str">
        <f>IF(E235=1,COUNTIF($E$1:$E235,1),"")</f>
        <v/>
      </c>
      <c r="G235" s="7" t="str">
        <f>IFERROR(INDEX($D$1:$D$499,MATCH(ROWS($F$1:$F235),$F$1:$F$499,0)),"")</f>
        <v/>
      </c>
    </row>
    <row r="236" spans="5:7">
      <c r="E236" s="17">
        <f t="shared" si="4"/>
        <v>0</v>
      </c>
      <c r="F236" s="17" t="str">
        <f>IF(E236=1,COUNTIF($E$1:$E236,1),"")</f>
        <v/>
      </c>
      <c r="G236" s="7" t="str">
        <f>IFERROR(INDEX($D$1:$D$499,MATCH(ROWS($F$1:$F236),$F$1:$F$499,0)),"")</f>
        <v/>
      </c>
    </row>
    <row r="237" spans="5:7">
      <c r="E237" s="17">
        <f t="shared" si="4"/>
        <v>0</v>
      </c>
      <c r="F237" s="17" t="str">
        <f>IF(E237=1,COUNTIF($E$1:$E237,1),"")</f>
        <v/>
      </c>
      <c r="G237" s="7" t="str">
        <f>IFERROR(INDEX($D$1:$D$499,MATCH(ROWS($F$1:$F237),$F$1:$F$499,0)),"")</f>
        <v/>
      </c>
    </row>
    <row r="238" spans="5:7">
      <c r="E238" s="17">
        <f t="shared" si="4"/>
        <v>0</v>
      </c>
      <c r="F238" s="17" t="str">
        <f>IF(E238=1,COUNTIF($E$1:$E238,1),"")</f>
        <v/>
      </c>
      <c r="G238" s="7" t="str">
        <f>IFERROR(INDEX($D$1:$D$499,MATCH(ROWS($F$1:$F238),$F$1:$F$499,0)),"")</f>
        <v/>
      </c>
    </row>
    <row r="239" spans="5:7">
      <c r="E239" s="17">
        <f t="shared" si="4"/>
        <v>0</v>
      </c>
      <c r="F239" s="17" t="str">
        <f>IF(E239=1,COUNTIF($E$1:$E239,1),"")</f>
        <v/>
      </c>
      <c r="G239" s="7" t="str">
        <f>IFERROR(INDEX($D$1:$D$499,MATCH(ROWS($F$1:$F239),$F$1:$F$499,0)),"")</f>
        <v/>
      </c>
    </row>
    <row r="240" spans="5:7">
      <c r="E240" s="17">
        <f t="shared" si="4"/>
        <v>0</v>
      </c>
      <c r="F240" s="17" t="str">
        <f>IF(E240=1,COUNTIF($E$1:$E240,1),"")</f>
        <v/>
      </c>
      <c r="G240" s="7" t="str">
        <f>IFERROR(INDEX($D$1:$D$499,MATCH(ROWS($F$1:$F240),$F$1:$F$499,0)),"")</f>
        <v/>
      </c>
    </row>
    <row r="241" spans="5:7">
      <c r="E241" s="17">
        <f t="shared" si="4"/>
        <v>0</v>
      </c>
      <c r="F241" s="17" t="str">
        <f>IF(E241=1,COUNTIF($E$1:$E241,1),"")</f>
        <v/>
      </c>
      <c r="G241" s="7" t="str">
        <f>IFERROR(INDEX($D$1:$D$499,MATCH(ROWS($F$1:$F241),$F$1:$F$499,0)),"")</f>
        <v/>
      </c>
    </row>
    <row r="242" spans="5:7">
      <c r="E242" s="17">
        <f t="shared" si="4"/>
        <v>0</v>
      </c>
      <c r="F242" s="17" t="str">
        <f>IF(E242=1,COUNTIF($E$1:$E242,1),"")</f>
        <v/>
      </c>
      <c r="G242" s="7" t="str">
        <f>IFERROR(INDEX($D$1:$D$499,MATCH(ROWS($F$1:$F242),$F$1:$F$499,0)),"")</f>
        <v/>
      </c>
    </row>
    <row r="243" spans="5:7">
      <c r="E243" s="17">
        <f t="shared" si="4"/>
        <v>0</v>
      </c>
      <c r="F243" s="17" t="str">
        <f>IF(E243=1,COUNTIF($E$1:$E243,1),"")</f>
        <v/>
      </c>
      <c r="G243" s="7" t="str">
        <f>IFERROR(INDEX($D$1:$D$499,MATCH(ROWS($F$1:$F243),$F$1:$F$499,0)),"")</f>
        <v/>
      </c>
    </row>
    <row r="244" spans="5:7">
      <c r="E244" s="17">
        <f t="shared" si="4"/>
        <v>0</v>
      </c>
      <c r="F244" s="17" t="str">
        <f>IF(E244=1,COUNTIF($E$1:$E244,1),"")</f>
        <v/>
      </c>
      <c r="G244" s="7" t="str">
        <f>IFERROR(INDEX($D$1:$D$499,MATCH(ROWS($F$1:$F244),$F$1:$F$499,0)),"")</f>
        <v/>
      </c>
    </row>
    <row r="245" spans="5:7">
      <c r="E245" s="17">
        <f t="shared" si="4"/>
        <v>0</v>
      </c>
      <c r="F245" s="17" t="str">
        <f>IF(E245=1,COUNTIF($E$1:$E245,1),"")</f>
        <v/>
      </c>
      <c r="G245" s="7" t="str">
        <f>IFERROR(INDEX($D$1:$D$499,MATCH(ROWS($F$1:$F245),$F$1:$F$499,0)),"")</f>
        <v/>
      </c>
    </row>
    <row r="246" spans="5:7">
      <c r="E246" s="17">
        <f t="shared" si="4"/>
        <v>0</v>
      </c>
      <c r="F246" s="17" t="str">
        <f>IF(E246=1,COUNTIF($E$1:$E246,1),"")</f>
        <v/>
      </c>
      <c r="G246" s="7" t="str">
        <f>IFERROR(INDEX($D$1:$D$499,MATCH(ROWS($F$1:$F246),$F$1:$F$499,0)),"")</f>
        <v/>
      </c>
    </row>
    <row r="247" spans="5:7">
      <c r="E247" s="17">
        <f t="shared" si="4"/>
        <v>0</v>
      </c>
      <c r="F247" s="17" t="str">
        <f>IF(E247=1,COUNTIF($E$1:$E247,1),"")</f>
        <v/>
      </c>
      <c r="G247" s="7" t="str">
        <f>IFERROR(INDEX($D$1:$D$499,MATCH(ROWS($F$1:$F247),$F$1:$F$499,0)),"")</f>
        <v/>
      </c>
    </row>
    <row r="248" spans="5:7">
      <c r="E248" s="17">
        <f t="shared" si="4"/>
        <v>0</v>
      </c>
      <c r="F248" s="17" t="str">
        <f>IF(E248=1,COUNTIF($E$1:$E248,1),"")</f>
        <v/>
      </c>
      <c r="G248" s="7" t="str">
        <f>IFERROR(INDEX($D$1:$D$499,MATCH(ROWS($F$1:$F248),$F$1:$F$499,0)),"")</f>
        <v/>
      </c>
    </row>
    <row r="249" spans="5:7">
      <c r="E249" s="17">
        <f t="shared" si="4"/>
        <v>0</v>
      </c>
      <c r="F249" s="17" t="str">
        <f>IF(E249=1,COUNTIF($E$1:$E249,1),"")</f>
        <v/>
      </c>
      <c r="G249" s="7" t="str">
        <f>IFERROR(INDEX($D$1:$D$499,MATCH(ROWS($F$1:$F249),$F$1:$F$499,0)),"")</f>
        <v/>
      </c>
    </row>
    <row r="250" spans="5:7">
      <c r="E250" s="17">
        <f t="shared" si="4"/>
        <v>0</v>
      </c>
      <c r="F250" s="17" t="str">
        <f>IF(E250=1,COUNTIF($E$1:$E250,1),"")</f>
        <v/>
      </c>
      <c r="G250" s="7" t="str">
        <f>IFERROR(INDEX($D$1:$D$499,MATCH(ROWS($F$1:$F250),$F$1:$F$499,0)),"")</f>
        <v/>
      </c>
    </row>
    <row r="251" spans="5:7">
      <c r="E251" s="17">
        <f t="shared" si="4"/>
        <v>0</v>
      </c>
      <c r="F251" s="17" t="str">
        <f>IF(E251=1,COUNTIF($E$1:$E251,1),"")</f>
        <v/>
      </c>
      <c r="G251" s="7" t="str">
        <f>IFERROR(INDEX($D$1:$D$499,MATCH(ROWS($F$1:$F251),$F$1:$F$499,0)),"")</f>
        <v/>
      </c>
    </row>
    <row r="252" spans="5:7">
      <c r="E252" s="17">
        <f t="shared" si="4"/>
        <v>0</v>
      </c>
      <c r="F252" s="17" t="str">
        <f>IF(E252=1,COUNTIF($E$1:$E252,1),"")</f>
        <v/>
      </c>
      <c r="G252" s="7" t="str">
        <f>IFERROR(INDEX($D$1:$D$499,MATCH(ROWS($F$1:$F252),$F$1:$F$499,0)),"")</f>
        <v/>
      </c>
    </row>
    <row r="253" spans="5:7">
      <c r="E253" s="17">
        <f t="shared" si="4"/>
        <v>0</v>
      </c>
      <c r="F253" s="17" t="str">
        <f>IF(E253=1,COUNTIF($E$1:$E253,1),"")</f>
        <v/>
      </c>
      <c r="G253" s="7" t="str">
        <f>IFERROR(INDEX($D$1:$D$499,MATCH(ROWS($F$1:$F253),$F$1:$F$499,0)),"")</f>
        <v/>
      </c>
    </row>
    <row r="254" spans="5:7">
      <c r="E254" s="17">
        <f t="shared" si="4"/>
        <v>0</v>
      </c>
      <c r="F254" s="17" t="str">
        <f>IF(E254=1,COUNTIF($E$1:$E254,1),"")</f>
        <v/>
      </c>
      <c r="G254" s="7" t="str">
        <f>IFERROR(INDEX($D$1:$D$499,MATCH(ROWS($F$1:$F254),$F$1:$F$499,0)),"")</f>
        <v/>
      </c>
    </row>
    <row r="255" spans="5:7">
      <c r="E255" s="17">
        <f t="shared" si="4"/>
        <v>0</v>
      </c>
      <c r="F255" s="17" t="str">
        <f>IF(E255=1,COUNTIF($E$1:$E255,1),"")</f>
        <v/>
      </c>
      <c r="G255" s="7" t="str">
        <f>IFERROR(INDEX($D$1:$D$499,MATCH(ROWS($F$1:$F255),$F$1:$F$499,0)),"")</f>
        <v/>
      </c>
    </row>
    <row r="256" spans="5:7">
      <c r="E256" s="17">
        <f t="shared" si="4"/>
        <v>0</v>
      </c>
      <c r="F256" s="17" t="str">
        <f>IF(E256=1,COUNTIF($E$1:$E256,1),"")</f>
        <v/>
      </c>
      <c r="G256" s="7" t="str">
        <f>IFERROR(INDEX($D$1:$D$499,MATCH(ROWS($F$1:$F256),$F$1:$F$499,0)),"")</f>
        <v/>
      </c>
    </row>
    <row r="257" spans="5:7">
      <c r="E257" s="17">
        <f t="shared" ref="E257:E320" si="5">--ISNUMBER(SEARCH($B$1,D257))</f>
        <v>0</v>
      </c>
      <c r="F257" s="17" t="str">
        <f>IF(E257=1,COUNTIF($E$1:$E257,1),"")</f>
        <v/>
      </c>
      <c r="G257" s="7" t="str">
        <f>IFERROR(INDEX($D$1:$D$499,MATCH(ROWS($F$1:$F257),$F$1:$F$499,0)),"")</f>
        <v/>
      </c>
    </row>
    <row r="258" spans="5:7">
      <c r="E258" s="17">
        <f t="shared" si="5"/>
        <v>0</v>
      </c>
      <c r="F258" s="17" t="str">
        <f>IF(E258=1,COUNTIF($E$1:$E258,1),"")</f>
        <v/>
      </c>
      <c r="G258" s="7" t="str">
        <f>IFERROR(INDEX($D$1:$D$499,MATCH(ROWS($F$1:$F258),$F$1:$F$499,0)),"")</f>
        <v/>
      </c>
    </row>
    <row r="259" spans="5:7">
      <c r="E259" s="17">
        <f t="shared" si="5"/>
        <v>0</v>
      </c>
      <c r="F259" s="17" t="str">
        <f>IF(E259=1,COUNTIF($E$1:$E259,1),"")</f>
        <v/>
      </c>
      <c r="G259" s="7" t="str">
        <f>IFERROR(INDEX($D$1:$D$499,MATCH(ROWS($F$1:$F259),$F$1:$F$499,0)),"")</f>
        <v/>
      </c>
    </row>
    <row r="260" spans="5:7">
      <c r="E260" s="17">
        <f t="shared" si="5"/>
        <v>0</v>
      </c>
      <c r="F260" s="17" t="str">
        <f>IF(E260=1,COUNTIF($E$1:$E260,1),"")</f>
        <v/>
      </c>
      <c r="G260" s="7" t="str">
        <f>IFERROR(INDEX($D$1:$D$499,MATCH(ROWS($F$1:$F260),$F$1:$F$499,0)),"")</f>
        <v/>
      </c>
    </row>
    <row r="261" spans="5:7">
      <c r="E261" s="17">
        <f t="shared" si="5"/>
        <v>0</v>
      </c>
      <c r="F261" s="17" t="str">
        <f>IF(E261=1,COUNTIF($E$1:$E261,1),"")</f>
        <v/>
      </c>
      <c r="G261" s="7" t="str">
        <f>IFERROR(INDEX($D$1:$D$499,MATCH(ROWS($F$1:$F261),$F$1:$F$499,0)),"")</f>
        <v/>
      </c>
    </row>
    <row r="262" spans="5:7">
      <c r="E262" s="17">
        <f t="shared" si="5"/>
        <v>0</v>
      </c>
      <c r="F262" s="17" t="str">
        <f>IF(E262=1,COUNTIF($E$1:$E262,1),"")</f>
        <v/>
      </c>
      <c r="G262" s="7" t="str">
        <f>IFERROR(INDEX($D$1:$D$499,MATCH(ROWS($F$1:$F262),$F$1:$F$499,0)),"")</f>
        <v/>
      </c>
    </row>
    <row r="263" spans="5:7">
      <c r="E263" s="17">
        <f t="shared" si="5"/>
        <v>0</v>
      </c>
      <c r="F263" s="17" t="str">
        <f>IF(E263=1,COUNTIF($E$1:$E263,1),"")</f>
        <v/>
      </c>
      <c r="G263" s="7" t="str">
        <f>IFERROR(INDEX($D$1:$D$499,MATCH(ROWS($F$1:$F263),$F$1:$F$499,0)),"")</f>
        <v/>
      </c>
    </row>
    <row r="264" spans="5:7">
      <c r="E264" s="17">
        <f t="shared" si="5"/>
        <v>0</v>
      </c>
      <c r="F264" s="17" t="str">
        <f>IF(E264=1,COUNTIF($E$1:$E264,1),"")</f>
        <v/>
      </c>
      <c r="G264" s="7" t="str">
        <f>IFERROR(INDEX($D$1:$D$499,MATCH(ROWS($F$1:$F264),$F$1:$F$499,0)),"")</f>
        <v/>
      </c>
    </row>
    <row r="265" spans="5:7">
      <c r="E265" s="17">
        <f t="shared" si="5"/>
        <v>0</v>
      </c>
      <c r="F265" s="17" t="str">
        <f>IF(E265=1,COUNTIF($E$1:$E265,1),"")</f>
        <v/>
      </c>
      <c r="G265" s="7" t="str">
        <f>IFERROR(INDEX($D$1:$D$499,MATCH(ROWS($F$1:$F265),$F$1:$F$499,0)),"")</f>
        <v/>
      </c>
    </row>
    <row r="266" spans="5:7">
      <c r="E266" s="17">
        <f t="shared" si="5"/>
        <v>0</v>
      </c>
      <c r="F266" s="17" t="str">
        <f>IF(E266=1,COUNTIF($E$1:$E266,1),"")</f>
        <v/>
      </c>
      <c r="G266" s="7" t="str">
        <f>IFERROR(INDEX($D$1:$D$499,MATCH(ROWS($F$1:$F266),$F$1:$F$499,0)),"")</f>
        <v/>
      </c>
    </row>
    <row r="267" spans="5:7">
      <c r="E267" s="17">
        <f t="shared" si="5"/>
        <v>0</v>
      </c>
      <c r="F267" s="17" t="str">
        <f>IF(E267=1,COUNTIF($E$1:$E267,1),"")</f>
        <v/>
      </c>
      <c r="G267" s="7" t="str">
        <f>IFERROR(INDEX($D$1:$D$499,MATCH(ROWS($F$1:$F267),$F$1:$F$499,0)),"")</f>
        <v/>
      </c>
    </row>
    <row r="268" spans="5:7">
      <c r="E268" s="17">
        <f t="shared" si="5"/>
        <v>0</v>
      </c>
      <c r="F268" s="17" t="str">
        <f>IF(E268=1,COUNTIF($E$1:$E268,1),"")</f>
        <v/>
      </c>
      <c r="G268" s="7" t="str">
        <f>IFERROR(INDEX($D$1:$D$499,MATCH(ROWS($F$1:$F268),$F$1:$F$499,0)),"")</f>
        <v/>
      </c>
    </row>
    <row r="269" spans="5:7">
      <c r="E269" s="17">
        <f t="shared" si="5"/>
        <v>0</v>
      </c>
      <c r="F269" s="17" t="str">
        <f>IF(E269=1,COUNTIF($E$1:$E269,1),"")</f>
        <v/>
      </c>
      <c r="G269" s="7" t="str">
        <f>IFERROR(INDEX($D$1:$D$499,MATCH(ROWS($F$1:$F269),$F$1:$F$499,0)),"")</f>
        <v/>
      </c>
    </row>
    <row r="270" spans="5:7">
      <c r="E270" s="17">
        <f t="shared" si="5"/>
        <v>0</v>
      </c>
      <c r="F270" s="17" t="str">
        <f>IF(E270=1,COUNTIF($E$1:$E270,1),"")</f>
        <v/>
      </c>
      <c r="G270" s="7" t="str">
        <f>IFERROR(INDEX($D$1:$D$499,MATCH(ROWS($F$1:$F270),$F$1:$F$499,0)),"")</f>
        <v/>
      </c>
    </row>
    <row r="271" spans="5:7">
      <c r="E271" s="17">
        <f t="shared" si="5"/>
        <v>0</v>
      </c>
      <c r="F271" s="17" t="str">
        <f>IF(E271=1,COUNTIF($E$1:$E271,1),"")</f>
        <v/>
      </c>
      <c r="G271" s="7" t="str">
        <f>IFERROR(INDEX($D$1:$D$499,MATCH(ROWS($F$1:$F271),$F$1:$F$499,0)),"")</f>
        <v/>
      </c>
    </row>
    <row r="272" spans="5:7">
      <c r="E272" s="17">
        <f t="shared" si="5"/>
        <v>0</v>
      </c>
      <c r="F272" s="17" t="str">
        <f>IF(E272=1,COUNTIF($E$1:$E272,1),"")</f>
        <v/>
      </c>
      <c r="G272" s="7" t="str">
        <f>IFERROR(INDEX($D$1:$D$499,MATCH(ROWS($F$1:$F272),$F$1:$F$499,0)),"")</f>
        <v/>
      </c>
    </row>
    <row r="273" spans="5:7">
      <c r="E273" s="17">
        <f t="shared" si="5"/>
        <v>0</v>
      </c>
      <c r="F273" s="17" t="str">
        <f>IF(E273=1,COUNTIF($E$1:$E273,1),"")</f>
        <v/>
      </c>
      <c r="G273" s="7" t="str">
        <f>IFERROR(INDEX($D$1:$D$499,MATCH(ROWS($F$1:$F273),$F$1:$F$499,0)),"")</f>
        <v/>
      </c>
    </row>
    <row r="274" spans="5:7">
      <c r="E274" s="17">
        <f t="shared" si="5"/>
        <v>0</v>
      </c>
      <c r="F274" s="17" t="str">
        <f>IF(E274=1,COUNTIF($E$1:$E274,1),"")</f>
        <v/>
      </c>
      <c r="G274" s="7" t="str">
        <f>IFERROR(INDEX($D$1:$D$499,MATCH(ROWS($F$1:$F274),$F$1:$F$499,0)),"")</f>
        <v/>
      </c>
    </row>
    <row r="275" spans="5:7">
      <c r="E275" s="17">
        <f t="shared" si="5"/>
        <v>0</v>
      </c>
      <c r="F275" s="17" t="str">
        <f>IF(E275=1,COUNTIF($E$1:$E275,1),"")</f>
        <v/>
      </c>
      <c r="G275" s="7" t="str">
        <f>IFERROR(INDEX($D$1:$D$499,MATCH(ROWS($F$1:$F275),$F$1:$F$499,0)),"")</f>
        <v/>
      </c>
    </row>
    <row r="276" spans="5:7">
      <c r="E276" s="17">
        <f t="shared" si="5"/>
        <v>0</v>
      </c>
      <c r="F276" s="17" t="str">
        <f>IF(E276=1,COUNTIF($E$1:$E276,1),"")</f>
        <v/>
      </c>
      <c r="G276" s="7" t="str">
        <f>IFERROR(INDEX($D$1:$D$499,MATCH(ROWS($F$1:$F276),$F$1:$F$499,0)),"")</f>
        <v/>
      </c>
    </row>
    <row r="277" spans="5:7">
      <c r="E277" s="17">
        <f t="shared" si="5"/>
        <v>0</v>
      </c>
      <c r="F277" s="17" t="str">
        <f>IF(E277=1,COUNTIF($E$1:$E277,1),"")</f>
        <v/>
      </c>
      <c r="G277" s="7" t="str">
        <f>IFERROR(INDEX($D$1:$D$499,MATCH(ROWS($F$1:$F277),$F$1:$F$499,0)),"")</f>
        <v/>
      </c>
    </row>
    <row r="278" spans="5:7">
      <c r="E278" s="17">
        <f t="shared" si="5"/>
        <v>0</v>
      </c>
      <c r="F278" s="17" t="str">
        <f>IF(E278=1,COUNTIF($E$1:$E278,1),"")</f>
        <v/>
      </c>
      <c r="G278" s="7" t="str">
        <f>IFERROR(INDEX($D$1:$D$499,MATCH(ROWS($F$1:$F278),$F$1:$F$499,0)),"")</f>
        <v/>
      </c>
    </row>
    <row r="279" spans="5:7">
      <c r="E279" s="17">
        <f t="shared" si="5"/>
        <v>0</v>
      </c>
      <c r="F279" s="17" t="str">
        <f>IF(E279=1,COUNTIF($E$1:$E279,1),"")</f>
        <v/>
      </c>
      <c r="G279" s="7" t="str">
        <f>IFERROR(INDEX($D$1:$D$499,MATCH(ROWS($F$1:$F279),$F$1:$F$499,0)),"")</f>
        <v/>
      </c>
    </row>
    <row r="280" spans="5:7">
      <c r="E280" s="17">
        <f t="shared" si="5"/>
        <v>0</v>
      </c>
      <c r="F280" s="17" t="str">
        <f>IF(E280=1,COUNTIF($E$1:$E280,1),"")</f>
        <v/>
      </c>
      <c r="G280" s="7" t="str">
        <f>IFERROR(INDEX($D$1:$D$499,MATCH(ROWS($F$1:$F280),$F$1:$F$499,0)),"")</f>
        <v/>
      </c>
    </row>
    <row r="281" spans="5:7">
      <c r="E281" s="17">
        <f t="shared" si="5"/>
        <v>0</v>
      </c>
      <c r="F281" s="17" t="str">
        <f>IF(E281=1,COUNTIF($E$1:$E281,1),"")</f>
        <v/>
      </c>
      <c r="G281" s="7" t="str">
        <f>IFERROR(INDEX($D$1:$D$499,MATCH(ROWS($F$1:$F281),$F$1:$F$499,0)),"")</f>
        <v/>
      </c>
    </row>
    <row r="282" spans="5:7">
      <c r="E282" s="17">
        <f t="shared" si="5"/>
        <v>0</v>
      </c>
      <c r="F282" s="17" t="str">
        <f>IF(E282=1,COUNTIF($E$1:$E282,1),"")</f>
        <v/>
      </c>
      <c r="G282" s="7" t="str">
        <f>IFERROR(INDEX($D$1:$D$499,MATCH(ROWS($F$1:$F282),$F$1:$F$499,0)),"")</f>
        <v/>
      </c>
    </row>
    <row r="283" spans="5:7">
      <c r="E283" s="17">
        <f t="shared" si="5"/>
        <v>0</v>
      </c>
      <c r="F283" s="17" t="str">
        <f>IF(E283=1,COUNTIF($E$1:$E283,1),"")</f>
        <v/>
      </c>
      <c r="G283" s="7" t="str">
        <f>IFERROR(INDEX($D$1:$D$499,MATCH(ROWS($F$1:$F283),$F$1:$F$499,0)),"")</f>
        <v/>
      </c>
    </row>
    <row r="284" spans="5:7">
      <c r="E284" s="17">
        <f t="shared" si="5"/>
        <v>0</v>
      </c>
      <c r="F284" s="17" t="str">
        <f>IF(E284=1,COUNTIF($E$1:$E284,1),"")</f>
        <v/>
      </c>
      <c r="G284" s="7" t="str">
        <f>IFERROR(INDEX($D$1:$D$499,MATCH(ROWS($F$1:$F284),$F$1:$F$499,0)),"")</f>
        <v/>
      </c>
    </row>
    <row r="285" spans="5:7">
      <c r="E285" s="17">
        <f t="shared" si="5"/>
        <v>0</v>
      </c>
      <c r="F285" s="17" t="str">
        <f>IF(E285=1,COUNTIF($E$1:$E285,1),"")</f>
        <v/>
      </c>
      <c r="G285" s="7" t="str">
        <f>IFERROR(INDEX($D$1:$D$499,MATCH(ROWS($F$1:$F285),$F$1:$F$499,0)),"")</f>
        <v/>
      </c>
    </row>
    <row r="286" spans="5:7">
      <c r="E286" s="17">
        <f t="shared" si="5"/>
        <v>0</v>
      </c>
      <c r="F286" s="17" t="str">
        <f>IF(E286=1,COUNTIF($E$1:$E286,1),"")</f>
        <v/>
      </c>
      <c r="G286" s="7" t="str">
        <f>IFERROR(INDEX($D$1:$D$499,MATCH(ROWS($F$1:$F286),$F$1:$F$499,0)),"")</f>
        <v/>
      </c>
    </row>
    <row r="287" spans="5:7">
      <c r="E287" s="17">
        <f t="shared" si="5"/>
        <v>0</v>
      </c>
      <c r="F287" s="17" t="str">
        <f>IF(E287=1,COUNTIF($E$1:$E287,1),"")</f>
        <v/>
      </c>
      <c r="G287" s="7" t="str">
        <f>IFERROR(INDEX($D$1:$D$499,MATCH(ROWS($F$1:$F287),$F$1:$F$499,0)),"")</f>
        <v/>
      </c>
    </row>
    <row r="288" spans="5:7">
      <c r="E288" s="17">
        <f t="shared" si="5"/>
        <v>0</v>
      </c>
      <c r="F288" s="17" t="str">
        <f>IF(E288=1,COUNTIF($E$1:$E288,1),"")</f>
        <v/>
      </c>
      <c r="G288" s="7" t="str">
        <f>IFERROR(INDEX($D$1:$D$499,MATCH(ROWS($F$1:$F288),$F$1:$F$499,0)),"")</f>
        <v/>
      </c>
    </row>
    <row r="289" spans="5:7">
      <c r="E289" s="17">
        <f t="shared" si="5"/>
        <v>0</v>
      </c>
      <c r="F289" s="17" t="str">
        <f>IF(E289=1,COUNTIF($E$1:$E289,1),"")</f>
        <v/>
      </c>
      <c r="G289" s="7" t="str">
        <f>IFERROR(INDEX($D$1:$D$499,MATCH(ROWS($F$1:$F289),$F$1:$F$499,0)),"")</f>
        <v/>
      </c>
    </row>
    <row r="290" spans="5:7">
      <c r="E290" s="17">
        <f t="shared" si="5"/>
        <v>0</v>
      </c>
      <c r="F290" s="17" t="str">
        <f>IF(E290=1,COUNTIF($E$1:$E290,1),"")</f>
        <v/>
      </c>
      <c r="G290" s="7" t="str">
        <f>IFERROR(INDEX($D$1:$D$499,MATCH(ROWS($F$1:$F290),$F$1:$F$499,0)),"")</f>
        <v/>
      </c>
    </row>
    <row r="291" spans="5:7">
      <c r="E291" s="17">
        <f t="shared" si="5"/>
        <v>0</v>
      </c>
      <c r="F291" s="17" t="str">
        <f>IF(E291=1,COUNTIF($E$1:$E291,1),"")</f>
        <v/>
      </c>
      <c r="G291" s="7" t="str">
        <f>IFERROR(INDEX($D$1:$D$499,MATCH(ROWS($F$1:$F291),$F$1:$F$499,0)),"")</f>
        <v/>
      </c>
    </row>
    <row r="292" spans="5:7">
      <c r="E292" s="17">
        <f t="shared" si="5"/>
        <v>0</v>
      </c>
      <c r="F292" s="17" t="str">
        <f>IF(E292=1,COUNTIF($E$1:$E292,1),"")</f>
        <v/>
      </c>
      <c r="G292" s="7" t="str">
        <f>IFERROR(INDEX($D$1:$D$499,MATCH(ROWS($F$1:$F292),$F$1:$F$499,0)),"")</f>
        <v/>
      </c>
    </row>
    <row r="293" spans="5:7">
      <c r="E293" s="17">
        <f t="shared" si="5"/>
        <v>0</v>
      </c>
      <c r="F293" s="17" t="str">
        <f>IF(E293=1,COUNTIF($E$1:$E293,1),"")</f>
        <v/>
      </c>
      <c r="G293" s="7" t="str">
        <f>IFERROR(INDEX($D$1:$D$499,MATCH(ROWS($F$1:$F293),$F$1:$F$499,0)),"")</f>
        <v/>
      </c>
    </row>
    <row r="294" spans="5:7">
      <c r="E294" s="17">
        <f t="shared" si="5"/>
        <v>0</v>
      </c>
      <c r="F294" s="17" t="str">
        <f>IF(E294=1,COUNTIF($E$1:$E294,1),"")</f>
        <v/>
      </c>
      <c r="G294" s="7" t="str">
        <f>IFERROR(INDEX($D$1:$D$499,MATCH(ROWS($F$1:$F294),$F$1:$F$499,0)),"")</f>
        <v/>
      </c>
    </row>
    <row r="295" spans="5:7">
      <c r="E295" s="17">
        <f t="shared" si="5"/>
        <v>0</v>
      </c>
      <c r="F295" s="17" t="str">
        <f>IF(E295=1,COUNTIF($E$1:$E295,1),"")</f>
        <v/>
      </c>
      <c r="G295" s="7" t="str">
        <f>IFERROR(INDEX($D$1:$D$499,MATCH(ROWS($F$1:$F295),$F$1:$F$499,0)),"")</f>
        <v/>
      </c>
    </row>
    <row r="296" spans="5:7">
      <c r="E296" s="17">
        <f t="shared" si="5"/>
        <v>0</v>
      </c>
      <c r="F296" s="17" t="str">
        <f>IF(E296=1,COUNTIF($E$1:$E296,1),"")</f>
        <v/>
      </c>
      <c r="G296" s="7" t="str">
        <f>IFERROR(INDEX($D$1:$D$499,MATCH(ROWS($F$1:$F296),$F$1:$F$499,0)),"")</f>
        <v/>
      </c>
    </row>
    <row r="297" spans="5:7">
      <c r="E297" s="17">
        <f t="shared" si="5"/>
        <v>0</v>
      </c>
      <c r="F297" s="17" t="str">
        <f>IF(E297=1,COUNTIF($E$1:$E297,1),"")</f>
        <v/>
      </c>
      <c r="G297" s="7" t="str">
        <f>IFERROR(INDEX($D$1:$D$499,MATCH(ROWS($F$1:$F297),$F$1:$F$499,0)),"")</f>
        <v/>
      </c>
    </row>
    <row r="298" spans="5:7">
      <c r="E298" s="17">
        <f t="shared" si="5"/>
        <v>0</v>
      </c>
      <c r="F298" s="17" t="str">
        <f>IF(E298=1,COUNTIF($E$1:$E298,1),"")</f>
        <v/>
      </c>
      <c r="G298" s="7" t="str">
        <f>IFERROR(INDEX($D$1:$D$499,MATCH(ROWS($F$1:$F298),$F$1:$F$499,0)),"")</f>
        <v/>
      </c>
    </row>
    <row r="299" spans="5:7">
      <c r="E299" s="17">
        <f t="shared" si="5"/>
        <v>0</v>
      </c>
      <c r="F299" s="17" t="str">
        <f>IF(E299=1,COUNTIF($E$1:$E299,1),"")</f>
        <v/>
      </c>
      <c r="G299" s="7" t="str">
        <f>IFERROR(INDEX($D$1:$D$499,MATCH(ROWS($F$1:$F299),$F$1:$F$499,0)),"")</f>
        <v/>
      </c>
    </row>
    <row r="300" spans="5:7">
      <c r="E300" s="17">
        <f t="shared" si="5"/>
        <v>0</v>
      </c>
      <c r="F300" s="17" t="str">
        <f>IF(E300=1,COUNTIF($E$1:$E300,1),"")</f>
        <v/>
      </c>
      <c r="G300" s="7" t="str">
        <f>IFERROR(INDEX($D$1:$D$499,MATCH(ROWS($F$1:$F300),$F$1:$F$499,0)),"")</f>
        <v/>
      </c>
    </row>
    <row r="301" spans="5:7">
      <c r="E301" s="17">
        <f t="shared" si="5"/>
        <v>0</v>
      </c>
      <c r="F301" s="17" t="str">
        <f>IF(E301=1,COUNTIF($E$1:$E301,1),"")</f>
        <v/>
      </c>
      <c r="G301" s="7" t="str">
        <f>IFERROR(INDEX($D$1:$D$499,MATCH(ROWS($F$1:$F301),$F$1:$F$499,0)),"")</f>
        <v/>
      </c>
    </row>
    <row r="302" spans="5:7">
      <c r="E302" s="17">
        <f t="shared" si="5"/>
        <v>0</v>
      </c>
      <c r="F302" s="17" t="str">
        <f>IF(E302=1,COUNTIF($E$1:$E302,1),"")</f>
        <v/>
      </c>
      <c r="G302" s="7" t="str">
        <f>IFERROR(INDEX($D$1:$D$499,MATCH(ROWS($F$1:$F302),$F$1:$F$499,0)),"")</f>
        <v/>
      </c>
    </row>
    <row r="303" spans="5:7">
      <c r="E303" s="17">
        <f t="shared" si="5"/>
        <v>0</v>
      </c>
      <c r="F303" s="17" t="str">
        <f>IF(E303=1,COUNTIF($E$1:$E303,1),"")</f>
        <v/>
      </c>
      <c r="G303" s="7" t="str">
        <f>IFERROR(INDEX($D$1:$D$499,MATCH(ROWS($F$1:$F303),$F$1:$F$499,0)),"")</f>
        <v/>
      </c>
    </row>
    <row r="304" spans="5:7">
      <c r="E304" s="17">
        <f t="shared" si="5"/>
        <v>0</v>
      </c>
      <c r="F304" s="17" t="str">
        <f>IF(E304=1,COUNTIF($E$1:$E304,1),"")</f>
        <v/>
      </c>
      <c r="G304" s="7" t="str">
        <f>IFERROR(INDEX($D$1:$D$499,MATCH(ROWS($F$1:$F304),$F$1:$F$499,0)),"")</f>
        <v/>
      </c>
    </row>
    <row r="305" spans="5:7">
      <c r="E305" s="17">
        <f t="shared" si="5"/>
        <v>0</v>
      </c>
      <c r="F305" s="17" t="str">
        <f>IF(E305=1,COUNTIF($E$1:$E305,1),"")</f>
        <v/>
      </c>
      <c r="G305" s="7" t="str">
        <f>IFERROR(INDEX($D$1:$D$499,MATCH(ROWS($F$1:$F305),$F$1:$F$499,0)),"")</f>
        <v/>
      </c>
    </row>
    <row r="306" spans="5:7">
      <c r="E306" s="17">
        <f t="shared" si="5"/>
        <v>0</v>
      </c>
      <c r="F306" s="17" t="str">
        <f>IF(E306=1,COUNTIF($E$1:$E306,1),"")</f>
        <v/>
      </c>
      <c r="G306" s="7" t="str">
        <f>IFERROR(INDEX($D$1:$D$499,MATCH(ROWS($F$1:$F306),$F$1:$F$499,0)),"")</f>
        <v/>
      </c>
    </row>
    <row r="307" spans="5:7">
      <c r="E307" s="17">
        <f t="shared" si="5"/>
        <v>0</v>
      </c>
      <c r="F307" s="17" t="str">
        <f>IF(E307=1,COUNTIF($E$1:$E307,1),"")</f>
        <v/>
      </c>
      <c r="G307" s="7" t="str">
        <f>IFERROR(INDEX($D$1:$D$499,MATCH(ROWS($F$1:$F307),$F$1:$F$499,0)),"")</f>
        <v/>
      </c>
    </row>
    <row r="308" spans="5:7">
      <c r="E308" s="17">
        <f t="shared" si="5"/>
        <v>0</v>
      </c>
      <c r="F308" s="17" t="str">
        <f>IF(E308=1,COUNTIF($E$1:$E308,1),"")</f>
        <v/>
      </c>
      <c r="G308" s="7" t="str">
        <f>IFERROR(INDEX($D$1:$D$499,MATCH(ROWS($F$1:$F308),$F$1:$F$499,0)),"")</f>
        <v/>
      </c>
    </row>
    <row r="309" spans="5:7">
      <c r="E309" s="17">
        <f t="shared" si="5"/>
        <v>0</v>
      </c>
      <c r="F309" s="17" t="str">
        <f>IF(E309=1,COUNTIF($E$1:$E309,1),"")</f>
        <v/>
      </c>
      <c r="G309" s="7" t="str">
        <f>IFERROR(INDEX($D$1:$D$499,MATCH(ROWS($F$1:$F309),$F$1:$F$499,0)),"")</f>
        <v/>
      </c>
    </row>
    <row r="310" spans="5:7">
      <c r="E310" s="17">
        <f t="shared" si="5"/>
        <v>0</v>
      </c>
      <c r="F310" s="17" t="str">
        <f>IF(E310=1,COUNTIF($E$1:$E310,1),"")</f>
        <v/>
      </c>
      <c r="G310" s="7" t="str">
        <f>IFERROR(INDEX($D$1:$D$499,MATCH(ROWS($F$1:$F310),$F$1:$F$499,0)),"")</f>
        <v/>
      </c>
    </row>
    <row r="311" spans="5:7">
      <c r="E311" s="17">
        <f t="shared" si="5"/>
        <v>0</v>
      </c>
      <c r="F311" s="17" t="str">
        <f>IF(E311=1,COUNTIF($E$1:$E311,1),"")</f>
        <v/>
      </c>
      <c r="G311" s="7" t="str">
        <f>IFERROR(INDEX($D$1:$D$499,MATCH(ROWS($F$1:$F311),$F$1:$F$499,0)),"")</f>
        <v/>
      </c>
    </row>
    <row r="312" spans="5:7">
      <c r="E312" s="17">
        <f t="shared" si="5"/>
        <v>0</v>
      </c>
      <c r="F312" s="17" t="str">
        <f>IF(E312=1,COUNTIF($E$1:$E312,1),"")</f>
        <v/>
      </c>
      <c r="G312" s="7" t="str">
        <f>IFERROR(INDEX($D$1:$D$499,MATCH(ROWS($F$1:$F312),$F$1:$F$499,0)),"")</f>
        <v/>
      </c>
    </row>
    <row r="313" spans="5:7">
      <c r="E313" s="17">
        <f t="shared" si="5"/>
        <v>0</v>
      </c>
      <c r="F313" s="17" t="str">
        <f>IF(E313=1,COUNTIF($E$1:$E313,1),"")</f>
        <v/>
      </c>
      <c r="G313" s="7" t="str">
        <f>IFERROR(INDEX($D$1:$D$499,MATCH(ROWS($F$1:$F313),$F$1:$F$499,0)),"")</f>
        <v/>
      </c>
    </row>
    <row r="314" spans="5:7">
      <c r="E314" s="17">
        <f t="shared" si="5"/>
        <v>0</v>
      </c>
      <c r="F314" s="17" t="str">
        <f>IF(E314=1,COUNTIF($E$1:$E314,1),"")</f>
        <v/>
      </c>
      <c r="G314" s="7" t="str">
        <f>IFERROR(INDEX($D$1:$D$499,MATCH(ROWS($F$1:$F314),$F$1:$F$499,0)),"")</f>
        <v/>
      </c>
    </row>
    <row r="315" spans="5:7">
      <c r="E315" s="17">
        <f t="shared" si="5"/>
        <v>0</v>
      </c>
      <c r="F315" s="17" t="str">
        <f>IF(E315=1,COUNTIF($E$1:$E315,1),"")</f>
        <v/>
      </c>
      <c r="G315" s="7" t="str">
        <f>IFERROR(INDEX($D$1:$D$499,MATCH(ROWS($F$1:$F315),$F$1:$F$499,0)),"")</f>
        <v/>
      </c>
    </row>
    <row r="316" spans="5:7">
      <c r="E316" s="17">
        <f t="shared" si="5"/>
        <v>0</v>
      </c>
      <c r="F316" s="17" t="str">
        <f>IF(E316=1,COUNTIF($E$1:$E316,1),"")</f>
        <v/>
      </c>
      <c r="G316" s="7" t="str">
        <f>IFERROR(INDEX($D$1:$D$499,MATCH(ROWS($F$1:$F316),$F$1:$F$499,0)),"")</f>
        <v/>
      </c>
    </row>
    <row r="317" spans="5:7">
      <c r="E317" s="17">
        <f t="shared" si="5"/>
        <v>0</v>
      </c>
      <c r="F317" s="17" t="str">
        <f>IF(E317=1,COUNTIF($E$1:$E317,1),"")</f>
        <v/>
      </c>
      <c r="G317" s="7" t="str">
        <f>IFERROR(INDEX($D$1:$D$499,MATCH(ROWS($F$1:$F317),$F$1:$F$499,0)),"")</f>
        <v/>
      </c>
    </row>
    <row r="318" spans="5:7">
      <c r="E318" s="17">
        <f t="shared" si="5"/>
        <v>0</v>
      </c>
      <c r="F318" s="17" t="str">
        <f>IF(E318=1,COUNTIF($E$1:$E318,1),"")</f>
        <v/>
      </c>
      <c r="G318" s="7" t="str">
        <f>IFERROR(INDEX($D$1:$D$499,MATCH(ROWS($F$1:$F318),$F$1:$F$499,0)),"")</f>
        <v/>
      </c>
    </row>
    <row r="319" spans="5:7">
      <c r="E319" s="17">
        <f t="shared" si="5"/>
        <v>0</v>
      </c>
      <c r="F319" s="17" t="str">
        <f>IF(E319=1,COUNTIF($E$1:$E319,1),"")</f>
        <v/>
      </c>
      <c r="G319" s="7" t="str">
        <f>IFERROR(INDEX($D$1:$D$499,MATCH(ROWS($F$1:$F319),$F$1:$F$499,0)),"")</f>
        <v/>
      </c>
    </row>
    <row r="320" spans="5:7">
      <c r="E320" s="17">
        <f t="shared" si="5"/>
        <v>0</v>
      </c>
      <c r="F320" s="17" t="str">
        <f>IF(E320=1,COUNTIF($E$1:$E320,1),"")</f>
        <v/>
      </c>
      <c r="G320" s="7" t="str">
        <f>IFERROR(INDEX($D$1:$D$499,MATCH(ROWS($F$1:$F320),$F$1:$F$499,0)),"")</f>
        <v/>
      </c>
    </row>
    <row r="321" spans="5:7">
      <c r="E321" s="17">
        <f t="shared" ref="E321:E384" si="6">--ISNUMBER(SEARCH($B$1,D321))</f>
        <v>0</v>
      </c>
      <c r="F321" s="17" t="str">
        <f>IF(E321=1,COUNTIF($E$1:$E321,1),"")</f>
        <v/>
      </c>
      <c r="G321" s="7" t="str">
        <f>IFERROR(INDEX($D$1:$D$499,MATCH(ROWS($F$1:$F321),$F$1:$F$499,0)),"")</f>
        <v/>
      </c>
    </row>
    <row r="322" spans="5:7">
      <c r="E322" s="17">
        <f t="shared" si="6"/>
        <v>0</v>
      </c>
      <c r="F322" s="17" t="str">
        <f>IF(E322=1,COUNTIF($E$1:$E322,1),"")</f>
        <v/>
      </c>
      <c r="G322" s="7" t="str">
        <f>IFERROR(INDEX($D$1:$D$499,MATCH(ROWS($F$1:$F322),$F$1:$F$499,0)),"")</f>
        <v/>
      </c>
    </row>
    <row r="323" spans="5:7">
      <c r="E323" s="17">
        <f t="shared" si="6"/>
        <v>0</v>
      </c>
      <c r="F323" s="17" t="str">
        <f>IF(E323=1,COUNTIF($E$1:$E323,1),"")</f>
        <v/>
      </c>
      <c r="G323" s="7" t="str">
        <f>IFERROR(INDEX($D$1:$D$499,MATCH(ROWS($F$1:$F323),$F$1:$F$499,0)),"")</f>
        <v/>
      </c>
    </row>
    <row r="324" spans="5:7">
      <c r="E324" s="17">
        <f t="shared" si="6"/>
        <v>0</v>
      </c>
      <c r="F324" s="17" t="str">
        <f>IF(E324=1,COUNTIF($E$1:$E324,1),"")</f>
        <v/>
      </c>
      <c r="G324" s="7" t="str">
        <f>IFERROR(INDEX($D$1:$D$499,MATCH(ROWS($F$1:$F324),$F$1:$F$499,0)),"")</f>
        <v/>
      </c>
    </row>
    <row r="325" spans="5:7">
      <c r="E325" s="17">
        <f t="shared" si="6"/>
        <v>0</v>
      </c>
      <c r="F325" s="17" t="str">
        <f>IF(E325=1,COUNTIF($E$1:$E325,1),"")</f>
        <v/>
      </c>
      <c r="G325" s="7" t="str">
        <f>IFERROR(INDEX($D$1:$D$499,MATCH(ROWS($F$1:$F325),$F$1:$F$499,0)),"")</f>
        <v/>
      </c>
    </row>
    <row r="326" spans="5:7">
      <c r="E326" s="17">
        <f t="shared" si="6"/>
        <v>0</v>
      </c>
      <c r="F326" s="17" t="str">
        <f>IF(E326=1,COUNTIF($E$1:$E326,1),"")</f>
        <v/>
      </c>
      <c r="G326" s="7" t="str">
        <f>IFERROR(INDEX($D$1:$D$499,MATCH(ROWS($F$1:$F326),$F$1:$F$499,0)),"")</f>
        <v/>
      </c>
    </row>
    <row r="327" spans="5:7">
      <c r="E327" s="17">
        <f t="shared" si="6"/>
        <v>0</v>
      </c>
      <c r="F327" s="17" t="str">
        <f>IF(E327=1,COUNTIF($E$1:$E327,1),"")</f>
        <v/>
      </c>
      <c r="G327" s="7" t="str">
        <f>IFERROR(INDEX($D$1:$D$499,MATCH(ROWS($F$1:$F327),$F$1:$F$499,0)),"")</f>
        <v/>
      </c>
    </row>
    <row r="328" spans="5:7">
      <c r="E328" s="17">
        <f t="shared" si="6"/>
        <v>0</v>
      </c>
      <c r="F328" s="17" t="str">
        <f>IF(E328=1,COUNTIF($E$1:$E328,1),"")</f>
        <v/>
      </c>
      <c r="G328" s="7" t="str">
        <f>IFERROR(INDEX($D$1:$D$499,MATCH(ROWS($F$1:$F328),$F$1:$F$499,0)),"")</f>
        <v/>
      </c>
    </row>
    <row r="329" spans="5:7">
      <c r="E329" s="17">
        <f t="shared" si="6"/>
        <v>0</v>
      </c>
      <c r="F329" s="17" t="str">
        <f>IF(E329=1,COUNTIF($E$1:$E329,1),"")</f>
        <v/>
      </c>
      <c r="G329" s="7" t="str">
        <f>IFERROR(INDEX($D$1:$D$499,MATCH(ROWS($F$1:$F329),$F$1:$F$499,0)),"")</f>
        <v/>
      </c>
    </row>
    <row r="330" spans="5:7">
      <c r="E330" s="17">
        <f t="shared" si="6"/>
        <v>0</v>
      </c>
      <c r="F330" s="17" t="str">
        <f>IF(E330=1,COUNTIF($E$1:$E330,1),"")</f>
        <v/>
      </c>
      <c r="G330" s="7" t="str">
        <f>IFERROR(INDEX($D$1:$D$499,MATCH(ROWS($F$1:$F330),$F$1:$F$499,0)),"")</f>
        <v/>
      </c>
    </row>
    <row r="331" spans="5:7">
      <c r="E331" s="17">
        <f t="shared" si="6"/>
        <v>0</v>
      </c>
      <c r="F331" s="17" t="str">
        <f>IF(E331=1,COUNTIF($E$1:$E331,1),"")</f>
        <v/>
      </c>
      <c r="G331" s="7" t="str">
        <f>IFERROR(INDEX($D$1:$D$499,MATCH(ROWS($F$1:$F331),$F$1:$F$499,0)),"")</f>
        <v/>
      </c>
    </row>
    <row r="332" spans="5:7">
      <c r="E332" s="17">
        <f t="shared" si="6"/>
        <v>0</v>
      </c>
      <c r="F332" s="17" t="str">
        <f>IF(E332=1,COUNTIF($E$1:$E332,1),"")</f>
        <v/>
      </c>
      <c r="G332" s="7" t="str">
        <f>IFERROR(INDEX($D$1:$D$499,MATCH(ROWS($F$1:$F332),$F$1:$F$499,0)),"")</f>
        <v/>
      </c>
    </row>
    <row r="333" spans="5:7">
      <c r="E333" s="17">
        <f t="shared" si="6"/>
        <v>0</v>
      </c>
      <c r="F333" s="17" t="str">
        <f>IF(E333=1,COUNTIF($E$1:$E333,1),"")</f>
        <v/>
      </c>
      <c r="G333" s="7" t="str">
        <f>IFERROR(INDEX($D$1:$D$499,MATCH(ROWS($F$1:$F333),$F$1:$F$499,0)),"")</f>
        <v/>
      </c>
    </row>
    <row r="334" spans="5:7">
      <c r="E334" s="17">
        <f t="shared" si="6"/>
        <v>0</v>
      </c>
      <c r="F334" s="17" t="str">
        <f>IF(E334=1,COUNTIF($E$1:$E334,1),"")</f>
        <v/>
      </c>
      <c r="G334" s="7" t="str">
        <f>IFERROR(INDEX($D$1:$D$499,MATCH(ROWS($F$1:$F334),$F$1:$F$499,0)),"")</f>
        <v/>
      </c>
    </row>
    <row r="335" spans="5:7">
      <c r="E335" s="17">
        <f t="shared" si="6"/>
        <v>0</v>
      </c>
      <c r="F335" s="17" t="str">
        <f>IF(E335=1,COUNTIF($E$1:$E335,1),"")</f>
        <v/>
      </c>
      <c r="G335" s="7" t="str">
        <f>IFERROR(INDEX($D$1:$D$499,MATCH(ROWS($F$1:$F335),$F$1:$F$499,0)),"")</f>
        <v/>
      </c>
    </row>
    <row r="336" spans="5:7">
      <c r="E336" s="17">
        <f t="shared" si="6"/>
        <v>0</v>
      </c>
      <c r="F336" s="17" t="str">
        <f>IF(E336=1,COUNTIF($E$1:$E336,1),"")</f>
        <v/>
      </c>
      <c r="G336" s="7" t="str">
        <f>IFERROR(INDEX($D$1:$D$499,MATCH(ROWS($F$1:$F336),$F$1:$F$499,0)),"")</f>
        <v/>
      </c>
    </row>
    <row r="337" spans="5:7">
      <c r="E337" s="17">
        <f t="shared" si="6"/>
        <v>0</v>
      </c>
      <c r="F337" s="17" t="str">
        <f>IF(E337=1,COUNTIF($E$1:$E337,1),"")</f>
        <v/>
      </c>
      <c r="G337" s="7" t="str">
        <f>IFERROR(INDEX($D$1:$D$499,MATCH(ROWS($F$1:$F337),$F$1:$F$499,0)),"")</f>
        <v/>
      </c>
    </row>
    <row r="338" spans="5:7">
      <c r="E338" s="17">
        <f t="shared" si="6"/>
        <v>0</v>
      </c>
      <c r="F338" s="17" t="str">
        <f>IF(E338=1,COUNTIF($E$1:$E338,1),"")</f>
        <v/>
      </c>
      <c r="G338" s="7" t="str">
        <f>IFERROR(INDEX($D$1:$D$499,MATCH(ROWS($F$1:$F338),$F$1:$F$499,0)),"")</f>
        <v/>
      </c>
    </row>
    <row r="339" spans="5:7">
      <c r="E339" s="17">
        <f t="shared" si="6"/>
        <v>0</v>
      </c>
      <c r="F339" s="17" t="str">
        <f>IF(E339=1,COUNTIF($E$1:$E339,1),"")</f>
        <v/>
      </c>
      <c r="G339" s="7" t="str">
        <f>IFERROR(INDEX($D$1:$D$499,MATCH(ROWS($F$1:$F339),$F$1:$F$499,0)),"")</f>
        <v/>
      </c>
    </row>
    <row r="340" spans="5:7">
      <c r="E340" s="17">
        <f t="shared" si="6"/>
        <v>0</v>
      </c>
      <c r="F340" s="17" t="str">
        <f>IF(E340=1,COUNTIF($E$1:$E340,1),"")</f>
        <v/>
      </c>
      <c r="G340" s="7" t="str">
        <f>IFERROR(INDEX($D$1:$D$499,MATCH(ROWS($F$1:$F340),$F$1:$F$499,0)),"")</f>
        <v/>
      </c>
    </row>
    <row r="341" spans="5:7">
      <c r="E341" s="17">
        <f t="shared" si="6"/>
        <v>0</v>
      </c>
      <c r="F341" s="17" t="str">
        <f>IF(E341=1,COUNTIF($E$1:$E341,1),"")</f>
        <v/>
      </c>
      <c r="G341" s="7" t="str">
        <f>IFERROR(INDEX($D$1:$D$499,MATCH(ROWS($F$1:$F341),$F$1:$F$499,0)),"")</f>
        <v/>
      </c>
    </row>
    <row r="342" spans="5:7">
      <c r="E342" s="17">
        <f t="shared" si="6"/>
        <v>0</v>
      </c>
      <c r="F342" s="17" t="str">
        <f>IF(E342=1,COUNTIF($E$1:$E342,1),"")</f>
        <v/>
      </c>
      <c r="G342" s="7" t="str">
        <f>IFERROR(INDEX($D$1:$D$499,MATCH(ROWS($F$1:$F342),$F$1:$F$499,0)),"")</f>
        <v/>
      </c>
    </row>
    <row r="343" spans="5:7">
      <c r="E343" s="17">
        <f t="shared" si="6"/>
        <v>0</v>
      </c>
      <c r="F343" s="17" t="str">
        <f>IF(E343=1,COUNTIF($E$1:$E343,1),"")</f>
        <v/>
      </c>
      <c r="G343" s="7" t="str">
        <f>IFERROR(INDEX($D$1:$D$499,MATCH(ROWS($F$1:$F343),$F$1:$F$499,0)),"")</f>
        <v/>
      </c>
    </row>
    <row r="344" spans="5:7">
      <c r="E344" s="17">
        <f t="shared" si="6"/>
        <v>0</v>
      </c>
      <c r="F344" s="17" t="str">
        <f>IF(E344=1,COUNTIF($E$1:$E344,1),"")</f>
        <v/>
      </c>
      <c r="G344" s="7" t="str">
        <f>IFERROR(INDEX($D$1:$D$499,MATCH(ROWS($F$1:$F344),$F$1:$F$499,0)),"")</f>
        <v/>
      </c>
    </row>
    <row r="345" spans="5:7">
      <c r="E345" s="17">
        <f t="shared" si="6"/>
        <v>0</v>
      </c>
      <c r="F345" s="17" t="str">
        <f>IF(E345=1,COUNTIF($E$1:$E345,1),"")</f>
        <v/>
      </c>
      <c r="G345" s="7" t="str">
        <f>IFERROR(INDEX($D$1:$D$499,MATCH(ROWS($F$1:$F345),$F$1:$F$499,0)),"")</f>
        <v/>
      </c>
    </row>
    <row r="346" spans="5:7">
      <c r="E346" s="17">
        <f t="shared" si="6"/>
        <v>0</v>
      </c>
      <c r="F346" s="17" t="str">
        <f>IF(E346=1,COUNTIF($E$1:$E346,1),"")</f>
        <v/>
      </c>
      <c r="G346" s="7" t="str">
        <f>IFERROR(INDEX($D$1:$D$499,MATCH(ROWS($F$1:$F346),$F$1:$F$499,0)),"")</f>
        <v/>
      </c>
    </row>
    <row r="347" spans="5:7">
      <c r="E347" s="17">
        <f t="shared" si="6"/>
        <v>0</v>
      </c>
      <c r="F347" s="17" t="str">
        <f>IF(E347=1,COUNTIF($E$1:$E347,1),"")</f>
        <v/>
      </c>
      <c r="G347" s="7" t="str">
        <f>IFERROR(INDEX($D$1:$D$499,MATCH(ROWS($F$1:$F347),$F$1:$F$499,0)),"")</f>
        <v/>
      </c>
    </row>
    <row r="348" spans="5:7">
      <c r="E348" s="17">
        <f t="shared" si="6"/>
        <v>0</v>
      </c>
      <c r="F348" s="17" t="str">
        <f>IF(E348=1,COUNTIF($E$1:$E348,1),"")</f>
        <v/>
      </c>
      <c r="G348" s="7" t="str">
        <f>IFERROR(INDEX($D$1:$D$499,MATCH(ROWS($F$1:$F348),$F$1:$F$499,0)),"")</f>
        <v/>
      </c>
    </row>
    <row r="349" spans="5:7">
      <c r="E349" s="17">
        <f t="shared" si="6"/>
        <v>0</v>
      </c>
      <c r="F349" s="17" t="str">
        <f>IF(E349=1,COUNTIF($E$1:$E349,1),"")</f>
        <v/>
      </c>
      <c r="G349" s="7" t="str">
        <f>IFERROR(INDEX($D$1:$D$499,MATCH(ROWS($F$1:$F349),$F$1:$F$499,0)),"")</f>
        <v/>
      </c>
    </row>
    <row r="350" spans="5:7">
      <c r="E350" s="17">
        <f t="shared" si="6"/>
        <v>0</v>
      </c>
      <c r="F350" s="17" t="str">
        <f>IF(E350=1,COUNTIF($E$1:$E350,1),"")</f>
        <v/>
      </c>
      <c r="G350" s="7" t="str">
        <f>IFERROR(INDEX($D$1:$D$499,MATCH(ROWS($F$1:$F350),$F$1:$F$499,0)),"")</f>
        <v/>
      </c>
    </row>
    <row r="351" spans="5:7">
      <c r="E351" s="17">
        <f t="shared" si="6"/>
        <v>0</v>
      </c>
      <c r="F351" s="17" t="str">
        <f>IF(E351=1,COUNTIF($E$1:$E351,1),"")</f>
        <v/>
      </c>
      <c r="G351" s="7" t="str">
        <f>IFERROR(INDEX($D$1:$D$499,MATCH(ROWS($F$1:$F351),$F$1:$F$499,0)),"")</f>
        <v/>
      </c>
    </row>
    <row r="352" spans="5:7">
      <c r="E352" s="17">
        <f t="shared" si="6"/>
        <v>0</v>
      </c>
      <c r="F352" s="17" t="str">
        <f>IF(E352=1,COUNTIF($E$1:$E352,1),"")</f>
        <v/>
      </c>
      <c r="G352" s="7" t="str">
        <f>IFERROR(INDEX($D$1:$D$499,MATCH(ROWS($F$1:$F352),$F$1:$F$499,0)),"")</f>
        <v/>
      </c>
    </row>
    <row r="353" spans="5:7">
      <c r="E353" s="17">
        <f t="shared" si="6"/>
        <v>0</v>
      </c>
      <c r="F353" s="17" t="str">
        <f>IF(E353=1,COUNTIF($E$1:$E353,1),"")</f>
        <v/>
      </c>
      <c r="G353" s="7" t="str">
        <f>IFERROR(INDEX($D$1:$D$499,MATCH(ROWS($F$1:$F353),$F$1:$F$499,0)),"")</f>
        <v/>
      </c>
    </row>
    <row r="354" spans="5:7">
      <c r="E354" s="17">
        <f t="shared" si="6"/>
        <v>0</v>
      </c>
      <c r="F354" s="17" t="str">
        <f>IF(E354=1,COUNTIF($E$1:$E354,1),"")</f>
        <v/>
      </c>
      <c r="G354" s="7" t="str">
        <f>IFERROR(INDEX($D$1:$D$499,MATCH(ROWS($F$1:$F354),$F$1:$F$499,0)),"")</f>
        <v/>
      </c>
    </row>
    <row r="355" spans="5:7">
      <c r="E355" s="17">
        <f t="shared" si="6"/>
        <v>0</v>
      </c>
      <c r="F355" s="17" t="str">
        <f>IF(E355=1,COUNTIF($E$1:$E355,1),"")</f>
        <v/>
      </c>
      <c r="G355" s="7" t="str">
        <f>IFERROR(INDEX($D$1:$D$499,MATCH(ROWS($F$1:$F355),$F$1:$F$499,0)),"")</f>
        <v/>
      </c>
    </row>
    <row r="356" spans="5:7">
      <c r="E356" s="17">
        <f t="shared" si="6"/>
        <v>0</v>
      </c>
      <c r="F356" s="17" t="str">
        <f>IF(E356=1,COUNTIF($E$1:$E356,1),"")</f>
        <v/>
      </c>
      <c r="G356" s="7" t="str">
        <f>IFERROR(INDEX($D$1:$D$499,MATCH(ROWS($F$1:$F356),$F$1:$F$499,0)),"")</f>
        <v/>
      </c>
    </row>
    <row r="357" spans="5:7">
      <c r="E357" s="17">
        <f t="shared" si="6"/>
        <v>0</v>
      </c>
      <c r="F357" s="17" t="str">
        <f>IF(E357=1,COUNTIF($E$1:$E357,1),"")</f>
        <v/>
      </c>
      <c r="G357" s="7" t="str">
        <f>IFERROR(INDEX($D$1:$D$499,MATCH(ROWS($F$1:$F357),$F$1:$F$499,0)),"")</f>
        <v/>
      </c>
    </row>
    <row r="358" spans="5:7">
      <c r="E358" s="17">
        <f t="shared" si="6"/>
        <v>0</v>
      </c>
      <c r="F358" s="17" t="str">
        <f>IF(E358=1,COUNTIF($E$1:$E358,1),"")</f>
        <v/>
      </c>
      <c r="G358" s="7" t="str">
        <f>IFERROR(INDEX($D$1:$D$499,MATCH(ROWS($F$1:$F358),$F$1:$F$499,0)),"")</f>
        <v/>
      </c>
    </row>
    <row r="359" spans="5:7">
      <c r="E359" s="17">
        <f t="shared" si="6"/>
        <v>0</v>
      </c>
      <c r="F359" s="17" t="str">
        <f>IF(E359=1,COUNTIF($E$1:$E359,1),"")</f>
        <v/>
      </c>
      <c r="G359" s="7" t="str">
        <f>IFERROR(INDEX($D$1:$D$499,MATCH(ROWS($F$1:$F359),$F$1:$F$499,0)),"")</f>
        <v/>
      </c>
    </row>
    <row r="360" spans="5:7">
      <c r="E360" s="17">
        <f t="shared" si="6"/>
        <v>0</v>
      </c>
      <c r="F360" s="17" t="str">
        <f>IF(E360=1,COUNTIF($E$1:$E360,1),"")</f>
        <v/>
      </c>
      <c r="G360" s="7" t="str">
        <f>IFERROR(INDEX($D$1:$D$499,MATCH(ROWS($F$1:$F360),$F$1:$F$499,0)),"")</f>
        <v/>
      </c>
    </row>
    <row r="361" spans="5:7">
      <c r="E361" s="17">
        <f t="shared" si="6"/>
        <v>0</v>
      </c>
      <c r="F361" s="17" t="str">
        <f>IF(E361=1,COUNTIF($E$1:$E361,1),"")</f>
        <v/>
      </c>
      <c r="G361" s="7" t="str">
        <f>IFERROR(INDEX($D$1:$D$499,MATCH(ROWS($F$1:$F361),$F$1:$F$499,0)),"")</f>
        <v/>
      </c>
    </row>
    <row r="362" spans="5:7">
      <c r="E362" s="17">
        <f t="shared" si="6"/>
        <v>0</v>
      </c>
      <c r="F362" s="17" t="str">
        <f>IF(E362=1,COUNTIF($E$1:$E362,1),"")</f>
        <v/>
      </c>
      <c r="G362" s="7" t="str">
        <f>IFERROR(INDEX($D$1:$D$499,MATCH(ROWS($F$1:$F362),$F$1:$F$499,0)),"")</f>
        <v/>
      </c>
    </row>
    <row r="363" spans="5:7">
      <c r="E363" s="17">
        <f t="shared" si="6"/>
        <v>0</v>
      </c>
      <c r="F363" s="17" t="str">
        <f>IF(E363=1,COUNTIF($E$1:$E363,1),"")</f>
        <v/>
      </c>
      <c r="G363" s="7" t="str">
        <f>IFERROR(INDEX($D$1:$D$499,MATCH(ROWS($F$1:$F363),$F$1:$F$499,0)),"")</f>
        <v/>
      </c>
    </row>
    <row r="364" spans="5:7">
      <c r="E364" s="17">
        <f t="shared" si="6"/>
        <v>0</v>
      </c>
      <c r="F364" s="17" t="str">
        <f>IF(E364=1,COUNTIF($E$1:$E364,1),"")</f>
        <v/>
      </c>
      <c r="G364" s="7" t="str">
        <f>IFERROR(INDEX($D$1:$D$499,MATCH(ROWS($F$1:$F364),$F$1:$F$499,0)),"")</f>
        <v/>
      </c>
    </row>
    <row r="365" spans="5:7">
      <c r="E365" s="17">
        <f t="shared" si="6"/>
        <v>0</v>
      </c>
      <c r="F365" s="17" t="str">
        <f>IF(E365=1,COUNTIF($E$1:$E365,1),"")</f>
        <v/>
      </c>
      <c r="G365" s="7" t="str">
        <f>IFERROR(INDEX($D$1:$D$499,MATCH(ROWS($F$1:$F365),$F$1:$F$499,0)),"")</f>
        <v/>
      </c>
    </row>
    <row r="366" spans="5:7">
      <c r="E366" s="17">
        <f t="shared" si="6"/>
        <v>0</v>
      </c>
      <c r="F366" s="17" t="str">
        <f>IF(E366=1,COUNTIF($E$1:$E366,1),"")</f>
        <v/>
      </c>
      <c r="G366" s="7" t="str">
        <f>IFERROR(INDEX($D$1:$D$499,MATCH(ROWS($F$1:$F366),$F$1:$F$499,0)),"")</f>
        <v/>
      </c>
    </row>
    <row r="367" spans="5:7">
      <c r="E367" s="17">
        <f t="shared" si="6"/>
        <v>0</v>
      </c>
      <c r="F367" s="17" t="str">
        <f>IF(E367=1,COUNTIF($E$1:$E367,1),"")</f>
        <v/>
      </c>
      <c r="G367" s="7" t="str">
        <f>IFERROR(INDEX($D$1:$D$499,MATCH(ROWS($F$1:$F367),$F$1:$F$499,0)),"")</f>
        <v/>
      </c>
    </row>
    <row r="368" spans="5:7">
      <c r="E368" s="17">
        <f t="shared" si="6"/>
        <v>0</v>
      </c>
      <c r="F368" s="17" t="str">
        <f>IF(E368=1,COUNTIF($E$1:$E368,1),"")</f>
        <v/>
      </c>
      <c r="G368" s="7" t="str">
        <f>IFERROR(INDEX($D$1:$D$499,MATCH(ROWS($F$1:$F368),$F$1:$F$499,0)),"")</f>
        <v/>
      </c>
    </row>
    <row r="369" spans="5:7">
      <c r="E369" s="17">
        <f t="shared" si="6"/>
        <v>0</v>
      </c>
      <c r="F369" s="17" t="str">
        <f>IF(E369=1,COUNTIF($E$1:$E369,1),"")</f>
        <v/>
      </c>
      <c r="G369" s="7" t="str">
        <f>IFERROR(INDEX($D$1:$D$499,MATCH(ROWS($F$1:$F369),$F$1:$F$499,0)),"")</f>
        <v/>
      </c>
    </row>
    <row r="370" spans="5:7">
      <c r="E370" s="17">
        <f t="shared" si="6"/>
        <v>0</v>
      </c>
      <c r="F370" s="17" t="str">
        <f>IF(E370=1,COUNTIF($E$1:$E370,1),"")</f>
        <v/>
      </c>
      <c r="G370" s="7" t="str">
        <f>IFERROR(INDEX($D$1:$D$499,MATCH(ROWS($F$1:$F370),$F$1:$F$499,0)),"")</f>
        <v/>
      </c>
    </row>
    <row r="371" spans="5:7">
      <c r="E371" s="17">
        <f t="shared" si="6"/>
        <v>0</v>
      </c>
      <c r="F371" s="17" t="str">
        <f>IF(E371=1,COUNTIF($E$1:$E371,1),"")</f>
        <v/>
      </c>
      <c r="G371" s="7" t="str">
        <f>IFERROR(INDEX($D$1:$D$499,MATCH(ROWS($F$1:$F371),$F$1:$F$499,0)),"")</f>
        <v/>
      </c>
    </row>
    <row r="372" spans="5:7">
      <c r="E372" s="17">
        <f t="shared" si="6"/>
        <v>0</v>
      </c>
      <c r="F372" s="17" t="str">
        <f>IF(E372=1,COUNTIF($E$1:$E372,1),"")</f>
        <v/>
      </c>
      <c r="G372" s="7" t="str">
        <f>IFERROR(INDEX($D$1:$D$499,MATCH(ROWS($F$1:$F372),$F$1:$F$499,0)),"")</f>
        <v/>
      </c>
    </row>
    <row r="373" spans="5:7">
      <c r="E373" s="17">
        <f t="shared" si="6"/>
        <v>0</v>
      </c>
      <c r="F373" s="17" t="str">
        <f>IF(E373=1,COUNTIF($E$1:$E373,1),"")</f>
        <v/>
      </c>
      <c r="G373" s="7" t="str">
        <f>IFERROR(INDEX($D$1:$D$499,MATCH(ROWS($F$1:$F373),$F$1:$F$499,0)),"")</f>
        <v/>
      </c>
    </row>
    <row r="374" spans="5:7">
      <c r="E374" s="17">
        <f t="shared" si="6"/>
        <v>0</v>
      </c>
      <c r="F374" s="17" t="str">
        <f>IF(E374=1,COUNTIF($E$1:$E374,1),"")</f>
        <v/>
      </c>
      <c r="G374" s="7" t="str">
        <f>IFERROR(INDEX($D$1:$D$499,MATCH(ROWS($F$1:$F374),$F$1:$F$499,0)),"")</f>
        <v/>
      </c>
    </row>
    <row r="375" spans="5:7">
      <c r="E375" s="17">
        <f t="shared" si="6"/>
        <v>0</v>
      </c>
      <c r="F375" s="17" t="str">
        <f>IF(E375=1,COUNTIF($E$1:$E375,1),"")</f>
        <v/>
      </c>
      <c r="G375" s="7" t="str">
        <f>IFERROR(INDEX($D$1:$D$499,MATCH(ROWS($F$1:$F375),$F$1:$F$499,0)),"")</f>
        <v/>
      </c>
    </row>
    <row r="376" spans="5:7">
      <c r="E376" s="17">
        <f t="shared" si="6"/>
        <v>0</v>
      </c>
      <c r="F376" s="17" t="str">
        <f>IF(E376=1,COUNTIF($E$1:$E376,1),"")</f>
        <v/>
      </c>
      <c r="G376" s="7" t="str">
        <f>IFERROR(INDEX($D$1:$D$499,MATCH(ROWS($F$1:$F376),$F$1:$F$499,0)),"")</f>
        <v/>
      </c>
    </row>
    <row r="377" spans="5:7">
      <c r="E377" s="17">
        <f t="shared" si="6"/>
        <v>0</v>
      </c>
      <c r="F377" s="17" t="str">
        <f>IF(E377=1,COUNTIF($E$1:$E377,1),"")</f>
        <v/>
      </c>
      <c r="G377" s="7" t="str">
        <f>IFERROR(INDEX($D$1:$D$499,MATCH(ROWS($F$1:$F377),$F$1:$F$499,0)),"")</f>
        <v/>
      </c>
    </row>
    <row r="378" spans="5:7">
      <c r="E378" s="17">
        <f t="shared" si="6"/>
        <v>0</v>
      </c>
      <c r="F378" s="17" t="str">
        <f>IF(E378=1,COUNTIF($E$1:$E378,1),"")</f>
        <v/>
      </c>
      <c r="G378" s="7" t="str">
        <f>IFERROR(INDEX($D$1:$D$499,MATCH(ROWS($F$1:$F378),$F$1:$F$499,0)),"")</f>
        <v/>
      </c>
    </row>
    <row r="379" spans="5:7">
      <c r="E379" s="17">
        <f t="shared" si="6"/>
        <v>0</v>
      </c>
      <c r="F379" s="17" t="str">
        <f>IF(E379=1,COUNTIF($E$1:$E379,1),"")</f>
        <v/>
      </c>
      <c r="G379" s="7" t="str">
        <f>IFERROR(INDEX($D$1:$D$499,MATCH(ROWS($F$1:$F379),$F$1:$F$499,0)),"")</f>
        <v/>
      </c>
    </row>
    <row r="380" spans="5:7">
      <c r="E380" s="17">
        <f t="shared" si="6"/>
        <v>0</v>
      </c>
      <c r="F380" s="17" t="str">
        <f>IF(E380=1,COUNTIF($E$1:$E380,1),"")</f>
        <v/>
      </c>
      <c r="G380" s="7" t="str">
        <f>IFERROR(INDEX($D$1:$D$499,MATCH(ROWS($F$1:$F380),$F$1:$F$499,0)),"")</f>
        <v/>
      </c>
    </row>
    <row r="381" spans="5:7">
      <c r="E381" s="17">
        <f t="shared" si="6"/>
        <v>0</v>
      </c>
      <c r="F381" s="17" t="str">
        <f>IF(E381=1,COUNTIF($E$1:$E381,1),"")</f>
        <v/>
      </c>
      <c r="G381" s="7" t="str">
        <f>IFERROR(INDEX($D$1:$D$499,MATCH(ROWS($F$1:$F381),$F$1:$F$499,0)),"")</f>
        <v/>
      </c>
    </row>
    <row r="382" spans="5:7">
      <c r="E382" s="17">
        <f t="shared" si="6"/>
        <v>0</v>
      </c>
      <c r="F382" s="17" t="str">
        <f>IF(E382=1,COUNTIF($E$1:$E382,1),"")</f>
        <v/>
      </c>
      <c r="G382" s="7" t="str">
        <f>IFERROR(INDEX($D$1:$D$499,MATCH(ROWS($F$1:$F382),$F$1:$F$499,0)),"")</f>
        <v/>
      </c>
    </row>
    <row r="383" spans="5:7">
      <c r="E383" s="17">
        <f t="shared" si="6"/>
        <v>0</v>
      </c>
      <c r="F383" s="17" t="str">
        <f>IF(E383=1,COUNTIF($E$1:$E383,1),"")</f>
        <v/>
      </c>
      <c r="G383" s="7" t="str">
        <f>IFERROR(INDEX($D$1:$D$499,MATCH(ROWS($F$1:$F383),$F$1:$F$499,0)),"")</f>
        <v/>
      </c>
    </row>
    <row r="384" spans="5:7">
      <c r="E384" s="17">
        <f t="shared" si="6"/>
        <v>0</v>
      </c>
      <c r="F384" s="17" t="str">
        <f>IF(E384=1,COUNTIF($E$1:$E384,1),"")</f>
        <v/>
      </c>
      <c r="G384" s="7" t="str">
        <f>IFERROR(INDEX($D$1:$D$499,MATCH(ROWS($F$1:$F384),$F$1:$F$499,0)),"")</f>
        <v/>
      </c>
    </row>
    <row r="385" spans="5:7">
      <c r="E385" s="17">
        <f t="shared" ref="E385:E448" si="7">--ISNUMBER(SEARCH($B$1,D385))</f>
        <v>0</v>
      </c>
      <c r="F385" s="17" t="str">
        <f>IF(E385=1,COUNTIF($E$1:$E385,1),"")</f>
        <v/>
      </c>
      <c r="G385" s="7" t="str">
        <f>IFERROR(INDEX($D$1:$D$499,MATCH(ROWS($F$1:$F385),$F$1:$F$499,0)),"")</f>
        <v/>
      </c>
    </row>
    <row r="386" spans="5:7">
      <c r="E386" s="17">
        <f t="shared" si="7"/>
        <v>0</v>
      </c>
      <c r="F386" s="17" t="str">
        <f>IF(E386=1,COUNTIF($E$1:$E386,1),"")</f>
        <v/>
      </c>
      <c r="G386" s="7" t="str">
        <f>IFERROR(INDEX($D$1:$D$499,MATCH(ROWS($F$1:$F386),$F$1:$F$499,0)),"")</f>
        <v/>
      </c>
    </row>
    <row r="387" spans="5:7">
      <c r="E387" s="17">
        <f t="shared" si="7"/>
        <v>0</v>
      </c>
      <c r="F387" s="17" t="str">
        <f>IF(E387=1,COUNTIF($E$1:$E387,1),"")</f>
        <v/>
      </c>
      <c r="G387" s="7" t="str">
        <f>IFERROR(INDEX($D$1:$D$499,MATCH(ROWS($F$1:$F387),$F$1:$F$499,0)),"")</f>
        <v/>
      </c>
    </row>
    <row r="388" spans="5:7">
      <c r="E388" s="17">
        <f t="shared" si="7"/>
        <v>0</v>
      </c>
      <c r="F388" s="17" t="str">
        <f>IF(E388=1,COUNTIF($E$1:$E388,1),"")</f>
        <v/>
      </c>
      <c r="G388" s="7" t="str">
        <f>IFERROR(INDEX($D$1:$D$499,MATCH(ROWS($F$1:$F388),$F$1:$F$499,0)),"")</f>
        <v/>
      </c>
    </row>
    <row r="389" spans="5:7">
      <c r="E389" s="17">
        <f t="shared" si="7"/>
        <v>0</v>
      </c>
      <c r="F389" s="17" t="str">
        <f>IF(E389=1,COUNTIF($E$1:$E389,1),"")</f>
        <v/>
      </c>
      <c r="G389" s="7" t="str">
        <f>IFERROR(INDEX($D$1:$D$499,MATCH(ROWS($F$1:$F389),$F$1:$F$499,0)),"")</f>
        <v/>
      </c>
    </row>
    <row r="390" spans="5:7">
      <c r="E390" s="17">
        <f t="shared" si="7"/>
        <v>0</v>
      </c>
      <c r="F390" s="17" t="str">
        <f>IF(E390=1,COUNTIF($E$1:$E390,1),"")</f>
        <v/>
      </c>
      <c r="G390" s="7" t="str">
        <f>IFERROR(INDEX($D$1:$D$499,MATCH(ROWS($F$1:$F390),$F$1:$F$499,0)),"")</f>
        <v/>
      </c>
    </row>
    <row r="391" spans="5:7">
      <c r="E391" s="17">
        <f t="shared" si="7"/>
        <v>0</v>
      </c>
      <c r="F391" s="17" t="str">
        <f>IF(E391=1,COUNTIF($E$1:$E391,1),"")</f>
        <v/>
      </c>
      <c r="G391" s="7" t="str">
        <f>IFERROR(INDEX($D$1:$D$499,MATCH(ROWS($F$1:$F391),$F$1:$F$499,0)),"")</f>
        <v/>
      </c>
    </row>
    <row r="392" spans="5:7">
      <c r="E392" s="17">
        <f t="shared" si="7"/>
        <v>0</v>
      </c>
      <c r="F392" s="17" t="str">
        <f>IF(E392=1,COUNTIF($E$1:$E392,1),"")</f>
        <v/>
      </c>
      <c r="G392" s="7" t="str">
        <f>IFERROR(INDEX($D$1:$D$499,MATCH(ROWS($F$1:$F392),$F$1:$F$499,0)),"")</f>
        <v/>
      </c>
    </row>
    <row r="393" spans="5:7">
      <c r="E393" s="17">
        <f t="shared" si="7"/>
        <v>0</v>
      </c>
      <c r="F393" s="17" t="str">
        <f>IF(E393=1,COUNTIF($E$1:$E393,1),"")</f>
        <v/>
      </c>
      <c r="G393" s="7" t="str">
        <f>IFERROR(INDEX($D$1:$D$499,MATCH(ROWS($F$1:$F393),$F$1:$F$499,0)),"")</f>
        <v/>
      </c>
    </row>
    <row r="394" spans="5:7">
      <c r="E394" s="17">
        <f t="shared" si="7"/>
        <v>0</v>
      </c>
      <c r="F394" s="17" t="str">
        <f>IF(E394=1,COUNTIF($E$1:$E394,1),"")</f>
        <v/>
      </c>
      <c r="G394" s="7" t="str">
        <f>IFERROR(INDEX($D$1:$D$499,MATCH(ROWS($F$1:$F394),$F$1:$F$499,0)),"")</f>
        <v/>
      </c>
    </row>
    <row r="395" spans="5:7">
      <c r="E395" s="17">
        <f t="shared" si="7"/>
        <v>0</v>
      </c>
      <c r="F395" s="17" t="str">
        <f>IF(E395=1,COUNTIF($E$1:$E395,1),"")</f>
        <v/>
      </c>
      <c r="G395" s="7" t="str">
        <f>IFERROR(INDEX($D$1:$D$499,MATCH(ROWS($F$1:$F395),$F$1:$F$499,0)),"")</f>
        <v/>
      </c>
    </row>
    <row r="396" spans="5:7">
      <c r="E396" s="17">
        <f t="shared" si="7"/>
        <v>0</v>
      </c>
      <c r="F396" s="17" t="str">
        <f>IF(E396=1,COUNTIF($E$1:$E396,1),"")</f>
        <v/>
      </c>
      <c r="G396" s="7" t="str">
        <f>IFERROR(INDEX($D$1:$D$499,MATCH(ROWS($F$1:$F396),$F$1:$F$499,0)),"")</f>
        <v/>
      </c>
    </row>
    <row r="397" spans="5:7">
      <c r="E397" s="17">
        <f t="shared" si="7"/>
        <v>0</v>
      </c>
      <c r="F397" s="17" t="str">
        <f>IF(E397=1,COUNTIF($E$1:$E397,1),"")</f>
        <v/>
      </c>
      <c r="G397" s="7" t="str">
        <f>IFERROR(INDEX($D$1:$D$499,MATCH(ROWS($F$1:$F397),$F$1:$F$499,0)),"")</f>
        <v/>
      </c>
    </row>
    <row r="398" spans="5:7">
      <c r="E398" s="17">
        <f t="shared" si="7"/>
        <v>0</v>
      </c>
      <c r="F398" s="17" t="str">
        <f>IF(E398=1,COUNTIF($E$1:$E398,1),"")</f>
        <v/>
      </c>
      <c r="G398" s="7" t="str">
        <f>IFERROR(INDEX($D$1:$D$499,MATCH(ROWS($F$1:$F398),$F$1:$F$499,0)),"")</f>
        <v/>
      </c>
    </row>
    <row r="399" spans="5:7">
      <c r="E399" s="17">
        <f t="shared" si="7"/>
        <v>0</v>
      </c>
      <c r="F399" s="17" t="str">
        <f>IF(E399=1,COUNTIF($E$1:$E399,1),"")</f>
        <v/>
      </c>
      <c r="G399" s="7" t="str">
        <f>IFERROR(INDEX($D$1:$D$499,MATCH(ROWS($F$1:$F399),$F$1:$F$499,0)),"")</f>
        <v/>
      </c>
    </row>
    <row r="400" spans="5:7">
      <c r="E400" s="17">
        <f t="shared" si="7"/>
        <v>0</v>
      </c>
      <c r="F400" s="17" t="str">
        <f>IF(E400=1,COUNTIF($E$1:$E400,1),"")</f>
        <v/>
      </c>
      <c r="G400" s="7" t="str">
        <f>IFERROR(INDEX($D$1:$D$499,MATCH(ROWS($F$1:$F400),$F$1:$F$499,0)),"")</f>
        <v/>
      </c>
    </row>
    <row r="401" spans="5:7">
      <c r="E401" s="17">
        <f t="shared" si="7"/>
        <v>0</v>
      </c>
      <c r="F401" s="17" t="str">
        <f>IF(E401=1,COUNTIF($E$1:$E401,1),"")</f>
        <v/>
      </c>
      <c r="G401" s="7" t="str">
        <f>IFERROR(INDEX($D$1:$D$499,MATCH(ROWS($F$1:$F401),$F$1:$F$499,0)),"")</f>
        <v/>
      </c>
    </row>
    <row r="402" spans="5:7">
      <c r="E402" s="17">
        <f t="shared" si="7"/>
        <v>0</v>
      </c>
      <c r="F402" s="17" t="str">
        <f>IF(E402=1,COUNTIF($E$1:$E402,1),"")</f>
        <v/>
      </c>
      <c r="G402" s="7" t="str">
        <f>IFERROR(INDEX($D$1:$D$499,MATCH(ROWS($F$1:$F402),$F$1:$F$499,0)),"")</f>
        <v/>
      </c>
    </row>
    <row r="403" spans="5:7">
      <c r="E403" s="17">
        <f t="shared" si="7"/>
        <v>0</v>
      </c>
      <c r="F403" s="17" t="str">
        <f>IF(E403=1,COUNTIF($E$1:$E403,1),"")</f>
        <v/>
      </c>
      <c r="G403" s="7" t="str">
        <f>IFERROR(INDEX($D$1:$D$499,MATCH(ROWS($F$1:$F403),$F$1:$F$499,0)),"")</f>
        <v/>
      </c>
    </row>
    <row r="404" spans="5:7">
      <c r="E404" s="17">
        <f t="shared" si="7"/>
        <v>0</v>
      </c>
      <c r="F404" s="17" t="str">
        <f>IF(E404=1,COUNTIF($E$1:$E404,1),"")</f>
        <v/>
      </c>
      <c r="G404" s="7" t="str">
        <f>IFERROR(INDEX($D$1:$D$499,MATCH(ROWS($F$1:$F404),$F$1:$F$499,0)),"")</f>
        <v/>
      </c>
    </row>
    <row r="405" spans="5:7">
      <c r="E405" s="17">
        <f t="shared" si="7"/>
        <v>0</v>
      </c>
      <c r="F405" s="17" t="str">
        <f>IF(E405=1,COUNTIF($E$1:$E405,1),"")</f>
        <v/>
      </c>
      <c r="G405" s="7" t="str">
        <f>IFERROR(INDEX($D$1:$D$499,MATCH(ROWS($F$1:$F405),$F$1:$F$499,0)),"")</f>
        <v/>
      </c>
    </row>
    <row r="406" spans="5:7">
      <c r="E406" s="17">
        <f t="shared" si="7"/>
        <v>0</v>
      </c>
      <c r="F406" s="17" t="str">
        <f>IF(E406=1,COUNTIF($E$1:$E406,1),"")</f>
        <v/>
      </c>
      <c r="G406" s="7" t="str">
        <f>IFERROR(INDEX($D$1:$D$499,MATCH(ROWS($F$1:$F406),$F$1:$F$499,0)),"")</f>
        <v/>
      </c>
    </row>
    <row r="407" spans="5:7">
      <c r="E407" s="17">
        <f t="shared" si="7"/>
        <v>0</v>
      </c>
      <c r="F407" s="17" t="str">
        <f>IF(E407=1,COUNTIF($E$1:$E407,1),"")</f>
        <v/>
      </c>
      <c r="G407" s="7" t="str">
        <f>IFERROR(INDEX($D$1:$D$499,MATCH(ROWS($F$1:$F407),$F$1:$F$499,0)),"")</f>
        <v/>
      </c>
    </row>
    <row r="408" spans="5:7">
      <c r="E408" s="17">
        <f t="shared" si="7"/>
        <v>0</v>
      </c>
      <c r="F408" s="17" t="str">
        <f>IF(E408=1,COUNTIF($E$1:$E408,1),"")</f>
        <v/>
      </c>
      <c r="G408" s="7" t="str">
        <f>IFERROR(INDEX($D$1:$D$499,MATCH(ROWS($F$1:$F408),$F$1:$F$499,0)),"")</f>
        <v/>
      </c>
    </row>
    <row r="409" spans="5:7">
      <c r="E409" s="17">
        <f t="shared" si="7"/>
        <v>0</v>
      </c>
      <c r="F409" s="17" t="str">
        <f>IF(E409=1,COUNTIF($E$1:$E409,1),"")</f>
        <v/>
      </c>
      <c r="G409" s="7" t="str">
        <f>IFERROR(INDEX($D$1:$D$499,MATCH(ROWS($F$1:$F409),$F$1:$F$499,0)),"")</f>
        <v/>
      </c>
    </row>
    <row r="410" spans="5:7">
      <c r="E410" s="17">
        <f t="shared" si="7"/>
        <v>0</v>
      </c>
      <c r="F410" s="17" t="str">
        <f>IF(E410=1,COUNTIF($E$1:$E410,1),"")</f>
        <v/>
      </c>
      <c r="G410" s="7" t="str">
        <f>IFERROR(INDEX($D$1:$D$499,MATCH(ROWS($F$1:$F410),$F$1:$F$499,0)),"")</f>
        <v/>
      </c>
    </row>
    <row r="411" spans="5:7">
      <c r="E411" s="17">
        <f t="shared" si="7"/>
        <v>0</v>
      </c>
      <c r="F411" s="17" t="str">
        <f>IF(E411=1,COUNTIF($E$1:$E411,1),"")</f>
        <v/>
      </c>
      <c r="G411" s="7" t="str">
        <f>IFERROR(INDEX($D$1:$D$499,MATCH(ROWS($F$1:$F411),$F$1:$F$499,0)),"")</f>
        <v/>
      </c>
    </row>
    <row r="412" spans="5:7">
      <c r="E412" s="17">
        <f t="shared" si="7"/>
        <v>0</v>
      </c>
      <c r="F412" s="17" t="str">
        <f>IF(E412=1,COUNTIF($E$1:$E412,1),"")</f>
        <v/>
      </c>
      <c r="G412" s="7" t="str">
        <f>IFERROR(INDEX($D$1:$D$499,MATCH(ROWS($F$1:$F412),$F$1:$F$499,0)),"")</f>
        <v/>
      </c>
    </row>
    <row r="413" spans="5:7">
      <c r="E413" s="17">
        <f t="shared" si="7"/>
        <v>0</v>
      </c>
      <c r="F413" s="17" t="str">
        <f>IF(E413=1,COUNTIF($E$1:$E413,1),"")</f>
        <v/>
      </c>
      <c r="G413" s="7" t="str">
        <f>IFERROR(INDEX($D$1:$D$499,MATCH(ROWS($F$1:$F413),$F$1:$F$499,0)),"")</f>
        <v/>
      </c>
    </row>
    <row r="414" spans="5:7">
      <c r="E414" s="17">
        <f t="shared" si="7"/>
        <v>0</v>
      </c>
      <c r="F414" s="17" t="str">
        <f>IF(E414=1,COUNTIF($E$1:$E414,1),"")</f>
        <v/>
      </c>
      <c r="G414" s="7" t="str">
        <f>IFERROR(INDEX($D$1:$D$499,MATCH(ROWS($F$1:$F414),$F$1:$F$499,0)),"")</f>
        <v/>
      </c>
    </row>
    <row r="415" spans="5:7">
      <c r="E415" s="17">
        <f t="shared" si="7"/>
        <v>0</v>
      </c>
      <c r="F415" s="17" t="str">
        <f>IF(E415=1,COUNTIF($E$1:$E415,1),"")</f>
        <v/>
      </c>
      <c r="G415" s="7" t="str">
        <f>IFERROR(INDEX($D$1:$D$499,MATCH(ROWS($F$1:$F415),$F$1:$F$499,0)),"")</f>
        <v/>
      </c>
    </row>
    <row r="416" spans="5:7">
      <c r="E416" s="17">
        <f t="shared" si="7"/>
        <v>0</v>
      </c>
      <c r="F416" s="17" t="str">
        <f>IF(E416=1,COUNTIF($E$1:$E416,1),"")</f>
        <v/>
      </c>
      <c r="G416" s="7" t="str">
        <f>IFERROR(INDEX($D$1:$D$499,MATCH(ROWS($F$1:$F416),$F$1:$F$499,0)),"")</f>
        <v/>
      </c>
    </row>
    <row r="417" spans="5:7">
      <c r="E417" s="17">
        <f t="shared" si="7"/>
        <v>0</v>
      </c>
      <c r="F417" s="17" t="str">
        <f>IF(E417=1,COUNTIF($E$1:$E417,1),"")</f>
        <v/>
      </c>
      <c r="G417" s="7" t="str">
        <f>IFERROR(INDEX($D$1:$D$499,MATCH(ROWS($F$1:$F417),$F$1:$F$499,0)),"")</f>
        <v/>
      </c>
    </row>
    <row r="418" spans="5:7">
      <c r="E418" s="17">
        <f t="shared" si="7"/>
        <v>0</v>
      </c>
      <c r="F418" s="17" t="str">
        <f>IF(E418=1,COUNTIF($E$1:$E418,1),"")</f>
        <v/>
      </c>
      <c r="G418" s="7" t="str">
        <f>IFERROR(INDEX($D$1:$D$499,MATCH(ROWS($F$1:$F418),$F$1:$F$499,0)),"")</f>
        <v/>
      </c>
    </row>
    <row r="419" spans="5:7">
      <c r="E419" s="17">
        <f t="shared" si="7"/>
        <v>0</v>
      </c>
      <c r="F419" s="17" t="str">
        <f>IF(E419=1,COUNTIF($E$1:$E419,1),"")</f>
        <v/>
      </c>
      <c r="G419" s="7" t="str">
        <f>IFERROR(INDEX($D$1:$D$499,MATCH(ROWS($F$1:$F419),$F$1:$F$499,0)),"")</f>
        <v/>
      </c>
    </row>
    <row r="420" spans="5:7">
      <c r="E420" s="17">
        <f t="shared" si="7"/>
        <v>0</v>
      </c>
      <c r="F420" s="17" t="str">
        <f>IF(E420=1,COUNTIF($E$1:$E420,1),"")</f>
        <v/>
      </c>
      <c r="G420" s="7" t="str">
        <f>IFERROR(INDEX($D$1:$D$499,MATCH(ROWS($F$1:$F420),$F$1:$F$499,0)),"")</f>
        <v/>
      </c>
    </row>
    <row r="421" spans="5:7">
      <c r="E421" s="17">
        <f t="shared" si="7"/>
        <v>0</v>
      </c>
      <c r="F421" s="17" t="str">
        <f>IF(E421=1,COUNTIF($E$1:$E421,1),"")</f>
        <v/>
      </c>
      <c r="G421" s="7" t="str">
        <f>IFERROR(INDEX($D$1:$D$499,MATCH(ROWS($F$1:$F421),$F$1:$F$499,0)),"")</f>
        <v/>
      </c>
    </row>
    <row r="422" spans="5:7">
      <c r="E422" s="17">
        <f t="shared" si="7"/>
        <v>0</v>
      </c>
      <c r="F422" s="17" t="str">
        <f>IF(E422=1,COUNTIF($E$1:$E422,1),"")</f>
        <v/>
      </c>
      <c r="G422" s="7" t="str">
        <f>IFERROR(INDEX($D$1:$D$499,MATCH(ROWS($F$1:$F422),$F$1:$F$499,0)),"")</f>
        <v/>
      </c>
    </row>
    <row r="423" spans="5:7">
      <c r="E423" s="17">
        <f t="shared" si="7"/>
        <v>0</v>
      </c>
      <c r="F423" s="17" t="str">
        <f>IF(E423=1,COUNTIF($E$1:$E423,1),"")</f>
        <v/>
      </c>
      <c r="G423" s="7" t="str">
        <f>IFERROR(INDEX($D$1:$D$499,MATCH(ROWS($F$1:$F423),$F$1:$F$499,0)),"")</f>
        <v/>
      </c>
    </row>
    <row r="424" spans="5:7">
      <c r="E424" s="17">
        <f t="shared" si="7"/>
        <v>0</v>
      </c>
      <c r="F424" s="17" t="str">
        <f>IF(E424=1,COUNTIF($E$1:$E424,1),"")</f>
        <v/>
      </c>
      <c r="G424" s="7" t="str">
        <f>IFERROR(INDEX($D$1:$D$499,MATCH(ROWS($F$1:$F424),$F$1:$F$499,0)),"")</f>
        <v/>
      </c>
    </row>
    <row r="425" spans="5:7">
      <c r="E425" s="17">
        <f t="shared" si="7"/>
        <v>0</v>
      </c>
      <c r="F425" s="17" t="str">
        <f>IF(E425=1,COUNTIF($E$1:$E425,1),"")</f>
        <v/>
      </c>
      <c r="G425" s="7" t="str">
        <f>IFERROR(INDEX($D$1:$D$499,MATCH(ROWS($F$1:$F425),$F$1:$F$499,0)),"")</f>
        <v/>
      </c>
    </row>
    <row r="426" spans="5:7">
      <c r="E426" s="17">
        <f t="shared" si="7"/>
        <v>0</v>
      </c>
      <c r="F426" s="17" t="str">
        <f>IF(E426=1,COUNTIF($E$1:$E426,1),"")</f>
        <v/>
      </c>
      <c r="G426" s="7" t="str">
        <f>IFERROR(INDEX($D$1:$D$499,MATCH(ROWS($F$1:$F426),$F$1:$F$499,0)),"")</f>
        <v/>
      </c>
    </row>
    <row r="427" spans="5:7">
      <c r="E427" s="17">
        <f t="shared" si="7"/>
        <v>0</v>
      </c>
      <c r="F427" s="17" t="str">
        <f>IF(E427=1,COUNTIF($E$1:$E427,1),"")</f>
        <v/>
      </c>
      <c r="G427" s="7" t="str">
        <f>IFERROR(INDEX($D$1:$D$499,MATCH(ROWS($F$1:$F427),$F$1:$F$499,0)),"")</f>
        <v/>
      </c>
    </row>
    <row r="428" spans="5:7">
      <c r="E428" s="17">
        <f t="shared" si="7"/>
        <v>0</v>
      </c>
      <c r="F428" s="17" t="str">
        <f>IF(E428=1,COUNTIF($E$1:$E428,1),"")</f>
        <v/>
      </c>
      <c r="G428" s="7" t="str">
        <f>IFERROR(INDEX($D$1:$D$499,MATCH(ROWS($F$1:$F428),$F$1:$F$499,0)),"")</f>
        <v/>
      </c>
    </row>
    <row r="429" spans="5:7">
      <c r="E429" s="17">
        <f t="shared" si="7"/>
        <v>0</v>
      </c>
      <c r="F429" s="17" t="str">
        <f>IF(E429=1,COUNTIF($E$1:$E429,1),"")</f>
        <v/>
      </c>
      <c r="G429" s="7" t="str">
        <f>IFERROR(INDEX($D$1:$D$499,MATCH(ROWS($F$1:$F429),$F$1:$F$499,0)),"")</f>
        <v/>
      </c>
    </row>
    <row r="430" spans="5:7">
      <c r="E430" s="17">
        <f t="shared" si="7"/>
        <v>0</v>
      </c>
      <c r="F430" s="17" t="str">
        <f>IF(E430=1,COUNTIF($E$1:$E430,1),"")</f>
        <v/>
      </c>
      <c r="G430" s="7" t="str">
        <f>IFERROR(INDEX($D$1:$D$499,MATCH(ROWS($F$1:$F430),$F$1:$F$499,0)),"")</f>
        <v/>
      </c>
    </row>
    <row r="431" spans="5:7">
      <c r="E431" s="17">
        <f t="shared" si="7"/>
        <v>0</v>
      </c>
      <c r="F431" s="17" t="str">
        <f>IF(E431=1,COUNTIF($E$1:$E431,1),"")</f>
        <v/>
      </c>
      <c r="G431" s="7" t="str">
        <f>IFERROR(INDEX($D$1:$D$499,MATCH(ROWS($F$1:$F431),$F$1:$F$499,0)),"")</f>
        <v/>
      </c>
    </row>
    <row r="432" spans="5:7">
      <c r="E432" s="17">
        <f t="shared" si="7"/>
        <v>0</v>
      </c>
      <c r="F432" s="17" t="str">
        <f>IF(E432=1,COUNTIF($E$1:$E432,1),"")</f>
        <v/>
      </c>
      <c r="G432" s="7" t="str">
        <f>IFERROR(INDEX($D$1:$D$499,MATCH(ROWS($F$1:$F432),$F$1:$F$499,0)),"")</f>
        <v/>
      </c>
    </row>
    <row r="433" spans="5:7">
      <c r="E433" s="17">
        <f t="shared" si="7"/>
        <v>0</v>
      </c>
      <c r="F433" s="17" t="str">
        <f>IF(E433=1,COUNTIF($E$1:$E433,1),"")</f>
        <v/>
      </c>
      <c r="G433" s="7" t="str">
        <f>IFERROR(INDEX($D$1:$D$499,MATCH(ROWS($F$1:$F433),$F$1:$F$499,0)),"")</f>
        <v/>
      </c>
    </row>
    <row r="434" spans="5:7">
      <c r="E434" s="17">
        <f t="shared" si="7"/>
        <v>0</v>
      </c>
      <c r="F434" s="17" t="str">
        <f>IF(E434=1,COUNTIF($E$1:$E434,1),"")</f>
        <v/>
      </c>
      <c r="G434" s="7" t="str">
        <f>IFERROR(INDEX($D$1:$D$499,MATCH(ROWS($F$1:$F434),$F$1:$F$499,0)),"")</f>
        <v/>
      </c>
    </row>
    <row r="435" spans="5:7">
      <c r="E435" s="17">
        <f t="shared" si="7"/>
        <v>0</v>
      </c>
      <c r="F435" s="17" t="str">
        <f>IF(E435=1,COUNTIF($E$1:$E435,1),"")</f>
        <v/>
      </c>
      <c r="G435" s="7" t="str">
        <f>IFERROR(INDEX($D$1:$D$499,MATCH(ROWS($F$1:$F435),$F$1:$F$499,0)),"")</f>
        <v/>
      </c>
    </row>
    <row r="436" spans="5:7">
      <c r="E436" s="17">
        <f t="shared" si="7"/>
        <v>0</v>
      </c>
      <c r="F436" s="17" t="str">
        <f>IF(E436=1,COUNTIF($E$1:$E436,1),"")</f>
        <v/>
      </c>
      <c r="G436" s="7" t="str">
        <f>IFERROR(INDEX($D$1:$D$499,MATCH(ROWS($F$1:$F436),$F$1:$F$499,0)),"")</f>
        <v/>
      </c>
    </row>
    <row r="437" spans="5:7">
      <c r="E437" s="17">
        <f t="shared" si="7"/>
        <v>0</v>
      </c>
      <c r="F437" s="17" t="str">
        <f>IF(E437=1,COUNTIF($E$1:$E437,1),"")</f>
        <v/>
      </c>
      <c r="G437" s="7" t="str">
        <f>IFERROR(INDEX($D$1:$D$499,MATCH(ROWS($F$1:$F437),$F$1:$F$499,0)),"")</f>
        <v/>
      </c>
    </row>
    <row r="438" spans="5:7">
      <c r="E438" s="17">
        <f t="shared" si="7"/>
        <v>0</v>
      </c>
      <c r="F438" s="17" t="str">
        <f>IF(E438=1,COUNTIF($E$1:$E438,1),"")</f>
        <v/>
      </c>
      <c r="G438" s="7" t="str">
        <f>IFERROR(INDEX($D$1:$D$499,MATCH(ROWS($F$1:$F438),$F$1:$F$499,0)),"")</f>
        <v/>
      </c>
    </row>
    <row r="439" spans="5:7">
      <c r="E439" s="17">
        <f t="shared" si="7"/>
        <v>0</v>
      </c>
      <c r="F439" s="17" t="str">
        <f>IF(E439=1,COUNTIF($E$1:$E439,1),"")</f>
        <v/>
      </c>
      <c r="G439" s="7" t="str">
        <f>IFERROR(INDEX($D$1:$D$499,MATCH(ROWS($F$1:$F439),$F$1:$F$499,0)),"")</f>
        <v/>
      </c>
    </row>
    <row r="440" spans="5:7">
      <c r="E440" s="17">
        <f t="shared" si="7"/>
        <v>0</v>
      </c>
      <c r="F440" s="17" t="str">
        <f>IF(E440=1,COUNTIF($E$1:$E440,1),"")</f>
        <v/>
      </c>
      <c r="G440" s="7" t="str">
        <f>IFERROR(INDEX($D$1:$D$499,MATCH(ROWS($F$1:$F440),$F$1:$F$499,0)),"")</f>
        <v/>
      </c>
    </row>
    <row r="441" spans="5:7">
      <c r="E441" s="17">
        <f t="shared" si="7"/>
        <v>0</v>
      </c>
      <c r="F441" s="17" t="str">
        <f>IF(E441=1,COUNTIF($E$1:$E441,1),"")</f>
        <v/>
      </c>
      <c r="G441" s="7" t="str">
        <f>IFERROR(INDEX($D$1:$D$499,MATCH(ROWS($F$1:$F441),$F$1:$F$499,0)),"")</f>
        <v/>
      </c>
    </row>
    <row r="442" spans="5:7">
      <c r="E442" s="17">
        <f t="shared" si="7"/>
        <v>0</v>
      </c>
      <c r="F442" s="17" t="str">
        <f>IF(E442=1,COUNTIF($E$1:$E442,1),"")</f>
        <v/>
      </c>
      <c r="G442" s="7" t="str">
        <f>IFERROR(INDEX($D$1:$D$499,MATCH(ROWS($F$1:$F442),$F$1:$F$499,0)),"")</f>
        <v/>
      </c>
    </row>
    <row r="443" spans="5:7">
      <c r="E443" s="17">
        <f t="shared" si="7"/>
        <v>0</v>
      </c>
      <c r="F443" s="17" t="str">
        <f>IF(E443=1,COUNTIF($E$1:$E443,1),"")</f>
        <v/>
      </c>
      <c r="G443" s="7" t="str">
        <f>IFERROR(INDEX($D$1:$D$499,MATCH(ROWS($F$1:$F443),$F$1:$F$499,0)),"")</f>
        <v/>
      </c>
    </row>
    <row r="444" spans="5:7">
      <c r="E444" s="17">
        <f t="shared" si="7"/>
        <v>0</v>
      </c>
      <c r="F444" s="17" t="str">
        <f>IF(E444=1,COUNTIF($E$1:$E444,1),"")</f>
        <v/>
      </c>
      <c r="G444" s="7" t="str">
        <f>IFERROR(INDEX($D$1:$D$499,MATCH(ROWS($F$1:$F444),$F$1:$F$499,0)),"")</f>
        <v/>
      </c>
    </row>
    <row r="445" spans="5:7">
      <c r="E445" s="17">
        <f t="shared" si="7"/>
        <v>0</v>
      </c>
      <c r="F445" s="17" t="str">
        <f>IF(E445=1,COUNTIF($E$1:$E445,1),"")</f>
        <v/>
      </c>
      <c r="G445" s="7" t="str">
        <f>IFERROR(INDEX($D$1:$D$499,MATCH(ROWS($F$1:$F445),$F$1:$F$499,0)),"")</f>
        <v/>
      </c>
    </row>
    <row r="446" spans="5:7">
      <c r="E446" s="17">
        <f t="shared" si="7"/>
        <v>0</v>
      </c>
      <c r="F446" s="17" t="str">
        <f>IF(E446=1,COUNTIF($E$1:$E446,1),"")</f>
        <v/>
      </c>
      <c r="G446" s="7" t="str">
        <f>IFERROR(INDEX($D$1:$D$499,MATCH(ROWS($F$1:$F446),$F$1:$F$499,0)),"")</f>
        <v/>
      </c>
    </row>
    <row r="447" spans="5:7">
      <c r="E447" s="17">
        <f t="shared" si="7"/>
        <v>0</v>
      </c>
      <c r="F447" s="17" t="str">
        <f>IF(E447=1,COUNTIF($E$1:$E447,1),"")</f>
        <v/>
      </c>
      <c r="G447" s="7" t="str">
        <f>IFERROR(INDEX($D$1:$D$499,MATCH(ROWS($F$1:$F447),$F$1:$F$499,0)),"")</f>
        <v/>
      </c>
    </row>
    <row r="448" spans="5:7">
      <c r="E448" s="17">
        <f t="shared" si="7"/>
        <v>0</v>
      </c>
      <c r="F448" s="17" t="str">
        <f>IF(E448=1,COUNTIF($E$1:$E448,1),"")</f>
        <v/>
      </c>
      <c r="G448" s="7" t="str">
        <f>IFERROR(INDEX($D$1:$D$499,MATCH(ROWS($F$1:$F448),$F$1:$F$499,0)),"")</f>
        <v/>
      </c>
    </row>
    <row r="449" spans="5:7">
      <c r="E449" s="17">
        <f t="shared" ref="E449:E499" si="8">--ISNUMBER(SEARCH($B$1,D449))</f>
        <v>0</v>
      </c>
      <c r="F449" s="17" t="str">
        <f>IF(E449=1,COUNTIF($E$1:$E449,1),"")</f>
        <v/>
      </c>
      <c r="G449" s="7" t="str">
        <f>IFERROR(INDEX($D$1:$D$499,MATCH(ROWS($F$1:$F449),$F$1:$F$499,0)),"")</f>
        <v/>
      </c>
    </row>
    <row r="450" spans="5:7">
      <c r="E450" s="17">
        <f t="shared" si="8"/>
        <v>0</v>
      </c>
      <c r="F450" s="17" t="str">
        <f>IF(E450=1,COUNTIF($E$1:$E450,1),"")</f>
        <v/>
      </c>
      <c r="G450" s="7" t="str">
        <f>IFERROR(INDEX($D$1:$D$499,MATCH(ROWS($F$1:$F450),$F$1:$F$499,0)),"")</f>
        <v/>
      </c>
    </row>
    <row r="451" spans="5:7">
      <c r="E451" s="17">
        <f t="shared" si="8"/>
        <v>0</v>
      </c>
      <c r="F451" s="17" t="str">
        <f>IF(E451=1,COUNTIF($E$1:$E451,1),"")</f>
        <v/>
      </c>
      <c r="G451" s="7" t="str">
        <f>IFERROR(INDEX($D$1:$D$499,MATCH(ROWS($F$1:$F451),$F$1:$F$499,0)),"")</f>
        <v/>
      </c>
    </row>
    <row r="452" spans="5:7">
      <c r="E452" s="17">
        <f t="shared" si="8"/>
        <v>0</v>
      </c>
      <c r="F452" s="17" t="str">
        <f>IF(E452=1,COUNTIF($E$1:$E452,1),"")</f>
        <v/>
      </c>
      <c r="G452" s="7" t="str">
        <f>IFERROR(INDEX($D$1:$D$499,MATCH(ROWS($F$1:$F452),$F$1:$F$499,0)),"")</f>
        <v/>
      </c>
    </row>
    <row r="453" spans="5:7">
      <c r="E453" s="17">
        <f t="shared" si="8"/>
        <v>0</v>
      </c>
      <c r="F453" s="17" t="str">
        <f>IF(E453=1,COUNTIF($E$1:$E453,1),"")</f>
        <v/>
      </c>
      <c r="G453" s="7" t="str">
        <f>IFERROR(INDEX($D$1:$D$499,MATCH(ROWS($F$1:$F453),$F$1:$F$499,0)),"")</f>
        <v/>
      </c>
    </row>
    <row r="454" spans="5:7">
      <c r="E454" s="17">
        <f t="shared" si="8"/>
        <v>0</v>
      </c>
      <c r="F454" s="17" t="str">
        <f>IF(E454=1,COUNTIF($E$1:$E454,1),"")</f>
        <v/>
      </c>
      <c r="G454" s="7" t="str">
        <f>IFERROR(INDEX($D$1:$D$499,MATCH(ROWS($F$1:$F454),$F$1:$F$499,0)),"")</f>
        <v/>
      </c>
    </row>
    <row r="455" spans="5:7">
      <c r="E455" s="17">
        <f t="shared" si="8"/>
        <v>0</v>
      </c>
      <c r="F455" s="17" t="str">
        <f>IF(E455=1,COUNTIF($E$1:$E455,1),"")</f>
        <v/>
      </c>
      <c r="G455" s="7" t="str">
        <f>IFERROR(INDEX($D$1:$D$499,MATCH(ROWS($F$1:$F455),$F$1:$F$499,0)),"")</f>
        <v/>
      </c>
    </row>
    <row r="456" spans="5:7">
      <c r="E456" s="17">
        <f t="shared" si="8"/>
        <v>0</v>
      </c>
      <c r="F456" s="17" t="str">
        <f>IF(E456=1,COUNTIF($E$1:$E456,1),"")</f>
        <v/>
      </c>
      <c r="G456" s="7" t="str">
        <f>IFERROR(INDEX($D$1:$D$499,MATCH(ROWS($F$1:$F456),$F$1:$F$499,0)),"")</f>
        <v/>
      </c>
    </row>
    <row r="457" spans="5:7">
      <c r="E457" s="17">
        <f t="shared" si="8"/>
        <v>0</v>
      </c>
      <c r="F457" s="17" t="str">
        <f>IF(E457=1,COUNTIF($E$1:$E457,1),"")</f>
        <v/>
      </c>
      <c r="G457" s="7" t="str">
        <f>IFERROR(INDEX($D$1:$D$499,MATCH(ROWS($F$1:$F457),$F$1:$F$499,0)),"")</f>
        <v/>
      </c>
    </row>
    <row r="458" spans="5:7">
      <c r="E458" s="17">
        <f t="shared" si="8"/>
        <v>0</v>
      </c>
      <c r="F458" s="17" t="str">
        <f>IF(E458=1,COUNTIF($E$1:$E458,1),"")</f>
        <v/>
      </c>
      <c r="G458" s="7" t="str">
        <f>IFERROR(INDEX($D$1:$D$499,MATCH(ROWS($F$1:$F458),$F$1:$F$499,0)),"")</f>
        <v/>
      </c>
    </row>
    <row r="459" spans="5:7">
      <c r="E459" s="17">
        <f t="shared" si="8"/>
        <v>0</v>
      </c>
      <c r="F459" s="17" t="str">
        <f>IF(E459=1,COUNTIF($E$1:$E459,1),"")</f>
        <v/>
      </c>
      <c r="G459" s="7" t="str">
        <f>IFERROR(INDEX($D$1:$D$499,MATCH(ROWS($F$1:$F459),$F$1:$F$499,0)),"")</f>
        <v/>
      </c>
    </row>
    <row r="460" spans="5:7">
      <c r="E460" s="17">
        <f t="shared" si="8"/>
        <v>0</v>
      </c>
      <c r="F460" s="17" t="str">
        <f>IF(E460=1,COUNTIF($E$1:$E460,1),"")</f>
        <v/>
      </c>
      <c r="G460" s="7" t="str">
        <f>IFERROR(INDEX($D$1:$D$499,MATCH(ROWS($F$1:$F460),$F$1:$F$499,0)),"")</f>
        <v/>
      </c>
    </row>
    <row r="461" spans="5:7">
      <c r="E461" s="17">
        <f t="shared" si="8"/>
        <v>0</v>
      </c>
      <c r="F461" s="17" t="str">
        <f>IF(E461=1,COUNTIF($E$1:$E461,1),"")</f>
        <v/>
      </c>
      <c r="G461" s="7" t="str">
        <f>IFERROR(INDEX($D$1:$D$499,MATCH(ROWS($F$1:$F461),$F$1:$F$499,0)),"")</f>
        <v/>
      </c>
    </row>
    <row r="462" spans="5:7">
      <c r="E462" s="17">
        <f t="shared" si="8"/>
        <v>0</v>
      </c>
      <c r="F462" s="17" t="str">
        <f>IF(E462=1,COUNTIF($E$1:$E462,1),"")</f>
        <v/>
      </c>
      <c r="G462" s="7" t="str">
        <f>IFERROR(INDEX($D$1:$D$499,MATCH(ROWS($F$1:$F462),$F$1:$F$499,0)),"")</f>
        <v/>
      </c>
    </row>
    <row r="463" spans="5:7">
      <c r="E463" s="17">
        <f t="shared" si="8"/>
        <v>0</v>
      </c>
      <c r="F463" s="17" t="str">
        <f>IF(E463=1,COUNTIF($E$1:$E463,1),"")</f>
        <v/>
      </c>
      <c r="G463" s="7" t="str">
        <f>IFERROR(INDEX($D$1:$D$499,MATCH(ROWS($F$1:$F463),$F$1:$F$499,0)),"")</f>
        <v/>
      </c>
    </row>
    <row r="464" spans="5:7">
      <c r="E464" s="17">
        <f t="shared" si="8"/>
        <v>0</v>
      </c>
      <c r="F464" s="17" t="str">
        <f>IF(E464=1,COUNTIF($E$1:$E464,1),"")</f>
        <v/>
      </c>
      <c r="G464" s="7" t="str">
        <f>IFERROR(INDEX($D$1:$D$499,MATCH(ROWS($F$1:$F464),$F$1:$F$499,0)),"")</f>
        <v/>
      </c>
    </row>
    <row r="465" spans="5:7">
      <c r="E465" s="17">
        <f t="shared" si="8"/>
        <v>0</v>
      </c>
      <c r="F465" s="17" t="str">
        <f>IF(E465=1,COUNTIF($E$1:$E465,1),"")</f>
        <v/>
      </c>
      <c r="G465" s="7" t="str">
        <f>IFERROR(INDEX($D$1:$D$499,MATCH(ROWS($F$1:$F465),$F$1:$F$499,0)),"")</f>
        <v/>
      </c>
    </row>
    <row r="466" spans="5:7">
      <c r="E466" s="17">
        <f t="shared" si="8"/>
        <v>0</v>
      </c>
      <c r="F466" s="17" t="str">
        <f>IF(E466=1,COUNTIF($E$1:$E466,1),"")</f>
        <v/>
      </c>
      <c r="G466" s="7" t="str">
        <f>IFERROR(INDEX($D$1:$D$499,MATCH(ROWS($F$1:$F466),$F$1:$F$499,0)),"")</f>
        <v/>
      </c>
    </row>
    <row r="467" spans="5:7">
      <c r="E467" s="17">
        <f t="shared" si="8"/>
        <v>0</v>
      </c>
      <c r="F467" s="17" t="str">
        <f>IF(E467=1,COUNTIF($E$1:$E467,1),"")</f>
        <v/>
      </c>
      <c r="G467" s="7" t="str">
        <f>IFERROR(INDEX($D$1:$D$499,MATCH(ROWS($F$1:$F467),$F$1:$F$499,0)),"")</f>
        <v/>
      </c>
    </row>
    <row r="468" spans="5:7">
      <c r="E468" s="17">
        <f t="shared" si="8"/>
        <v>0</v>
      </c>
      <c r="F468" s="17" t="str">
        <f>IF(E468=1,COUNTIF($E$1:$E468,1),"")</f>
        <v/>
      </c>
      <c r="G468" s="7" t="str">
        <f>IFERROR(INDEX($D$1:$D$499,MATCH(ROWS($F$1:$F468),$F$1:$F$499,0)),"")</f>
        <v/>
      </c>
    </row>
    <row r="469" spans="5:7">
      <c r="E469" s="17">
        <f t="shared" si="8"/>
        <v>0</v>
      </c>
      <c r="F469" s="17" t="str">
        <f>IF(E469=1,COUNTIF($E$1:$E469,1),"")</f>
        <v/>
      </c>
      <c r="G469" s="7" t="str">
        <f>IFERROR(INDEX($D$1:$D$499,MATCH(ROWS($F$1:$F469),$F$1:$F$499,0)),"")</f>
        <v/>
      </c>
    </row>
    <row r="470" spans="5:7">
      <c r="E470" s="17">
        <f t="shared" si="8"/>
        <v>0</v>
      </c>
      <c r="F470" s="17" t="str">
        <f>IF(E470=1,COUNTIF($E$1:$E470,1),"")</f>
        <v/>
      </c>
      <c r="G470" s="7" t="str">
        <f>IFERROR(INDEX($D$1:$D$499,MATCH(ROWS($F$1:$F470),$F$1:$F$499,0)),"")</f>
        <v/>
      </c>
    </row>
    <row r="471" spans="5:7">
      <c r="E471" s="17">
        <f t="shared" si="8"/>
        <v>0</v>
      </c>
      <c r="F471" s="17" t="str">
        <f>IF(E471=1,COUNTIF($E$1:$E471,1),"")</f>
        <v/>
      </c>
      <c r="G471" s="7" t="str">
        <f>IFERROR(INDEX($D$1:$D$499,MATCH(ROWS($F$1:$F471),$F$1:$F$499,0)),"")</f>
        <v/>
      </c>
    </row>
    <row r="472" spans="5:7">
      <c r="E472" s="17">
        <f t="shared" si="8"/>
        <v>0</v>
      </c>
      <c r="F472" s="17" t="str">
        <f>IF(E472=1,COUNTIF($E$1:$E472,1),"")</f>
        <v/>
      </c>
      <c r="G472" s="7" t="str">
        <f>IFERROR(INDEX($D$1:$D$499,MATCH(ROWS($F$1:$F472),$F$1:$F$499,0)),"")</f>
        <v/>
      </c>
    </row>
    <row r="473" spans="5:7">
      <c r="E473" s="17">
        <f t="shared" si="8"/>
        <v>0</v>
      </c>
      <c r="F473" s="17" t="str">
        <f>IF(E473=1,COUNTIF($E$1:$E473,1),"")</f>
        <v/>
      </c>
      <c r="G473" s="7" t="str">
        <f>IFERROR(INDEX($D$1:$D$499,MATCH(ROWS($F$1:$F473),$F$1:$F$499,0)),"")</f>
        <v/>
      </c>
    </row>
    <row r="474" spans="5:7">
      <c r="E474" s="17">
        <f t="shared" si="8"/>
        <v>0</v>
      </c>
      <c r="F474" s="17" t="str">
        <f>IF(E474=1,COUNTIF($E$1:$E474,1),"")</f>
        <v/>
      </c>
      <c r="G474" s="7" t="str">
        <f>IFERROR(INDEX($D$1:$D$499,MATCH(ROWS($F$1:$F474),$F$1:$F$499,0)),"")</f>
        <v/>
      </c>
    </row>
    <row r="475" spans="5:7">
      <c r="E475" s="17">
        <f t="shared" si="8"/>
        <v>0</v>
      </c>
      <c r="F475" s="17" t="str">
        <f>IF(E475=1,COUNTIF($E$1:$E475,1),"")</f>
        <v/>
      </c>
      <c r="G475" s="7" t="str">
        <f>IFERROR(INDEX($D$1:$D$499,MATCH(ROWS($F$1:$F475),$F$1:$F$499,0)),"")</f>
        <v/>
      </c>
    </row>
    <row r="476" spans="5:7">
      <c r="E476" s="17">
        <f t="shared" si="8"/>
        <v>0</v>
      </c>
      <c r="F476" s="17" t="str">
        <f>IF(E476=1,COUNTIF($E$1:$E476,1),"")</f>
        <v/>
      </c>
      <c r="G476" s="7" t="str">
        <f>IFERROR(INDEX($D$1:$D$499,MATCH(ROWS($F$1:$F476),$F$1:$F$499,0)),"")</f>
        <v/>
      </c>
    </row>
    <row r="477" spans="5:7">
      <c r="E477" s="17">
        <f t="shared" si="8"/>
        <v>0</v>
      </c>
      <c r="F477" s="17" t="str">
        <f>IF(E477=1,COUNTIF($E$1:$E477,1),"")</f>
        <v/>
      </c>
      <c r="G477" s="7" t="str">
        <f>IFERROR(INDEX($D$1:$D$499,MATCH(ROWS($F$1:$F477),$F$1:$F$499,0)),"")</f>
        <v/>
      </c>
    </row>
    <row r="478" spans="5:7">
      <c r="E478" s="17">
        <f t="shared" si="8"/>
        <v>0</v>
      </c>
      <c r="F478" s="17" t="str">
        <f>IF(E478=1,COUNTIF($E$1:$E478,1),"")</f>
        <v/>
      </c>
      <c r="G478" s="7" t="str">
        <f>IFERROR(INDEX($D$1:$D$499,MATCH(ROWS($F$1:$F478),$F$1:$F$499,0)),"")</f>
        <v/>
      </c>
    </row>
    <row r="479" spans="5:7">
      <c r="E479" s="17">
        <f t="shared" si="8"/>
        <v>0</v>
      </c>
      <c r="F479" s="17" t="str">
        <f>IF(E479=1,COUNTIF($E$1:$E479,1),"")</f>
        <v/>
      </c>
      <c r="G479" s="7" t="str">
        <f>IFERROR(INDEX($D$1:$D$499,MATCH(ROWS($F$1:$F479),$F$1:$F$499,0)),"")</f>
        <v/>
      </c>
    </row>
    <row r="480" spans="5:7">
      <c r="E480" s="17">
        <f t="shared" si="8"/>
        <v>0</v>
      </c>
      <c r="F480" s="17" t="str">
        <f>IF(E480=1,COUNTIF($E$1:$E480,1),"")</f>
        <v/>
      </c>
      <c r="G480" s="7" t="str">
        <f>IFERROR(INDEX($D$1:$D$499,MATCH(ROWS($F$1:$F480),$F$1:$F$499,0)),"")</f>
        <v/>
      </c>
    </row>
    <row r="481" spans="5:7">
      <c r="E481" s="17">
        <f t="shared" si="8"/>
        <v>0</v>
      </c>
      <c r="F481" s="17" t="str">
        <f>IF(E481=1,COUNTIF($E$1:$E481,1),"")</f>
        <v/>
      </c>
      <c r="G481" s="7" t="str">
        <f>IFERROR(INDEX($D$1:$D$499,MATCH(ROWS($F$1:$F481),$F$1:$F$499,0)),"")</f>
        <v/>
      </c>
    </row>
    <row r="482" spans="5:7">
      <c r="E482" s="17">
        <f t="shared" si="8"/>
        <v>0</v>
      </c>
      <c r="F482" s="17" t="str">
        <f>IF(E482=1,COUNTIF($E$1:$E482,1),"")</f>
        <v/>
      </c>
      <c r="G482" s="7" t="str">
        <f>IFERROR(INDEX($D$1:$D$499,MATCH(ROWS($F$1:$F482),$F$1:$F$499,0)),"")</f>
        <v/>
      </c>
    </row>
    <row r="483" spans="5:7">
      <c r="E483" s="17">
        <f t="shared" si="8"/>
        <v>0</v>
      </c>
      <c r="F483" s="17" t="str">
        <f>IF(E483=1,COUNTIF($E$1:$E483,1),"")</f>
        <v/>
      </c>
      <c r="G483" s="7" t="str">
        <f>IFERROR(INDEX($D$1:$D$499,MATCH(ROWS($F$1:$F483),$F$1:$F$499,0)),"")</f>
        <v/>
      </c>
    </row>
    <row r="484" spans="5:7">
      <c r="E484" s="17">
        <f t="shared" si="8"/>
        <v>0</v>
      </c>
      <c r="F484" s="17" t="str">
        <f>IF(E484=1,COUNTIF($E$1:$E484,1),"")</f>
        <v/>
      </c>
      <c r="G484" s="7" t="str">
        <f>IFERROR(INDEX($D$1:$D$499,MATCH(ROWS($F$1:$F484),$F$1:$F$499,0)),"")</f>
        <v/>
      </c>
    </row>
    <row r="485" spans="5:7">
      <c r="E485" s="17">
        <f t="shared" si="8"/>
        <v>0</v>
      </c>
      <c r="F485" s="17" t="str">
        <f>IF(E485=1,COUNTIF($E$1:$E485,1),"")</f>
        <v/>
      </c>
      <c r="G485" s="7" t="str">
        <f>IFERROR(INDEX($D$1:$D$499,MATCH(ROWS($F$1:$F485),$F$1:$F$499,0)),"")</f>
        <v/>
      </c>
    </row>
    <row r="486" spans="5:7">
      <c r="E486" s="17">
        <f t="shared" si="8"/>
        <v>0</v>
      </c>
      <c r="F486" s="17" t="str">
        <f>IF(E486=1,COUNTIF($E$1:$E486,1),"")</f>
        <v/>
      </c>
      <c r="G486" s="7" t="str">
        <f>IFERROR(INDEX($D$1:$D$499,MATCH(ROWS($F$1:$F486),$F$1:$F$499,0)),"")</f>
        <v/>
      </c>
    </row>
    <row r="487" spans="5:7">
      <c r="E487" s="17">
        <f t="shared" si="8"/>
        <v>0</v>
      </c>
      <c r="F487" s="17" t="str">
        <f>IF(E487=1,COUNTIF($E$1:$E487,1),"")</f>
        <v/>
      </c>
      <c r="G487" s="7" t="str">
        <f>IFERROR(INDEX($D$1:$D$499,MATCH(ROWS($F$1:$F487),$F$1:$F$499,0)),"")</f>
        <v/>
      </c>
    </row>
    <row r="488" spans="5:7">
      <c r="E488" s="17">
        <f t="shared" si="8"/>
        <v>0</v>
      </c>
      <c r="F488" s="17" t="str">
        <f>IF(E488=1,COUNTIF($E$1:$E488,1),"")</f>
        <v/>
      </c>
      <c r="G488" s="7" t="str">
        <f>IFERROR(INDEX($D$1:$D$499,MATCH(ROWS($F$1:$F488),$F$1:$F$499,0)),"")</f>
        <v/>
      </c>
    </row>
    <row r="489" spans="5:7">
      <c r="E489" s="17">
        <f t="shared" si="8"/>
        <v>0</v>
      </c>
      <c r="F489" s="17" t="str">
        <f>IF(E489=1,COUNTIF($E$1:$E489,1),"")</f>
        <v/>
      </c>
      <c r="G489" s="7" t="str">
        <f>IFERROR(INDEX($D$1:$D$499,MATCH(ROWS($F$1:$F489),$F$1:$F$499,0)),"")</f>
        <v/>
      </c>
    </row>
    <row r="490" spans="5:7">
      <c r="E490" s="17">
        <f t="shared" si="8"/>
        <v>0</v>
      </c>
      <c r="F490" s="17" t="str">
        <f>IF(E490=1,COUNTIF($E$1:$E490,1),"")</f>
        <v/>
      </c>
      <c r="G490" s="7" t="str">
        <f>IFERROR(INDEX($D$1:$D$499,MATCH(ROWS($F$1:$F490),$F$1:$F$499,0)),"")</f>
        <v/>
      </c>
    </row>
    <row r="491" spans="5:7">
      <c r="E491" s="17">
        <f t="shared" si="8"/>
        <v>0</v>
      </c>
      <c r="F491" s="17" t="str">
        <f>IF(E491=1,COUNTIF($E$1:$E491,1),"")</f>
        <v/>
      </c>
      <c r="G491" s="7" t="str">
        <f>IFERROR(INDEX($D$1:$D$499,MATCH(ROWS($F$1:$F491),$F$1:$F$499,0)),"")</f>
        <v/>
      </c>
    </row>
    <row r="492" spans="5:7">
      <c r="E492" s="17">
        <f t="shared" si="8"/>
        <v>0</v>
      </c>
      <c r="F492" s="17" t="str">
        <f>IF(E492=1,COUNTIF($E$1:$E492,1),"")</f>
        <v/>
      </c>
      <c r="G492" s="7" t="str">
        <f>IFERROR(INDEX($D$1:$D$499,MATCH(ROWS($F$1:$F492),$F$1:$F$499,0)),"")</f>
        <v/>
      </c>
    </row>
    <row r="493" spans="5:7">
      <c r="E493" s="17">
        <f t="shared" si="8"/>
        <v>0</v>
      </c>
      <c r="F493" s="17" t="str">
        <f>IF(E493=1,COUNTIF($E$1:$E493,1),"")</f>
        <v/>
      </c>
      <c r="G493" s="7" t="str">
        <f>IFERROR(INDEX($D$1:$D$499,MATCH(ROWS($F$1:$F493),$F$1:$F$499,0)),"")</f>
        <v/>
      </c>
    </row>
    <row r="494" spans="5:7">
      <c r="E494" s="17">
        <f t="shared" si="8"/>
        <v>0</v>
      </c>
      <c r="F494" s="17" t="str">
        <f>IF(E494=1,COUNTIF($E$1:$E494,1),"")</f>
        <v/>
      </c>
      <c r="G494" s="7" t="str">
        <f>IFERROR(INDEX($D$1:$D$499,MATCH(ROWS($F$1:$F494),$F$1:$F$499,0)),"")</f>
        <v/>
      </c>
    </row>
    <row r="495" spans="5:7">
      <c r="E495" s="17">
        <f t="shared" si="8"/>
        <v>0</v>
      </c>
      <c r="F495" s="17" t="str">
        <f>IF(E495=1,COUNTIF($E$1:$E495,1),"")</f>
        <v/>
      </c>
      <c r="G495" s="7" t="str">
        <f>IFERROR(INDEX($D$1:$D$499,MATCH(ROWS($F$1:$F495),$F$1:$F$499,0)),"")</f>
        <v/>
      </c>
    </row>
    <row r="496" spans="5:7">
      <c r="E496" s="17">
        <f t="shared" si="8"/>
        <v>0</v>
      </c>
      <c r="F496" s="17" t="str">
        <f>IF(E496=1,COUNTIF($E$1:$E496,1),"")</f>
        <v/>
      </c>
      <c r="G496" s="7" t="str">
        <f>IFERROR(INDEX($D$1:$D$499,MATCH(ROWS($F$1:$F496),$F$1:$F$499,0)),"")</f>
        <v/>
      </c>
    </row>
    <row r="497" spans="5:7">
      <c r="E497" s="17">
        <f t="shared" si="8"/>
        <v>0</v>
      </c>
      <c r="F497" s="17" t="str">
        <f>IF(E497=1,COUNTIF($E$1:$E497,1),"")</f>
        <v/>
      </c>
      <c r="G497" s="7" t="str">
        <f>IFERROR(INDEX($D$1:$D$499,MATCH(ROWS($F$1:$F497),$F$1:$F$499,0)),"")</f>
        <v/>
      </c>
    </row>
    <row r="498" spans="5:7">
      <c r="E498" s="17">
        <f t="shared" si="8"/>
        <v>0</v>
      </c>
      <c r="F498" s="17" t="str">
        <f>IF(E498=1,COUNTIF($E$1:$E498,1),"")</f>
        <v/>
      </c>
      <c r="G498" s="7" t="str">
        <f>IFERROR(INDEX($D$1:$D$499,MATCH(ROWS($F$1:$F498),$F$1:$F$499,0)),"")</f>
        <v/>
      </c>
    </row>
    <row r="499" spans="5:7">
      <c r="E499" s="17">
        <f t="shared" si="8"/>
        <v>0</v>
      </c>
      <c r="F499" s="17" t="str">
        <f>IF(E499=1,COUNTIF($E$1:$E499,1),"")</f>
        <v/>
      </c>
      <c r="G499" s="7" t="str">
        <f>IFERROR(INDEX($D$1:$D$499,MATCH(ROWS($F$1:$F499),$F$1:$F$499,0)),"")</f>
        <v/>
      </c>
    </row>
  </sheetData>
  <sortState xmlns:xlrd2="http://schemas.microsoft.com/office/spreadsheetml/2017/richdata2" ref="D1:D10">
    <sortCondition ref="D1:D10"/>
  </sortState>
  <phoneticPr fontId="2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R9317"/>
  <sheetViews>
    <sheetView topLeftCell="O1" workbookViewId="0">
      <selection activeCell="D1" sqref="D1:D1048576"/>
    </sheetView>
  </sheetViews>
  <sheetFormatPr defaultRowHeight="15"/>
  <cols>
    <col min="1" max="1" width="103.85546875" customWidth="1"/>
    <col min="2" max="2" width="5.85546875" customWidth="1"/>
    <col min="3" max="3" width="25.140625" customWidth="1"/>
    <col min="4" max="4" width="25" customWidth="1"/>
    <col min="5" max="5" width="22.85546875" customWidth="1"/>
    <col min="6" max="6" width="60.140625" customWidth="1"/>
    <col min="7" max="7" width="4.85546875" style="68" customWidth="1"/>
    <col min="8" max="8" width="4.42578125" style="69" customWidth="1"/>
    <col min="9" max="9" width="6" style="69" customWidth="1"/>
    <col min="10" max="10" width="8.85546875" style="69" customWidth="1"/>
    <col min="11" max="11" width="5.5703125" customWidth="1"/>
    <col min="12" max="12" width="55.85546875" customWidth="1"/>
    <col min="13" max="13" width="41" customWidth="1"/>
    <col min="14" max="14" width="55.85546875" customWidth="1"/>
    <col min="15" max="15" width="30.7109375" style="68" customWidth="1"/>
    <col min="16" max="16" width="5.5703125" customWidth="1"/>
    <col min="17" max="17" width="141" customWidth="1"/>
  </cols>
  <sheetData>
    <row r="1" spans="1:18">
      <c r="A1" t="s">
        <v>468</v>
      </c>
      <c r="C1" s="67">
        <v>5</v>
      </c>
      <c r="D1" t="s">
        <v>47</v>
      </c>
      <c r="E1" t="s">
        <v>496</v>
      </c>
      <c r="F1" t="s">
        <v>383</v>
      </c>
      <c r="H1"/>
      <c r="I1"/>
      <c r="J1" s="69">
        <f ca="1">IF($C$2="1 - ALL FORMS",1,--ISNUMBER(SEARCH($C$2,E1)))</f>
        <v>0</v>
      </c>
      <c r="K1" s="70" t="str">
        <f ca="1">IF(J1=1,COUNTIF($J$1:$J1,1),"")</f>
        <v/>
      </c>
      <c r="L1" s="46" t="str">
        <f ca="1">IFERROR(INDEX($A$1:$A$500,MATCH(ROWS($K$1:$K1),$K$1:$K$500,0)),"")</f>
        <v>C:\Library\Quotation\Template Quote - EFind.docx</v>
      </c>
      <c r="M1" s="71" t="str">
        <f t="shared" ref="M1:M64" ca="1" si="0">+IF(L1="","",RIGHT(L1,LEN(L1)-FIND("@",SUBSTITUTE(L1,"\","@",LEN(L1)-LEN(SUBSTITUTE(L1,"\",""))),1)))</f>
        <v>Template Quote - EFind.docx</v>
      </c>
      <c r="N1" t="s">
        <v>48</v>
      </c>
      <c r="O1" s="69">
        <f t="shared" ref="O1:O64" ca="1" si="1">--ISNUMBER(SEARCH($N$2,M1))</f>
        <v>1</v>
      </c>
      <c r="P1" s="70">
        <f ca="1">IF(O1=1,COUNTIF($O$1:$O1,1),"")</f>
        <v>1</v>
      </c>
      <c r="Q1" s="46" t="str">
        <f ca="1">IFERROR(INDEX($L$1:$L$500,MATCH(ROWS($P$1:$P1),$P$1:$P$500,0)),"")</f>
        <v>C:\Library\Quotation\Template Quote - EFind.docx</v>
      </c>
      <c r="R1" s="71" t="str">
        <f ca="1">+IF(Q1="","",RIGHT(Q1,LEN(Q1)-FIND("@",SUBSTITUTE(Q1,"\","@",LEN(Q1)-LEN(SUBSTITUTE(Q1,"\",""))),1)))</f>
        <v>Template Quote - EFind.docx</v>
      </c>
    </row>
    <row r="2" spans="1:18">
      <c r="A2" t="s">
        <v>469</v>
      </c>
      <c r="C2" t="str">
        <f ca="1">INDIRECT(ADDRESS(C1,4))</f>
        <v>Quotation</v>
      </c>
      <c r="D2" t="s">
        <v>496</v>
      </c>
      <c r="E2" t="s">
        <v>496</v>
      </c>
      <c r="F2" t="s">
        <v>497</v>
      </c>
      <c r="H2"/>
      <c r="I2"/>
      <c r="J2" s="69">
        <f t="shared" ref="J2:J65" ca="1" si="2">IF($C$2="1 - ALL FORMS",1,--ISNUMBER(SEARCH($C$2,E2)))</f>
        <v>0</v>
      </c>
      <c r="K2" s="70" t="str">
        <f ca="1">IF(J2=1,COUNTIF($J$1:$J2,1),"")</f>
        <v/>
      </c>
      <c r="L2" s="46" t="str">
        <f ca="1">IFERROR(INDEX($A$1:$A$500,MATCH(ROWS($K$1:$K2),$K$1:$K$500,0)),"")</f>
        <v>C:\Library\Quotation\Template Quote - Fortuna.docx</v>
      </c>
      <c r="M2" s="71" t="str">
        <f t="shared" ca="1" si="0"/>
        <v>Template Quote - Fortuna.docx</v>
      </c>
      <c r="N2" s="72"/>
      <c r="O2" s="69">
        <f t="shared" ca="1" si="1"/>
        <v>1</v>
      </c>
      <c r="P2" s="70">
        <f ca="1">IF(O2=1,COUNTIF($O$1:$O2,1),"")</f>
        <v>2</v>
      </c>
      <c r="Q2" s="46" t="str">
        <f ca="1">IFERROR(INDEX($L$1:$L$500,MATCH(ROWS($P$1:$P2),$P$1:$P$500,0)),"")</f>
        <v>C:\Library\Quotation\Template Quote - Fortuna.docx</v>
      </c>
      <c r="R2" s="71" t="str">
        <f t="shared" ref="R2:R65" ca="1" si="3">+IF(Q2="","",RIGHT(Q2,LEN(Q2)-FIND("@",SUBSTITUTE(Q2,"\","@",LEN(Q2)-LEN(SUBSTITUTE(Q2,"\",""))),1)))</f>
        <v>Template Quote - Fortuna.docx</v>
      </c>
    </row>
    <row r="3" spans="1:18">
      <c r="A3" t="s">
        <v>470</v>
      </c>
      <c r="D3" t="s">
        <v>498</v>
      </c>
      <c r="E3" t="s">
        <v>498</v>
      </c>
      <c r="F3" t="s">
        <v>102</v>
      </c>
      <c r="H3"/>
      <c r="I3"/>
      <c r="J3" s="69">
        <f t="shared" ca="1" si="2"/>
        <v>0</v>
      </c>
      <c r="K3" s="70" t="str">
        <f ca="1">IF(J3=1,COUNTIF($J$1:$J3,1),"")</f>
        <v/>
      </c>
      <c r="L3" s="46" t="str">
        <f ca="1">IFERROR(INDEX($A$1:$A$500,MATCH(ROWS($K$1:$K3),$K$1:$K$500,0)),"")</f>
        <v>C:\Library\Quotation\Template Quote - Kairos.docx</v>
      </c>
      <c r="M3" s="71" t="str">
        <f t="shared" ca="1" si="0"/>
        <v>Template Quote - Kairos.docx</v>
      </c>
      <c r="N3" s="73" t="s">
        <v>2</v>
      </c>
      <c r="O3" s="69">
        <f t="shared" ca="1" si="1"/>
        <v>1</v>
      </c>
      <c r="P3" s="70">
        <f ca="1">IF(O3=1,COUNTIF($O$1:$O3,1),"")</f>
        <v>3</v>
      </c>
      <c r="Q3" s="46" t="str">
        <f ca="1">IFERROR(INDEX($L$1:$L$500,MATCH(ROWS($P$1:$P3),$P$1:$P$500,0)),"")</f>
        <v>C:\Library\Quotation\Template Quote - Kairos.docx</v>
      </c>
      <c r="R3" s="71" t="str">
        <f t="shared" ca="1" si="3"/>
        <v>Template Quote - Kairos.docx</v>
      </c>
    </row>
    <row r="4" spans="1:18">
      <c r="A4" t="s">
        <v>471</v>
      </c>
      <c r="D4" t="s">
        <v>499</v>
      </c>
      <c r="E4" t="s">
        <v>498</v>
      </c>
      <c r="F4" t="s">
        <v>112</v>
      </c>
      <c r="H4"/>
      <c r="I4"/>
      <c r="J4" s="69">
        <f t="shared" ca="1" si="2"/>
        <v>0</v>
      </c>
      <c r="K4" s="70" t="str">
        <f ca="1">IF(J4=1,COUNTIF($J$1:$J4,1),"")</f>
        <v/>
      </c>
      <c r="L4" s="46" t="str">
        <f ca="1">IFERROR(INDEX($A$1:$A$500,MATCH(ROWS($K$1:$K4),$K$1:$K$500,0)),"")</f>
        <v>C:\Library\Quotation\Template Quote - Media8.docx</v>
      </c>
      <c r="M4" s="71" t="str">
        <f t="shared" ca="1" si="0"/>
        <v>Template Quote - Media8.docx</v>
      </c>
      <c r="N4" s="73" t="s">
        <v>2</v>
      </c>
      <c r="O4" s="69">
        <f t="shared" ca="1" si="1"/>
        <v>1</v>
      </c>
      <c r="P4" s="70">
        <f ca="1">IF(O4=1,COUNTIF($O$1:$O4,1),"")</f>
        <v>4</v>
      </c>
      <c r="Q4" s="46" t="str">
        <f ca="1">IFERROR(INDEX($L$1:$L$500,MATCH(ROWS($P$1:$P4),$P$1:$P$500,0)),"")</f>
        <v>C:\Library\Quotation\Template Quote - Media8.docx</v>
      </c>
      <c r="R4" s="71" t="str">
        <f t="shared" ca="1" si="3"/>
        <v>Template Quote - Media8.docx</v>
      </c>
    </row>
    <row r="5" spans="1:18">
      <c r="A5" t="s">
        <v>472</v>
      </c>
      <c r="D5" t="s">
        <v>101</v>
      </c>
      <c r="E5" t="s">
        <v>498</v>
      </c>
      <c r="F5" t="s">
        <v>103</v>
      </c>
      <c r="H5"/>
      <c r="I5"/>
      <c r="J5" s="69">
        <f t="shared" ca="1" si="2"/>
        <v>0</v>
      </c>
      <c r="K5" s="70" t="str">
        <f ca="1">IF(J5=1,COUNTIF($J$1:$J5,1),"")</f>
        <v/>
      </c>
      <c r="L5" s="46" t="str">
        <f ca="1">IFERROR(INDEX($A$1:$A$500,MATCH(ROWS($K$1:$K5),$K$1:$K$500,0)),"")</f>
        <v>C:\Library\Quotation\Template Quote - Meson.docx</v>
      </c>
      <c r="M5" s="71" t="str">
        <f t="shared" ca="1" si="0"/>
        <v>Template Quote - Meson.docx</v>
      </c>
      <c r="N5" s="73" t="s">
        <v>2</v>
      </c>
      <c r="O5" s="69">
        <f t="shared" ca="1" si="1"/>
        <v>1</v>
      </c>
      <c r="P5" s="70">
        <f ca="1">IF(O5=1,COUNTIF($O$1:$O5,1),"")</f>
        <v>5</v>
      </c>
      <c r="Q5" s="46" t="str">
        <f ca="1">IFERROR(INDEX($L$1:$L$500,MATCH(ROWS($P$1:$P5),$P$1:$P$500,0)),"")</f>
        <v>C:\Library\Quotation\Template Quote - Meson.docx</v>
      </c>
      <c r="R5" s="71" t="str">
        <f t="shared" ca="1" si="3"/>
        <v>Template Quote - Meson.docx</v>
      </c>
    </row>
    <row r="6" spans="1:18">
      <c r="A6" t="s">
        <v>473</v>
      </c>
      <c r="E6" t="s">
        <v>499</v>
      </c>
      <c r="F6" t="s">
        <v>500</v>
      </c>
      <c r="H6"/>
      <c r="I6"/>
      <c r="J6" s="69">
        <f t="shared" ca="1" si="2"/>
        <v>0</v>
      </c>
      <c r="K6" s="70" t="str">
        <f ca="1">IF(J6=1,COUNTIF($J$1:$J6,1),"")</f>
        <v/>
      </c>
      <c r="L6" s="46" t="str">
        <f ca="1">IFERROR(INDEX($A$1:$A$500,MATCH(ROWS($K$1:$K6),$K$1:$K$500,0)),"")</f>
        <v>C:\Library\Quotation\Template Quote - SPARK.docx</v>
      </c>
      <c r="M6" s="71" t="str">
        <f t="shared" ca="1" si="0"/>
        <v>Template Quote - SPARK.docx</v>
      </c>
      <c r="N6" s="73" t="s">
        <v>2</v>
      </c>
      <c r="O6" s="69">
        <f t="shared" ca="1" si="1"/>
        <v>1</v>
      </c>
      <c r="P6" s="70">
        <f ca="1">IF(O6=1,COUNTIF($O$1:$O6,1),"")</f>
        <v>6</v>
      </c>
      <c r="Q6" s="46" t="str">
        <f ca="1">IFERROR(INDEX($L$1:$L$500,MATCH(ROWS($P$1:$P6),$P$1:$P$500,0)),"")</f>
        <v>C:\Library\Quotation\Template Quote - SPARK.docx</v>
      </c>
      <c r="R6" s="71" t="str">
        <f t="shared" ca="1" si="3"/>
        <v>Template Quote - SPARK.docx</v>
      </c>
    </row>
    <row r="7" spans="1:18">
      <c r="A7" t="s">
        <v>474</v>
      </c>
      <c r="E7" t="s">
        <v>499</v>
      </c>
      <c r="F7" t="s">
        <v>501</v>
      </c>
      <c r="H7"/>
      <c r="I7"/>
      <c r="J7" s="69">
        <f t="shared" ca="1" si="2"/>
        <v>0</v>
      </c>
      <c r="K7" s="70" t="str">
        <f ca="1">IF(J7=1,COUNTIF($J$1:$J7,1),"")</f>
        <v/>
      </c>
      <c r="L7" s="46" t="str">
        <f ca="1">IFERROR(INDEX($A$1:$A$500,MATCH(ROWS($K$1:$K7),$K$1:$K$500,0)),"")</f>
        <v>C:\Library\Quotation\Template Quote - whywechat.docx</v>
      </c>
      <c r="M7" s="71" t="str">
        <f t="shared" ca="1" si="0"/>
        <v>Template Quote - whywechat.docx</v>
      </c>
      <c r="N7" s="73" t="s">
        <v>2</v>
      </c>
      <c r="O7" s="69">
        <f t="shared" ca="1" si="1"/>
        <v>1</v>
      </c>
      <c r="P7" s="70">
        <f ca="1">IF(O7=1,COUNTIF($O$1:$O7,1),"")</f>
        <v>7</v>
      </c>
      <c r="Q7" s="46" t="str">
        <f ca="1">IFERROR(INDEX($L$1:$L$500,MATCH(ROWS($P$1:$P7),$P$1:$P$500,0)),"")</f>
        <v>C:\Library\Quotation\Template Quote - whywechat.docx</v>
      </c>
      <c r="R7" s="71" t="str">
        <f t="shared" ca="1" si="3"/>
        <v>Template Quote - whywechat.docx</v>
      </c>
    </row>
    <row r="8" spans="1:18">
      <c r="A8" t="s">
        <v>475</v>
      </c>
      <c r="E8" t="s">
        <v>499</v>
      </c>
      <c r="F8" t="s">
        <v>391</v>
      </c>
      <c r="H8"/>
      <c r="I8"/>
      <c r="J8" s="69">
        <f t="shared" ca="1" si="2"/>
        <v>0</v>
      </c>
      <c r="K8" s="70" t="str">
        <f ca="1">IF(J8=1,COUNTIF($J$1:$J8,1),"")</f>
        <v/>
      </c>
      <c r="L8" s="46" t="str">
        <f ca="1">IFERROR(INDEX($A$1:$A$500,MATCH(ROWS($K$1:$K8),$K$1:$K$500,0)),"")</f>
        <v>C:\Library\Quotation\Template Quote - Yapple.docx</v>
      </c>
      <c r="M8" s="71" t="str">
        <f t="shared" ca="1" si="0"/>
        <v>Template Quote - Yapple.docx</v>
      </c>
      <c r="N8" s="73" t="s">
        <v>2</v>
      </c>
      <c r="O8" s="69">
        <f t="shared" ca="1" si="1"/>
        <v>1</v>
      </c>
      <c r="P8" s="70">
        <f ca="1">IF(O8=1,COUNTIF($O$1:$O8,1),"")</f>
        <v>8</v>
      </c>
      <c r="Q8" s="46" t="str">
        <f ca="1">IFERROR(INDEX($L$1:$L$500,MATCH(ROWS($P$1:$P8),$P$1:$P$500,0)),"")</f>
        <v>C:\Library\Quotation\Template Quote - Yapple.docx</v>
      </c>
      <c r="R8" s="71" t="str">
        <f t="shared" ca="1" si="3"/>
        <v>Template Quote - Yapple.docx</v>
      </c>
    </row>
    <row r="9" spans="1:18">
      <c r="A9" t="s">
        <v>476</v>
      </c>
      <c r="E9" t="s">
        <v>499</v>
      </c>
      <c r="F9" t="s">
        <v>392</v>
      </c>
      <c r="H9"/>
      <c r="I9"/>
      <c r="J9" s="69">
        <f t="shared" ca="1" si="2"/>
        <v>0</v>
      </c>
      <c r="K9" s="70" t="str">
        <f ca="1">IF(J9=1,COUNTIF($J$1:$J9,1),"")</f>
        <v/>
      </c>
      <c r="L9" s="46" t="str">
        <f ca="1">IFERROR(INDEX($A$1:$A$500,MATCH(ROWS($K$1:$K9),$K$1:$K$500,0)),"")</f>
        <v>C:\Library\Quotation\Template Quote - 上海多洋.docx</v>
      </c>
      <c r="M9" s="71" t="str">
        <f t="shared" ca="1" si="0"/>
        <v>Template Quote - 上海多洋.docx</v>
      </c>
      <c r="N9" s="73" t="s">
        <v>2</v>
      </c>
      <c r="O9" s="69">
        <f t="shared" ca="1" si="1"/>
        <v>1</v>
      </c>
      <c r="P9" s="70">
        <f ca="1">IF(O9=1,COUNTIF($O$1:$O9,1),"")</f>
        <v>9</v>
      </c>
      <c r="Q9" s="46" t="str">
        <f ca="1">IFERROR(INDEX($L$1:$L$500,MATCH(ROWS($P$1:$P9),$P$1:$P$500,0)),"")</f>
        <v>C:\Library\Quotation\Template Quote - 上海多洋.docx</v>
      </c>
      <c r="R9" s="71" t="str">
        <f t="shared" ca="1" si="3"/>
        <v>Template Quote - 上海多洋.docx</v>
      </c>
    </row>
    <row r="10" spans="1:18">
      <c r="A10" t="s">
        <v>477</v>
      </c>
      <c r="E10" t="s">
        <v>499</v>
      </c>
      <c r="F10" t="s">
        <v>502</v>
      </c>
      <c r="H10"/>
      <c r="I10"/>
      <c r="J10" s="69">
        <f t="shared" ca="1" si="2"/>
        <v>0</v>
      </c>
      <c r="K10" s="70" t="str">
        <f ca="1">IF(J10=1,COUNTIF($J$1:$J10,1),"")</f>
        <v/>
      </c>
      <c r="L10" s="46" t="str">
        <f ca="1">IFERROR(INDEX($A$1:$A$500,MATCH(ROWS($K$1:$K10),$K$1:$K$500,0)),"")</f>
        <v>C:\Library\Quotation\Template Quote - 微盟.docx</v>
      </c>
      <c r="M10" s="71" t="str">
        <f t="shared" ca="1" si="0"/>
        <v>Template Quote - 微盟.docx</v>
      </c>
      <c r="N10" s="73" t="s">
        <v>2</v>
      </c>
      <c r="O10" s="69">
        <f t="shared" ca="1" si="1"/>
        <v>1</v>
      </c>
      <c r="P10" s="70">
        <f ca="1">IF(O10=1,COUNTIF($O$1:$O10,1),"")</f>
        <v>10</v>
      </c>
      <c r="Q10" s="46" t="str">
        <f ca="1">IFERROR(INDEX($L$1:$L$500,MATCH(ROWS($P$1:$P10),$P$1:$P$500,0)),"")</f>
        <v>C:\Library\Quotation\Template Quote - 微盟.docx</v>
      </c>
      <c r="R10" s="71" t="str">
        <f t="shared" ca="1" si="3"/>
        <v>Template Quote - 微盟.docx</v>
      </c>
    </row>
    <row r="11" spans="1:18">
      <c r="A11" t="s">
        <v>478</v>
      </c>
      <c r="E11" t="s">
        <v>499</v>
      </c>
      <c r="F11" t="s">
        <v>503</v>
      </c>
      <c r="H11"/>
      <c r="I11"/>
      <c r="J11" s="69">
        <f t="shared" ca="1" si="2"/>
        <v>0</v>
      </c>
      <c r="K11" s="70" t="str">
        <f ca="1">IF(J11=1,COUNTIF($J$1:$J11,1),"")</f>
        <v/>
      </c>
      <c r="L11" s="46" t="str">
        <f ca="1">IFERROR(INDEX($A$1:$A$500,MATCH(ROWS($K$1:$K11),$K$1:$K$500,0)),"")</f>
        <v>C:\Library\Quotation\Template Quote - 木紅.docx</v>
      </c>
      <c r="M11" s="71" t="str">
        <f t="shared" ca="1" si="0"/>
        <v>Template Quote - 木紅.docx</v>
      </c>
      <c r="N11" s="73" t="s">
        <v>2</v>
      </c>
      <c r="O11" s="69">
        <f t="shared" ca="1" si="1"/>
        <v>1</v>
      </c>
      <c r="P11" s="70">
        <f ca="1">IF(O11=1,COUNTIF($O$1:$O11,1),"")</f>
        <v>11</v>
      </c>
      <c r="Q11" s="46" t="str">
        <f ca="1">IFERROR(INDEX($L$1:$L$500,MATCH(ROWS($P$1:$P11),$P$1:$P$500,0)),"")</f>
        <v>C:\Library\Quotation\Template Quote - 木紅.docx</v>
      </c>
      <c r="R11" s="71" t="str">
        <f t="shared" ca="1" si="3"/>
        <v>Template Quote - 木紅.docx</v>
      </c>
    </row>
    <row r="12" spans="1:18">
      <c r="A12" t="s">
        <v>479</v>
      </c>
      <c r="E12" t="s">
        <v>499</v>
      </c>
      <c r="F12" t="s">
        <v>504</v>
      </c>
      <c r="H12"/>
      <c r="I12"/>
      <c r="J12" s="69">
        <f t="shared" ca="1" si="2"/>
        <v>0</v>
      </c>
      <c r="K12" s="70" t="str">
        <f ca="1">IF(J12=1,COUNTIF($J$1:$J12,1),"")</f>
        <v/>
      </c>
      <c r="L12" s="46" t="str">
        <f ca="1">IFERROR(INDEX($A$1:$A$500,MATCH(ROWS($K$1:$K12),$K$1:$K$500,0)),"")</f>
        <v>C:\Library\Quotation\Template Quote - 浩天.docx</v>
      </c>
      <c r="M12" s="71" t="str">
        <f t="shared" ca="1" si="0"/>
        <v>Template Quote - 浩天.docx</v>
      </c>
      <c r="N12" s="73" t="s">
        <v>2</v>
      </c>
      <c r="O12" s="69">
        <f t="shared" ca="1" si="1"/>
        <v>1</v>
      </c>
      <c r="P12" s="70">
        <f ca="1">IF(O12=1,COUNTIF($O$1:$O12,1),"")</f>
        <v>12</v>
      </c>
      <c r="Q12" s="46" t="str">
        <f ca="1">IFERROR(INDEX($L$1:$L$500,MATCH(ROWS($P$1:$P12),$P$1:$P$500,0)),"")</f>
        <v>C:\Library\Quotation\Template Quote - 浩天.docx</v>
      </c>
      <c r="R12" s="71" t="str">
        <f t="shared" ca="1" si="3"/>
        <v>Template Quote - 浩天.docx</v>
      </c>
    </row>
    <row r="13" spans="1:18">
      <c r="A13" t="s">
        <v>480</v>
      </c>
      <c r="E13" t="s">
        <v>499</v>
      </c>
      <c r="F13" t="s">
        <v>393</v>
      </c>
      <c r="H13"/>
      <c r="I13"/>
      <c r="J13" s="69">
        <f t="shared" ca="1" si="2"/>
        <v>0</v>
      </c>
      <c r="K13" s="70" t="str">
        <f ca="1">IF(J13=1,COUNTIF($J$1:$J13,1),"")</f>
        <v/>
      </c>
      <c r="L13" s="46" t="str">
        <f ca="1">IFERROR(INDEX($A$1:$A$500,MATCH(ROWS($K$1:$K13),$K$1:$K$500,0)),"")</f>
        <v>C:\Library\Quotation\Template Quote - 猩猩文化.docx</v>
      </c>
      <c r="M13" s="71" t="str">
        <f t="shared" ca="1" si="0"/>
        <v>Template Quote - 猩猩文化.docx</v>
      </c>
      <c r="N13" s="73" t="s">
        <v>2</v>
      </c>
      <c r="O13" s="69">
        <f t="shared" ca="1" si="1"/>
        <v>1</v>
      </c>
      <c r="P13" s="70">
        <f ca="1">IF(O13=1,COUNTIF($O$1:$O13,1),"")</f>
        <v>13</v>
      </c>
      <c r="Q13" s="46" t="str">
        <f ca="1">IFERROR(INDEX($L$1:$L$500,MATCH(ROWS($P$1:$P13),$P$1:$P$500,0)),"")</f>
        <v>C:\Library\Quotation\Template Quote - 猩猩文化.docx</v>
      </c>
      <c r="R13" s="71" t="str">
        <f t="shared" ca="1" si="3"/>
        <v>Template Quote - 猩猩文化.docx</v>
      </c>
    </row>
    <row r="14" spans="1:18">
      <c r="A14" t="s">
        <v>481</v>
      </c>
      <c r="E14" t="s">
        <v>499</v>
      </c>
      <c r="F14" t="s">
        <v>394</v>
      </c>
      <c r="H14"/>
      <c r="I14"/>
      <c r="J14" s="69">
        <f t="shared" ca="1" si="2"/>
        <v>0</v>
      </c>
      <c r="K14" s="70" t="str">
        <f ca="1">IF(J14=1,COUNTIF($J$1:$J14,1),"")</f>
        <v/>
      </c>
      <c r="L14" s="46" t="str">
        <f ca="1">IFERROR(INDEX($A$1:$A$500,MATCH(ROWS($K$1:$K14),$K$1:$K$500,0)),"")</f>
        <v>C:\Library\Quotation\Template Quote -Aello.docx</v>
      </c>
      <c r="M14" s="71" t="str">
        <f t="shared" ca="1" si="0"/>
        <v>Template Quote -Aello.docx</v>
      </c>
      <c r="N14" s="73" t="s">
        <v>2</v>
      </c>
      <c r="O14" s="69">
        <f t="shared" ca="1" si="1"/>
        <v>1</v>
      </c>
      <c r="P14" s="70">
        <f ca="1">IF(O14=1,COUNTIF($O$1:$O14,1),"")</f>
        <v>14</v>
      </c>
      <c r="Q14" s="46" t="str">
        <f ca="1">IFERROR(INDEX($L$1:$L$500,MATCH(ROWS($P$1:$P14),$P$1:$P$500,0)),"")</f>
        <v>C:\Library\Quotation\Template Quote -Aello.docx</v>
      </c>
      <c r="R14" s="71" t="str">
        <f t="shared" ca="1" si="3"/>
        <v>Template Quote -Aello.docx</v>
      </c>
    </row>
    <row r="15" spans="1:18">
      <c r="A15" t="s">
        <v>482</v>
      </c>
      <c r="E15" t="s">
        <v>499</v>
      </c>
      <c r="F15" t="s">
        <v>505</v>
      </c>
      <c r="H15"/>
      <c r="I15"/>
      <c r="J15" s="69">
        <f t="shared" ca="1" si="2"/>
        <v>0</v>
      </c>
      <c r="K15" s="70" t="str">
        <f ca="1">IF(J15=1,COUNTIF($J$1:$J15,1),"")</f>
        <v/>
      </c>
      <c r="L15" s="46" t="str">
        <f ca="1">IFERROR(INDEX($A$1:$A$500,MATCH(ROWS($K$1:$K15),$K$1:$K$500,0)),"")</f>
        <v>C:\Library\Quotation\Template Quote -Techwork Labs.docx</v>
      </c>
      <c r="M15" s="71" t="str">
        <f t="shared" ca="1" si="0"/>
        <v>Template Quote -Techwork Labs.docx</v>
      </c>
      <c r="N15" s="73" t="s">
        <v>2</v>
      </c>
      <c r="O15" s="69">
        <f t="shared" ca="1" si="1"/>
        <v>1</v>
      </c>
      <c r="P15" s="70">
        <f ca="1">IF(O15=1,COUNTIF($O$1:$O15,1),"")</f>
        <v>15</v>
      </c>
      <c r="Q15" s="46" t="str">
        <f ca="1">IFERROR(INDEX($L$1:$L$500,MATCH(ROWS($P$1:$P15),$P$1:$P$500,0)),"")</f>
        <v>C:\Library\Quotation\Template Quote -Techwork Labs.docx</v>
      </c>
      <c r="R15" s="71" t="str">
        <f t="shared" ca="1" si="3"/>
        <v>Template Quote -Techwork Labs.docx</v>
      </c>
    </row>
    <row r="16" spans="1:18">
      <c r="A16" t="s">
        <v>483</v>
      </c>
      <c r="E16" t="s">
        <v>499</v>
      </c>
      <c r="F16" t="s">
        <v>506</v>
      </c>
      <c r="H16"/>
      <c r="I16"/>
      <c r="J16" s="69">
        <f t="shared" ca="1" si="2"/>
        <v>0</v>
      </c>
      <c r="K16" s="70" t="str">
        <f ca="1">IF(J16=1,COUNTIF($J$1:$J16,1),"")</f>
        <v/>
      </c>
      <c r="L16" s="46" t="str">
        <f ca="1">IFERROR(INDEX($A$1:$A$500,MATCH(ROWS($K$1:$K16),$K$1:$K$500,0)),"")</f>
        <v>C:\Library\Quotation\Template Quote -均悟.docx</v>
      </c>
      <c r="M16" s="71" t="str">
        <f t="shared" ca="1" si="0"/>
        <v>Template Quote -均悟.docx</v>
      </c>
      <c r="N16" s="73" t="s">
        <v>2</v>
      </c>
      <c r="O16" s="69">
        <f t="shared" ca="1" si="1"/>
        <v>1</v>
      </c>
      <c r="P16" s="70">
        <f ca="1">IF(O16=1,COUNTIF($O$1:$O16,1),"")</f>
        <v>16</v>
      </c>
      <c r="Q16" s="46" t="str">
        <f ca="1">IFERROR(INDEX($L$1:$L$500,MATCH(ROWS($P$1:$P16),$P$1:$P$500,0)),"")</f>
        <v>C:\Library\Quotation\Template Quote -均悟.docx</v>
      </c>
      <c r="R16" s="71" t="str">
        <f t="shared" ca="1" si="3"/>
        <v>Template Quote -均悟.docx</v>
      </c>
    </row>
    <row r="17" spans="1:18">
      <c r="A17" t="s">
        <v>484</v>
      </c>
      <c r="E17" t="s">
        <v>499</v>
      </c>
      <c r="F17" t="s">
        <v>507</v>
      </c>
      <c r="H17"/>
      <c r="I17"/>
      <c r="J17" s="69">
        <f t="shared" ca="1" si="2"/>
        <v>0</v>
      </c>
      <c r="K17" s="70" t="str">
        <f ca="1">IF(J17=1,COUNTIF($J$1:$J17,1),"")</f>
        <v/>
      </c>
      <c r="L17" s="46" t="str">
        <f ca="1">IFERROR(INDEX($A$1:$A$500,MATCH(ROWS($K$1:$K17),$K$1:$K$500,0)),"")</f>
        <v/>
      </c>
      <c r="M17" s="71" t="str">
        <f t="shared" ca="1" si="0"/>
        <v/>
      </c>
      <c r="N17" s="73" t="s">
        <v>2</v>
      </c>
      <c r="O17" s="69">
        <f t="shared" ca="1" si="1"/>
        <v>0</v>
      </c>
      <c r="P17" s="70" t="str">
        <f ca="1">IF(O17=1,COUNTIF($O$1:$O17,1),"")</f>
        <v/>
      </c>
      <c r="Q17" s="46" t="str">
        <f ca="1">IFERROR(INDEX($L$1:$L$500,MATCH(ROWS($P$1:$P17),$P$1:$P$500,0)),"")</f>
        <v/>
      </c>
      <c r="R17" s="71" t="str">
        <f t="shared" ca="1" si="3"/>
        <v/>
      </c>
    </row>
    <row r="18" spans="1:18">
      <c r="A18" t="s">
        <v>485</v>
      </c>
      <c r="E18" t="s">
        <v>499</v>
      </c>
      <c r="F18" t="s">
        <v>508</v>
      </c>
      <c r="H18"/>
      <c r="I18"/>
      <c r="J18" s="69">
        <f t="shared" ca="1" si="2"/>
        <v>0</v>
      </c>
      <c r="K18" s="70" t="str">
        <f ca="1">IF(J18=1,COUNTIF($J$1:$J18,1),"")</f>
        <v/>
      </c>
      <c r="L18" s="46" t="str">
        <f ca="1">IFERROR(INDEX($A$1:$A$500,MATCH(ROWS($K$1:$K18),$K$1:$K$500,0)),"")</f>
        <v/>
      </c>
      <c r="M18" s="71" t="str">
        <f t="shared" ca="1" si="0"/>
        <v/>
      </c>
      <c r="N18" s="73" t="s">
        <v>2</v>
      </c>
      <c r="O18" s="69">
        <f t="shared" ca="1" si="1"/>
        <v>0</v>
      </c>
      <c r="P18" s="70" t="str">
        <f ca="1">IF(O18=1,COUNTIF($O$1:$O18,1),"")</f>
        <v/>
      </c>
      <c r="Q18" s="46" t="str">
        <f ca="1">IFERROR(INDEX($L$1:$L$500,MATCH(ROWS($P$1:$P18),$P$1:$P$500,0)),"")</f>
        <v/>
      </c>
      <c r="R18" s="71" t="str">
        <f t="shared" ca="1" si="3"/>
        <v/>
      </c>
    </row>
    <row r="19" spans="1:18">
      <c r="A19" t="s">
        <v>486</v>
      </c>
      <c r="E19" t="s">
        <v>499</v>
      </c>
      <c r="F19" t="s">
        <v>509</v>
      </c>
      <c r="H19"/>
      <c r="I19"/>
      <c r="J19" s="69">
        <f t="shared" ca="1" si="2"/>
        <v>0</v>
      </c>
      <c r="K19" s="70" t="str">
        <f ca="1">IF(J19=1,COUNTIF($J$1:$J19,1),"")</f>
        <v/>
      </c>
      <c r="L19" s="46" t="str">
        <f ca="1">IFERROR(INDEX($A$1:$A$500,MATCH(ROWS($K$1:$K19),$K$1:$K$500,0)),"")</f>
        <v/>
      </c>
      <c r="M19" s="71" t="str">
        <f t="shared" ca="1" si="0"/>
        <v/>
      </c>
      <c r="N19" s="73" t="s">
        <v>2</v>
      </c>
      <c r="O19" s="69">
        <f t="shared" ca="1" si="1"/>
        <v>0</v>
      </c>
      <c r="P19" s="70" t="str">
        <f ca="1">IF(O19=1,COUNTIF($O$1:$O19,1),"")</f>
        <v/>
      </c>
      <c r="Q19" s="46" t="str">
        <f ca="1">IFERROR(INDEX($L$1:$L$500,MATCH(ROWS($P$1:$P19),$P$1:$P$500,0)),"")</f>
        <v/>
      </c>
      <c r="R19" s="71" t="str">
        <f t="shared" ca="1" si="3"/>
        <v/>
      </c>
    </row>
    <row r="20" spans="1:18">
      <c r="A20" t="s">
        <v>487</v>
      </c>
      <c r="E20" t="s">
        <v>499</v>
      </c>
      <c r="F20" t="s">
        <v>395</v>
      </c>
      <c r="H20"/>
      <c r="I20"/>
      <c r="J20" s="69">
        <f t="shared" ca="1" si="2"/>
        <v>0</v>
      </c>
      <c r="K20" s="70" t="str">
        <f ca="1">IF(J20=1,COUNTIF($J$1:$J20,1),"")</f>
        <v/>
      </c>
      <c r="L20" s="46" t="str">
        <f ca="1">IFERROR(INDEX($A$1:$A$500,MATCH(ROWS($K$1:$K20),$K$1:$K$500,0)),"")</f>
        <v/>
      </c>
      <c r="M20" s="71" t="str">
        <f t="shared" ca="1" si="0"/>
        <v/>
      </c>
      <c r="N20" s="73" t="s">
        <v>2</v>
      </c>
      <c r="O20" s="69">
        <f t="shared" ca="1" si="1"/>
        <v>0</v>
      </c>
      <c r="P20" s="70" t="str">
        <f ca="1">IF(O20=1,COUNTIF($O$1:$O20,1),"")</f>
        <v/>
      </c>
      <c r="Q20" s="46" t="str">
        <f ca="1">IFERROR(INDEX($L$1:$L$500,MATCH(ROWS($P$1:$P20),$P$1:$P$500,0)),"")</f>
        <v/>
      </c>
      <c r="R20" s="71" t="str">
        <f t="shared" ca="1" si="3"/>
        <v/>
      </c>
    </row>
    <row r="21" spans="1:18">
      <c r="A21" t="s">
        <v>488</v>
      </c>
      <c r="E21" t="s">
        <v>101</v>
      </c>
      <c r="F21" t="s">
        <v>510</v>
      </c>
      <c r="H21"/>
      <c r="I21"/>
      <c r="J21" s="69">
        <f t="shared" ca="1" si="2"/>
        <v>1</v>
      </c>
      <c r="K21" s="70">
        <f ca="1">IF(J21=1,COUNTIF($J$1:$J21,1),"")</f>
        <v>1</v>
      </c>
      <c r="L21" s="46" t="str">
        <f ca="1">IFERROR(INDEX($A$1:$A$500,MATCH(ROWS($K$1:$K21),$K$1:$K$500,0)),"")</f>
        <v/>
      </c>
      <c r="M21" s="71" t="str">
        <f t="shared" ca="1" si="0"/>
        <v/>
      </c>
      <c r="N21" s="73" t="s">
        <v>2</v>
      </c>
      <c r="O21" s="69">
        <f t="shared" ca="1" si="1"/>
        <v>0</v>
      </c>
      <c r="P21" s="70" t="str">
        <f ca="1">IF(O21=1,COUNTIF($O$1:$O21,1),"")</f>
        <v/>
      </c>
      <c r="Q21" s="46" t="str">
        <f ca="1">IFERROR(INDEX($L$1:$L$500,MATCH(ROWS($P$1:$P21),$P$1:$P$500,0)),"")</f>
        <v/>
      </c>
      <c r="R21" s="71" t="str">
        <f t="shared" ca="1" si="3"/>
        <v/>
      </c>
    </row>
    <row r="22" spans="1:18">
      <c r="A22" t="s">
        <v>374</v>
      </c>
      <c r="E22" t="s">
        <v>101</v>
      </c>
      <c r="F22" t="s">
        <v>110</v>
      </c>
      <c r="H22"/>
      <c r="I22"/>
      <c r="J22" s="69">
        <f t="shared" ca="1" si="2"/>
        <v>1</v>
      </c>
      <c r="K22" s="70">
        <f ca="1">IF(J22=1,COUNTIF($J$1:$J22,1),"")</f>
        <v>2</v>
      </c>
      <c r="L22" s="46" t="str">
        <f ca="1">IFERROR(INDEX($A$1:$A$500,MATCH(ROWS($K$1:$K22),$K$1:$K$500,0)),"")</f>
        <v/>
      </c>
      <c r="M22" s="71" t="str">
        <f t="shared" ca="1" si="0"/>
        <v/>
      </c>
      <c r="N22" s="73" t="s">
        <v>2</v>
      </c>
      <c r="O22" s="69">
        <f t="shared" ca="1" si="1"/>
        <v>0</v>
      </c>
      <c r="P22" s="70" t="str">
        <f ca="1">IF(O22=1,COUNTIF($O$1:$O22,1),"")</f>
        <v/>
      </c>
      <c r="Q22" s="46" t="str">
        <f ca="1">IFERROR(INDEX($L$1:$L$500,MATCH(ROWS($P$1:$P22),$P$1:$P$500,0)),"")</f>
        <v/>
      </c>
      <c r="R22" s="71" t="str">
        <f t="shared" ca="1" si="3"/>
        <v/>
      </c>
    </row>
    <row r="23" spans="1:18">
      <c r="A23" t="s">
        <v>375</v>
      </c>
      <c r="E23" t="s">
        <v>101</v>
      </c>
      <c r="F23" t="s">
        <v>379</v>
      </c>
      <c r="H23"/>
      <c r="I23"/>
      <c r="J23" s="69">
        <f t="shared" ca="1" si="2"/>
        <v>1</v>
      </c>
      <c r="K23" s="70">
        <f ca="1">IF(J23=1,COUNTIF($J$1:$J23,1),"")</f>
        <v>3</v>
      </c>
      <c r="L23" s="46" t="str">
        <f ca="1">IFERROR(INDEX($A$1:$A$500,MATCH(ROWS($K$1:$K23),$K$1:$K$500,0)),"")</f>
        <v/>
      </c>
      <c r="M23" s="71" t="str">
        <f t="shared" ca="1" si="0"/>
        <v/>
      </c>
      <c r="N23" s="73" t="s">
        <v>2</v>
      </c>
      <c r="O23" s="69">
        <f t="shared" ca="1" si="1"/>
        <v>0</v>
      </c>
      <c r="P23" s="70" t="str">
        <f ca="1">IF(O23=1,COUNTIF($O$1:$O23,1),"")</f>
        <v/>
      </c>
      <c r="Q23" s="46" t="str">
        <f ca="1">IFERROR(INDEX($L$1:$L$500,MATCH(ROWS($P$1:$P23),$P$1:$P$500,0)),"")</f>
        <v/>
      </c>
      <c r="R23" s="71" t="str">
        <f t="shared" ca="1" si="3"/>
        <v/>
      </c>
    </row>
    <row r="24" spans="1:18">
      <c r="A24" t="s">
        <v>385</v>
      </c>
      <c r="E24" t="s">
        <v>101</v>
      </c>
      <c r="F24" t="s">
        <v>388</v>
      </c>
      <c r="H24"/>
      <c r="I24"/>
      <c r="J24" s="69">
        <f t="shared" ca="1" si="2"/>
        <v>1</v>
      </c>
      <c r="K24" s="70">
        <f ca="1">IF(J24=1,COUNTIF($J$1:$J24,1),"")</f>
        <v>4</v>
      </c>
      <c r="L24" s="46" t="str">
        <f ca="1">IFERROR(INDEX($A$1:$A$500,MATCH(ROWS($K$1:$K24),$K$1:$K$500,0)),"")</f>
        <v/>
      </c>
      <c r="M24" s="71" t="str">
        <f t="shared" ca="1" si="0"/>
        <v/>
      </c>
      <c r="N24" s="73" t="s">
        <v>2</v>
      </c>
      <c r="O24" s="69">
        <f t="shared" ca="1" si="1"/>
        <v>0</v>
      </c>
      <c r="P24" s="70" t="str">
        <f ca="1">IF(O24=1,COUNTIF($O$1:$O24,1),"")</f>
        <v/>
      </c>
      <c r="Q24" s="46" t="str">
        <f ca="1">IFERROR(INDEX($L$1:$L$500,MATCH(ROWS($P$1:$P24),$P$1:$P$500,0)),"")</f>
        <v/>
      </c>
      <c r="R24" s="71" t="str">
        <f t="shared" ca="1" si="3"/>
        <v/>
      </c>
    </row>
    <row r="25" spans="1:18">
      <c r="A25" t="s">
        <v>386</v>
      </c>
      <c r="E25" t="s">
        <v>101</v>
      </c>
      <c r="F25" t="s">
        <v>389</v>
      </c>
      <c r="H25"/>
      <c r="I25"/>
      <c r="J25" s="69">
        <f t="shared" ca="1" si="2"/>
        <v>1</v>
      </c>
      <c r="K25" s="70">
        <f ca="1">IF(J25=1,COUNTIF($J$1:$J25,1),"")</f>
        <v>5</v>
      </c>
      <c r="L25" s="46" t="str">
        <f ca="1">IFERROR(INDEX($A$1:$A$500,MATCH(ROWS($K$1:$K25),$K$1:$K$500,0)),"")</f>
        <v/>
      </c>
      <c r="M25" s="71" t="str">
        <f t="shared" ca="1" si="0"/>
        <v/>
      </c>
      <c r="N25" s="73" t="s">
        <v>2</v>
      </c>
      <c r="O25" s="69">
        <f t="shared" ca="1" si="1"/>
        <v>0</v>
      </c>
      <c r="P25" s="70" t="str">
        <f ca="1">IF(O25=1,COUNTIF($O$1:$O25,1),"")</f>
        <v/>
      </c>
      <c r="Q25" s="46" t="str">
        <f ca="1">IFERROR(INDEX($L$1:$L$500,MATCH(ROWS($P$1:$P25),$P$1:$P$500,0)),"")</f>
        <v/>
      </c>
      <c r="R25" s="71" t="str">
        <f t="shared" ca="1" si="3"/>
        <v/>
      </c>
    </row>
    <row r="26" spans="1:18">
      <c r="A26" t="s">
        <v>489</v>
      </c>
      <c r="E26" t="s">
        <v>101</v>
      </c>
      <c r="F26" t="s">
        <v>511</v>
      </c>
      <c r="H26"/>
      <c r="I26"/>
      <c r="J26" s="69">
        <f t="shared" ca="1" si="2"/>
        <v>1</v>
      </c>
      <c r="K26" s="70">
        <f ca="1">IF(J26=1,COUNTIF($J$1:$J26,1),"")</f>
        <v>6</v>
      </c>
      <c r="L26" s="46" t="str">
        <f ca="1">IFERROR(INDEX($A$1:$A$500,MATCH(ROWS($K$1:$K26),$K$1:$K$500,0)),"")</f>
        <v/>
      </c>
      <c r="M26" s="71" t="str">
        <f t="shared" ca="1" si="0"/>
        <v/>
      </c>
      <c r="N26" s="73" t="s">
        <v>2</v>
      </c>
      <c r="O26" s="69">
        <f t="shared" ca="1" si="1"/>
        <v>0</v>
      </c>
      <c r="P26" s="70" t="str">
        <f ca="1">IF(O26=1,COUNTIF($O$1:$O26,1),"")</f>
        <v/>
      </c>
      <c r="Q26" s="46" t="str">
        <f ca="1">IFERROR(INDEX($L$1:$L$500,MATCH(ROWS($P$1:$P26),$P$1:$P$500,0)),"")</f>
        <v/>
      </c>
      <c r="R26" s="71" t="str">
        <f t="shared" ca="1" si="3"/>
        <v/>
      </c>
    </row>
    <row r="27" spans="1:18">
      <c r="A27" t="s">
        <v>376</v>
      </c>
      <c r="E27" t="s">
        <v>101</v>
      </c>
      <c r="F27" t="s">
        <v>380</v>
      </c>
      <c r="H27"/>
      <c r="I27"/>
      <c r="J27" s="69">
        <f t="shared" ca="1" si="2"/>
        <v>1</v>
      </c>
      <c r="K27" s="70">
        <f ca="1">IF(J27=1,COUNTIF($J$1:$J27,1),"")</f>
        <v>7</v>
      </c>
      <c r="L27" s="46" t="str">
        <f ca="1">IFERROR(INDEX($A$1:$A$500,MATCH(ROWS($K$1:$K27),$K$1:$K$500,0)),"")</f>
        <v/>
      </c>
      <c r="M27" s="71" t="str">
        <f t="shared" ca="1" si="0"/>
        <v/>
      </c>
      <c r="N27" s="73" t="s">
        <v>2</v>
      </c>
      <c r="O27" s="69">
        <f t="shared" ca="1" si="1"/>
        <v>0</v>
      </c>
      <c r="P27" s="70" t="str">
        <f ca="1">IF(O27=1,COUNTIF($O$1:$O27,1),"")</f>
        <v/>
      </c>
      <c r="Q27" s="46" t="str">
        <f ca="1">IFERROR(INDEX($L$1:$L$500,MATCH(ROWS($P$1:$P27),$P$1:$P$500,0)),"")</f>
        <v/>
      </c>
      <c r="R27" s="71" t="str">
        <f t="shared" ca="1" si="3"/>
        <v/>
      </c>
    </row>
    <row r="28" spans="1:18">
      <c r="A28" t="s">
        <v>377</v>
      </c>
      <c r="E28" t="s">
        <v>101</v>
      </c>
      <c r="F28" t="s">
        <v>381</v>
      </c>
      <c r="H28"/>
      <c r="I28"/>
      <c r="J28" s="69">
        <f t="shared" ca="1" si="2"/>
        <v>1</v>
      </c>
      <c r="K28" s="70">
        <f ca="1">IF(J28=1,COUNTIF($J$1:$J28,1),"")</f>
        <v>8</v>
      </c>
      <c r="L28" s="46" t="str">
        <f ca="1">IFERROR(INDEX($A$1:$A$500,MATCH(ROWS($K$1:$K28),$K$1:$K$500,0)),"")</f>
        <v/>
      </c>
      <c r="M28" s="71" t="str">
        <f t="shared" ca="1" si="0"/>
        <v/>
      </c>
      <c r="N28" s="73" t="s">
        <v>2</v>
      </c>
      <c r="O28" s="69">
        <f t="shared" ca="1" si="1"/>
        <v>0</v>
      </c>
      <c r="P28" s="70" t="str">
        <f ca="1">IF(O28=1,COUNTIF($O$1:$O28,1),"")</f>
        <v/>
      </c>
      <c r="Q28" s="46" t="str">
        <f ca="1">IFERROR(INDEX($L$1:$L$500,MATCH(ROWS($P$1:$P28),$P$1:$P$500,0)),"")</f>
        <v/>
      </c>
      <c r="R28" s="71" t="str">
        <f t="shared" ca="1" si="3"/>
        <v/>
      </c>
    </row>
    <row r="29" spans="1:18">
      <c r="A29" t="s">
        <v>490</v>
      </c>
      <c r="E29" t="s">
        <v>101</v>
      </c>
      <c r="F29" t="s">
        <v>512</v>
      </c>
      <c r="H29"/>
      <c r="I29"/>
      <c r="J29" s="69">
        <f t="shared" ca="1" si="2"/>
        <v>1</v>
      </c>
      <c r="K29" s="70">
        <f ca="1">IF(J29=1,COUNTIF($J$1:$J29,1),"")</f>
        <v>9</v>
      </c>
      <c r="L29" s="46" t="str">
        <f ca="1">IFERROR(INDEX($A$1:$A$500,MATCH(ROWS($K$1:$K29),$K$1:$K$500,0)),"")</f>
        <v/>
      </c>
      <c r="M29" s="71" t="str">
        <f t="shared" ca="1" si="0"/>
        <v/>
      </c>
      <c r="N29" s="73" t="s">
        <v>2</v>
      </c>
      <c r="O29" s="69">
        <f t="shared" ca="1" si="1"/>
        <v>0</v>
      </c>
      <c r="P29" s="70" t="str">
        <f ca="1">IF(O29=1,COUNTIF($O$1:$O29,1),"")</f>
        <v/>
      </c>
      <c r="Q29" s="46" t="str">
        <f ca="1">IFERROR(INDEX($L$1:$L$500,MATCH(ROWS($P$1:$P29),$P$1:$P$500,0)),"")</f>
        <v/>
      </c>
      <c r="R29" s="71" t="str">
        <f t="shared" ca="1" si="3"/>
        <v/>
      </c>
    </row>
    <row r="30" spans="1:18">
      <c r="A30" t="s">
        <v>491</v>
      </c>
      <c r="E30" t="s">
        <v>101</v>
      </c>
      <c r="F30" t="s">
        <v>513</v>
      </c>
      <c r="H30"/>
      <c r="I30"/>
      <c r="J30" s="69">
        <f t="shared" ca="1" si="2"/>
        <v>1</v>
      </c>
      <c r="K30" s="70">
        <f ca="1">IF(J30=1,COUNTIF($J$1:$J30,1),"")</f>
        <v>10</v>
      </c>
      <c r="L30" s="46" t="str">
        <f ca="1">IFERROR(INDEX($A$1:$A$500,MATCH(ROWS($K$1:$K30),$K$1:$K$500,0)),"")</f>
        <v/>
      </c>
      <c r="M30" s="71" t="str">
        <f t="shared" ca="1" si="0"/>
        <v/>
      </c>
      <c r="N30" s="73" t="s">
        <v>2</v>
      </c>
      <c r="O30" s="69">
        <f t="shared" ca="1" si="1"/>
        <v>0</v>
      </c>
      <c r="P30" s="70" t="str">
        <f ca="1">IF(O30=1,COUNTIF($O$1:$O30,1),"")</f>
        <v/>
      </c>
      <c r="Q30" s="46" t="str">
        <f ca="1">IFERROR(INDEX($L$1:$L$500,MATCH(ROWS($P$1:$P30),$P$1:$P$500,0)),"")</f>
        <v/>
      </c>
      <c r="R30" s="71" t="str">
        <f t="shared" ca="1" si="3"/>
        <v/>
      </c>
    </row>
    <row r="31" spans="1:18">
      <c r="A31" t="s">
        <v>378</v>
      </c>
      <c r="E31" t="s">
        <v>101</v>
      </c>
      <c r="F31" t="s">
        <v>382</v>
      </c>
      <c r="H31"/>
      <c r="I31"/>
      <c r="J31" s="69">
        <f t="shared" ca="1" si="2"/>
        <v>1</v>
      </c>
      <c r="K31" s="70">
        <f ca="1">IF(J31=1,COUNTIF($J$1:$J31,1),"")</f>
        <v>11</v>
      </c>
      <c r="L31" s="46" t="str">
        <f ca="1">IFERROR(INDEX($A$1:$A$500,MATCH(ROWS($K$1:$K31),$K$1:$K$500,0)),"")</f>
        <v/>
      </c>
      <c r="M31" s="71" t="str">
        <f t="shared" ca="1" si="0"/>
        <v/>
      </c>
      <c r="N31" s="73" t="s">
        <v>2</v>
      </c>
      <c r="O31" s="69">
        <f t="shared" ca="1" si="1"/>
        <v>0</v>
      </c>
      <c r="P31" s="70" t="str">
        <f ca="1">IF(O31=1,COUNTIF($O$1:$O31,1),"")</f>
        <v/>
      </c>
      <c r="Q31" s="46" t="str">
        <f ca="1">IFERROR(INDEX($L$1:$L$500,MATCH(ROWS($P$1:$P31),$P$1:$P$500,0)),"")</f>
        <v/>
      </c>
      <c r="R31" s="71" t="str">
        <f t="shared" ca="1" si="3"/>
        <v/>
      </c>
    </row>
    <row r="32" spans="1:18">
      <c r="A32" t="s">
        <v>387</v>
      </c>
      <c r="E32" t="s">
        <v>101</v>
      </c>
      <c r="F32" t="s">
        <v>390</v>
      </c>
      <c r="H32"/>
      <c r="I32"/>
      <c r="J32" s="69">
        <f t="shared" ca="1" si="2"/>
        <v>1</v>
      </c>
      <c r="K32" s="70">
        <f ca="1">IF(J32=1,COUNTIF($J$1:$J32,1),"")</f>
        <v>12</v>
      </c>
      <c r="L32" s="46" t="str">
        <f ca="1">IFERROR(INDEX($A$1:$A$500,MATCH(ROWS($K$1:$K32),$K$1:$K$500,0)),"")</f>
        <v/>
      </c>
      <c r="M32" s="71" t="str">
        <f t="shared" ca="1" si="0"/>
        <v/>
      </c>
      <c r="N32" s="73" t="s">
        <v>2</v>
      </c>
      <c r="O32" s="69">
        <f t="shared" ca="1" si="1"/>
        <v>0</v>
      </c>
      <c r="P32" s="70" t="str">
        <f ca="1">IF(O32=1,COUNTIF($O$1:$O32,1),"")</f>
        <v/>
      </c>
      <c r="Q32" s="46" t="str">
        <f ca="1">IFERROR(INDEX($L$1:$L$500,MATCH(ROWS($P$1:$P32),$P$1:$P$500,0)),"")</f>
        <v/>
      </c>
      <c r="R32" s="71" t="str">
        <f t="shared" ca="1" si="3"/>
        <v/>
      </c>
    </row>
    <row r="33" spans="1:18">
      <c r="A33" t="s">
        <v>492</v>
      </c>
      <c r="E33" t="s">
        <v>101</v>
      </c>
      <c r="F33" t="s">
        <v>514</v>
      </c>
      <c r="H33"/>
      <c r="I33"/>
      <c r="J33" s="69">
        <f t="shared" ca="1" si="2"/>
        <v>1</v>
      </c>
      <c r="K33" s="70">
        <f ca="1">IF(J33=1,COUNTIF($J$1:$J33,1),"")</f>
        <v>13</v>
      </c>
      <c r="L33" s="46" t="str">
        <f ca="1">IFERROR(INDEX($A$1:$A$500,MATCH(ROWS($K$1:$K33),$K$1:$K$500,0)),"")</f>
        <v/>
      </c>
      <c r="M33" s="71" t="str">
        <f t="shared" ca="1" si="0"/>
        <v/>
      </c>
      <c r="N33" s="73" t="s">
        <v>2</v>
      </c>
      <c r="O33" s="69">
        <f t="shared" ca="1" si="1"/>
        <v>0</v>
      </c>
      <c r="P33" s="70" t="str">
        <f ca="1">IF(O33=1,COUNTIF($O$1:$O33,1),"")</f>
        <v/>
      </c>
      <c r="Q33" s="46" t="str">
        <f ca="1">IFERROR(INDEX($L$1:$L$500,MATCH(ROWS($P$1:$P33),$P$1:$P$500,0)),"")</f>
        <v/>
      </c>
      <c r="R33" s="71" t="str">
        <f t="shared" ca="1" si="3"/>
        <v/>
      </c>
    </row>
    <row r="34" spans="1:18">
      <c r="A34" t="s">
        <v>493</v>
      </c>
      <c r="E34" t="s">
        <v>101</v>
      </c>
      <c r="F34" t="s">
        <v>515</v>
      </c>
      <c r="H34"/>
      <c r="I34"/>
      <c r="J34" s="69">
        <f t="shared" ca="1" si="2"/>
        <v>1</v>
      </c>
      <c r="K34" s="70">
        <f ca="1">IF(J34=1,COUNTIF($J$1:$J34,1),"")</f>
        <v>14</v>
      </c>
      <c r="L34" s="46" t="str">
        <f ca="1">IFERROR(INDEX($A$1:$A$500,MATCH(ROWS($K$1:$K34),$K$1:$K$500,0)),"")</f>
        <v/>
      </c>
      <c r="M34" s="71" t="str">
        <f t="shared" ca="1" si="0"/>
        <v/>
      </c>
      <c r="N34" s="73" t="s">
        <v>2</v>
      </c>
      <c r="O34" s="69">
        <f t="shared" ca="1" si="1"/>
        <v>0</v>
      </c>
      <c r="P34" s="70" t="str">
        <f ca="1">IF(O34=1,COUNTIF($O$1:$O34,1),"")</f>
        <v/>
      </c>
      <c r="Q34" s="46" t="str">
        <f ca="1">IFERROR(INDEX($L$1:$L$500,MATCH(ROWS($P$1:$P34),$P$1:$P$500,0)),"")</f>
        <v/>
      </c>
      <c r="R34" s="71" t="str">
        <f t="shared" ca="1" si="3"/>
        <v/>
      </c>
    </row>
    <row r="35" spans="1:18">
      <c r="A35" t="s">
        <v>494</v>
      </c>
      <c r="E35" t="s">
        <v>101</v>
      </c>
      <c r="F35" t="s">
        <v>516</v>
      </c>
      <c r="H35"/>
      <c r="I35"/>
      <c r="J35" s="69">
        <f t="shared" ca="1" si="2"/>
        <v>1</v>
      </c>
      <c r="K35" s="70">
        <f ca="1">IF(J35=1,COUNTIF($J$1:$J35,1),"")</f>
        <v>15</v>
      </c>
      <c r="L35" s="46" t="str">
        <f ca="1">IFERROR(INDEX($A$1:$A$500,MATCH(ROWS($K$1:$K35),$K$1:$K$500,0)),"")</f>
        <v/>
      </c>
      <c r="M35" s="71" t="str">
        <f t="shared" ca="1" si="0"/>
        <v/>
      </c>
      <c r="N35" s="73" t="s">
        <v>2</v>
      </c>
      <c r="O35" s="69">
        <f t="shared" ca="1" si="1"/>
        <v>0</v>
      </c>
      <c r="P35" s="70" t="str">
        <f ca="1">IF(O35=1,COUNTIF($O$1:$O35,1),"")</f>
        <v/>
      </c>
      <c r="Q35" s="46" t="str">
        <f ca="1">IFERROR(INDEX($L$1:$L$500,MATCH(ROWS($P$1:$P35),$P$1:$P$500,0)),"")</f>
        <v/>
      </c>
      <c r="R35" s="71" t="str">
        <f t="shared" ca="1" si="3"/>
        <v/>
      </c>
    </row>
    <row r="36" spans="1:18">
      <c r="A36" t="s">
        <v>495</v>
      </c>
      <c r="E36" t="s">
        <v>101</v>
      </c>
      <c r="F36" t="s">
        <v>517</v>
      </c>
      <c r="H36"/>
      <c r="I36"/>
      <c r="J36" s="69">
        <f t="shared" ca="1" si="2"/>
        <v>1</v>
      </c>
      <c r="K36" s="70">
        <f ca="1">IF(J36=1,COUNTIF($J$1:$J36,1),"")</f>
        <v>16</v>
      </c>
      <c r="L36" s="46" t="str">
        <f ca="1">IFERROR(INDEX($A$1:$A$500,MATCH(ROWS($K$1:$K36),$K$1:$K$500,0)),"")</f>
        <v/>
      </c>
      <c r="M36" s="71" t="str">
        <f t="shared" ca="1" si="0"/>
        <v/>
      </c>
      <c r="N36" s="73" t="s">
        <v>2</v>
      </c>
      <c r="O36" s="69">
        <f t="shared" ca="1" si="1"/>
        <v>0</v>
      </c>
      <c r="P36" s="70" t="str">
        <f ca="1">IF(O36=1,COUNTIF($O$1:$O36,1),"")</f>
        <v/>
      </c>
      <c r="Q36" s="46" t="str">
        <f ca="1">IFERROR(INDEX($L$1:$L$500,MATCH(ROWS($P$1:$P36),$P$1:$P$500,0)),"")</f>
        <v/>
      </c>
      <c r="R36" s="71" t="str">
        <f t="shared" ca="1" si="3"/>
        <v/>
      </c>
    </row>
    <row r="37" spans="1:18">
      <c r="H37"/>
      <c r="I37"/>
      <c r="J37" s="69">
        <f t="shared" ca="1" si="2"/>
        <v>0</v>
      </c>
      <c r="K37" s="70" t="str">
        <f ca="1">IF(J37=1,COUNTIF($J$1:$J37,1),"")</f>
        <v/>
      </c>
      <c r="L37" s="46" t="str">
        <f ca="1">IFERROR(INDEX($A$1:$A$500,MATCH(ROWS($K$1:$K37),$K$1:$K$500,0)),"")</f>
        <v/>
      </c>
      <c r="M37" s="71" t="str">
        <f t="shared" ca="1" si="0"/>
        <v/>
      </c>
      <c r="N37" s="73" t="s">
        <v>2</v>
      </c>
      <c r="O37" s="69">
        <f t="shared" ca="1" si="1"/>
        <v>0</v>
      </c>
      <c r="P37" s="70" t="str">
        <f ca="1">IF(O37=1,COUNTIF($O$1:$O37,1),"")</f>
        <v/>
      </c>
      <c r="Q37" s="46" t="str">
        <f ca="1">IFERROR(INDEX($L$1:$L$500,MATCH(ROWS($P$1:$P37),$P$1:$P$500,0)),"")</f>
        <v/>
      </c>
      <c r="R37" s="71" t="str">
        <f t="shared" ca="1" si="3"/>
        <v/>
      </c>
    </row>
    <row r="38" spans="1:18">
      <c r="H38"/>
      <c r="I38"/>
      <c r="J38" s="69">
        <f t="shared" ca="1" si="2"/>
        <v>0</v>
      </c>
      <c r="K38" s="70" t="str">
        <f ca="1">IF(J38=1,COUNTIF($J$1:$J38,1),"")</f>
        <v/>
      </c>
      <c r="L38" s="46" t="str">
        <f ca="1">IFERROR(INDEX($A$1:$A$500,MATCH(ROWS($K$1:$K38),$K$1:$K$500,0)),"")</f>
        <v/>
      </c>
      <c r="M38" s="71" t="str">
        <f t="shared" ca="1" si="0"/>
        <v/>
      </c>
      <c r="N38" s="73" t="s">
        <v>2</v>
      </c>
      <c r="O38" s="69">
        <f t="shared" ca="1" si="1"/>
        <v>0</v>
      </c>
      <c r="P38" s="70" t="str">
        <f ca="1">IF(O38=1,COUNTIF($O$1:$O38,1),"")</f>
        <v/>
      </c>
      <c r="Q38" s="46" t="str">
        <f ca="1">IFERROR(INDEX($L$1:$L$500,MATCH(ROWS($P$1:$P38),$P$1:$P$500,0)),"")</f>
        <v/>
      </c>
      <c r="R38" s="71" t="str">
        <f t="shared" ca="1" si="3"/>
        <v/>
      </c>
    </row>
    <row r="39" spans="1:18">
      <c r="H39"/>
      <c r="I39"/>
      <c r="J39" s="69">
        <f t="shared" ca="1" si="2"/>
        <v>0</v>
      </c>
      <c r="K39" s="70" t="str">
        <f ca="1">IF(J39=1,COUNTIF($J$1:$J39,1),"")</f>
        <v/>
      </c>
      <c r="L39" s="46" t="str">
        <f ca="1">IFERROR(INDEX($A$1:$A$500,MATCH(ROWS($K$1:$K39),$K$1:$K$500,0)),"")</f>
        <v/>
      </c>
      <c r="M39" s="71" t="str">
        <f t="shared" ca="1" si="0"/>
        <v/>
      </c>
      <c r="N39" s="73" t="s">
        <v>2</v>
      </c>
      <c r="O39" s="69">
        <f t="shared" ca="1" si="1"/>
        <v>0</v>
      </c>
      <c r="P39" s="70" t="str">
        <f ca="1">IF(O39=1,COUNTIF($O$1:$O39,1),"")</f>
        <v/>
      </c>
      <c r="Q39" s="46" t="str">
        <f ca="1">IFERROR(INDEX($L$1:$L$500,MATCH(ROWS($P$1:$P39),$P$1:$P$500,0)),"")</f>
        <v/>
      </c>
      <c r="R39" s="71" t="str">
        <f t="shared" ca="1" si="3"/>
        <v/>
      </c>
    </row>
    <row r="40" spans="1:18">
      <c r="H40"/>
      <c r="I40"/>
      <c r="J40" s="69">
        <f t="shared" ca="1" si="2"/>
        <v>0</v>
      </c>
      <c r="K40" s="70" t="str">
        <f ca="1">IF(J40=1,COUNTIF($J$1:$J40,1),"")</f>
        <v/>
      </c>
      <c r="L40" s="46" t="str">
        <f ca="1">IFERROR(INDEX($A$1:$A$500,MATCH(ROWS($K$1:$K40),$K$1:$K$500,0)),"")</f>
        <v/>
      </c>
      <c r="M40" s="71" t="str">
        <f t="shared" ca="1" si="0"/>
        <v/>
      </c>
      <c r="N40" s="73" t="s">
        <v>2</v>
      </c>
      <c r="O40" s="69">
        <f t="shared" ca="1" si="1"/>
        <v>0</v>
      </c>
      <c r="P40" s="70" t="str">
        <f ca="1">IF(O40=1,COUNTIF($O$1:$O40,1),"")</f>
        <v/>
      </c>
      <c r="Q40" s="46" t="str">
        <f ca="1">IFERROR(INDEX($L$1:$L$500,MATCH(ROWS($P$1:$P40),$P$1:$P$500,0)),"")</f>
        <v/>
      </c>
      <c r="R40" s="71" t="str">
        <f t="shared" ca="1" si="3"/>
        <v/>
      </c>
    </row>
    <row r="41" spans="1:18">
      <c r="H41"/>
      <c r="I41"/>
      <c r="J41" s="69">
        <f t="shared" ca="1" si="2"/>
        <v>0</v>
      </c>
      <c r="K41" s="70" t="str">
        <f ca="1">IF(J41=1,COUNTIF($J$1:$J41,1),"")</f>
        <v/>
      </c>
      <c r="L41" s="46" t="str">
        <f ca="1">IFERROR(INDEX($A$1:$A$500,MATCH(ROWS($K$1:$K41),$K$1:$K$500,0)),"")</f>
        <v/>
      </c>
      <c r="M41" s="71" t="str">
        <f t="shared" ca="1" si="0"/>
        <v/>
      </c>
      <c r="N41" s="73" t="s">
        <v>2</v>
      </c>
      <c r="O41" s="69">
        <f t="shared" ca="1" si="1"/>
        <v>0</v>
      </c>
      <c r="P41" s="70" t="str">
        <f ca="1">IF(O41=1,COUNTIF($O$1:$O41,1),"")</f>
        <v/>
      </c>
      <c r="Q41" s="46" t="str">
        <f ca="1">IFERROR(INDEX($L$1:$L$500,MATCH(ROWS($P$1:$P41),$P$1:$P$500,0)),"")</f>
        <v/>
      </c>
      <c r="R41" s="71" t="str">
        <f t="shared" ca="1" si="3"/>
        <v/>
      </c>
    </row>
    <row r="42" spans="1:18">
      <c r="H42"/>
      <c r="I42"/>
      <c r="J42" s="69">
        <f t="shared" ca="1" si="2"/>
        <v>0</v>
      </c>
      <c r="K42" s="70" t="str">
        <f ca="1">IF(J42=1,COUNTIF($J$1:$J42,1),"")</f>
        <v/>
      </c>
      <c r="L42" s="46" t="str">
        <f ca="1">IFERROR(INDEX($A$1:$A$500,MATCH(ROWS($K$1:$K42),$K$1:$K$500,0)),"")</f>
        <v/>
      </c>
      <c r="M42" s="71" t="str">
        <f t="shared" ca="1" si="0"/>
        <v/>
      </c>
      <c r="N42" s="73" t="s">
        <v>2</v>
      </c>
      <c r="O42" s="69">
        <f t="shared" ca="1" si="1"/>
        <v>0</v>
      </c>
      <c r="P42" s="70" t="str">
        <f ca="1">IF(O42=1,COUNTIF($O$1:$O42,1),"")</f>
        <v/>
      </c>
      <c r="Q42" s="46" t="str">
        <f ca="1">IFERROR(INDEX($L$1:$L$500,MATCH(ROWS($P$1:$P42),$P$1:$P$500,0)),"")</f>
        <v/>
      </c>
      <c r="R42" s="71" t="str">
        <f t="shared" ca="1" si="3"/>
        <v/>
      </c>
    </row>
    <row r="43" spans="1:18">
      <c r="H43"/>
      <c r="I43"/>
      <c r="J43" s="69">
        <f t="shared" ca="1" si="2"/>
        <v>0</v>
      </c>
      <c r="K43" s="70" t="str">
        <f ca="1">IF(J43=1,COUNTIF($J$1:$J43,1),"")</f>
        <v/>
      </c>
      <c r="L43" s="46" t="str">
        <f ca="1">IFERROR(INDEX($A$1:$A$500,MATCH(ROWS($K$1:$K43),$K$1:$K$500,0)),"")</f>
        <v/>
      </c>
      <c r="M43" s="71" t="str">
        <f t="shared" ca="1" si="0"/>
        <v/>
      </c>
      <c r="N43" s="73" t="s">
        <v>2</v>
      </c>
      <c r="O43" s="69">
        <f t="shared" ca="1" si="1"/>
        <v>0</v>
      </c>
      <c r="P43" s="70" t="str">
        <f ca="1">IF(O43=1,COUNTIF($O$1:$O43,1),"")</f>
        <v/>
      </c>
      <c r="Q43" s="46" t="str">
        <f ca="1">IFERROR(INDEX($L$1:$L$500,MATCH(ROWS($P$1:$P43),$P$1:$P$500,0)),"")</f>
        <v/>
      </c>
      <c r="R43" s="71" t="str">
        <f t="shared" ca="1" si="3"/>
        <v/>
      </c>
    </row>
    <row r="44" spans="1:18">
      <c r="H44"/>
      <c r="I44"/>
      <c r="J44" s="69">
        <f t="shared" ca="1" si="2"/>
        <v>0</v>
      </c>
      <c r="K44" s="70" t="str">
        <f ca="1">IF(J44=1,COUNTIF($J$1:$J44,1),"")</f>
        <v/>
      </c>
      <c r="L44" s="46" t="str">
        <f ca="1">IFERROR(INDEX($A$1:$A$500,MATCH(ROWS($K$1:$K44),$K$1:$K$500,0)),"")</f>
        <v/>
      </c>
      <c r="M44" s="71" t="str">
        <f t="shared" ca="1" si="0"/>
        <v/>
      </c>
      <c r="N44" s="73" t="s">
        <v>2</v>
      </c>
      <c r="O44" s="69">
        <f t="shared" ca="1" si="1"/>
        <v>0</v>
      </c>
      <c r="P44" s="70" t="str">
        <f ca="1">IF(O44=1,COUNTIF($O$1:$O44,1),"")</f>
        <v/>
      </c>
      <c r="Q44" s="46" t="str">
        <f ca="1">IFERROR(INDEX($L$1:$L$500,MATCH(ROWS($P$1:$P44),$P$1:$P$500,0)),"")</f>
        <v/>
      </c>
      <c r="R44" s="71" t="str">
        <f t="shared" ca="1" si="3"/>
        <v/>
      </c>
    </row>
    <row r="45" spans="1:18">
      <c r="H45"/>
      <c r="I45"/>
      <c r="J45" s="69">
        <f t="shared" ca="1" si="2"/>
        <v>0</v>
      </c>
      <c r="K45" s="70" t="str">
        <f ca="1">IF(J45=1,COUNTIF($J$1:$J45,1),"")</f>
        <v/>
      </c>
      <c r="L45" s="46" t="str">
        <f ca="1">IFERROR(INDEX($A$1:$A$500,MATCH(ROWS($K$1:$K45),$K$1:$K$500,0)),"")</f>
        <v/>
      </c>
      <c r="M45" s="71" t="str">
        <f t="shared" ca="1" si="0"/>
        <v/>
      </c>
      <c r="N45" s="73" t="s">
        <v>2</v>
      </c>
      <c r="O45" s="69">
        <f t="shared" ca="1" si="1"/>
        <v>0</v>
      </c>
      <c r="P45" s="70" t="str">
        <f ca="1">IF(O45=1,COUNTIF($O$1:$O45,1),"")</f>
        <v/>
      </c>
      <c r="Q45" s="46" t="str">
        <f ca="1">IFERROR(INDEX($L$1:$L$500,MATCH(ROWS($P$1:$P45),$P$1:$P$500,0)),"")</f>
        <v/>
      </c>
      <c r="R45" s="71" t="str">
        <f t="shared" ca="1" si="3"/>
        <v/>
      </c>
    </row>
    <row r="46" spans="1:18">
      <c r="H46"/>
      <c r="I46"/>
      <c r="J46" s="69">
        <f t="shared" ca="1" si="2"/>
        <v>0</v>
      </c>
      <c r="K46" s="70" t="str">
        <f ca="1">IF(J46=1,COUNTIF($J$1:$J46,1),"")</f>
        <v/>
      </c>
      <c r="L46" s="46" t="str">
        <f ca="1">IFERROR(INDEX($A$1:$A$500,MATCH(ROWS($K$1:$K46),$K$1:$K$500,0)),"")</f>
        <v/>
      </c>
      <c r="M46" s="71" t="str">
        <f t="shared" ca="1" si="0"/>
        <v/>
      </c>
      <c r="N46" s="73" t="s">
        <v>2</v>
      </c>
      <c r="O46" s="69">
        <f t="shared" ca="1" si="1"/>
        <v>0</v>
      </c>
      <c r="P46" s="70" t="str">
        <f ca="1">IF(O46=1,COUNTIF($O$1:$O46,1),"")</f>
        <v/>
      </c>
      <c r="Q46" s="46" t="str">
        <f ca="1">IFERROR(INDEX($L$1:$L$500,MATCH(ROWS($P$1:$P46),$P$1:$P$500,0)),"")</f>
        <v/>
      </c>
      <c r="R46" s="71" t="str">
        <f t="shared" ca="1" si="3"/>
        <v/>
      </c>
    </row>
    <row r="47" spans="1:18">
      <c r="H47"/>
      <c r="I47"/>
      <c r="J47" s="69">
        <f t="shared" ca="1" si="2"/>
        <v>0</v>
      </c>
      <c r="K47" s="70" t="str">
        <f ca="1">IF(J47=1,COUNTIF($J$1:$J47,1),"")</f>
        <v/>
      </c>
      <c r="L47" s="46" t="str">
        <f ca="1">IFERROR(INDEX($A$1:$A$500,MATCH(ROWS($K$1:$K47),$K$1:$K$500,0)),"")</f>
        <v/>
      </c>
      <c r="M47" s="71" t="str">
        <f t="shared" ca="1" si="0"/>
        <v/>
      </c>
      <c r="N47" s="73" t="s">
        <v>2</v>
      </c>
      <c r="O47" s="69">
        <f t="shared" ca="1" si="1"/>
        <v>0</v>
      </c>
      <c r="P47" s="70" t="str">
        <f ca="1">IF(O47=1,COUNTIF($O$1:$O47,1),"")</f>
        <v/>
      </c>
      <c r="Q47" s="46" t="str">
        <f ca="1">IFERROR(INDEX($L$1:$L$500,MATCH(ROWS($P$1:$P47),$P$1:$P$500,0)),"")</f>
        <v/>
      </c>
      <c r="R47" s="71" t="str">
        <f t="shared" ca="1" si="3"/>
        <v/>
      </c>
    </row>
    <row r="48" spans="1:18">
      <c r="H48"/>
      <c r="I48"/>
      <c r="J48" s="69">
        <f t="shared" ca="1" si="2"/>
        <v>0</v>
      </c>
      <c r="K48" s="70" t="str">
        <f ca="1">IF(J48=1,COUNTIF($J$1:$J48,1),"")</f>
        <v/>
      </c>
      <c r="L48" s="46" t="str">
        <f ca="1">IFERROR(INDEX($A$1:$A$500,MATCH(ROWS($K$1:$K48),$K$1:$K$500,0)),"")</f>
        <v/>
      </c>
      <c r="M48" s="71" t="str">
        <f t="shared" ca="1" si="0"/>
        <v/>
      </c>
      <c r="N48" s="73" t="s">
        <v>2</v>
      </c>
      <c r="O48" s="69">
        <f t="shared" ca="1" si="1"/>
        <v>0</v>
      </c>
      <c r="P48" s="70" t="str">
        <f ca="1">IF(O48=1,COUNTIF($O$1:$O48,1),"")</f>
        <v/>
      </c>
      <c r="Q48" s="46" t="str">
        <f ca="1">IFERROR(INDEX($L$1:$L$500,MATCH(ROWS($P$1:$P48),$P$1:$P$500,0)),"")</f>
        <v/>
      </c>
      <c r="R48" s="71" t="str">
        <f t="shared" ca="1" si="3"/>
        <v/>
      </c>
    </row>
    <row r="49" spans="8:18">
      <c r="H49"/>
      <c r="I49"/>
      <c r="J49" s="69">
        <f t="shared" ca="1" si="2"/>
        <v>0</v>
      </c>
      <c r="K49" s="70" t="str">
        <f ca="1">IF(J49=1,COUNTIF($J$1:$J49,1),"")</f>
        <v/>
      </c>
      <c r="L49" s="46" t="str">
        <f ca="1">IFERROR(INDEX($A$1:$A$500,MATCH(ROWS($K$1:$K49),$K$1:$K$500,0)),"")</f>
        <v/>
      </c>
      <c r="M49" s="71" t="str">
        <f t="shared" ca="1" si="0"/>
        <v/>
      </c>
      <c r="N49" s="73" t="s">
        <v>2</v>
      </c>
      <c r="O49" s="69">
        <f t="shared" ca="1" si="1"/>
        <v>0</v>
      </c>
      <c r="P49" s="70" t="str">
        <f ca="1">IF(O49=1,COUNTIF($O$1:$O49,1),"")</f>
        <v/>
      </c>
      <c r="Q49" s="46" t="str">
        <f ca="1">IFERROR(INDEX($L$1:$L$500,MATCH(ROWS($P$1:$P49),$P$1:$P$500,0)),"")</f>
        <v/>
      </c>
      <c r="R49" s="71" t="str">
        <f t="shared" ca="1" si="3"/>
        <v/>
      </c>
    </row>
    <row r="50" spans="8:18">
      <c r="H50"/>
      <c r="I50"/>
      <c r="J50" s="69">
        <f t="shared" ca="1" si="2"/>
        <v>0</v>
      </c>
      <c r="K50" s="70" t="str">
        <f ca="1">IF(J50=1,COUNTIF($J$1:$J50,1),"")</f>
        <v/>
      </c>
      <c r="L50" s="46" t="str">
        <f ca="1">IFERROR(INDEX($A$1:$A$500,MATCH(ROWS($K$1:$K50),$K$1:$K$500,0)),"")</f>
        <v/>
      </c>
      <c r="M50" s="71" t="str">
        <f t="shared" ca="1" si="0"/>
        <v/>
      </c>
      <c r="N50" s="73" t="s">
        <v>2</v>
      </c>
      <c r="O50" s="69">
        <f t="shared" ca="1" si="1"/>
        <v>0</v>
      </c>
      <c r="P50" s="70" t="str">
        <f ca="1">IF(O50=1,COUNTIF($O$1:$O50,1),"")</f>
        <v/>
      </c>
      <c r="Q50" s="46" t="str">
        <f ca="1">IFERROR(INDEX($L$1:$L$500,MATCH(ROWS($P$1:$P50),$P$1:$P$500,0)),"")</f>
        <v/>
      </c>
      <c r="R50" s="71" t="str">
        <f t="shared" ca="1" si="3"/>
        <v/>
      </c>
    </row>
    <row r="51" spans="8:18">
      <c r="H51"/>
      <c r="I51"/>
      <c r="J51" s="69">
        <f t="shared" ca="1" si="2"/>
        <v>0</v>
      </c>
      <c r="K51" s="70" t="str">
        <f ca="1">IF(J51=1,COUNTIF($J$1:$J51,1),"")</f>
        <v/>
      </c>
      <c r="L51" s="46" t="str">
        <f ca="1">IFERROR(INDEX($A$1:$A$500,MATCH(ROWS($K$1:$K51),$K$1:$K$500,0)),"")</f>
        <v/>
      </c>
      <c r="M51" s="71" t="str">
        <f t="shared" ca="1" si="0"/>
        <v/>
      </c>
      <c r="N51" s="73" t="s">
        <v>2</v>
      </c>
      <c r="O51" s="69">
        <f t="shared" ca="1" si="1"/>
        <v>0</v>
      </c>
      <c r="P51" s="70" t="str">
        <f ca="1">IF(O51=1,COUNTIF($O$1:$O51,1),"")</f>
        <v/>
      </c>
      <c r="Q51" s="46" t="str">
        <f ca="1">IFERROR(INDEX($L$1:$L$500,MATCH(ROWS($P$1:$P51),$P$1:$P$500,0)),"")</f>
        <v/>
      </c>
      <c r="R51" s="71" t="str">
        <f t="shared" ca="1" si="3"/>
        <v/>
      </c>
    </row>
    <row r="52" spans="8:18">
      <c r="H52"/>
      <c r="I52"/>
      <c r="J52" s="69">
        <f t="shared" ca="1" si="2"/>
        <v>0</v>
      </c>
      <c r="K52" s="70" t="str">
        <f ca="1">IF(J52=1,COUNTIF($J$1:$J52,1),"")</f>
        <v/>
      </c>
      <c r="L52" s="46" t="str">
        <f ca="1">IFERROR(INDEX($A$1:$A$500,MATCH(ROWS($K$1:$K52),$K$1:$K$500,0)),"")</f>
        <v/>
      </c>
      <c r="M52" s="71" t="str">
        <f t="shared" ca="1" si="0"/>
        <v/>
      </c>
      <c r="N52" s="73" t="s">
        <v>2</v>
      </c>
      <c r="O52" s="69">
        <f t="shared" ca="1" si="1"/>
        <v>0</v>
      </c>
      <c r="P52" s="70" t="str">
        <f ca="1">IF(O52=1,COUNTIF($O$1:$O52,1),"")</f>
        <v/>
      </c>
      <c r="Q52" s="46" t="str">
        <f ca="1">IFERROR(INDEX($L$1:$L$500,MATCH(ROWS($P$1:$P52),$P$1:$P$500,0)),"")</f>
        <v/>
      </c>
      <c r="R52" s="71" t="str">
        <f t="shared" ca="1" si="3"/>
        <v/>
      </c>
    </row>
    <row r="53" spans="8:18">
      <c r="H53"/>
      <c r="I53"/>
      <c r="J53" s="69">
        <f t="shared" ca="1" si="2"/>
        <v>0</v>
      </c>
      <c r="K53" s="70" t="str">
        <f ca="1">IF(J53=1,COUNTIF($J$1:$J53,1),"")</f>
        <v/>
      </c>
      <c r="L53" s="46" t="str">
        <f ca="1">IFERROR(INDEX($A$1:$A$500,MATCH(ROWS($K$1:$K53),$K$1:$K$500,0)),"")</f>
        <v/>
      </c>
      <c r="M53" s="71" t="str">
        <f t="shared" ca="1" si="0"/>
        <v/>
      </c>
      <c r="N53" s="73" t="s">
        <v>2</v>
      </c>
      <c r="O53" s="69">
        <f t="shared" ca="1" si="1"/>
        <v>0</v>
      </c>
      <c r="P53" s="70" t="str">
        <f ca="1">IF(O53=1,COUNTIF($O$1:$O53,1),"")</f>
        <v/>
      </c>
      <c r="Q53" s="46" t="str">
        <f ca="1">IFERROR(INDEX($L$1:$L$500,MATCH(ROWS($P$1:$P53),$P$1:$P$500,0)),"")</f>
        <v/>
      </c>
      <c r="R53" s="71" t="str">
        <f t="shared" ca="1" si="3"/>
        <v/>
      </c>
    </row>
    <row r="54" spans="8:18">
      <c r="H54"/>
      <c r="I54"/>
      <c r="J54" s="69">
        <f t="shared" ca="1" si="2"/>
        <v>0</v>
      </c>
      <c r="K54" s="70" t="str">
        <f ca="1">IF(J54=1,COUNTIF($J$1:$J54,1),"")</f>
        <v/>
      </c>
      <c r="L54" s="46" t="str">
        <f ca="1">IFERROR(INDEX($A$1:$A$500,MATCH(ROWS($K$1:$K54),$K$1:$K$500,0)),"")</f>
        <v/>
      </c>
      <c r="M54" s="71" t="str">
        <f t="shared" ca="1" si="0"/>
        <v/>
      </c>
      <c r="N54" s="73" t="s">
        <v>2</v>
      </c>
      <c r="O54" s="69">
        <f t="shared" ca="1" si="1"/>
        <v>0</v>
      </c>
      <c r="P54" s="70" t="str">
        <f ca="1">IF(O54=1,COUNTIF($O$1:$O54,1),"")</f>
        <v/>
      </c>
      <c r="Q54" s="46" t="str">
        <f ca="1">IFERROR(INDEX($L$1:$L$500,MATCH(ROWS($P$1:$P54),$P$1:$P$500,0)),"")</f>
        <v/>
      </c>
      <c r="R54" s="71" t="str">
        <f t="shared" ca="1" si="3"/>
        <v/>
      </c>
    </row>
    <row r="55" spans="8:18">
      <c r="H55"/>
      <c r="I55"/>
      <c r="J55" s="69">
        <f t="shared" ca="1" si="2"/>
        <v>0</v>
      </c>
      <c r="K55" s="70" t="str">
        <f ca="1">IF(J55=1,COUNTIF($J$1:$J55,1),"")</f>
        <v/>
      </c>
      <c r="L55" s="46" t="str">
        <f ca="1">IFERROR(INDEX($A$1:$A$500,MATCH(ROWS($K$1:$K55),$K$1:$K$500,0)),"")</f>
        <v/>
      </c>
      <c r="M55" s="71" t="str">
        <f t="shared" ca="1" si="0"/>
        <v/>
      </c>
      <c r="N55" s="73" t="s">
        <v>2</v>
      </c>
      <c r="O55" s="69">
        <f t="shared" ca="1" si="1"/>
        <v>0</v>
      </c>
      <c r="P55" s="70" t="str">
        <f ca="1">IF(O55=1,COUNTIF($O$1:$O55,1),"")</f>
        <v/>
      </c>
      <c r="Q55" s="46" t="str">
        <f ca="1">IFERROR(INDEX($L$1:$L$500,MATCH(ROWS($P$1:$P55),$P$1:$P$500,0)),"")</f>
        <v/>
      </c>
      <c r="R55" s="71" t="str">
        <f t="shared" ca="1" si="3"/>
        <v/>
      </c>
    </row>
    <row r="56" spans="8:18">
      <c r="H56"/>
      <c r="I56"/>
      <c r="J56" s="69">
        <f t="shared" ca="1" si="2"/>
        <v>0</v>
      </c>
      <c r="K56" s="70" t="str">
        <f ca="1">IF(J56=1,COUNTIF($J$1:$J56,1),"")</f>
        <v/>
      </c>
      <c r="L56" s="46" t="str">
        <f ca="1">IFERROR(INDEX($A$1:$A$500,MATCH(ROWS($K$1:$K56),$K$1:$K$500,0)),"")</f>
        <v/>
      </c>
      <c r="M56" s="71" t="str">
        <f t="shared" ca="1" si="0"/>
        <v/>
      </c>
      <c r="N56" s="73" t="s">
        <v>2</v>
      </c>
      <c r="O56" s="69">
        <f t="shared" ca="1" si="1"/>
        <v>0</v>
      </c>
      <c r="P56" s="70" t="str">
        <f ca="1">IF(O56=1,COUNTIF($O$1:$O56,1),"")</f>
        <v/>
      </c>
      <c r="Q56" s="46" t="str">
        <f ca="1">IFERROR(INDEX($L$1:$L$500,MATCH(ROWS($P$1:$P56),$P$1:$P$500,0)),"")</f>
        <v/>
      </c>
      <c r="R56" s="71" t="str">
        <f t="shared" ca="1" si="3"/>
        <v/>
      </c>
    </row>
    <row r="57" spans="8:18">
      <c r="H57"/>
      <c r="I57"/>
      <c r="J57" s="69">
        <f t="shared" ca="1" si="2"/>
        <v>0</v>
      </c>
      <c r="K57" s="70" t="str">
        <f ca="1">IF(J57=1,COUNTIF($J$1:$J57,1),"")</f>
        <v/>
      </c>
      <c r="L57" s="46" t="str">
        <f ca="1">IFERROR(INDEX($A$1:$A$500,MATCH(ROWS($K$1:$K57),$K$1:$K$500,0)),"")</f>
        <v/>
      </c>
      <c r="M57" s="71" t="str">
        <f t="shared" ca="1" si="0"/>
        <v/>
      </c>
      <c r="N57" s="73" t="s">
        <v>2</v>
      </c>
      <c r="O57" s="69">
        <f t="shared" ca="1" si="1"/>
        <v>0</v>
      </c>
      <c r="P57" s="70" t="str">
        <f ca="1">IF(O57=1,COUNTIF($O$1:$O57,1),"")</f>
        <v/>
      </c>
      <c r="Q57" s="46" t="str">
        <f ca="1">IFERROR(INDEX($L$1:$L$500,MATCH(ROWS($P$1:$P57),$P$1:$P$500,0)),"")</f>
        <v/>
      </c>
      <c r="R57" s="71" t="str">
        <f t="shared" ca="1" si="3"/>
        <v/>
      </c>
    </row>
    <row r="58" spans="8:18">
      <c r="H58"/>
      <c r="I58"/>
      <c r="J58" s="69">
        <f t="shared" ca="1" si="2"/>
        <v>0</v>
      </c>
      <c r="K58" s="70" t="str">
        <f ca="1">IF(J58=1,COUNTIF($J$1:$J58,1),"")</f>
        <v/>
      </c>
      <c r="L58" s="46" t="str">
        <f ca="1">IFERROR(INDEX($A$1:$A$500,MATCH(ROWS($K$1:$K58),$K$1:$K$500,0)),"")</f>
        <v/>
      </c>
      <c r="M58" s="71" t="str">
        <f t="shared" ca="1" si="0"/>
        <v/>
      </c>
      <c r="N58" s="73" t="s">
        <v>2</v>
      </c>
      <c r="O58" s="69">
        <f t="shared" ca="1" si="1"/>
        <v>0</v>
      </c>
      <c r="P58" s="70" t="str">
        <f ca="1">IF(O58=1,COUNTIF($O$1:$O58,1),"")</f>
        <v/>
      </c>
      <c r="Q58" s="46" t="str">
        <f ca="1">IFERROR(INDEX($L$1:$L$500,MATCH(ROWS($P$1:$P58),$P$1:$P$500,0)),"")</f>
        <v/>
      </c>
      <c r="R58" s="71" t="str">
        <f t="shared" ca="1" si="3"/>
        <v/>
      </c>
    </row>
    <row r="59" spans="8:18">
      <c r="H59"/>
      <c r="I59"/>
      <c r="J59" s="69">
        <f t="shared" ca="1" si="2"/>
        <v>0</v>
      </c>
      <c r="K59" s="70" t="str">
        <f ca="1">IF(J59=1,COUNTIF($J$1:$J59,1),"")</f>
        <v/>
      </c>
      <c r="L59" s="46" t="str">
        <f ca="1">IFERROR(INDEX($A$1:$A$500,MATCH(ROWS($K$1:$K59),$K$1:$K$500,0)),"")</f>
        <v/>
      </c>
      <c r="M59" s="71" t="str">
        <f t="shared" ca="1" si="0"/>
        <v/>
      </c>
      <c r="N59" s="73" t="s">
        <v>2</v>
      </c>
      <c r="O59" s="69">
        <f t="shared" ca="1" si="1"/>
        <v>0</v>
      </c>
      <c r="P59" s="70" t="str">
        <f ca="1">IF(O59=1,COUNTIF($O$1:$O59,1),"")</f>
        <v/>
      </c>
      <c r="Q59" s="46" t="str">
        <f ca="1">IFERROR(INDEX($L$1:$L$500,MATCH(ROWS($P$1:$P59),$P$1:$P$500,0)),"")</f>
        <v/>
      </c>
      <c r="R59" s="71" t="str">
        <f t="shared" ca="1" si="3"/>
        <v/>
      </c>
    </row>
    <row r="60" spans="8:18">
      <c r="H60"/>
      <c r="I60"/>
      <c r="J60" s="69">
        <f t="shared" ca="1" si="2"/>
        <v>0</v>
      </c>
      <c r="K60" s="70" t="str">
        <f ca="1">IF(J60=1,COUNTIF($J$1:$J60,1),"")</f>
        <v/>
      </c>
      <c r="L60" s="46" t="str">
        <f ca="1">IFERROR(INDEX($A$1:$A$500,MATCH(ROWS($K$1:$K60),$K$1:$K$500,0)),"")</f>
        <v/>
      </c>
      <c r="M60" s="71" t="str">
        <f t="shared" ca="1" si="0"/>
        <v/>
      </c>
      <c r="N60" s="73" t="s">
        <v>2</v>
      </c>
      <c r="O60" s="69">
        <f t="shared" ca="1" si="1"/>
        <v>0</v>
      </c>
      <c r="P60" s="70" t="str">
        <f ca="1">IF(O60=1,COUNTIF($O$1:$O60,1),"")</f>
        <v/>
      </c>
      <c r="Q60" s="46" t="str">
        <f ca="1">IFERROR(INDEX($L$1:$L$500,MATCH(ROWS($P$1:$P60),$P$1:$P$500,0)),"")</f>
        <v/>
      </c>
      <c r="R60" s="71" t="str">
        <f t="shared" ca="1" si="3"/>
        <v/>
      </c>
    </row>
    <row r="61" spans="8:18">
      <c r="H61"/>
      <c r="I61"/>
      <c r="J61" s="69">
        <f t="shared" ca="1" si="2"/>
        <v>0</v>
      </c>
      <c r="K61" s="70" t="str">
        <f ca="1">IF(J61=1,COUNTIF($J$1:$J61,1),"")</f>
        <v/>
      </c>
      <c r="L61" s="46" t="str">
        <f ca="1">IFERROR(INDEX($A$1:$A$500,MATCH(ROWS($K$1:$K61),$K$1:$K$500,0)),"")</f>
        <v/>
      </c>
      <c r="M61" s="71" t="str">
        <f t="shared" ca="1" si="0"/>
        <v/>
      </c>
      <c r="N61" s="73" t="s">
        <v>2</v>
      </c>
      <c r="O61" s="69">
        <f t="shared" ca="1" si="1"/>
        <v>0</v>
      </c>
      <c r="P61" s="70" t="str">
        <f ca="1">IF(O61=1,COUNTIF($O$1:$O61,1),"")</f>
        <v/>
      </c>
      <c r="Q61" s="46" t="str">
        <f ca="1">IFERROR(INDEX($L$1:$L$500,MATCH(ROWS($P$1:$P61),$P$1:$P$500,0)),"")</f>
        <v/>
      </c>
      <c r="R61" s="71" t="str">
        <f t="shared" ca="1" si="3"/>
        <v/>
      </c>
    </row>
    <row r="62" spans="8:18">
      <c r="H62"/>
      <c r="I62"/>
      <c r="J62" s="69">
        <f t="shared" ca="1" si="2"/>
        <v>0</v>
      </c>
      <c r="K62" s="70" t="str">
        <f ca="1">IF(J62=1,COUNTIF($J$1:$J62,1),"")</f>
        <v/>
      </c>
      <c r="L62" s="46" t="str">
        <f ca="1">IFERROR(INDEX($A$1:$A$500,MATCH(ROWS($K$1:$K62),$K$1:$K$500,0)),"")</f>
        <v/>
      </c>
      <c r="M62" s="71" t="str">
        <f t="shared" ca="1" si="0"/>
        <v/>
      </c>
      <c r="N62" s="73" t="s">
        <v>2</v>
      </c>
      <c r="O62" s="69">
        <f t="shared" ca="1" si="1"/>
        <v>0</v>
      </c>
      <c r="P62" s="70" t="str">
        <f ca="1">IF(O62=1,COUNTIF($O$1:$O62,1),"")</f>
        <v/>
      </c>
      <c r="Q62" s="46" t="str">
        <f ca="1">IFERROR(INDEX($L$1:$L$500,MATCH(ROWS($P$1:$P62),$P$1:$P$500,0)),"")</f>
        <v/>
      </c>
      <c r="R62" s="71" t="str">
        <f t="shared" ca="1" si="3"/>
        <v/>
      </c>
    </row>
    <row r="63" spans="8:18">
      <c r="H63"/>
      <c r="I63"/>
      <c r="J63" s="69">
        <f t="shared" ca="1" si="2"/>
        <v>0</v>
      </c>
      <c r="K63" s="70" t="str">
        <f ca="1">IF(J63=1,COUNTIF($J$1:$J63,1),"")</f>
        <v/>
      </c>
      <c r="L63" s="46" t="str">
        <f ca="1">IFERROR(INDEX($A$1:$A$500,MATCH(ROWS($K$1:$K63),$K$1:$K$500,0)),"")</f>
        <v/>
      </c>
      <c r="M63" s="71" t="str">
        <f t="shared" ca="1" si="0"/>
        <v/>
      </c>
      <c r="N63" s="73" t="s">
        <v>2</v>
      </c>
      <c r="O63" s="69">
        <f t="shared" ca="1" si="1"/>
        <v>0</v>
      </c>
      <c r="P63" s="70" t="str">
        <f ca="1">IF(O63=1,COUNTIF($O$1:$O63,1),"")</f>
        <v/>
      </c>
      <c r="Q63" s="46" t="str">
        <f ca="1">IFERROR(INDEX($L$1:$L$500,MATCH(ROWS($P$1:$P63),$P$1:$P$500,0)),"")</f>
        <v/>
      </c>
      <c r="R63" s="71" t="str">
        <f t="shared" ca="1" si="3"/>
        <v/>
      </c>
    </row>
    <row r="64" spans="8:18">
      <c r="H64"/>
      <c r="I64"/>
      <c r="J64" s="69">
        <f t="shared" ca="1" si="2"/>
        <v>0</v>
      </c>
      <c r="K64" s="70" t="str">
        <f ca="1">IF(J64=1,COUNTIF($J$1:$J64,1),"")</f>
        <v/>
      </c>
      <c r="L64" s="46" t="str">
        <f ca="1">IFERROR(INDEX($A$1:$A$500,MATCH(ROWS($K$1:$K64),$K$1:$K$500,0)),"")</f>
        <v/>
      </c>
      <c r="M64" s="71" t="str">
        <f t="shared" ca="1" si="0"/>
        <v/>
      </c>
      <c r="N64" s="73" t="s">
        <v>2</v>
      </c>
      <c r="O64" s="69">
        <f t="shared" ca="1" si="1"/>
        <v>0</v>
      </c>
      <c r="P64" s="70" t="str">
        <f ca="1">IF(O64=1,COUNTIF($O$1:$O64,1),"")</f>
        <v/>
      </c>
      <c r="Q64" s="46" t="str">
        <f ca="1">IFERROR(INDEX($L$1:$L$500,MATCH(ROWS($P$1:$P64),$P$1:$P$500,0)),"")</f>
        <v/>
      </c>
      <c r="R64" s="71" t="str">
        <f t="shared" ca="1" si="3"/>
        <v/>
      </c>
    </row>
    <row r="65" spans="8:18">
      <c r="H65"/>
      <c r="I65"/>
      <c r="J65" s="69">
        <f t="shared" ca="1" si="2"/>
        <v>0</v>
      </c>
      <c r="K65" s="70" t="str">
        <f ca="1">IF(J65=1,COUNTIF($J$1:$J65,1),"")</f>
        <v/>
      </c>
      <c r="L65" s="46" t="str">
        <f ca="1">IFERROR(INDEX($A$1:$A$500,MATCH(ROWS($K$1:$K65),$K$1:$K$500,0)),"")</f>
        <v/>
      </c>
      <c r="M65" s="71" t="str">
        <f t="shared" ref="M65:M128" ca="1" si="4">+IF(L65="","",RIGHT(L65,LEN(L65)-FIND("@",SUBSTITUTE(L65,"\","@",LEN(L65)-LEN(SUBSTITUTE(L65,"\",""))),1)))</f>
        <v/>
      </c>
      <c r="N65" s="73" t="s">
        <v>2</v>
      </c>
      <c r="O65" s="69">
        <f t="shared" ref="O65:O128" ca="1" si="5">--ISNUMBER(SEARCH($N$2,M65))</f>
        <v>0</v>
      </c>
      <c r="P65" s="70" t="str">
        <f ca="1">IF(O65=1,COUNTIF($O$1:$O65,1),"")</f>
        <v/>
      </c>
      <c r="Q65" s="46" t="str">
        <f ca="1">IFERROR(INDEX($L$1:$L$500,MATCH(ROWS($P$1:$P65),$P$1:$P$500,0)),"")</f>
        <v/>
      </c>
      <c r="R65" s="71" t="str">
        <f t="shared" ca="1" si="3"/>
        <v/>
      </c>
    </row>
    <row r="66" spans="8:18">
      <c r="H66"/>
      <c r="I66"/>
      <c r="J66" s="69">
        <f t="shared" ref="J66:J129" ca="1" si="6">IF($C$2="1 - ALL FORMS",1,--ISNUMBER(SEARCH($C$2,E66)))</f>
        <v>0</v>
      </c>
      <c r="K66" s="70" t="str">
        <f ca="1">IF(J66=1,COUNTIF($J$1:$J66,1),"")</f>
        <v/>
      </c>
      <c r="L66" s="46" t="str">
        <f ca="1">IFERROR(INDEX($A$1:$A$500,MATCH(ROWS($K$1:$K66),$K$1:$K$500,0)),"")</f>
        <v/>
      </c>
      <c r="M66" s="71" t="str">
        <f t="shared" ca="1" si="4"/>
        <v/>
      </c>
      <c r="N66" s="73" t="s">
        <v>2</v>
      </c>
      <c r="O66" s="69">
        <f t="shared" ca="1" si="5"/>
        <v>0</v>
      </c>
      <c r="P66" s="70" t="str">
        <f ca="1">IF(O66=1,COUNTIF($O$1:$O66,1),"")</f>
        <v/>
      </c>
      <c r="Q66" s="46" t="str">
        <f ca="1">IFERROR(INDEX($L$1:$L$500,MATCH(ROWS($P$1:$P66),$P$1:$P$500,0)),"")</f>
        <v/>
      </c>
      <c r="R66" s="71" t="str">
        <f t="shared" ref="R66:R129" ca="1" si="7">+IF(Q66="","",RIGHT(Q66,LEN(Q66)-FIND("@",SUBSTITUTE(Q66,"\","@",LEN(Q66)-LEN(SUBSTITUTE(Q66,"\",""))),1)))</f>
        <v/>
      </c>
    </row>
    <row r="67" spans="8:18">
      <c r="H67"/>
      <c r="I67"/>
      <c r="J67" s="69">
        <f t="shared" ca="1" si="6"/>
        <v>0</v>
      </c>
      <c r="K67" s="70" t="str">
        <f ca="1">IF(J67=1,COUNTIF($J$1:$J67,1),"")</f>
        <v/>
      </c>
      <c r="L67" s="46" t="str">
        <f ca="1">IFERROR(INDEX($A$1:$A$500,MATCH(ROWS($K$1:$K67),$K$1:$K$500,0)),"")</f>
        <v/>
      </c>
      <c r="M67" s="71" t="str">
        <f t="shared" ca="1" si="4"/>
        <v/>
      </c>
      <c r="N67" s="73" t="s">
        <v>2</v>
      </c>
      <c r="O67" s="69">
        <f t="shared" ca="1" si="5"/>
        <v>0</v>
      </c>
      <c r="P67" s="70" t="str">
        <f ca="1">IF(O67=1,COUNTIF($O$1:$O67,1),"")</f>
        <v/>
      </c>
      <c r="Q67" s="46" t="str">
        <f ca="1">IFERROR(INDEX($L$1:$L$500,MATCH(ROWS($P$1:$P67),$P$1:$P$500,0)),"")</f>
        <v/>
      </c>
      <c r="R67" s="71" t="str">
        <f t="shared" ca="1" si="7"/>
        <v/>
      </c>
    </row>
    <row r="68" spans="8:18">
      <c r="H68"/>
      <c r="I68"/>
      <c r="J68" s="69">
        <f t="shared" ca="1" si="6"/>
        <v>0</v>
      </c>
      <c r="K68" s="70" t="str">
        <f ca="1">IF(J68=1,COUNTIF($J$1:$J68,1),"")</f>
        <v/>
      </c>
      <c r="L68" s="46" t="str">
        <f ca="1">IFERROR(INDEX($A$1:$A$500,MATCH(ROWS($K$1:$K68),$K$1:$K$500,0)),"")</f>
        <v/>
      </c>
      <c r="M68" s="71" t="str">
        <f t="shared" ca="1" si="4"/>
        <v/>
      </c>
      <c r="N68" s="73" t="s">
        <v>2</v>
      </c>
      <c r="O68" s="69">
        <f t="shared" ca="1" si="5"/>
        <v>0</v>
      </c>
      <c r="P68" s="70" t="str">
        <f ca="1">IF(O68=1,COUNTIF($O$1:$O68,1),"")</f>
        <v/>
      </c>
      <c r="Q68" s="46" t="str">
        <f ca="1">IFERROR(INDEX($L$1:$L$500,MATCH(ROWS($P$1:$P68),$P$1:$P$500,0)),"")</f>
        <v/>
      </c>
      <c r="R68" s="71" t="str">
        <f t="shared" ca="1" si="7"/>
        <v/>
      </c>
    </row>
    <row r="69" spans="8:18">
      <c r="H69"/>
      <c r="I69"/>
      <c r="J69" s="69">
        <f t="shared" ca="1" si="6"/>
        <v>0</v>
      </c>
      <c r="K69" s="70" t="str">
        <f ca="1">IF(J69=1,COUNTIF($J$1:$J69,1),"")</f>
        <v/>
      </c>
      <c r="L69" s="46" t="str">
        <f ca="1">IFERROR(INDEX($A$1:$A$500,MATCH(ROWS($K$1:$K69),$K$1:$K$500,0)),"")</f>
        <v/>
      </c>
      <c r="M69" s="71" t="str">
        <f t="shared" ca="1" si="4"/>
        <v/>
      </c>
      <c r="N69" s="73" t="s">
        <v>2</v>
      </c>
      <c r="O69" s="69">
        <f t="shared" ca="1" si="5"/>
        <v>0</v>
      </c>
      <c r="P69" s="70" t="str">
        <f ca="1">IF(O69=1,COUNTIF($O$1:$O69,1),"")</f>
        <v/>
      </c>
      <c r="Q69" s="46" t="str">
        <f ca="1">IFERROR(INDEX($L$1:$L$500,MATCH(ROWS($P$1:$P69),$P$1:$P$500,0)),"")</f>
        <v/>
      </c>
      <c r="R69" s="71" t="str">
        <f t="shared" ca="1" si="7"/>
        <v/>
      </c>
    </row>
    <row r="70" spans="8:18">
      <c r="H70"/>
      <c r="I70"/>
      <c r="J70" s="69">
        <f t="shared" ca="1" si="6"/>
        <v>0</v>
      </c>
      <c r="K70" s="70" t="str">
        <f ca="1">IF(J70=1,COUNTIF($J$1:$J70,1),"")</f>
        <v/>
      </c>
      <c r="L70" s="46" t="str">
        <f ca="1">IFERROR(INDEX($A$1:$A$500,MATCH(ROWS($K$1:$K70),$K$1:$K$500,0)),"")</f>
        <v/>
      </c>
      <c r="M70" s="71" t="str">
        <f t="shared" ca="1" si="4"/>
        <v/>
      </c>
      <c r="N70" s="73" t="s">
        <v>2</v>
      </c>
      <c r="O70" s="69">
        <f t="shared" ca="1" si="5"/>
        <v>0</v>
      </c>
      <c r="P70" s="70" t="str">
        <f ca="1">IF(O70=1,COUNTIF($O$1:$O70,1),"")</f>
        <v/>
      </c>
      <c r="Q70" s="46" t="str">
        <f ca="1">IFERROR(INDEX($L$1:$L$500,MATCH(ROWS($P$1:$P70),$P$1:$P$500,0)),"")</f>
        <v/>
      </c>
      <c r="R70" s="71" t="str">
        <f t="shared" ca="1" si="7"/>
        <v/>
      </c>
    </row>
    <row r="71" spans="8:18">
      <c r="H71"/>
      <c r="I71"/>
      <c r="J71" s="69">
        <f t="shared" ca="1" si="6"/>
        <v>0</v>
      </c>
      <c r="K71" s="70" t="str">
        <f ca="1">IF(J71=1,COUNTIF($J$1:$J71,1),"")</f>
        <v/>
      </c>
      <c r="L71" s="46" t="str">
        <f ca="1">IFERROR(INDEX($A$1:$A$500,MATCH(ROWS($K$1:$K71),$K$1:$K$500,0)),"")</f>
        <v/>
      </c>
      <c r="M71" s="71" t="str">
        <f t="shared" ca="1" si="4"/>
        <v/>
      </c>
      <c r="N71" s="73" t="s">
        <v>2</v>
      </c>
      <c r="O71" s="69">
        <f t="shared" ca="1" si="5"/>
        <v>0</v>
      </c>
      <c r="P71" s="70" t="str">
        <f ca="1">IF(O71=1,COUNTIF($O$1:$O71,1),"")</f>
        <v/>
      </c>
      <c r="Q71" s="46" t="str">
        <f ca="1">IFERROR(INDEX($L$1:$L$500,MATCH(ROWS($P$1:$P71),$P$1:$P$500,0)),"")</f>
        <v/>
      </c>
      <c r="R71" s="71" t="str">
        <f t="shared" ca="1" si="7"/>
        <v/>
      </c>
    </row>
    <row r="72" spans="8:18">
      <c r="H72"/>
      <c r="I72"/>
      <c r="J72" s="69">
        <f t="shared" ca="1" si="6"/>
        <v>0</v>
      </c>
      <c r="K72" s="70" t="str">
        <f ca="1">IF(J72=1,COUNTIF($J$1:$J72,1),"")</f>
        <v/>
      </c>
      <c r="L72" s="46" t="str">
        <f ca="1">IFERROR(INDEX($A$1:$A$500,MATCH(ROWS($K$1:$K72),$K$1:$K$500,0)),"")</f>
        <v/>
      </c>
      <c r="M72" s="71" t="str">
        <f t="shared" ca="1" si="4"/>
        <v/>
      </c>
      <c r="N72" s="73" t="s">
        <v>2</v>
      </c>
      <c r="O72" s="69">
        <f t="shared" ca="1" si="5"/>
        <v>0</v>
      </c>
      <c r="P72" s="70" t="str">
        <f ca="1">IF(O72=1,COUNTIF($O$1:$O72,1),"")</f>
        <v/>
      </c>
      <c r="Q72" s="46" t="str">
        <f ca="1">IFERROR(INDEX($L$1:$L$500,MATCH(ROWS($P$1:$P72),$P$1:$P$500,0)),"")</f>
        <v/>
      </c>
      <c r="R72" s="71" t="str">
        <f t="shared" ca="1" si="7"/>
        <v/>
      </c>
    </row>
    <row r="73" spans="8:18">
      <c r="H73"/>
      <c r="I73"/>
      <c r="J73" s="69">
        <f t="shared" ca="1" si="6"/>
        <v>0</v>
      </c>
      <c r="K73" s="70" t="str">
        <f ca="1">IF(J73=1,COUNTIF($J$1:$J73,1),"")</f>
        <v/>
      </c>
      <c r="L73" s="46" t="str">
        <f ca="1">IFERROR(INDEX($A$1:$A$500,MATCH(ROWS($K$1:$K73),$K$1:$K$500,0)),"")</f>
        <v/>
      </c>
      <c r="M73" s="71" t="str">
        <f t="shared" ca="1" si="4"/>
        <v/>
      </c>
      <c r="N73" s="73" t="s">
        <v>2</v>
      </c>
      <c r="O73" s="69">
        <f t="shared" ca="1" si="5"/>
        <v>0</v>
      </c>
      <c r="P73" s="70" t="str">
        <f ca="1">IF(O73=1,COUNTIF($O$1:$O73,1),"")</f>
        <v/>
      </c>
      <c r="Q73" s="46" t="str">
        <f ca="1">IFERROR(INDEX($L$1:$L$500,MATCH(ROWS($P$1:$P73),$P$1:$P$500,0)),"")</f>
        <v/>
      </c>
      <c r="R73" s="71" t="str">
        <f t="shared" ca="1" si="7"/>
        <v/>
      </c>
    </row>
    <row r="74" spans="8:18">
      <c r="H74"/>
      <c r="I74"/>
      <c r="J74" s="69">
        <f t="shared" ca="1" si="6"/>
        <v>0</v>
      </c>
      <c r="K74" s="70" t="str">
        <f ca="1">IF(J74=1,COUNTIF($J$1:$J74,1),"")</f>
        <v/>
      </c>
      <c r="L74" s="46" t="str">
        <f ca="1">IFERROR(INDEX($A$1:$A$500,MATCH(ROWS($K$1:$K74),$K$1:$K$500,0)),"")</f>
        <v/>
      </c>
      <c r="M74" s="71" t="str">
        <f t="shared" ca="1" si="4"/>
        <v/>
      </c>
      <c r="N74" s="73" t="s">
        <v>2</v>
      </c>
      <c r="O74" s="69">
        <f t="shared" ca="1" si="5"/>
        <v>0</v>
      </c>
      <c r="P74" s="70" t="str">
        <f ca="1">IF(O74=1,COUNTIF($O$1:$O74,1),"")</f>
        <v/>
      </c>
      <c r="Q74" s="46" t="str">
        <f ca="1">IFERROR(INDEX($L$1:$L$500,MATCH(ROWS($P$1:$P74),$P$1:$P$500,0)),"")</f>
        <v/>
      </c>
      <c r="R74" s="71" t="str">
        <f t="shared" ca="1" si="7"/>
        <v/>
      </c>
    </row>
    <row r="75" spans="8:18">
      <c r="H75"/>
      <c r="I75"/>
      <c r="J75" s="69">
        <f t="shared" ca="1" si="6"/>
        <v>0</v>
      </c>
      <c r="K75" s="70" t="str">
        <f ca="1">IF(J75=1,COUNTIF($J$1:$J75,1),"")</f>
        <v/>
      </c>
      <c r="L75" s="46" t="str">
        <f ca="1">IFERROR(INDEX($A$1:$A$500,MATCH(ROWS($K$1:$K75),$K$1:$K$500,0)),"")</f>
        <v/>
      </c>
      <c r="M75" s="71" t="str">
        <f t="shared" ca="1" si="4"/>
        <v/>
      </c>
      <c r="N75" s="73" t="s">
        <v>2</v>
      </c>
      <c r="O75" s="69">
        <f t="shared" ca="1" si="5"/>
        <v>0</v>
      </c>
      <c r="P75" s="70" t="str">
        <f ca="1">IF(O75=1,COUNTIF($O$1:$O75,1),"")</f>
        <v/>
      </c>
      <c r="Q75" s="46" t="str">
        <f ca="1">IFERROR(INDEX($L$1:$L$500,MATCH(ROWS($P$1:$P75),$P$1:$P$500,0)),"")</f>
        <v/>
      </c>
      <c r="R75" s="71" t="str">
        <f t="shared" ca="1" si="7"/>
        <v/>
      </c>
    </row>
    <row r="76" spans="8:18">
      <c r="H76"/>
      <c r="I76"/>
      <c r="J76" s="69">
        <f t="shared" ca="1" si="6"/>
        <v>0</v>
      </c>
      <c r="K76" s="70" t="str">
        <f ca="1">IF(J76=1,COUNTIF($J$1:$J76,1),"")</f>
        <v/>
      </c>
      <c r="L76" s="46" t="str">
        <f ca="1">IFERROR(INDEX($A$1:$A$500,MATCH(ROWS($K$1:$K76),$K$1:$K$500,0)),"")</f>
        <v/>
      </c>
      <c r="M76" s="71" t="str">
        <f t="shared" ca="1" si="4"/>
        <v/>
      </c>
      <c r="N76" s="73" t="s">
        <v>2</v>
      </c>
      <c r="O76" s="69">
        <f t="shared" ca="1" si="5"/>
        <v>0</v>
      </c>
      <c r="P76" s="70" t="str">
        <f ca="1">IF(O76=1,COUNTIF($O$1:$O76,1),"")</f>
        <v/>
      </c>
      <c r="Q76" s="46" t="str">
        <f ca="1">IFERROR(INDEX($L$1:$L$500,MATCH(ROWS($P$1:$P76),$P$1:$P$500,0)),"")</f>
        <v/>
      </c>
      <c r="R76" s="71" t="str">
        <f t="shared" ca="1" si="7"/>
        <v/>
      </c>
    </row>
    <row r="77" spans="8:18">
      <c r="H77"/>
      <c r="I77"/>
      <c r="J77" s="69">
        <f t="shared" ca="1" si="6"/>
        <v>0</v>
      </c>
      <c r="K77" s="70" t="str">
        <f ca="1">IF(J77=1,COUNTIF($J$1:$J77,1),"")</f>
        <v/>
      </c>
      <c r="L77" s="46" t="str">
        <f ca="1">IFERROR(INDEX($A$1:$A$500,MATCH(ROWS($K$1:$K77),$K$1:$K$500,0)),"")</f>
        <v/>
      </c>
      <c r="M77" s="71" t="str">
        <f t="shared" ca="1" si="4"/>
        <v/>
      </c>
      <c r="N77" s="73" t="s">
        <v>2</v>
      </c>
      <c r="O77" s="69">
        <f t="shared" ca="1" si="5"/>
        <v>0</v>
      </c>
      <c r="P77" s="70" t="str">
        <f ca="1">IF(O77=1,COUNTIF($O$1:$O77,1),"")</f>
        <v/>
      </c>
      <c r="Q77" s="46" t="str">
        <f ca="1">IFERROR(INDEX($L$1:$L$500,MATCH(ROWS($P$1:$P77),$P$1:$P$500,0)),"")</f>
        <v/>
      </c>
      <c r="R77" s="71" t="str">
        <f t="shared" ca="1" si="7"/>
        <v/>
      </c>
    </row>
    <row r="78" spans="8:18">
      <c r="H78"/>
      <c r="I78"/>
      <c r="J78" s="69">
        <f t="shared" ca="1" si="6"/>
        <v>0</v>
      </c>
      <c r="K78" s="70" t="str">
        <f ca="1">IF(J78=1,COUNTIF($J$1:$J78,1),"")</f>
        <v/>
      </c>
      <c r="L78" s="46" t="str">
        <f ca="1">IFERROR(INDEX($A$1:$A$500,MATCH(ROWS($K$1:$K78),$K$1:$K$500,0)),"")</f>
        <v/>
      </c>
      <c r="M78" s="71" t="str">
        <f t="shared" ca="1" si="4"/>
        <v/>
      </c>
      <c r="N78" s="73" t="s">
        <v>2</v>
      </c>
      <c r="O78" s="69">
        <f t="shared" ca="1" si="5"/>
        <v>0</v>
      </c>
      <c r="P78" s="70" t="str">
        <f ca="1">IF(O78=1,COUNTIF($O$1:$O78,1),"")</f>
        <v/>
      </c>
      <c r="Q78" s="46" t="str">
        <f ca="1">IFERROR(INDEX($L$1:$L$500,MATCH(ROWS($P$1:$P78),$P$1:$P$500,0)),"")</f>
        <v/>
      </c>
      <c r="R78" s="71" t="str">
        <f t="shared" ca="1" si="7"/>
        <v/>
      </c>
    </row>
    <row r="79" spans="8:18">
      <c r="H79"/>
      <c r="I79"/>
      <c r="J79" s="69">
        <f t="shared" ca="1" si="6"/>
        <v>0</v>
      </c>
      <c r="K79" s="70" t="str">
        <f ca="1">IF(J79=1,COUNTIF($J$1:$J79,1),"")</f>
        <v/>
      </c>
      <c r="L79" s="46" t="str">
        <f ca="1">IFERROR(INDEX($A$1:$A$500,MATCH(ROWS($K$1:$K79),$K$1:$K$500,0)),"")</f>
        <v/>
      </c>
      <c r="M79" s="71" t="str">
        <f t="shared" ca="1" si="4"/>
        <v/>
      </c>
      <c r="N79" s="73" t="s">
        <v>2</v>
      </c>
      <c r="O79" s="69">
        <f t="shared" ca="1" si="5"/>
        <v>0</v>
      </c>
      <c r="P79" s="70" t="str">
        <f ca="1">IF(O79=1,COUNTIF($O$1:$O79,1),"")</f>
        <v/>
      </c>
      <c r="Q79" s="46" t="str">
        <f ca="1">IFERROR(INDEX($L$1:$L$500,MATCH(ROWS($P$1:$P79),$P$1:$P$500,0)),"")</f>
        <v/>
      </c>
      <c r="R79" s="71" t="str">
        <f t="shared" ca="1" si="7"/>
        <v/>
      </c>
    </row>
    <row r="80" spans="8:18">
      <c r="H80"/>
      <c r="I80"/>
      <c r="J80" s="69">
        <f t="shared" ca="1" si="6"/>
        <v>0</v>
      </c>
      <c r="K80" s="70" t="str">
        <f ca="1">IF(J80=1,COUNTIF($J$1:$J80,1),"")</f>
        <v/>
      </c>
      <c r="L80" s="46" t="str">
        <f ca="1">IFERROR(INDEX($A$1:$A$500,MATCH(ROWS($K$1:$K80),$K$1:$K$500,0)),"")</f>
        <v/>
      </c>
      <c r="M80" s="71" t="str">
        <f t="shared" ca="1" si="4"/>
        <v/>
      </c>
      <c r="N80" s="73" t="s">
        <v>2</v>
      </c>
      <c r="O80" s="69">
        <f t="shared" ca="1" si="5"/>
        <v>0</v>
      </c>
      <c r="P80" s="70" t="str">
        <f ca="1">IF(O80=1,COUNTIF($O$1:$O80,1),"")</f>
        <v/>
      </c>
      <c r="Q80" s="46" t="str">
        <f ca="1">IFERROR(INDEX($L$1:$L$500,MATCH(ROWS($P$1:$P80),$P$1:$P$500,0)),"")</f>
        <v/>
      </c>
      <c r="R80" s="71" t="str">
        <f t="shared" ca="1" si="7"/>
        <v/>
      </c>
    </row>
    <row r="81" spans="8:18">
      <c r="H81"/>
      <c r="I81"/>
      <c r="J81" s="69">
        <f t="shared" ca="1" si="6"/>
        <v>0</v>
      </c>
      <c r="K81" s="70" t="str">
        <f ca="1">IF(J81=1,COUNTIF($J$1:$J81,1),"")</f>
        <v/>
      </c>
      <c r="L81" s="46" t="str">
        <f ca="1">IFERROR(INDEX($A$1:$A$500,MATCH(ROWS($K$1:$K81),$K$1:$K$500,0)),"")</f>
        <v/>
      </c>
      <c r="M81" s="71" t="str">
        <f t="shared" ca="1" si="4"/>
        <v/>
      </c>
      <c r="N81" s="73" t="s">
        <v>2</v>
      </c>
      <c r="O81" s="69">
        <f t="shared" ca="1" si="5"/>
        <v>0</v>
      </c>
      <c r="P81" s="70" t="str">
        <f ca="1">IF(O81=1,COUNTIF($O$1:$O81,1),"")</f>
        <v/>
      </c>
      <c r="Q81" s="46" t="str">
        <f ca="1">IFERROR(INDEX($L$1:$L$500,MATCH(ROWS($P$1:$P81),$P$1:$P$500,0)),"")</f>
        <v/>
      </c>
      <c r="R81" s="71" t="str">
        <f t="shared" ca="1" si="7"/>
        <v/>
      </c>
    </row>
    <row r="82" spans="8:18">
      <c r="H82"/>
      <c r="I82"/>
      <c r="J82" s="69">
        <f t="shared" ca="1" si="6"/>
        <v>0</v>
      </c>
      <c r="K82" s="70" t="str">
        <f ca="1">IF(J82=1,COUNTIF($J$1:$J82,1),"")</f>
        <v/>
      </c>
      <c r="L82" s="46" t="str">
        <f ca="1">IFERROR(INDEX($A$1:$A$500,MATCH(ROWS($K$1:$K82),$K$1:$K$500,0)),"")</f>
        <v/>
      </c>
      <c r="M82" s="71" t="str">
        <f t="shared" ca="1" si="4"/>
        <v/>
      </c>
      <c r="N82" s="73" t="s">
        <v>2</v>
      </c>
      <c r="O82" s="69">
        <f t="shared" ca="1" si="5"/>
        <v>0</v>
      </c>
      <c r="P82" s="70" t="str">
        <f ca="1">IF(O82=1,COUNTIF($O$1:$O82,1),"")</f>
        <v/>
      </c>
      <c r="Q82" s="46" t="str">
        <f ca="1">IFERROR(INDEX($L$1:$L$500,MATCH(ROWS($P$1:$P82),$P$1:$P$500,0)),"")</f>
        <v/>
      </c>
      <c r="R82" s="71" t="str">
        <f t="shared" ca="1" si="7"/>
        <v/>
      </c>
    </row>
    <row r="83" spans="8:18">
      <c r="H83"/>
      <c r="I83"/>
      <c r="J83" s="69">
        <f t="shared" ca="1" si="6"/>
        <v>0</v>
      </c>
      <c r="K83" s="70" t="str">
        <f ca="1">IF(J83=1,COUNTIF($J$1:$J83,1),"")</f>
        <v/>
      </c>
      <c r="L83" s="46" t="str">
        <f ca="1">IFERROR(INDEX($A$1:$A$500,MATCH(ROWS($K$1:$K83),$K$1:$K$500,0)),"")</f>
        <v/>
      </c>
      <c r="M83" s="71" t="str">
        <f t="shared" ca="1" si="4"/>
        <v/>
      </c>
      <c r="N83" s="73" t="s">
        <v>2</v>
      </c>
      <c r="O83" s="69">
        <f t="shared" ca="1" si="5"/>
        <v>0</v>
      </c>
      <c r="P83" s="70" t="str">
        <f ca="1">IF(O83=1,COUNTIF($O$1:$O83,1),"")</f>
        <v/>
      </c>
      <c r="Q83" s="46" t="str">
        <f ca="1">IFERROR(INDEX($L$1:$L$500,MATCH(ROWS($P$1:$P83),$P$1:$P$500,0)),"")</f>
        <v/>
      </c>
      <c r="R83" s="71" t="str">
        <f t="shared" ca="1" si="7"/>
        <v/>
      </c>
    </row>
    <row r="84" spans="8:18">
      <c r="H84"/>
      <c r="I84"/>
      <c r="J84" s="69">
        <f t="shared" ca="1" si="6"/>
        <v>0</v>
      </c>
      <c r="K84" s="70" t="str">
        <f ca="1">IF(J84=1,COUNTIF($J$1:$J84,1),"")</f>
        <v/>
      </c>
      <c r="L84" s="46" t="str">
        <f ca="1">IFERROR(INDEX($A$1:$A$500,MATCH(ROWS($K$1:$K84),$K$1:$K$500,0)),"")</f>
        <v/>
      </c>
      <c r="M84" s="71" t="str">
        <f t="shared" ca="1" si="4"/>
        <v/>
      </c>
      <c r="N84" s="73" t="s">
        <v>2</v>
      </c>
      <c r="O84" s="69">
        <f t="shared" ca="1" si="5"/>
        <v>0</v>
      </c>
      <c r="P84" s="70" t="str">
        <f ca="1">IF(O84=1,COUNTIF($O$1:$O84,1),"")</f>
        <v/>
      </c>
      <c r="Q84" s="46" t="str">
        <f ca="1">IFERROR(INDEX($L$1:$L$500,MATCH(ROWS($P$1:$P84),$P$1:$P$500,0)),"")</f>
        <v/>
      </c>
      <c r="R84" s="71" t="str">
        <f t="shared" ca="1" si="7"/>
        <v/>
      </c>
    </row>
    <row r="85" spans="8:18">
      <c r="H85"/>
      <c r="I85"/>
      <c r="J85" s="69">
        <f t="shared" ca="1" si="6"/>
        <v>0</v>
      </c>
      <c r="K85" s="70" t="str">
        <f ca="1">IF(J85=1,COUNTIF($J$1:$J85,1),"")</f>
        <v/>
      </c>
      <c r="L85" s="46" t="str">
        <f ca="1">IFERROR(INDEX($A$1:$A$500,MATCH(ROWS($K$1:$K85),$K$1:$K$500,0)),"")</f>
        <v/>
      </c>
      <c r="M85" s="71" t="str">
        <f t="shared" ca="1" si="4"/>
        <v/>
      </c>
      <c r="N85" s="73" t="s">
        <v>2</v>
      </c>
      <c r="O85" s="69">
        <f t="shared" ca="1" si="5"/>
        <v>0</v>
      </c>
      <c r="P85" s="70" t="str">
        <f ca="1">IF(O85=1,COUNTIF($O$1:$O85,1),"")</f>
        <v/>
      </c>
      <c r="Q85" s="46" t="str">
        <f ca="1">IFERROR(INDEX($L$1:$L$500,MATCH(ROWS($P$1:$P85),$P$1:$P$500,0)),"")</f>
        <v/>
      </c>
      <c r="R85" s="71" t="str">
        <f t="shared" ca="1" si="7"/>
        <v/>
      </c>
    </row>
    <row r="86" spans="8:18">
      <c r="H86"/>
      <c r="I86"/>
      <c r="J86" s="69">
        <f t="shared" ca="1" si="6"/>
        <v>0</v>
      </c>
      <c r="K86" s="70" t="str">
        <f ca="1">IF(J86=1,COUNTIF($J$1:$J86,1),"")</f>
        <v/>
      </c>
      <c r="L86" s="46" t="str">
        <f ca="1">IFERROR(INDEX($A$1:$A$500,MATCH(ROWS($K$1:$K86),$K$1:$K$500,0)),"")</f>
        <v/>
      </c>
      <c r="M86" s="71" t="str">
        <f t="shared" ca="1" si="4"/>
        <v/>
      </c>
      <c r="N86" s="73" t="s">
        <v>2</v>
      </c>
      <c r="O86" s="69">
        <f t="shared" ca="1" si="5"/>
        <v>0</v>
      </c>
      <c r="P86" s="70" t="str">
        <f ca="1">IF(O86=1,COUNTIF($O$1:$O86,1),"")</f>
        <v/>
      </c>
      <c r="Q86" s="46" t="str">
        <f ca="1">IFERROR(INDEX($L$1:$L$500,MATCH(ROWS($P$1:$P86),$P$1:$P$500,0)),"")</f>
        <v/>
      </c>
      <c r="R86" s="71" t="str">
        <f t="shared" ca="1" si="7"/>
        <v/>
      </c>
    </row>
    <row r="87" spans="8:18">
      <c r="H87"/>
      <c r="I87"/>
      <c r="J87" s="69">
        <f t="shared" ca="1" si="6"/>
        <v>0</v>
      </c>
      <c r="K87" s="70" t="str">
        <f ca="1">IF(J87=1,COUNTIF($J$1:$J87,1),"")</f>
        <v/>
      </c>
      <c r="L87" s="46" t="str">
        <f ca="1">IFERROR(INDEX($A$1:$A$500,MATCH(ROWS($K$1:$K87),$K$1:$K$500,0)),"")</f>
        <v/>
      </c>
      <c r="M87" s="71" t="str">
        <f t="shared" ca="1" si="4"/>
        <v/>
      </c>
      <c r="N87" s="73" t="s">
        <v>2</v>
      </c>
      <c r="O87" s="69">
        <f t="shared" ca="1" si="5"/>
        <v>0</v>
      </c>
      <c r="P87" s="70" t="str">
        <f ca="1">IF(O87=1,COUNTIF($O$1:$O87,1),"")</f>
        <v/>
      </c>
      <c r="Q87" s="46" t="str">
        <f ca="1">IFERROR(INDEX($L$1:$L$500,MATCH(ROWS($P$1:$P87),$P$1:$P$500,0)),"")</f>
        <v/>
      </c>
      <c r="R87" s="71" t="str">
        <f t="shared" ca="1" si="7"/>
        <v/>
      </c>
    </row>
    <row r="88" spans="8:18">
      <c r="H88"/>
      <c r="I88"/>
      <c r="J88" s="69">
        <f t="shared" ca="1" si="6"/>
        <v>0</v>
      </c>
      <c r="K88" s="70" t="str">
        <f ca="1">IF(J88=1,COUNTIF($J$1:$J88,1),"")</f>
        <v/>
      </c>
      <c r="L88" s="46" t="str">
        <f ca="1">IFERROR(INDEX($A$1:$A$500,MATCH(ROWS($K$1:$K88),$K$1:$K$500,0)),"")</f>
        <v/>
      </c>
      <c r="M88" s="71" t="str">
        <f t="shared" ca="1" si="4"/>
        <v/>
      </c>
      <c r="N88" s="73" t="s">
        <v>2</v>
      </c>
      <c r="O88" s="69">
        <f t="shared" ca="1" si="5"/>
        <v>0</v>
      </c>
      <c r="P88" s="70" t="str">
        <f ca="1">IF(O88=1,COUNTIF($O$1:$O88,1),"")</f>
        <v/>
      </c>
      <c r="Q88" s="46" t="str">
        <f ca="1">IFERROR(INDEX($L$1:$L$500,MATCH(ROWS($P$1:$P88),$P$1:$P$500,0)),"")</f>
        <v/>
      </c>
      <c r="R88" s="71" t="str">
        <f t="shared" ca="1" si="7"/>
        <v/>
      </c>
    </row>
    <row r="89" spans="8:18">
      <c r="H89"/>
      <c r="I89"/>
      <c r="J89" s="69">
        <f t="shared" ca="1" si="6"/>
        <v>0</v>
      </c>
      <c r="K89" s="70" t="str">
        <f ca="1">IF(J89=1,COUNTIF($J$1:$J89,1),"")</f>
        <v/>
      </c>
      <c r="L89" s="46" t="str">
        <f ca="1">IFERROR(INDEX($A$1:$A$500,MATCH(ROWS($K$1:$K89),$K$1:$K$500,0)),"")</f>
        <v/>
      </c>
      <c r="M89" s="71" t="str">
        <f t="shared" ca="1" si="4"/>
        <v/>
      </c>
      <c r="N89" s="73" t="s">
        <v>2</v>
      </c>
      <c r="O89" s="69">
        <f t="shared" ca="1" si="5"/>
        <v>0</v>
      </c>
      <c r="P89" s="70" t="str">
        <f ca="1">IF(O89=1,COUNTIF($O$1:$O89,1),"")</f>
        <v/>
      </c>
      <c r="Q89" s="46" t="str">
        <f ca="1">IFERROR(INDEX($L$1:$L$500,MATCH(ROWS($P$1:$P89),$P$1:$P$500,0)),"")</f>
        <v/>
      </c>
      <c r="R89" s="71" t="str">
        <f t="shared" ca="1" si="7"/>
        <v/>
      </c>
    </row>
    <row r="90" spans="8:18">
      <c r="H90"/>
      <c r="I90"/>
      <c r="J90" s="69">
        <f t="shared" ca="1" si="6"/>
        <v>0</v>
      </c>
      <c r="K90" s="70" t="str">
        <f ca="1">IF(J90=1,COUNTIF($J$1:$J90,1),"")</f>
        <v/>
      </c>
      <c r="L90" s="46" t="str">
        <f ca="1">IFERROR(INDEX($A$1:$A$500,MATCH(ROWS($K$1:$K90),$K$1:$K$500,0)),"")</f>
        <v/>
      </c>
      <c r="M90" s="71" t="str">
        <f t="shared" ca="1" si="4"/>
        <v/>
      </c>
      <c r="N90" s="73" t="s">
        <v>2</v>
      </c>
      <c r="O90" s="69">
        <f t="shared" ca="1" si="5"/>
        <v>0</v>
      </c>
      <c r="P90" s="70" t="str">
        <f ca="1">IF(O90=1,COUNTIF($O$1:$O90,1),"")</f>
        <v/>
      </c>
      <c r="Q90" s="46" t="str">
        <f ca="1">IFERROR(INDEX($L$1:$L$500,MATCH(ROWS($P$1:$P90),$P$1:$P$500,0)),"")</f>
        <v/>
      </c>
      <c r="R90" s="71" t="str">
        <f t="shared" ca="1" si="7"/>
        <v/>
      </c>
    </row>
    <row r="91" spans="8:18">
      <c r="H91"/>
      <c r="I91"/>
      <c r="J91" s="69">
        <f t="shared" ca="1" si="6"/>
        <v>0</v>
      </c>
      <c r="K91" s="70" t="str">
        <f ca="1">IF(J91=1,COUNTIF($J$1:$J91,1),"")</f>
        <v/>
      </c>
      <c r="L91" s="46" t="str">
        <f ca="1">IFERROR(INDEX($A$1:$A$500,MATCH(ROWS($K$1:$K91),$K$1:$K$500,0)),"")</f>
        <v/>
      </c>
      <c r="M91" s="71" t="str">
        <f t="shared" ca="1" si="4"/>
        <v/>
      </c>
      <c r="N91" s="73" t="s">
        <v>2</v>
      </c>
      <c r="O91" s="69">
        <f t="shared" ca="1" si="5"/>
        <v>0</v>
      </c>
      <c r="P91" s="70" t="str">
        <f ca="1">IF(O91=1,COUNTIF($O$1:$O91,1),"")</f>
        <v/>
      </c>
      <c r="Q91" s="46" t="str">
        <f ca="1">IFERROR(INDEX($L$1:$L$500,MATCH(ROWS($P$1:$P91),$P$1:$P$500,0)),"")</f>
        <v/>
      </c>
      <c r="R91" s="71" t="str">
        <f t="shared" ca="1" si="7"/>
        <v/>
      </c>
    </row>
    <row r="92" spans="8:18">
      <c r="H92"/>
      <c r="I92"/>
      <c r="J92" s="69">
        <f t="shared" ca="1" si="6"/>
        <v>0</v>
      </c>
      <c r="K92" s="70" t="str">
        <f ca="1">IF(J92=1,COUNTIF($J$1:$J92,1),"")</f>
        <v/>
      </c>
      <c r="L92" s="46" t="str">
        <f ca="1">IFERROR(INDEX($A$1:$A$500,MATCH(ROWS($K$1:$K92),$K$1:$K$500,0)),"")</f>
        <v/>
      </c>
      <c r="M92" s="71" t="str">
        <f t="shared" ca="1" si="4"/>
        <v/>
      </c>
      <c r="N92" s="73" t="s">
        <v>2</v>
      </c>
      <c r="O92" s="69">
        <f t="shared" ca="1" si="5"/>
        <v>0</v>
      </c>
      <c r="P92" s="70" t="str">
        <f ca="1">IF(O92=1,COUNTIF($O$1:$O92,1),"")</f>
        <v/>
      </c>
      <c r="Q92" s="46" t="str">
        <f ca="1">IFERROR(INDEX($L$1:$L$500,MATCH(ROWS($P$1:$P92),$P$1:$P$500,0)),"")</f>
        <v/>
      </c>
      <c r="R92" s="71" t="str">
        <f t="shared" ca="1" si="7"/>
        <v/>
      </c>
    </row>
    <row r="93" spans="8:18">
      <c r="H93"/>
      <c r="I93"/>
      <c r="J93" s="69">
        <f t="shared" ca="1" si="6"/>
        <v>0</v>
      </c>
      <c r="K93" s="70" t="str">
        <f ca="1">IF(J93=1,COUNTIF($J$1:$J93,1),"")</f>
        <v/>
      </c>
      <c r="L93" s="46" t="str">
        <f ca="1">IFERROR(INDEX($A$1:$A$500,MATCH(ROWS($K$1:$K93),$K$1:$K$500,0)),"")</f>
        <v/>
      </c>
      <c r="M93" s="71" t="str">
        <f t="shared" ca="1" si="4"/>
        <v/>
      </c>
      <c r="N93" s="73" t="s">
        <v>2</v>
      </c>
      <c r="O93" s="69">
        <f t="shared" ca="1" si="5"/>
        <v>0</v>
      </c>
      <c r="P93" s="70" t="str">
        <f ca="1">IF(O93=1,COUNTIF($O$1:$O93,1),"")</f>
        <v/>
      </c>
      <c r="Q93" s="46" t="str">
        <f ca="1">IFERROR(INDEX($L$1:$L$500,MATCH(ROWS($P$1:$P93),$P$1:$P$500,0)),"")</f>
        <v/>
      </c>
      <c r="R93" s="71" t="str">
        <f t="shared" ca="1" si="7"/>
        <v/>
      </c>
    </row>
    <row r="94" spans="8:18">
      <c r="H94"/>
      <c r="I94"/>
      <c r="J94" s="69">
        <f t="shared" ca="1" si="6"/>
        <v>0</v>
      </c>
      <c r="K94" s="70" t="str">
        <f ca="1">IF(J94=1,COUNTIF($J$1:$J94,1),"")</f>
        <v/>
      </c>
      <c r="L94" s="46" t="str">
        <f ca="1">IFERROR(INDEX($A$1:$A$500,MATCH(ROWS($K$1:$K94),$K$1:$K$500,0)),"")</f>
        <v/>
      </c>
      <c r="M94" s="71" t="str">
        <f t="shared" ca="1" si="4"/>
        <v/>
      </c>
      <c r="N94" s="73" t="s">
        <v>2</v>
      </c>
      <c r="O94" s="69">
        <f t="shared" ca="1" si="5"/>
        <v>0</v>
      </c>
      <c r="P94" s="70" t="str">
        <f ca="1">IF(O94=1,COUNTIF($O$1:$O94,1),"")</f>
        <v/>
      </c>
      <c r="Q94" s="46" t="str">
        <f ca="1">IFERROR(INDEX($L$1:$L$500,MATCH(ROWS($P$1:$P94),$P$1:$P$500,0)),"")</f>
        <v/>
      </c>
      <c r="R94" s="71" t="str">
        <f t="shared" ca="1" si="7"/>
        <v/>
      </c>
    </row>
    <row r="95" spans="8:18">
      <c r="H95"/>
      <c r="I95"/>
      <c r="J95" s="69">
        <f t="shared" ca="1" si="6"/>
        <v>0</v>
      </c>
      <c r="K95" s="70" t="str">
        <f ca="1">IF(J95=1,COUNTIF($J$1:$J95,1),"")</f>
        <v/>
      </c>
      <c r="L95" s="46" t="str">
        <f ca="1">IFERROR(INDEX($A$1:$A$500,MATCH(ROWS($K$1:$K95),$K$1:$K$500,0)),"")</f>
        <v/>
      </c>
      <c r="M95" s="71" t="str">
        <f t="shared" ca="1" si="4"/>
        <v/>
      </c>
      <c r="N95" s="73" t="s">
        <v>2</v>
      </c>
      <c r="O95" s="69">
        <f t="shared" ca="1" si="5"/>
        <v>0</v>
      </c>
      <c r="P95" s="70" t="str">
        <f ca="1">IF(O95=1,COUNTIF($O$1:$O95,1),"")</f>
        <v/>
      </c>
      <c r="Q95" s="46" t="str">
        <f ca="1">IFERROR(INDEX($L$1:$L$500,MATCH(ROWS($P$1:$P95),$P$1:$P$500,0)),"")</f>
        <v/>
      </c>
      <c r="R95" s="71" t="str">
        <f t="shared" ca="1" si="7"/>
        <v/>
      </c>
    </row>
    <row r="96" spans="8:18">
      <c r="H96"/>
      <c r="I96"/>
      <c r="J96" s="69">
        <f t="shared" ca="1" si="6"/>
        <v>0</v>
      </c>
      <c r="K96" s="70" t="str">
        <f ca="1">IF(J96=1,COUNTIF($J$1:$J96,1),"")</f>
        <v/>
      </c>
      <c r="L96" s="46" t="str">
        <f ca="1">IFERROR(INDEX($A$1:$A$500,MATCH(ROWS($K$1:$K96),$K$1:$K$500,0)),"")</f>
        <v/>
      </c>
      <c r="M96" s="71" t="str">
        <f t="shared" ca="1" si="4"/>
        <v/>
      </c>
      <c r="N96" s="73" t="s">
        <v>2</v>
      </c>
      <c r="O96" s="69">
        <f t="shared" ca="1" si="5"/>
        <v>0</v>
      </c>
      <c r="P96" s="70" t="str">
        <f ca="1">IF(O96=1,COUNTIF($O$1:$O96,1),"")</f>
        <v/>
      </c>
      <c r="Q96" s="46" t="str">
        <f ca="1">IFERROR(INDEX($L$1:$L$500,MATCH(ROWS($P$1:$P96),$P$1:$P$500,0)),"")</f>
        <v/>
      </c>
      <c r="R96" s="71" t="str">
        <f t="shared" ca="1" si="7"/>
        <v/>
      </c>
    </row>
    <row r="97" spans="8:18">
      <c r="H97"/>
      <c r="I97"/>
      <c r="J97" s="69">
        <f t="shared" ca="1" si="6"/>
        <v>0</v>
      </c>
      <c r="K97" s="70" t="str">
        <f ca="1">IF(J97=1,COUNTIF($J$1:$J97,1),"")</f>
        <v/>
      </c>
      <c r="L97" s="46" t="str">
        <f ca="1">IFERROR(INDEX($A$1:$A$500,MATCH(ROWS($K$1:$K97),$K$1:$K$500,0)),"")</f>
        <v/>
      </c>
      <c r="M97" s="71" t="str">
        <f t="shared" ca="1" si="4"/>
        <v/>
      </c>
      <c r="N97" s="73" t="s">
        <v>2</v>
      </c>
      <c r="O97" s="69">
        <f t="shared" ca="1" si="5"/>
        <v>0</v>
      </c>
      <c r="P97" s="70" t="str">
        <f ca="1">IF(O97=1,COUNTIF($O$1:$O97,1),"")</f>
        <v/>
      </c>
      <c r="Q97" s="46" t="str">
        <f ca="1">IFERROR(INDEX($L$1:$L$500,MATCH(ROWS($P$1:$P97),$P$1:$P$500,0)),"")</f>
        <v/>
      </c>
      <c r="R97" s="71" t="str">
        <f t="shared" ca="1" si="7"/>
        <v/>
      </c>
    </row>
    <row r="98" spans="8:18">
      <c r="H98"/>
      <c r="I98"/>
      <c r="J98" s="69">
        <f t="shared" ca="1" si="6"/>
        <v>0</v>
      </c>
      <c r="K98" s="70" t="str">
        <f ca="1">IF(J98=1,COUNTIF($J$1:$J98,1),"")</f>
        <v/>
      </c>
      <c r="L98" s="46" t="str">
        <f ca="1">IFERROR(INDEX($A$1:$A$500,MATCH(ROWS($K$1:$K98),$K$1:$K$500,0)),"")</f>
        <v/>
      </c>
      <c r="M98" s="71" t="str">
        <f t="shared" ca="1" si="4"/>
        <v/>
      </c>
      <c r="N98" s="73" t="s">
        <v>2</v>
      </c>
      <c r="O98" s="69">
        <f t="shared" ca="1" si="5"/>
        <v>0</v>
      </c>
      <c r="P98" s="70" t="str">
        <f ca="1">IF(O98=1,COUNTIF($O$1:$O98,1),"")</f>
        <v/>
      </c>
      <c r="Q98" s="46" t="str">
        <f ca="1">IFERROR(INDEX($L$1:$L$500,MATCH(ROWS($P$1:$P98),$P$1:$P$500,0)),"")</f>
        <v/>
      </c>
      <c r="R98" s="71" t="str">
        <f t="shared" ca="1" si="7"/>
        <v/>
      </c>
    </row>
    <row r="99" spans="8:18">
      <c r="H99"/>
      <c r="I99"/>
      <c r="J99" s="69">
        <f t="shared" ca="1" si="6"/>
        <v>0</v>
      </c>
      <c r="K99" s="70" t="str">
        <f ca="1">IF(J99=1,COUNTIF($J$1:$J99,1),"")</f>
        <v/>
      </c>
      <c r="L99" s="46" t="str">
        <f ca="1">IFERROR(INDEX($A$1:$A$500,MATCH(ROWS($K$1:$K99),$K$1:$K$500,0)),"")</f>
        <v/>
      </c>
      <c r="M99" s="71" t="str">
        <f t="shared" ca="1" si="4"/>
        <v/>
      </c>
      <c r="N99" s="73" t="s">
        <v>2</v>
      </c>
      <c r="O99" s="69">
        <f t="shared" ca="1" si="5"/>
        <v>0</v>
      </c>
      <c r="P99" s="70" t="str">
        <f ca="1">IF(O99=1,COUNTIF($O$1:$O99,1),"")</f>
        <v/>
      </c>
      <c r="Q99" s="46" t="str">
        <f ca="1">IFERROR(INDEX($L$1:$L$500,MATCH(ROWS($P$1:$P99),$P$1:$P$500,0)),"")</f>
        <v/>
      </c>
      <c r="R99" s="71" t="str">
        <f t="shared" ca="1" si="7"/>
        <v/>
      </c>
    </row>
    <row r="100" spans="8:18">
      <c r="H100"/>
      <c r="I100"/>
      <c r="J100" s="69">
        <f t="shared" ca="1" si="6"/>
        <v>0</v>
      </c>
      <c r="K100" s="70" t="str">
        <f ca="1">IF(J100=1,COUNTIF($J$1:$J100,1),"")</f>
        <v/>
      </c>
      <c r="L100" s="46" t="str">
        <f ca="1">IFERROR(INDEX($A$1:$A$500,MATCH(ROWS($K$1:$K100),$K$1:$K$500,0)),"")</f>
        <v/>
      </c>
      <c r="M100" s="71" t="str">
        <f t="shared" ca="1" si="4"/>
        <v/>
      </c>
      <c r="N100" s="73" t="s">
        <v>2</v>
      </c>
      <c r="O100" s="69">
        <f t="shared" ca="1" si="5"/>
        <v>0</v>
      </c>
      <c r="P100" s="70" t="str">
        <f ca="1">IF(O100=1,COUNTIF($O$1:$O100,1),"")</f>
        <v/>
      </c>
      <c r="Q100" s="46" t="str">
        <f ca="1">IFERROR(INDEX($L$1:$L$500,MATCH(ROWS($P$1:$P100),$P$1:$P$500,0)),"")</f>
        <v/>
      </c>
      <c r="R100" s="71" t="str">
        <f t="shared" ca="1" si="7"/>
        <v/>
      </c>
    </row>
    <row r="101" spans="8:18">
      <c r="H101"/>
      <c r="I101"/>
      <c r="J101" s="69">
        <f t="shared" ca="1" si="6"/>
        <v>0</v>
      </c>
      <c r="K101" s="70" t="str">
        <f ca="1">IF(J101=1,COUNTIF($J$1:$J101,1),"")</f>
        <v/>
      </c>
      <c r="L101" s="46" t="str">
        <f ca="1">IFERROR(INDEX($A$1:$A$500,MATCH(ROWS($K$1:$K101),$K$1:$K$500,0)),"")</f>
        <v/>
      </c>
      <c r="M101" s="71" t="str">
        <f t="shared" ca="1" si="4"/>
        <v/>
      </c>
      <c r="O101" s="69">
        <f t="shared" ca="1" si="5"/>
        <v>0</v>
      </c>
      <c r="P101" s="70" t="str">
        <f ca="1">IF(O101=1,COUNTIF($O$1:$O101,1),"")</f>
        <v/>
      </c>
      <c r="Q101" s="46" t="str">
        <f ca="1">IFERROR(INDEX($L$1:$L$500,MATCH(ROWS($P$1:$P101),$P$1:$P$500,0)),"")</f>
        <v/>
      </c>
      <c r="R101" s="71" t="str">
        <f t="shared" ca="1" si="7"/>
        <v/>
      </c>
    </row>
    <row r="102" spans="8:18">
      <c r="H102"/>
      <c r="I102"/>
      <c r="J102" s="69">
        <f t="shared" ca="1" si="6"/>
        <v>0</v>
      </c>
      <c r="K102" s="70" t="str">
        <f ca="1">IF(J102=1,COUNTIF($J$1:$J102,1),"")</f>
        <v/>
      </c>
      <c r="L102" s="46" t="str">
        <f ca="1">IFERROR(INDEX($A$1:$A$500,MATCH(ROWS($K$1:$K102),$K$1:$K$500,0)),"")</f>
        <v/>
      </c>
      <c r="M102" s="71" t="str">
        <f t="shared" ca="1" si="4"/>
        <v/>
      </c>
      <c r="O102" s="69">
        <f t="shared" ca="1" si="5"/>
        <v>0</v>
      </c>
      <c r="P102" s="70" t="str">
        <f ca="1">IF(O102=1,COUNTIF($O$1:$O102,1),"")</f>
        <v/>
      </c>
      <c r="Q102" s="46" t="str">
        <f ca="1">IFERROR(INDEX($L$1:$L$500,MATCH(ROWS($P$1:$P102),$P$1:$P$500,0)),"")</f>
        <v/>
      </c>
      <c r="R102" s="71" t="str">
        <f t="shared" ca="1" si="7"/>
        <v/>
      </c>
    </row>
    <row r="103" spans="8:18">
      <c r="H103"/>
      <c r="I103"/>
      <c r="J103" s="69">
        <f t="shared" ca="1" si="6"/>
        <v>0</v>
      </c>
      <c r="K103" s="70" t="str">
        <f ca="1">IF(J103=1,COUNTIF($J$1:$J103,1),"")</f>
        <v/>
      </c>
      <c r="L103" s="46" t="str">
        <f ca="1">IFERROR(INDEX($A$1:$A$500,MATCH(ROWS($K$1:$K103),$K$1:$K$500,0)),"")</f>
        <v/>
      </c>
      <c r="M103" s="71" t="str">
        <f t="shared" ca="1" si="4"/>
        <v/>
      </c>
      <c r="O103" s="69">
        <f t="shared" ca="1" si="5"/>
        <v>0</v>
      </c>
      <c r="P103" s="70" t="str">
        <f ca="1">IF(O103=1,COUNTIF($O$1:$O103,1),"")</f>
        <v/>
      </c>
      <c r="Q103" s="46" t="str">
        <f ca="1">IFERROR(INDEX($L$1:$L$500,MATCH(ROWS($P$1:$P103),$P$1:$P$500,0)),"")</f>
        <v/>
      </c>
      <c r="R103" s="71" t="str">
        <f t="shared" ca="1" si="7"/>
        <v/>
      </c>
    </row>
    <row r="104" spans="8:18">
      <c r="H104"/>
      <c r="I104"/>
      <c r="J104" s="69">
        <f t="shared" ca="1" si="6"/>
        <v>0</v>
      </c>
      <c r="K104" s="70" t="str">
        <f ca="1">IF(J104=1,COUNTIF($J$1:$J104,1),"")</f>
        <v/>
      </c>
      <c r="L104" s="46" t="str">
        <f ca="1">IFERROR(INDEX($A$1:$A$500,MATCH(ROWS($K$1:$K104),$K$1:$K$500,0)),"")</f>
        <v/>
      </c>
      <c r="M104" s="71" t="str">
        <f t="shared" ca="1" si="4"/>
        <v/>
      </c>
      <c r="O104" s="69">
        <f t="shared" ca="1" si="5"/>
        <v>0</v>
      </c>
      <c r="P104" s="70" t="str">
        <f ca="1">IF(O104=1,COUNTIF($O$1:$O104,1),"")</f>
        <v/>
      </c>
      <c r="Q104" s="46" t="str">
        <f ca="1">IFERROR(INDEX($L$1:$L$500,MATCH(ROWS($P$1:$P104),$P$1:$P$500,0)),"")</f>
        <v/>
      </c>
      <c r="R104" s="71" t="str">
        <f t="shared" ca="1" si="7"/>
        <v/>
      </c>
    </row>
    <row r="105" spans="8:18">
      <c r="H105"/>
      <c r="I105"/>
      <c r="J105" s="69">
        <f t="shared" ca="1" si="6"/>
        <v>0</v>
      </c>
      <c r="K105" s="70" t="str">
        <f ca="1">IF(J105=1,COUNTIF($J$1:$J105,1),"")</f>
        <v/>
      </c>
      <c r="L105" s="46" t="str">
        <f ca="1">IFERROR(INDEX($A$1:$A$500,MATCH(ROWS($K$1:$K105),$K$1:$K$500,0)),"")</f>
        <v/>
      </c>
      <c r="M105" s="71" t="str">
        <f t="shared" ca="1" si="4"/>
        <v/>
      </c>
      <c r="O105" s="69">
        <f t="shared" ca="1" si="5"/>
        <v>0</v>
      </c>
      <c r="P105" s="70" t="str">
        <f ca="1">IF(O105=1,COUNTIF($O$1:$O105,1),"")</f>
        <v/>
      </c>
      <c r="Q105" s="46" t="str">
        <f ca="1">IFERROR(INDEX($L$1:$L$500,MATCH(ROWS($P$1:$P105),$P$1:$P$500,0)),"")</f>
        <v/>
      </c>
      <c r="R105" s="71" t="str">
        <f t="shared" ca="1" si="7"/>
        <v/>
      </c>
    </row>
    <row r="106" spans="8:18">
      <c r="H106"/>
      <c r="I106"/>
      <c r="J106" s="69">
        <f t="shared" ca="1" si="6"/>
        <v>0</v>
      </c>
      <c r="K106" s="70" t="str">
        <f ca="1">IF(J106=1,COUNTIF($J$1:$J106,1),"")</f>
        <v/>
      </c>
      <c r="L106" s="46" t="str">
        <f ca="1">IFERROR(INDEX($A$1:$A$500,MATCH(ROWS($K$1:$K106),$K$1:$K$500,0)),"")</f>
        <v/>
      </c>
      <c r="M106" s="71" t="str">
        <f t="shared" ca="1" si="4"/>
        <v/>
      </c>
      <c r="O106" s="69">
        <f t="shared" ca="1" si="5"/>
        <v>0</v>
      </c>
      <c r="P106" s="70" t="str">
        <f ca="1">IF(O106=1,COUNTIF($O$1:$O106,1),"")</f>
        <v/>
      </c>
      <c r="Q106" s="46" t="str">
        <f ca="1">IFERROR(INDEX($L$1:$L$500,MATCH(ROWS($P$1:$P106),$P$1:$P$500,0)),"")</f>
        <v/>
      </c>
      <c r="R106" s="71" t="str">
        <f t="shared" ca="1" si="7"/>
        <v/>
      </c>
    </row>
    <row r="107" spans="8:18">
      <c r="H107"/>
      <c r="I107"/>
      <c r="J107" s="69">
        <f t="shared" ca="1" si="6"/>
        <v>0</v>
      </c>
      <c r="K107" s="70" t="str">
        <f ca="1">IF(J107=1,COUNTIF($J$1:$J107,1),"")</f>
        <v/>
      </c>
      <c r="L107" s="46" t="str">
        <f ca="1">IFERROR(INDEX($A$1:$A$500,MATCH(ROWS($K$1:$K107),$K$1:$K$500,0)),"")</f>
        <v/>
      </c>
      <c r="M107" s="71" t="str">
        <f t="shared" ca="1" si="4"/>
        <v/>
      </c>
      <c r="O107" s="69">
        <f t="shared" ca="1" si="5"/>
        <v>0</v>
      </c>
      <c r="P107" s="70" t="str">
        <f ca="1">IF(O107=1,COUNTIF($O$1:$O107,1),"")</f>
        <v/>
      </c>
      <c r="Q107" s="46" t="str">
        <f ca="1">IFERROR(INDEX($L$1:$L$500,MATCH(ROWS($P$1:$P107),$P$1:$P$500,0)),"")</f>
        <v/>
      </c>
      <c r="R107" s="71" t="str">
        <f t="shared" ca="1" si="7"/>
        <v/>
      </c>
    </row>
    <row r="108" spans="8:18">
      <c r="H108"/>
      <c r="I108"/>
      <c r="J108" s="69">
        <f t="shared" ca="1" si="6"/>
        <v>0</v>
      </c>
      <c r="K108" s="70" t="str">
        <f ca="1">IF(J108=1,COUNTIF($J$1:$J108,1),"")</f>
        <v/>
      </c>
      <c r="L108" s="46" t="str">
        <f ca="1">IFERROR(INDEX($A$1:$A$500,MATCH(ROWS($K$1:$K108),$K$1:$K$500,0)),"")</f>
        <v/>
      </c>
      <c r="M108" s="71" t="str">
        <f t="shared" ca="1" si="4"/>
        <v/>
      </c>
      <c r="O108" s="69">
        <f t="shared" ca="1" si="5"/>
        <v>0</v>
      </c>
      <c r="P108" s="70" t="str">
        <f ca="1">IF(O108=1,COUNTIF($O$1:$O108,1),"")</f>
        <v/>
      </c>
      <c r="Q108" s="46" t="str">
        <f ca="1">IFERROR(INDEX($L$1:$L$500,MATCH(ROWS($P$1:$P108),$P$1:$P$500,0)),"")</f>
        <v/>
      </c>
      <c r="R108" s="71" t="str">
        <f t="shared" ca="1" si="7"/>
        <v/>
      </c>
    </row>
    <row r="109" spans="8:18">
      <c r="H109"/>
      <c r="I109"/>
      <c r="J109" s="69">
        <f t="shared" ca="1" si="6"/>
        <v>0</v>
      </c>
      <c r="K109" s="70" t="str">
        <f ca="1">IF(J109=1,COUNTIF($J$1:$J109,1),"")</f>
        <v/>
      </c>
      <c r="L109" s="46" t="str">
        <f ca="1">IFERROR(INDEX($A$1:$A$500,MATCH(ROWS($K$1:$K109),$K$1:$K$500,0)),"")</f>
        <v/>
      </c>
      <c r="M109" s="71" t="str">
        <f t="shared" ca="1" si="4"/>
        <v/>
      </c>
      <c r="O109" s="69">
        <f t="shared" ca="1" si="5"/>
        <v>0</v>
      </c>
      <c r="P109" s="70" t="str">
        <f ca="1">IF(O109=1,COUNTIF($O$1:$O109,1),"")</f>
        <v/>
      </c>
      <c r="Q109" s="46" t="str">
        <f ca="1">IFERROR(INDEX($L$1:$L$500,MATCH(ROWS($P$1:$P109),$P$1:$P$500,0)),"")</f>
        <v/>
      </c>
      <c r="R109" s="71" t="str">
        <f t="shared" ca="1" si="7"/>
        <v/>
      </c>
    </row>
    <row r="110" spans="8:18">
      <c r="H110"/>
      <c r="I110"/>
      <c r="J110" s="69">
        <f t="shared" ca="1" si="6"/>
        <v>0</v>
      </c>
      <c r="K110" s="70" t="str">
        <f ca="1">IF(J110=1,COUNTIF($J$1:$J110,1),"")</f>
        <v/>
      </c>
      <c r="L110" s="46" t="str">
        <f ca="1">IFERROR(INDEX($A$1:$A$500,MATCH(ROWS($K$1:$K110),$K$1:$K$500,0)),"")</f>
        <v/>
      </c>
      <c r="M110" s="71" t="str">
        <f t="shared" ca="1" si="4"/>
        <v/>
      </c>
      <c r="O110" s="69">
        <f t="shared" ca="1" si="5"/>
        <v>0</v>
      </c>
      <c r="P110" s="70" t="str">
        <f ca="1">IF(O110=1,COUNTIF($O$1:$O110,1),"")</f>
        <v/>
      </c>
      <c r="Q110" s="46" t="str">
        <f ca="1">IFERROR(INDEX($L$1:$L$500,MATCH(ROWS($P$1:$P110),$P$1:$P$500,0)),"")</f>
        <v/>
      </c>
      <c r="R110" s="71" t="str">
        <f t="shared" ca="1" si="7"/>
        <v/>
      </c>
    </row>
    <row r="111" spans="8:18">
      <c r="H111"/>
      <c r="I111"/>
      <c r="J111" s="69">
        <f t="shared" ca="1" si="6"/>
        <v>0</v>
      </c>
      <c r="K111" s="70" t="str">
        <f ca="1">IF(J111=1,COUNTIF($J$1:$J111,1),"")</f>
        <v/>
      </c>
      <c r="L111" s="46" t="str">
        <f ca="1">IFERROR(INDEX($A$1:$A$500,MATCH(ROWS($K$1:$K111),$K$1:$K$500,0)),"")</f>
        <v/>
      </c>
      <c r="M111" s="71" t="str">
        <f t="shared" ca="1" si="4"/>
        <v/>
      </c>
      <c r="O111" s="69">
        <f t="shared" ca="1" si="5"/>
        <v>0</v>
      </c>
      <c r="P111" s="70" t="str">
        <f ca="1">IF(O111=1,COUNTIF($O$1:$O111,1),"")</f>
        <v/>
      </c>
      <c r="Q111" s="46" t="str">
        <f ca="1">IFERROR(INDEX($L$1:$L$500,MATCH(ROWS($P$1:$P111),$P$1:$P$500,0)),"")</f>
        <v/>
      </c>
      <c r="R111" s="71" t="str">
        <f t="shared" ca="1" si="7"/>
        <v/>
      </c>
    </row>
    <row r="112" spans="8:18">
      <c r="H112"/>
      <c r="I112"/>
      <c r="J112" s="69">
        <f t="shared" ca="1" si="6"/>
        <v>0</v>
      </c>
      <c r="K112" s="70" t="str">
        <f ca="1">IF(J112=1,COUNTIF($J$1:$J112,1),"")</f>
        <v/>
      </c>
      <c r="L112" s="46" t="str">
        <f ca="1">IFERROR(INDEX($A$1:$A$500,MATCH(ROWS($K$1:$K112),$K$1:$K$500,0)),"")</f>
        <v/>
      </c>
      <c r="M112" s="71" t="str">
        <f t="shared" ca="1" si="4"/>
        <v/>
      </c>
      <c r="O112" s="69">
        <f t="shared" ca="1" si="5"/>
        <v>0</v>
      </c>
      <c r="P112" s="70" t="str">
        <f ca="1">IF(O112=1,COUNTIF($O$1:$O112,1),"")</f>
        <v/>
      </c>
      <c r="Q112" s="46" t="str">
        <f ca="1">IFERROR(INDEX($L$1:$L$500,MATCH(ROWS($P$1:$P112),$P$1:$P$500,0)),"")</f>
        <v/>
      </c>
      <c r="R112" s="71" t="str">
        <f t="shared" ca="1" si="7"/>
        <v/>
      </c>
    </row>
    <row r="113" spans="8:18">
      <c r="H113"/>
      <c r="I113"/>
      <c r="J113" s="69">
        <f t="shared" ca="1" si="6"/>
        <v>0</v>
      </c>
      <c r="K113" s="70" t="str">
        <f ca="1">IF(J113=1,COUNTIF($J$1:$J113,1),"")</f>
        <v/>
      </c>
      <c r="L113" s="46" t="str">
        <f ca="1">IFERROR(INDEX($A$1:$A$500,MATCH(ROWS($K$1:$K113),$K$1:$K$500,0)),"")</f>
        <v/>
      </c>
      <c r="M113" s="71" t="str">
        <f t="shared" ca="1" si="4"/>
        <v/>
      </c>
      <c r="O113" s="69">
        <f t="shared" ca="1" si="5"/>
        <v>0</v>
      </c>
      <c r="P113" s="70" t="str">
        <f ca="1">IF(O113=1,COUNTIF($O$1:$O113,1),"")</f>
        <v/>
      </c>
      <c r="Q113" s="46" t="str">
        <f ca="1">IFERROR(INDEX($L$1:$L$500,MATCH(ROWS($P$1:$P113),$P$1:$P$500,0)),"")</f>
        <v/>
      </c>
      <c r="R113" s="71" t="str">
        <f t="shared" ca="1" si="7"/>
        <v/>
      </c>
    </row>
    <row r="114" spans="8:18">
      <c r="H114"/>
      <c r="I114"/>
      <c r="J114" s="69">
        <f t="shared" ca="1" si="6"/>
        <v>0</v>
      </c>
      <c r="K114" s="70" t="str">
        <f ca="1">IF(J114=1,COUNTIF($J$1:$J114,1),"")</f>
        <v/>
      </c>
      <c r="L114" s="46" t="str">
        <f ca="1">IFERROR(INDEX($A$1:$A$500,MATCH(ROWS($K$1:$K114),$K$1:$K$500,0)),"")</f>
        <v/>
      </c>
      <c r="M114" s="71" t="str">
        <f t="shared" ca="1" si="4"/>
        <v/>
      </c>
      <c r="O114" s="69">
        <f t="shared" ca="1" si="5"/>
        <v>0</v>
      </c>
      <c r="P114" s="70" t="str">
        <f ca="1">IF(O114=1,COUNTIF($O$1:$O114,1),"")</f>
        <v/>
      </c>
      <c r="Q114" s="46" t="str">
        <f ca="1">IFERROR(INDEX($L$1:$L$500,MATCH(ROWS($P$1:$P114),$P$1:$P$500,0)),"")</f>
        <v/>
      </c>
      <c r="R114" s="71" t="str">
        <f t="shared" ca="1" si="7"/>
        <v/>
      </c>
    </row>
    <row r="115" spans="8:18">
      <c r="H115"/>
      <c r="I115"/>
      <c r="J115" s="69">
        <f t="shared" ca="1" si="6"/>
        <v>0</v>
      </c>
      <c r="K115" s="70" t="str">
        <f ca="1">IF(J115=1,COUNTIF($J$1:$J115,1),"")</f>
        <v/>
      </c>
      <c r="L115" s="46" t="str">
        <f ca="1">IFERROR(INDEX($A$1:$A$500,MATCH(ROWS($K$1:$K115),$K$1:$K$500,0)),"")</f>
        <v/>
      </c>
      <c r="M115" s="71" t="str">
        <f t="shared" ca="1" si="4"/>
        <v/>
      </c>
      <c r="O115" s="69">
        <f t="shared" ca="1" si="5"/>
        <v>0</v>
      </c>
      <c r="P115" s="70" t="str">
        <f ca="1">IF(O115=1,COUNTIF($O$1:$O115,1),"")</f>
        <v/>
      </c>
      <c r="Q115" s="46" t="str">
        <f ca="1">IFERROR(INDEX($L$1:$L$500,MATCH(ROWS($P$1:$P115),$P$1:$P$500,0)),"")</f>
        <v/>
      </c>
      <c r="R115" s="71" t="str">
        <f t="shared" ca="1" si="7"/>
        <v/>
      </c>
    </row>
    <row r="116" spans="8:18">
      <c r="H116"/>
      <c r="I116"/>
      <c r="J116" s="69">
        <f t="shared" ca="1" si="6"/>
        <v>0</v>
      </c>
      <c r="K116" s="70" t="str">
        <f ca="1">IF(J116=1,COUNTIF($J$1:$J116,1),"")</f>
        <v/>
      </c>
      <c r="L116" s="46" t="str">
        <f ca="1">IFERROR(INDEX($A$1:$A$500,MATCH(ROWS($K$1:$K116),$K$1:$K$500,0)),"")</f>
        <v/>
      </c>
      <c r="M116" s="71" t="str">
        <f t="shared" ca="1" si="4"/>
        <v/>
      </c>
      <c r="O116" s="69">
        <f t="shared" ca="1" si="5"/>
        <v>0</v>
      </c>
      <c r="P116" s="70" t="str">
        <f ca="1">IF(O116=1,COUNTIF($O$1:$O116,1),"")</f>
        <v/>
      </c>
      <c r="Q116" s="46" t="str">
        <f ca="1">IFERROR(INDEX($L$1:$L$500,MATCH(ROWS($P$1:$P116),$P$1:$P$500,0)),"")</f>
        <v/>
      </c>
      <c r="R116" s="71" t="str">
        <f t="shared" ca="1" si="7"/>
        <v/>
      </c>
    </row>
    <row r="117" spans="8:18">
      <c r="H117"/>
      <c r="I117"/>
      <c r="J117" s="69">
        <f t="shared" ca="1" si="6"/>
        <v>0</v>
      </c>
      <c r="K117" s="70" t="str">
        <f ca="1">IF(J117=1,COUNTIF($J$1:$J117,1),"")</f>
        <v/>
      </c>
      <c r="L117" s="46" t="str">
        <f ca="1">IFERROR(INDEX($A$1:$A$500,MATCH(ROWS($K$1:$K117),$K$1:$K$500,0)),"")</f>
        <v/>
      </c>
      <c r="M117" s="71" t="str">
        <f t="shared" ca="1" si="4"/>
        <v/>
      </c>
      <c r="O117" s="69">
        <f t="shared" ca="1" si="5"/>
        <v>0</v>
      </c>
      <c r="P117" s="70" t="str">
        <f ca="1">IF(O117=1,COUNTIF($O$1:$O117,1),"")</f>
        <v/>
      </c>
      <c r="Q117" s="46" t="str">
        <f ca="1">IFERROR(INDEX($L$1:$L$500,MATCH(ROWS($P$1:$P117),$P$1:$P$500,0)),"")</f>
        <v/>
      </c>
      <c r="R117" s="71" t="str">
        <f t="shared" ca="1" si="7"/>
        <v/>
      </c>
    </row>
    <row r="118" spans="8:18">
      <c r="H118"/>
      <c r="I118"/>
      <c r="J118" s="69">
        <f t="shared" ca="1" si="6"/>
        <v>0</v>
      </c>
      <c r="K118" s="70" t="str">
        <f ca="1">IF(J118=1,COUNTIF($J$1:$J118,1),"")</f>
        <v/>
      </c>
      <c r="L118" s="46" t="str">
        <f ca="1">IFERROR(INDEX($A$1:$A$500,MATCH(ROWS($K$1:$K118),$K$1:$K$500,0)),"")</f>
        <v/>
      </c>
      <c r="M118" s="71" t="str">
        <f t="shared" ca="1" si="4"/>
        <v/>
      </c>
      <c r="O118" s="69">
        <f t="shared" ca="1" si="5"/>
        <v>0</v>
      </c>
      <c r="P118" s="70" t="str">
        <f ca="1">IF(O118=1,COUNTIF($O$1:$O118,1),"")</f>
        <v/>
      </c>
      <c r="Q118" s="46" t="str">
        <f ca="1">IFERROR(INDEX($L$1:$L$500,MATCH(ROWS($P$1:$P118),$P$1:$P$500,0)),"")</f>
        <v/>
      </c>
      <c r="R118" s="71" t="str">
        <f t="shared" ca="1" si="7"/>
        <v/>
      </c>
    </row>
    <row r="119" spans="8:18">
      <c r="H119"/>
      <c r="I119"/>
      <c r="J119" s="69">
        <f t="shared" ca="1" si="6"/>
        <v>0</v>
      </c>
      <c r="K119" s="70" t="str">
        <f ca="1">IF(J119=1,COUNTIF($J$1:$J119,1),"")</f>
        <v/>
      </c>
      <c r="L119" s="46" t="str">
        <f ca="1">IFERROR(INDEX($A$1:$A$500,MATCH(ROWS($K$1:$K119),$K$1:$K$500,0)),"")</f>
        <v/>
      </c>
      <c r="M119" s="71" t="str">
        <f t="shared" ca="1" si="4"/>
        <v/>
      </c>
      <c r="O119" s="69">
        <f t="shared" ca="1" si="5"/>
        <v>0</v>
      </c>
      <c r="P119" s="70" t="str">
        <f ca="1">IF(O119=1,COUNTIF($O$1:$O119,1),"")</f>
        <v/>
      </c>
      <c r="Q119" s="46" t="str">
        <f ca="1">IFERROR(INDEX($L$1:$L$500,MATCH(ROWS($P$1:$P119),$P$1:$P$500,0)),"")</f>
        <v/>
      </c>
      <c r="R119" s="71" t="str">
        <f t="shared" ca="1" si="7"/>
        <v/>
      </c>
    </row>
    <row r="120" spans="8:18">
      <c r="H120"/>
      <c r="I120"/>
      <c r="J120" s="69">
        <f t="shared" ca="1" si="6"/>
        <v>0</v>
      </c>
      <c r="K120" s="70" t="str">
        <f ca="1">IF(J120=1,COUNTIF($J$1:$J120,1),"")</f>
        <v/>
      </c>
      <c r="L120" s="46" t="str">
        <f ca="1">IFERROR(INDEX($A$1:$A$500,MATCH(ROWS($K$1:$K120),$K$1:$K$500,0)),"")</f>
        <v/>
      </c>
      <c r="M120" s="71" t="str">
        <f t="shared" ca="1" si="4"/>
        <v/>
      </c>
      <c r="O120" s="69">
        <f t="shared" ca="1" si="5"/>
        <v>0</v>
      </c>
      <c r="P120" s="70" t="str">
        <f ca="1">IF(O120=1,COUNTIF($O$1:$O120,1),"")</f>
        <v/>
      </c>
      <c r="Q120" s="46" t="str">
        <f ca="1">IFERROR(INDEX($L$1:$L$500,MATCH(ROWS($P$1:$P120),$P$1:$P$500,0)),"")</f>
        <v/>
      </c>
      <c r="R120" s="71" t="str">
        <f t="shared" ca="1" si="7"/>
        <v/>
      </c>
    </row>
    <row r="121" spans="8:18">
      <c r="H121"/>
      <c r="I121"/>
      <c r="J121" s="69">
        <f t="shared" ca="1" si="6"/>
        <v>0</v>
      </c>
      <c r="K121" s="70" t="str">
        <f ca="1">IF(J121=1,COUNTIF($J$1:$J121,1),"")</f>
        <v/>
      </c>
      <c r="L121" s="46" t="str">
        <f ca="1">IFERROR(INDEX($A$1:$A$500,MATCH(ROWS($K$1:$K121),$K$1:$K$500,0)),"")</f>
        <v/>
      </c>
      <c r="M121" s="71" t="str">
        <f t="shared" ca="1" si="4"/>
        <v/>
      </c>
      <c r="O121" s="69">
        <f t="shared" ca="1" si="5"/>
        <v>0</v>
      </c>
      <c r="P121" s="70" t="str">
        <f ca="1">IF(O121=1,COUNTIF($O$1:$O121,1),"")</f>
        <v/>
      </c>
      <c r="Q121" s="46" t="str">
        <f ca="1">IFERROR(INDEX($L$1:$L$500,MATCH(ROWS($P$1:$P121),$P$1:$P$500,0)),"")</f>
        <v/>
      </c>
      <c r="R121" s="71" t="str">
        <f t="shared" ca="1" si="7"/>
        <v/>
      </c>
    </row>
    <row r="122" spans="8:18">
      <c r="H122"/>
      <c r="I122"/>
      <c r="J122" s="69">
        <f t="shared" ca="1" si="6"/>
        <v>0</v>
      </c>
      <c r="K122" s="70" t="str">
        <f ca="1">IF(J122=1,COUNTIF($J$1:$J122,1),"")</f>
        <v/>
      </c>
      <c r="L122" s="46" t="str">
        <f ca="1">IFERROR(INDEX($A$1:$A$500,MATCH(ROWS($K$1:$K122),$K$1:$K$500,0)),"")</f>
        <v/>
      </c>
      <c r="M122" s="71" t="str">
        <f t="shared" ca="1" si="4"/>
        <v/>
      </c>
      <c r="O122" s="69">
        <f t="shared" ca="1" si="5"/>
        <v>0</v>
      </c>
      <c r="P122" s="70" t="str">
        <f ca="1">IF(O122=1,COUNTIF($O$1:$O122,1),"")</f>
        <v/>
      </c>
      <c r="Q122" s="46" t="str">
        <f ca="1">IFERROR(INDEX($L$1:$L$500,MATCH(ROWS($P$1:$P122),$P$1:$P$500,0)),"")</f>
        <v/>
      </c>
      <c r="R122" s="71" t="str">
        <f t="shared" ca="1" si="7"/>
        <v/>
      </c>
    </row>
    <row r="123" spans="8:18">
      <c r="H123"/>
      <c r="I123"/>
      <c r="J123" s="69">
        <f t="shared" ca="1" si="6"/>
        <v>0</v>
      </c>
      <c r="K123" s="70" t="str">
        <f ca="1">IF(J123=1,COUNTIF($J$1:$J123,1),"")</f>
        <v/>
      </c>
      <c r="L123" s="46" t="str">
        <f ca="1">IFERROR(INDEX($A$1:$A$500,MATCH(ROWS($K$1:$K123),$K$1:$K$500,0)),"")</f>
        <v/>
      </c>
      <c r="M123" s="71" t="str">
        <f t="shared" ca="1" si="4"/>
        <v/>
      </c>
      <c r="O123" s="69">
        <f t="shared" ca="1" si="5"/>
        <v>0</v>
      </c>
      <c r="P123" s="70" t="str">
        <f ca="1">IF(O123=1,COUNTIF($O$1:$O123,1),"")</f>
        <v/>
      </c>
      <c r="Q123" s="46" t="str">
        <f ca="1">IFERROR(INDEX($L$1:$L$500,MATCH(ROWS($P$1:$P123),$P$1:$P$500,0)),"")</f>
        <v/>
      </c>
      <c r="R123" s="71" t="str">
        <f t="shared" ca="1" si="7"/>
        <v/>
      </c>
    </row>
    <row r="124" spans="8:18">
      <c r="H124"/>
      <c r="I124"/>
      <c r="J124" s="69">
        <f t="shared" ca="1" si="6"/>
        <v>0</v>
      </c>
      <c r="K124" s="70" t="str">
        <f ca="1">IF(J124=1,COUNTIF($J$1:$J124,1),"")</f>
        <v/>
      </c>
      <c r="L124" s="46" t="str">
        <f ca="1">IFERROR(INDEX($A$1:$A$500,MATCH(ROWS($K$1:$K124),$K$1:$K$500,0)),"")</f>
        <v/>
      </c>
      <c r="M124" s="71" t="str">
        <f t="shared" ca="1" si="4"/>
        <v/>
      </c>
      <c r="O124" s="69">
        <f t="shared" ca="1" si="5"/>
        <v>0</v>
      </c>
      <c r="P124" s="70" t="str">
        <f ca="1">IF(O124=1,COUNTIF($O$1:$O124,1),"")</f>
        <v/>
      </c>
      <c r="Q124" s="46" t="str">
        <f ca="1">IFERROR(INDEX($L$1:$L$500,MATCH(ROWS($P$1:$P124),$P$1:$P$500,0)),"")</f>
        <v/>
      </c>
      <c r="R124" s="71" t="str">
        <f t="shared" ca="1" si="7"/>
        <v/>
      </c>
    </row>
    <row r="125" spans="8:18">
      <c r="H125"/>
      <c r="I125"/>
      <c r="J125" s="69">
        <f t="shared" ca="1" si="6"/>
        <v>0</v>
      </c>
      <c r="K125" s="70" t="str">
        <f ca="1">IF(J125=1,COUNTIF($J$1:$J125,1),"")</f>
        <v/>
      </c>
      <c r="L125" s="46" t="str">
        <f ca="1">IFERROR(INDEX($A$1:$A$500,MATCH(ROWS($K$1:$K125),$K$1:$K$500,0)),"")</f>
        <v/>
      </c>
      <c r="M125" s="71" t="str">
        <f t="shared" ca="1" si="4"/>
        <v/>
      </c>
      <c r="O125" s="69">
        <f t="shared" ca="1" si="5"/>
        <v>0</v>
      </c>
      <c r="P125" s="70" t="str">
        <f ca="1">IF(O125=1,COUNTIF($O$1:$O125,1),"")</f>
        <v/>
      </c>
      <c r="Q125" s="46" t="str">
        <f ca="1">IFERROR(INDEX($L$1:$L$500,MATCH(ROWS($P$1:$P125),$P$1:$P$500,0)),"")</f>
        <v/>
      </c>
      <c r="R125" s="71" t="str">
        <f t="shared" ca="1" si="7"/>
        <v/>
      </c>
    </row>
    <row r="126" spans="8:18">
      <c r="H126"/>
      <c r="I126"/>
      <c r="J126" s="69">
        <f t="shared" ca="1" si="6"/>
        <v>0</v>
      </c>
      <c r="K126" s="70" t="str">
        <f ca="1">IF(J126=1,COUNTIF($J$1:$J126,1),"")</f>
        <v/>
      </c>
      <c r="L126" s="46" t="str">
        <f ca="1">IFERROR(INDEX($A$1:$A$500,MATCH(ROWS($K$1:$K126),$K$1:$K$500,0)),"")</f>
        <v/>
      </c>
      <c r="M126" s="71" t="str">
        <f t="shared" ca="1" si="4"/>
        <v/>
      </c>
      <c r="O126" s="69">
        <f t="shared" ca="1" si="5"/>
        <v>0</v>
      </c>
      <c r="P126" s="70" t="str">
        <f ca="1">IF(O126=1,COUNTIF($O$1:$O126,1),"")</f>
        <v/>
      </c>
      <c r="Q126" s="46" t="str">
        <f ca="1">IFERROR(INDEX($L$1:$L$500,MATCH(ROWS($P$1:$P126),$P$1:$P$500,0)),"")</f>
        <v/>
      </c>
      <c r="R126" s="71" t="str">
        <f t="shared" ca="1" si="7"/>
        <v/>
      </c>
    </row>
    <row r="127" spans="8:18">
      <c r="H127"/>
      <c r="I127"/>
      <c r="J127" s="69">
        <f t="shared" ca="1" si="6"/>
        <v>0</v>
      </c>
      <c r="K127" s="70" t="str">
        <f ca="1">IF(J127=1,COUNTIF($J$1:$J127,1),"")</f>
        <v/>
      </c>
      <c r="L127" s="46" t="str">
        <f ca="1">IFERROR(INDEX($A$1:$A$500,MATCH(ROWS($K$1:$K127),$K$1:$K$500,0)),"")</f>
        <v/>
      </c>
      <c r="M127" s="71" t="str">
        <f t="shared" ca="1" si="4"/>
        <v/>
      </c>
      <c r="O127" s="69">
        <f t="shared" ca="1" si="5"/>
        <v>0</v>
      </c>
      <c r="P127" s="70" t="str">
        <f ca="1">IF(O127=1,COUNTIF($O$1:$O127,1),"")</f>
        <v/>
      </c>
      <c r="Q127" s="46" t="str">
        <f ca="1">IFERROR(INDEX($L$1:$L$500,MATCH(ROWS($P$1:$P127),$P$1:$P$500,0)),"")</f>
        <v/>
      </c>
      <c r="R127" s="71" t="str">
        <f t="shared" ca="1" si="7"/>
        <v/>
      </c>
    </row>
    <row r="128" spans="8:18">
      <c r="H128"/>
      <c r="I128"/>
      <c r="J128" s="69">
        <f t="shared" ca="1" si="6"/>
        <v>0</v>
      </c>
      <c r="K128" s="70" t="str">
        <f ca="1">IF(J128=1,COUNTIF($J$1:$J128,1),"")</f>
        <v/>
      </c>
      <c r="L128" s="46" t="str">
        <f ca="1">IFERROR(INDEX($A$1:$A$500,MATCH(ROWS($K$1:$K128),$K$1:$K$500,0)),"")</f>
        <v/>
      </c>
      <c r="M128" s="71" t="str">
        <f t="shared" ca="1" si="4"/>
        <v/>
      </c>
      <c r="O128" s="69">
        <f t="shared" ca="1" si="5"/>
        <v>0</v>
      </c>
      <c r="P128" s="70" t="str">
        <f ca="1">IF(O128=1,COUNTIF($O$1:$O128,1),"")</f>
        <v/>
      </c>
      <c r="Q128" s="46" t="str">
        <f ca="1">IFERROR(INDEX($L$1:$L$500,MATCH(ROWS($P$1:$P128),$P$1:$P$500,0)),"")</f>
        <v/>
      </c>
      <c r="R128" s="71" t="str">
        <f t="shared" ca="1" si="7"/>
        <v/>
      </c>
    </row>
    <row r="129" spans="8:18">
      <c r="H129"/>
      <c r="I129"/>
      <c r="J129" s="69">
        <f t="shared" ca="1" si="6"/>
        <v>0</v>
      </c>
      <c r="K129" s="70" t="str">
        <f ca="1">IF(J129=1,COUNTIF($J$1:$J129,1),"")</f>
        <v/>
      </c>
      <c r="L129" s="46" t="str">
        <f ca="1">IFERROR(INDEX($A$1:$A$500,MATCH(ROWS($K$1:$K129),$K$1:$K$500,0)),"")</f>
        <v/>
      </c>
      <c r="M129" s="71" t="str">
        <f t="shared" ref="M129:M192" ca="1" si="8">+IF(L129="","",RIGHT(L129,LEN(L129)-FIND("@",SUBSTITUTE(L129,"\","@",LEN(L129)-LEN(SUBSTITUTE(L129,"\",""))),1)))</f>
        <v/>
      </c>
      <c r="O129" s="69">
        <f t="shared" ref="O129:O192" ca="1" si="9">--ISNUMBER(SEARCH($N$2,M129))</f>
        <v>0</v>
      </c>
      <c r="P129" s="70" t="str">
        <f ca="1">IF(O129=1,COUNTIF($O$1:$O129,1),"")</f>
        <v/>
      </c>
      <c r="Q129" s="46" t="str">
        <f ca="1">IFERROR(INDEX($L$1:$L$500,MATCH(ROWS($P$1:$P129),$P$1:$P$500,0)),"")</f>
        <v/>
      </c>
      <c r="R129" s="71" t="str">
        <f t="shared" ca="1" si="7"/>
        <v/>
      </c>
    </row>
    <row r="130" spans="8:18">
      <c r="H130"/>
      <c r="I130"/>
      <c r="J130" s="69">
        <f t="shared" ref="J130:J193" ca="1" si="10">IF($C$2="1 - ALL FORMS",1,--ISNUMBER(SEARCH($C$2,E130)))</f>
        <v>0</v>
      </c>
      <c r="K130" s="70" t="str">
        <f ca="1">IF(J130=1,COUNTIF($J$1:$J130,1),"")</f>
        <v/>
      </c>
      <c r="L130" s="46" t="str">
        <f ca="1">IFERROR(INDEX($A$1:$A$500,MATCH(ROWS($K$1:$K130),$K$1:$K$500,0)),"")</f>
        <v/>
      </c>
      <c r="M130" s="71" t="str">
        <f t="shared" ca="1" si="8"/>
        <v/>
      </c>
      <c r="O130" s="69">
        <f t="shared" ca="1" si="9"/>
        <v>0</v>
      </c>
      <c r="P130" s="70" t="str">
        <f ca="1">IF(O130=1,COUNTIF($O$1:$O130,1),"")</f>
        <v/>
      </c>
      <c r="Q130" s="46" t="str">
        <f ca="1">IFERROR(INDEX($L$1:$L$500,MATCH(ROWS($P$1:$P130),$P$1:$P$500,0)),"")</f>
        <v/>
      </c>
      <c r="R130" s="71" t="str">
        <f t="shared" ref="R130:R193" ca="1" si="11">+IF(Q130="","",RIGHT(Q130,LEN(Q130)-FIND("@",SUBSTITUTE(Q130,"\","@",LEN(Q130)-LEN(SUBSTITUTE(Q130,"\",""))),1)))</f>
        <v/>
      </c>
    </row>
    <row r="131" spans="8:18">
      <c r="H131"/>
      <c r="I131"/>
      <c r="J131" s="69">
        <f t="shared" ca="1" si="10"/>
        <v>0</v>
      </c>
      <c r="K131" s="70" t="str">
        <f ca="1">IF(J131=1,COUNTIF($J$1:$J131,1),"")</f>
        <v/>
      </c>
      <c r="L131" s="46" t="str">
        <f ca="1">IFERROR(INDEX($A$1:$A$500,MATCH(ROWS($K$1:$K131),$K$1:$K$500,0)),"")</f>
        <v/>
      </c>
      <c r="M131" s="71" t="str">
        <f t="shared" ca="1" si="8"/>
        <v/>
      </c>
      <c r="O131" s="69">
        <f t="shared" ca="1" si="9"/>
        <v>0</v>
      </c>
      <c r="P131" s="70" t="str">
        <f ca="1">IF(O131=1,COUNTIF($O$1:$O131,1),"")</f>
        <v/>
      </c>
      <c r="Q131" s="46" t="str">
        <f ca="1">IFERROR(INDEX($L$1:$L$500,MATCH(ROWS($P$1:$P131),$P$1:$P$500,0)),"")</f>
        <v/>
      </c>
      <c r="R131" s="71" t="str">
        <f t="shared" ca="1" si="11"/>
        <v/>
      </c>
    </row>
    <row r="132" spans="8:18">
      <c r="H132"/>
      <c r="I132"/>
      <c r="J132" s="69">
        <f t="shared" ca="1" si="10"/>
        <v>0</v>
      </c>
      <c r="K132" s="70" t="str">
        <f ca="1">IF(J132=1,COUNTIF($J$1:$J132,1),"")</f>
        <v/>
      </c>
      <c r="L132" s="46" t="str">
        <f ca="1">IFERROR(INDEX($A$1:$A$500,MATCH(ROWS($K$1:$K132),$K$1:$K$500,0)),"")</f>
        <v/>
      </c>
      <c r="M132" s="71" t="str">
        <f t="shared" ca="1" si="8"/>
        <v/>
      </c>
      <c r="O132" s="69">
        <f t="shared" ca="1" si="9"/>
        <v>0</v>
      </c>
      <c r="P132" s="70" t="str">
        <f ca="1">IF(O132=1,COUNTIF($O$1:$O132,1),"")</f>
        <v/>
      </c>
      <c r="Q132" s="46" t="str">
        <f ca="1">IFERROR(INDEX($L$1:$L$500,MATCH(ROWS($P$1:$P132),$P$1:$P$500,0)),"")</f>
        <v/>
      </c>
      <c r="R132" s="71" t="str">
        <f t="shared" ca="1" si="11"/>
        <v/>
      </c>
    </row>
    <row r="133" spans="8:18">
      <c r="H133"/>
      <c r="I133"/>
      <c r="J133" s="69">
        <f t="shared" ca="1" si="10"/>
        <v>0</v>
      </c>
      <c r="K133" s="70" t="str">
        <f ca="1">IF(J133=1,COUNTIF($J$1:$J133,1),"")</f>
        <v/>
      </c>
      <c r="L133" s="46" t="str">
        <f ca="1">IFERROR(INDEX($A$1:$A$500,MATCH(ROWS($K$1:$K133),$K$1:$K$500,0)),"")</f>
        <v/>
      </c>
      <c r="M133" s="71" t="str">
        <f t="shared" ca="1" si="8"/>
        <v/>
      </c>
      <c r="O133" s="69">
        <f t="shared" ca="1" si="9"/>
        <v>0</v>
      </c>
      <c r="P133" s="70" t="str">
        <f ca="1">IF(O133=1,COUNTIF($O$1:$O133,1),"")</f>
        <v/>
      </c>
      <c r="Q133" s="46" t="str">
        <f ca="1">IFERROR(INDEX($L$1:$L$500,MATCH(ROWS($P$1:$P133),$P$1:$P$500,0)),"")</f>
        <v/>
      </c>
      <c r="R133" s="71" t="str">
        <f t="shared" ca="1" si="11"/>
        <v/>
      </c>
    </row>
    <row r="134" spans="8:18">
      <c r="H134"/>
      <c r="I134"/>
      <c r="J134" s="69">
        <f t="shared" ca="1" si="10"/>
        <v>0</v>
      </c>
      <c r="K134" s="70" t="str">
        <f ca="1">IF(J134=1,COUNTIF($J$1:$J134,1),"")</f>
        <v/>
      </c>
      <c r="L134" s="46" t="str">
        <f ca="1">IFERROR(INDEX($A$1:$A$500,MATCH(ROWS($K$1:$K134),$K$1:$K$500,0)),"")</f>
        <v/>
      </c>
      <c r="M134" s="71" t="str">
        <f t="shared" ca="1" si="8"/>
        <v/>
      </c>
      <c r="O134" s="69">
        <f t="shared" ca="1" si="9"/>
        <v>0</v>
      </c>
      <c r="P134" s="70" t="str">
        <f ca="1">IF(O134=1,COUNTIF($O$1:$O134,1),"")</f>
        <v/>
      </c>
      <c r="Q134" s="46" t="str">
        <f ca="1">IFERROR(INDEX($L$1:$L$500,MATCH(ROWS($P$1:$P134),$P$1:$P$500,0)),"")</f>
        <v/>
      </c>
      <c r="R134" s="71" t="str">
        <f t="shared" ca="1" si="11"/>
        <v/>
      </c>
    </row>
    <row r="135" spans="8:18">
      <c r="H135"/>
      <c r="I135"/>
      <c r="J135" s="69">
        <f t="shared" ca="1" si="10"/>
        <v>0</v>
      </c>
      <c r="K135" s="70" t="str">
        <f ca="1">IF(J135=1,COUNTIF($J$1:$J135,1),"")</f>
        <v/>
      </c>
      <c r="L135" s="46" t="str">
        <f ca="1">IFERROR(INDEX($A$1:$A$500,MATCH(ROWS($K$1:$K135),$K$1:$K$500,0)),"")</f>
        <v/>
      </c>
      <c r="M135" s="71" t="str">
        <f t="shared" ca="1" si="8"/>
        <v/>
      </c>
      <c r="O135" s="69">
        <f t="shared" ca="1" si="9"/>
        <v>0</v>
      </c>
      <c r="P135" s="70" t="str">
        <f ca="1">IF(O135=1,COUNTIF($O$1:$O135,1),"")</f>
        <v/>
      </c>
      <c r="Q135" s="46" t="str">
        <f ca="1">IFERROR(INDEX($L$1:$L$500,MATCH(ROWS($P$1:$P135),$P$1:$P$500,0)),"")</f>
        <v/>
      </c>
      <c r="R135" s="71" t="str">
        <f t="shared" ca="1" si="11"/>
        <v/>
      </c>
    </row>
    <row r="136" spans="8:18">
      <c r="H136"/>
      <c r="I136"/>
      <c r="J136" s="69">
        <f t="shared" ca="1" si="10"/>
        <v>0</v>
      </c>
      <c r="K136" s="70" t="str">
        <f ca="1">IF(J136=1,COUNTIF($J$1:$J136,1),"")</f>
        <v/>
      </c>
      <c r="L136" s="46" t="str">
        <f ca="1">IFERROR(INDEX($A$1:$A$500,MATCH(ROWS($K$1:$K136),$K$1:$K$500,0)),"")</f>
        <v/>
      </c>
      <c r="M136" s="71" t="str">
        <f t="shared" ca="1" si="8"/>
        <v/>
      </c>
      <c r="O136" s="69">
        <f t="shared" ca="1" si="9"/>
        <v>0</v>
      </c>
      <c r="P136" s="70" t="str">
        <f ca="1">IF(O136=1,COUNTIF($O$1:$O136,1),"")</f>
        <v/>
      </c>
      <c r="Q136" s="46" t="str">
        <f ca="1">IFERROR(INDEX($L$1:$L$500,MATCH(ROWS($P$1:$P136),$P$1:$P$500,0)),"")</f>
        <v/>
      </c>
      <c r="R136" s="71" t="str">
        <f t="shared" ca="1" si="11"/>
        <v/>
      </c>
    </row>
    <row r="137" spans="8:18">
      <c r="H137"/>
      <c r="I137"/>
      <c r="J137" s="69">
        <f t="shared" ca="1" si="10"/>
        <v>0</v>
      </c>
      <c r="K137" s="70" t="str">
        <f ca="1">IF(J137=1,COUNTIF($J$1:$J137,1),"")</f>
        <v/>
      </c>
      <c r="L137" s="46" t="str">
        <f ca="1">IFERROR(INDEX($A$1:$A$500,MATCH(ROWS($K$1:$K137),$K$1:$K$500,0)),"")</f>
        <v/>
      </c>
      <c r="M137" s="71" t="str">
        <f t="shared" ca="1" si="8"/>
        <v/>
      </c>
      <c r="O137" s="69">
        <f t="shared" ca="1" si="9"/>
        <v>0</v>
      </c>
      <c r="P137" s="70" t="str">
        <f ca="1">IF(O137=1,COUNTIF($O$1:$O137,1),"")</f>
        <v/>
      </c>
      <c r="Q137" s="46" t="str">
        <f ca="1">IFERROR(INDEX($L$1:$L$500,MATCH(ROWS($P$1:$P137),$P$1:$P$500,0)),"")</f>
        <v/>
      </c>
      <c r="R137" s="71" t="str">
        <f t="shared" ca="1" si="11"/>
        <v/>
      </c>
    </row>
    <row r="138" spans="8:18">
      <c r="H138"/>
      <c r="I138"/>
      <c r="J138" s="69">
        <f t="shared" ca="1" si="10"/>
        <v>0</v>
      </c>
      <c r="K138" s="70" t="str">
        <f ca="1">IF(J138=1,COUNTIF($J$1:$J138,1),"")</f>
        <v/>
      </c>
      <c r="L138" s="46" t="str">
        <f ca="1">IFERROR(INDEX($A$1:$A$500,MATCH(ROWS($K$1:$K138),$K$1:$K$500,0)),"")</f>
        <v/>
      </c>
      <c r="M138" s="71" t="str">
        <f t="shared" ca="1" si="8"/>
        <v/>
      </c>
      <c r="O138" s="69">
        <f t="shared" ca="1" si="9"/>
        <v>0</v>
      </c>
      <c r="P138" s="70" t="str">
        <f ca="1">IF(O138=1,COUNTIF($O$1:$O138,1),"")</f>
        <v/>
      </c>
      <c r="Q138" s="46" t="str">
        <f ca="1">IFERROR(INDEX($L$1:$L$500,MATCH(ROWS($P$1:$P138),$P$1:$P$500,0)),"")</f>
        <v/>
      </c>
      <c r="R138" s="71" t="str">
        <f t="shared" ca="1" si="11"/>
        <v/>
      </c>
    </row>
    <row r="139" spans="8:18">
      <c r="H139"/>
      <c r="I139"/>
      <c r="J139" s="69">
        <f t="shared" ca="1" si="10"/>
        <v>0</v>
      </c>
      <c r="K139" s="70" t="str">
        <f ca="1">IF(J139=1,COUNTIF($J$1:$J139,1),"")</f>
        <v/>
      </c>
      <c r="L139" s="46" t="str">
        <f ca="1">IFERROR(INDEX($A$1:$A$500,MATCH(ROWS($K$1:$K139),$K$1:$K$500,0)),"")</f>
        <v/>
      </c>
      <c r="M139" s="71" t="str">
        <f t="shared" ca="1" si="8"/>
        <v/>
      </c>
      <c r="O139" s="69">
        <f t="shared" ca="1" si="9"/>
        <v>0</v>
      </c>
      <c r="P139" s="70" t="str">
        <f ca="1">IF(O139=1,COUNTIF($O$1:$O139,1),"")</f>
        <v/>
      </c>
      <c r="Q139" s="46" t="str">
        <f ca="1">IFERROR(INDEX($L$1:$L$500,MATCH(ROWS($P$1:$P139),$P$1:$P$500,0)),"")</f>
        <v/>
      </c>
      <c r="R139" s="71" t="str">
        <f t="shared" ca="1" si="11"/>
        <v/>
      </c>
    </row>
    <row r="140" spans="8:18">
      <c r="H140"/>
      <c r="I140"/>
      <c r="J140" s="69">
        <f t="shared" ca="1" si="10"/>
        <v>0</v>
      </c>
      <c r="K140" s="70" t="str">
        <f ca="1">IF(J140=1,COUNTIF($J$1:$J140,1),"")</f>
        <v/>
      </c>
      <c r="L140" s="46" t="str">
        <f ca="1">IFERROR(INDEX($A$1:$A$500,MATCH(ROWS($K$1:$K140),$K$1:$K$500,0)),"")</f>
        <v/>
      </c>
      <c r="M140" s="71" t="str">
        <f t="shared" ca="1" si="8"/>
        <v/>
      </c>
      <c r="O140" s="69">
        <f t="shared" ca="1" si="9"/>
        <v>0</v>
      </c>
      <c r="P140" s="70" t="str">
        <f ca="1">IF(O140=1,COUNTIF($O$1:$O140,1),"")</f>
        <v/>
      </c>
      <c r="Q140" s="46" t="str">
        <f ca="1">IFERROR(INDEX($L$1:$L$500,MATCH(ROWS($P$1:$P140),$P$1:$P$500,0)),"")</f>
        <v/>
      </c>
      <c r="R140" s="71" t="str">
        <f t="shared" ca="1" si="11"/>
        <v/>
      </c>
    </row>
    <row r="141" spans="8:18">
      <c r="H141"/>
      <c r="I141"/>
      <c r="J141" s="69">
        <f t="shared" ca="1" si="10"/>
        <v>0</v>
      </c>
      <c r="K141" s="70" t="str">
        <f ca="1">IF(J141=1,COUNTIF($J$1:$J141,1),"")</f>
        <v/>
      </c>
      <c r="L141" s="46" t="str">
        <f ca="1">IFERROR(INDEX($A$1:$A$500,MATCH(ROWS($K$1:$K141),$K$1:$K$500,0)),"")</f>
        <v/>
      </c>
      <c r="M141" s="71" t="str">
        <f t="shared" ca="1" si="8"/>
        <v/>
      </c>
      <c r="O141" s="69">
        <f t="shared" ca="1" si="9"/>
        <v>0</v>
      </c>
      <c r="P141" s="70" t="str">
        <f ca="1">IF(O141=1,COUNTIF($O$1:$O141,1),"")</f>
        <v/>
      </c>
      <c r="Q141" s="46" t="str">
        <f ca="1">IFERROR(INDEX($L$1:$L$500,MATCH(ROWS($P$1:$P141),$P$1:$P$500,0)),"")</f>
        <v/>
      </c>
      <c r="R141" s="71" t="str">
        <f t="shared" ca="1" si="11"/>
        <v/>
      </c>
    </row>
    <row r="142" spans="8:18">
      <c r="H142"/>
      <c r="I142"/>
      <c r="J142" s="69">
        <f t="shared" ca="1" si="10"/>
        <v>0</v>
      </c>
      <c r="K142" s="70" t="str">
        <f ca="1">IF(J142=1,COUNTIF($J$1:$J142,1),"")</f>
        <v/>
      </c>
      <c r="L142" s="46" t="str">
        <f ca="1">IFERROR(INDEX($A$1:$A$500,MATCH(ROWS($K$1:$K142),$K$1:$K$500,0)),"")</f>
        <v/>
      </c>
      <c r="M142" s="71" t="str">
        <f t="shared" ca="1" si="8"/>
        <v/>
      </c>
      <c r="O142" s="69">
        <f t="shared" ca="1" si="9"/>
        <v>0</v>
      </c>
      <c r="P142" s="70" t="str">
        <f ca="1">IF(O142=1,COUNTIF($O$1:$O142,1),"")</f>
        <v/>
      </c>
      <c r="Q142" s="46" t="str">
        <f ca="1">IFERROR(INDEX($L$1:$L$500,MATCH(ROWS($P$1:$P142),$P$1:$P$500,0)),"")</f>
        <v/>
      </c>
      <c r="R142" s="71" t="str">
        <f t="shared" ca="1" si="11"/>
        <v/>
      </c>
    </row>
    <row r="143" spans="8:18">
      <c r="H143"/>
      <c r="I143"/>
      <c r="J143" s="69">
        <f t="shared" ca="1" si="10"/>
        <v>0</v>
      </c>
      <c r="K143" s="70" t="str">
        <f ca="1">IF(J143=1,COUNTIF($J$1:$J143,1),"")</f>
        <v/>
      </c>
      <c r="L143" s="46" t="str">
        <f ca="1">IFERROR(INDEX($A$1:$A$500,MATCH(ROWS($K$1:$K143),$K$1:$K$500,0)),"")</f>
        <v/>
      </c>
      <c r="M143" s="71" t="str">
        <f t="shared" ca="1" si="8"/>
        <v/>
      </c>
      <c r="O143" s="69">
        <f t="shared" ca="1" si="9"/>
        <v>0</v>
      </c>
      <c r="P143" s="70" t="str">
        <f ca="1">IF(O143=1,COUNTIF($O$1:$O143,1),"")</f>
        <v/>
      </c>
      <c r="Q143" s="46" t="str">
        <f ca="1">IFERROR(INDEX($L$1:$L$500,MATCH(ROWS($P$1:$P143),$P$1:$P$500,0)),"")</f>
        <v/>
      </c>
      <c r="R143" s="71" t="str">
        <f t="shared" ca="1" si="11"/>
        <v/>
      </c>
    </row>
    <row r="144" spans="8:18">
      <c r="H144"/>
      <c r="I144"/>
      <c r="J144" s="69">
        <f t="shared" ca="1" si="10"/>
        <v>0</v>
      </c>
      <c r="K144" s="70" t="str">
        <f ca="1">IF(J144=1,COUNTIF($J$1:$J144,1),"")</f>
        <v/>
      </c>
      <c r="L144" s="46" t="str">
        <f ca="1">IFERROR(INDEX($A$1:$A$500,MATCH(ROWS($K$1:$K144),$K$1:$K$500,0)),"")</f>
        <v/>
      </c>
      <c r="M144" s="71" t="str">
        <f t="shared" ca="1" si="8"/>
        <v/>
      </c>
      <c r="O144" s="69">
        <f t="shared" ca="1" si="9"/>
        <v>0</v>
      </c>
      <c r="P144" s="70" t="str">
        <f ca="1">IF(O144=1,COUNTIF($O$1:$O144,1),"")</f>
        <v/>
      </c>
      <c r="Q144" s="46" t="str">
        <f ca="1">IFERROR(INDEX($L$1:$L$500,MATCH(ROWS($P$1:$P144),$P$1:$P$500,0)),"")</f>
        <v/>
      </c>
      <c r="R144" s="71" t="str">
        <f t="shared" ca="1" si="11"/>
        <v/>
      </c>
    </row>
    <row r="145" spans="8:18">
      <c r="H145"/>
      <c r="I145"/>
      <c r="J145" s="69">
        <f t="shared" ca="1" si="10"/>
        <v>0</v>
      </c>
      <c r="K145" s="70" t="str">
        <f ca="1">IF(J145=1,COUNTIF($J$1:$J145,1),"")</f>
        <v/>
      </c>
      <c r="L145" s="46" t="str">
        <f ca="1">IFERROR(INDEX($A$1:$A$500,MATCH(ROWS($K$1:$K145),$K$1:$K$500,0)),"")</f>
        <v/>
      </c>
      <c r="M145" s="71" t="str">
        <f t="shared" ca="1" si="8"/>
        <v/>
      </c>
      <c r="O145" s="69">
        <f t="shared" ca="1" si="9"/>
        <v>0</v>
      </c>
      <c r="P145" s="70" t="str">
        <f ca="1">IF(O145=1,COUNTIF($O$1:$O145,1),"")</f>
        <v/>
      </c>
      <c r="Q145" s="46" t="str">
        <f ca="1">IFERROR(INDEX($L$1:$L$500,MATCH(ROWS($P$1:$P145),$P$1:$P$500,0)),"")</f>
        <v/>
      </c>
      <c r="R145" s="71" t="str">
        <f t="shared" ca="1" si="11"/>
        <v/>
      </c>
    </row>
    <row r="146" spans="8:18">
      <c r="H146"/>
      <c r="I146"/>
      <c r="J146" s="69">
        <f t="shared" ca="1" si="10"/>
        <v>0</v>
      </c>
      <c r="K146" s="70" t="str">
        <f ca="1">IF(J146=1,COUNTIF($J$1:$J146,1),"")</f>
        <v/>
      </c>
      <c r="L146" s="46" t="str">
        <f ca="1">IFERROR(INDEX($A$1:$A$500,MATCH(ROWS($K$1:$K146),$K$1:$K$500,0)),"")</f>
        <v/>
      </c>
      <c r="M146" s="71" t="str">
        <f t="shared" ca="1" si="8"/>
        <v/>
      </c>
      <c r="O146" s="69">
        <f t="shared" ca="1" si="9"/>
        <v>0</v>
      </c>
      <c r="P146" s="70" t="str">
        <f ca="1">IF(O146=1,COUNTIF($O$1:$O146,1),"")</f>
        <v/>
      </c>
      <c r="Q146" s="46" t="str">
        <f ca="1">IFERROR(INDEX($L$1:$L$500,MATCH(ROWS($P$1:$P146),$P$1:$P$500,0)),"")</f>
        <v/>
      </c>
      <c r="R146" s="71" t="str">
        <f t="shared" ca="1" si="11"/>
        <v/>
      </c>
    </row>
    <row r="147" spans="8:18">
      <c r="H147"/>
      <c r="I147"/>
      <c r="J147" s="69">
        <f t="shared" ca="1" si="10"/>
        <v>0</v>
      </c>
      <c r="K147" s="70" t="str">
        <f ca="1">IF(J147=1,COUNTIF($J$1:$J147,1),"")</f>
        <v/>
      </c>
      <c r="L147" s="46" t="str">
        <f ca="1">IFERROR(INDEX($A$1:$A$500,MATCH(ROWS($K$1:$K147),$K$1:$K$500,0)),"")</f>
        <v/>
      </c>
      <c r="M147" s="71" t="str">
        <f t="shared" ca="1" si="8"/>
        <v/>
      </c>
      <c r="O147" s="69">
        <f t="shared" ca="1" si="9"/>
        <v>0</v>
      </c>
      <c r="P147" s="70" t="str">
        <f ca="1">IF(O147=1,COUNTIF($O$1:$O147,1),"")</f>
        <v/>
      </c>
      <c r="Q147" s="46" t="str">
        <f ca="1">IFERROR(INDEX($L$1:$L$500,MATCH(ROWS($P$1:$P147),$P$1:$P$500,0)),"")</f>
        <v/>
      </c>
      <c r="R147" s="71" t="str">
        <f t="shared" ca="1" si="11"/>
        <v/>
      </c>
    </row>
    <row r="148" spans="8:18">
      <c r="H148"/>
      <c r="I148"/>
      <c r="J148" s="69">
        <f t="shared" ca="1" si="10"/>
        <v>0</v>
      </c>
      <c r="K148" s="70" t="str">
        <f ca="1">IF(J148=1,COUNTIF($J$1:$J148,1),"")</f>
        <v/>
      </c>
      <c r="L148" s="46" t="str">
        <f ca="1">IFERROR(INDEX($A$1:$A$500,MATCH(ROWS($K$1:$K148),$K$1:$K$500,0)),"")</f>
        <v/>
      </c>
      <c r="M148" s="71" t="str">
        <f t="shared" ca="1" si="8"/>
        <v/>
      </c>
      <c r="O148" s="69">
        <f t="shared" ca="1" si="9"/>
        <v>0</v>
      </c>
      <c r="P148" s="70" t="str">
        <f ca="1">IF(O148=1,COUNTIF($O$1:$O148,1),"")</f>
        <v/>
      </c>
      <c r="Q148" s="46" t="str">
        <f ca="1">IFERROR(INDEX($L$1:$L$500,MATCH(ROWS($P$1:$P148),$P$1:$P$500,0)),"")</f>
        <v/>
      </c>
      <c r="R148" s="71" t="str">
        <f t="shared" ca="1" si="11"/>
        <v/>
      </c>
    </row>
    <row r="149" spans="8:18">
      <c r="H149"/>
      <c r="I149"/>
      <c r="J149" s="69">
        <f t="shared" ca="1" si="10"/>
        <v>0</v>
      </c>
      <c r="K149" s="70" t="str">
        <f ca="1">IF(J149=1,COUNTIF($J$1:$J149,1),"")</f>
        <v/>
      </c>
      <c r="L149" s="46" t="str">
        <f ca="1">IFERROR(INDEX($A$1:$A$500,MATCH(ROWS($K$1:$K149),$K$1:$K$500,0)),"")</f>
        <v/>
      </c>
      <c r="M149" s="71" t="str">
        <f t="shared" ca="1" si="8"/>
        <v/>
      </c>
      <c r="O149" s="69">
        <f t="shared" ca="1" si="9"/>
        <v>0</v>
      </c>
      <c r="P149" s="70" t="str">
        <f ca="1">IF(O149=1,COUNTIF($O$1:$O149,1),"")</f>
        <v/>
      </c>
      <c r="Q149" s="46" t="str">
        <f ca="1">IFERROR(INDEX($L$1:$L$500,MATCH(ROWS($P$1:$P149),$P$1:$P$500,0)),"")</f>
        <v/>
      </c>
      <c r="R149" s="71" t="str">
        <f t="shared" ca="1" si="11"/>
        <v/>
      </c>
    </row>
    <row r="150" spans="8:18">
      <c r="H150"/>
      <c r="I150"/>
      <c r="J150" s="69">
        <f t="shared" ca="1" si="10"/>
        <v>0</v>
      </c>
      <c r="K150" s="70" t="str">
        <f ca="1">IF(J150=1,COUNTIF($J$1:$J150,1),"")</f>
        <v/>
      </c>
      <c r="L150" s="46" t="str">
        <f ca="1">IFERROR(INDEX($A$1:$A$500,MATCH(ROWS($K$1:$K150),$K$1:$K$500,0)),"")</f>
        <v/>
      </c>
      <c r="M150" s="71" t="str">
        <f t="shared" ca="1" si="8"/>
        <v/>
      </c>
      <c r="O150" s="69">
        <f t="shared" ca="1" si="9"/>
        <v>0</v>
      </c>
      <c r="P150" s="70" t="str">
        <f ca="1">IF(O150=1,COUNTIF($O$1:$O150,1),"")</f>
        <v/>
      </c>
      <c r="Q150" s="46" t="str">
        <f ca="1">IFERROR(INDEX($L$1:$L$500,MATCH(ROWS($P$1:$P150),$P$1:$P$500,0)),"")</f>
        <v/>
      </c>
      <c r="R150" s="71" t="str">
        <f t="shared" ca="1" si="11"/>
        <v/>
      </c>
    </row>
    <row r="151" spans="8:18">
      <c r="H151"/>
      <c r="I151"/>
      <c r="J151" s="69">
        <f t="shared" ca="1" si="10"/>
        <v>0</v>
      </c>
      <c r="K151" s="70" t="str">
        <f ca="1">IF(J151=1,COUNTIF($J$1:$J151,1),"")</f>
        <v/>
      </c>
      <c r="L151" s="46" t="str">
        <f ca="1">IFERROR(INDEX($A$1:$A$500,MATCH(ROWS($K$1:$K151),$K$1:$K$500,0)),"")</f>
        <v/>
      </c>
      <c r="M151" s="71" t="str">
        <f t="shared" ca="1" si="8"/>
        <v/>
      </c>
      <c r="O151" s="69">
        <f t="shared" ca="1" si="9"/>
        <v>0</v>
      </c>
      <c r="P151" s="70" t="str">
        <f ca="1">IF(O151=1,COUNTIF($O$1:$O151,1),"")</f>
        <v/>
      </c>
      <c r="Q151" s="46" t="str">
        <f ca="1">IFERROR(INDEX($L$1:$L$500,MATCH(ROWS($P$1:$P151),$P$1:$P$500,0)),"")</f>
        <v/>
      </c>
      <c r="R151" s="71" t="str">
        <f t="shared" ca="1" si="11"/>
        <v/>
      </c>
    </row>
    <row r="152" spans="8:18">
      <c r="H152"/>
      <c r="I152"/>
      <c r="J152" s="69">
        <f t="shared" ca="1" si="10"/>
        <v>0</v>
      </c>
      <c r="K152" s="70" t="str">
        <f ca="1">IF(J152=1,COUNTIF($J$1:$J152,1),"")</f>
        <v/>
      </c>
      <c r="L152" s="46" t="str">
        <f ca="1">IFERROR(INDEX($A$1:$A$500,MATCH(ROWS($K$1:$K152),$K$1:$K$500,0)),"")</f>
        <v/>
      </c>
      <c r="M152" s="71" t="str">
        <f t="shared" ca="1" si="8"/>
        <v/>
      </c>
      <c r="O152" s="69">
        <f t="shared" ca="1" si="9"/>
        <v>0</v>
      </c>
      <c r="P152" s="70" t="str">
        <f ca="1">IF(O152=1,COUNTIF($O$1:$O152,1),"")</f>
        <v/>
      </c>
      <c r="Q152" s="46" t="str">
        <f ca="1">IFERROR(INDEX($L$1:$L$500,MATCH(ROWS($P$1:$P152),$P$1:$P$500,0)),"")</f>
        <v/>
      </c>
      <c r="R152" s="71" t="str">
        <f t="shared" ca="1" si="11"/>
        <v/>
      </c>
    </row>
    <row r="153" spans="8:18">
      <c r="H153"/>
      <c r="I153"/>
      <c r="J153" s="69">
        <f t="shared" ca="1" si="10"/>
        <v>0</v>
      </c>
      <c r="K153" s="70" t="str">
        <f ca="1">IF(J153=1,COUNTIF($J$1:$J153,1),"")</f>
        <v/>
      </c>
      <c r="L153" s="46" t="str">
        <f ca="1">IFERROR(INDEX($A$1:$A$500,MATCH(ROWS($K$1:$K153),$K$1:$K$500,0)),"")</f>
        <v/>
      </c>
      <c r="M153" s="71" t="str">
        <f t="shared" ca="1" si="8"/>
        <v/>
      </c>
      <c r="O153" s="69">
        <f t="shared" ca="1" si="9"/>
        <v>0</v>
      </c>
      <c r="P153" s="70" t="str">
        <f ca="1">IF(O153=1,COUNTIF($O$1:$O153,1),"")</f>
        <v/>
      </c>
      <c r="Q153" s="46" t="str">
        <f ca="1">IFERROR(INDEX($L$1:$L$500,MATCH(ROWS($P$1:$P153),$P$1:$P$500,0)),"")</f>
        <v/>
      </c>
      <c r="R153" s="71" t="str">
        <f t="shared" ca="1" si="11"/>
        <v/>
      </c>
    </row>
    <row r="154" spans="8:18">
      <c r="H154"/>
      <c r="I154"/>
      <c r="J154" s="69">
        <f t="shared" ca="1" si="10"/>
        <v>0</v>
      </c>
      <c r="K154" s="70" t="str">
        <f ca="1">IF(J154=1,COUNTIF($J$1:$J154,1),"")</f>
        <v/>
      </c>
      <c r="L154" s="46" t="str">
        <f ca="1">IFERROR(INDEX($A$1:$A$500,MATCH(ROWS($K$1:$K154),$K$1:$K$500,0)),"")</f>
        <v/>
      </c>
      <c r="M154" s="71" t="str">
        <f t="shared" ca="1" si="8"/>
        <v/>
      </c>
      <c r="O154" s="69">
        <f t="shared" ca="1" si="9"/>
        <v>0</v>
      </c>
      <c r="P154" s="70" t="str">
        <f ca="1">IF(O154=1,COUNTIF($O$1:$O154,1),"")</f>
        <v/>
      </c>
      <c r="Q154" s="46" t="str">
        <f ca="1">IFERROR(INDEX($L$1:$L$500,MATCH(ROWS($P$1:$P154),$P$1:$P$500,0)),"")</f>
        <v/>
      </c>
      <c r="R154" s="71" t="str">
        <f t="shared" ca="1" si="11"/>
        <v/>
      </c>
    </row>
    <row r="155" spans="8:18">
      <c r="H155"/>
      <c r="I155"/>
      <c r="J155" s="69">
        <f t="shared" ca="1" si="10"/>
        <v>0</v>
      </c>
      <c r="K155" s="70" t="str">
        <f ca="1">IF(J155=1,COUNTIF($J$1:$J155,1),"")</f>
        <v/>
      </c>
      <c r="L155" s="46" t="str">
        <f ca="1">IFERROR(INDEX($A$1:$A$500,MATCH(ROWS($K$1:$K155),$K$1:$K$500,0)),"")</f>
        <v/>
      </c>
      <c r="M155" s="71" t="str">
        <f t="shared" ca="1" si="8"/>
        <v/>
      </c>
      <c r="O155" s="69">
        <f t="shared" ca="1" si="9"/>
        <v>0</v>
      </c>
      <c r="P155" s="70" t="str">
        <f ca="1">IF(O155=1,COUNTIF($O$1:$O155,1),"")</f>
        <v/>
      </c>
      <c r="Q155" s="46" t="str">
        <f ca="1">IFERROR(INDEX($L$1:$L$500,MATCH(ROWS($P$1:$P155),$P$1:$P$500,0)),"")</f>
        <v/>
      </c>
      <c r="R155" s="71" t="str">
        <f t="shared" ca="1" si="11"/>
        <v/>
      </c>
    </row>
    <row r="156" spans="8:18">
      <c r="H156"/>
      <c r="I156"/>
      <c r="J156" s="69">
        <f t="shared" ca="1" si="10"/>
        <v>0</v>
      </c>
      <c r="K156" s="70" t="str">
        <f ca="1">IF(J156=1,COUNTIF($J$1:$J156,1),"")</f>
        <v/>
      </c>
      <c r="L156" s="46" t="str">
        <f ca="1">IFERROR(INDEX($A$1:$A$500,MATCH(ROWS($K$1:$K156),$K$1:$K$500,0)),"")</f>
        <v/>
      </c>
      <c r="M156" s="71" t="str">
        <f t="shared" ca="1" si="8"/>
        <v/>
      </c>
      <c r="O156" s="69">
        <f t="shared" ca="1" si="9"/>
        <v>0</v>
      </c>
      <c r="P156" s="70" t="str">
        <f ca="1">IF(O156=1,COUNTIF($O$1:$O156,1),"")</f>
        <v/>
      </c>
      <c r="Q156" s="46" t="str">
        <f ca="1">IFERROR(INDEX($L$1:$L$500,MATCH(ROWS($P$1:$P156),$P$1:$P$500,0)),"")</f>
        <v/>
      </c>
      <c r="R156" s="71" t="str">
        <f t="shared" ca="1" si="11"/>
        <v/>
      </c>
    </row>
    <row r="157" spans="8:18">
      <c r="H157"/>
      <c r="I157"/>
      <c r="J157" s="69">
        <f t="shared" ca="1" si="10"/>
        <v>0</v>
      </c>
      <c r="K157" s="70" t="str">
        <f ca="1">IF(J157=1,COUNTIF($J$1:$J157,1),"")</f>
        <v/>
      </c>
      <c r="L157" s="46" t="str">
        <f ca="1">IFERROR(INDEX($A$1:$A$500,MATCH(ROWS($K$1:$K157),$K$1:$K$500,0)),"")</f>
        <v/>
      </c>
      <c r="M157" s="71" t="str">
        <f t="shared" ca="1" si="8"/>
        <v/>
      </c>
      <c r="O157" s="69">
        <f t="shared" ca="1" si="9"/>
        <v>0</v>
      </c>
      <c r="P157" s="70" t="str">
        <f ca="1">IF(O157=1,COUNTIF($O$1:$O157,1),"")</f>
        <v/>
      </c>
      <c r="Q157" s="46" t="str">
        <f ca="1">IFERROR(INDEX($L$1:$L$500,MATCH(ROWS($P$1:$P157),$P$1:$P$500,0)),"")</f>
        <v/>
      </c>
      <c r="R157" s="71" t="str">
        <f t="shared" ca="1" si="11"/>
        <v/>
      </c>
    </row>
    <row r="158" spans="8:18">
      <c r="H158"/>
      <c r="I158"/>
      <c r="J158" s="69">
        <f t="shared" ca="1" si="10"/>
        <v>0</v>
      </c>
      <c r="K158" s="70" t="str">
        <f ca="1">IF(J158=1,COUNTIF($J$1:$J158,1),"")</f>
        <v/>
      </c>
      <c r="L158" s="46" t="str">
        <f ca="1">IFERROR(INDEX($A$1:$A$500,MATCH(ROWS($K$1:$K158),$K$1:$K$500,0)),"")</f>
        <v/>
      </c>
      <c r="M158" s="71" t="str">
        <f t="shared" ca="1" si="8"/>
        <v/>
      </c>
      <c r="O158" s="69">
        <f t="shared" ca="1" si="9"/>
        <v>0</v>
      </c>
      <c r="P158" s="70" t="str">
        <f ca="1">IF(O158=1,COUNTIF($O$1:$O158,1),"")</f>
        <v/>
      </c>
      <c r="Q158" s="46" t="str">
        <f ca="1">IFERROR(INDEX($L$1:$L$500,MATCH(ROWS($P$1:$P158),$P$1:$P$500,0)),"")</f>
        <v/>
      </c>
      <c r="R158" s="71" t="str">
        <f t="shared" ca="1" si="11"/>
        <v/>
      </c>
    </row>
    <row r="159" spans="8:18">
      <c r="H159"/>
      <c r="I159"/>
      <c r="J159" s="69">
        <f t="shared" ca="1" si="10"/>
        <v>0</v>
      </c>
      <c r="K159" s="70" t="str">
        <f ca="1">IF(J159=1,COUNTIF($J$1:$J159,1),"")</f>
        <v/>
      </c>
      <c r="L159" s="46" t="str">
        <f ca="1">IFERROR(INDEX($A$1:$A$500,MATCH(ROWS($K$1:$K159),$K$1:$K$500,0)),"")</f>
        <v/>
      </c>
      <c r="M159" s="71" t="str">
        <f t="shared" ca="1" si="8"/>
        <v/>
      </c>
      <c r="O159" s="69">
        <f t="shared" ca="1" si="9"/>
        <v>0</v>
      </c>
      <c r="P159" s="70" t="str">
        <f ca="1">IF(O159=1,COUNTIF($O$1:$O159,1),"")</f>
        <v/>
      </c>
      <c r="Q159" s="46" t="str">
        <f ca="1">IFERROR(INDEX($L$1:$L$500,MATCH(ROWS($P$1:$P159),$P$1:$P$500,0)),"")</f>
        <v/>
      </c>
      <c r="R159" s="71" t="str">
        <f t="shared" ca="1" si="11"/>
        <v/>
      </c>
    </row>
    <row r="160" spans="8:18">
      <c r="H160"/>
      <c r="I160"/>
      <c r="J160" s="69">
        <f t="shared" ca="1" si="10"/>
        <v>0</v>
      </c>
      <c r="K160" s="70" t="str">
        <f ca="1">IF(J160=1,COUNTIF($J$1:$J160,1),"")</f>
        <v/>
      </c>
      <c r="L160" s="46" t="str">
        <f ca="1">IFERROR(INDEX($A$1:$A$500,MATCH(ROWS($K$1:$K160),$K$1:$K$500,0)),"")</f>
        <v/>
      </c>
      <c r="M160" s="71" t="str">
        <f t="shared" ca="1" si="8"/>
        <v/>
      </c>
      <c r="O160" s="69">
        <f t="shared" ca="1" si="9"/>
        <v>0</v>
      </c>
      <c r="P160" s="70" t="str">
        <f ca="1">IF(O160=1,COUNTIF($O$1:$O160,1),"")</f>
        <v/>
      </c>
      <c r="Q160" s="46" t="str">
        <f ca="1">IFERROR(INDEX($L$1:$L$500,MATCH(ROWS($P$1:$P160),$P$1:$P$500,0)),"")</f>
        <v/>
      </c>
      <c r="R160" s="71" t="str">
        <f t="shared" ca="1" si="11"/>
        <v/>
      </c>
    </row>
    <row r="161" spans="8:18">
      <c r="H161"/>
      <c r="I161"/>
      <c r="J161" s="69">
        <f t="shared" ca="1" si="10"/>
        <v>0</v>
      </c>
      <c r="K161" s="70" t="str">
        <f ca="1">IF(J161=1,COUNTIF($J$1:$J161,1),"")</f>
        <v/>
      </c>
      <c r="L161" s="46" t="str">
        <f ca="1">IFERROR(INDEX($A$1:$A$500,MATCH(ROWS($K$1:$K161),$K$1:$K$500,0)),"")</f>
        <v/>
      </c>
      <c r="M161" s="71" t="str">
        <f t="shared" ca="1" si="8"/>
        <v/>
      </c>
      <c r="O161" s="69">
        <f t="shared" ca="1" si="9"/>
        <v>0</v>
      </c>
      <c r="P161" s="70" t="str">
        <f ca="1">IF(O161=1,COUNTIF($O$1:$O161,1),"")</f>
        <v/>
      </c>
      <c r="Q161" s="46" t="str">
        <f ca="1">IFERROR(INDEX($L$1:$L$500,MATCH(ROWS($P$1:$P161),$P$1:$P$500,0)),"")</f>
        <v/>
      </c>
      <c r="R161" s="71" t="str">
        <f t="shared" ca="1" si="11"/>
        <v/>
      </c>
    </row>
    <row r="162" spans="8:18">
      <c r="H162"/>
      <c r="I162"/>
      <c r="J162" s="69">
        <f t="shared" ca="1" si="10"/>
        <v>0</v>
      </c>
      <c r="K162" s="70" t="str">
        <f ca="1">IF(J162=1,COUNTIF($J$1:$J162,1),"")</f>
        <v/>
      </c>
      <c r="L162" s="46" t="str">
        <f ca="1">IFERROR(INDEX($A$1:$A$500,MATCH(ROWS($K$1:$K162),$K$1:$K$500,0)),"")</f>
        <v/>
      </c>
      <c r="M162" s="71" t="str">
        <f t="shared" ca="1" si="8"/>
        <v/>
      </c>
      <c r="O162" s="69">
        <f t="shared" ca="1" si="9"/>
        <v>0</v>
      </c>
      <c r="P162" s="70" t="str">
        <f ca="1">IF(O162=1,COUNTIF($O$1:$O162,1),"")</f>
        <v/>
      </c>
      <c r="Q162" s="46" t="str">
        <f ca="1">IFERROR(INDEX($L$1:$L$500,MATCH(ROWS($P$1:$P162),$P$1:$P$500,0)),"")</f>
        <v/>
      </c>
      <c r="R162" s="71" t="str">
        <f t="shared" ca="1" si="11"/>
        <v/>
      </c>
    </row>
    <row r="163" spans="8:18">
      <c r="H163"/>
      <c r="I163"/>
      <c r="J163" s="69">
        <f t="shared" ca="1" si="10"/>
        <v>0</v>
      </c>
      <c r="K163" s="70" t="str">
        <f ca="1">IF(J163=1,COUNTIF($J$1:$J163,1),"")</f>
        <v/>
      </c>
      <c r="L163" s="46" t="str">
        <f ca="1">IFERROR(INDEX($A$1:$A$500,MATCH(ROWS($K$1:$K163),$K$1:$K$500,0)),"")</f>
        <v/>
      </c>
      <c r="M163" s="71" t="str">
        <f t="shared" ca="1" si="8"/>
        <v/>
      </c>
      <c r="O163" s="69">
        <f t="shared" ca="1" si="9"/>
        <v>0</v>
      </c>
      <c r="P163" s="70" t="str">
        <f ca="1">IF(O163=1,COUNTIF($O$1:$O163,1),"")</f>
        <v/>
      </c>
      <c r="Q163" s="46" t="str">
        <f ca="1">IFERROR(INDEX($L$1:$L$500,MATCH(ROWS($P$1:$P163),$P$1:$P$500,0)),"")</f>
        <v/>
      </c>
      <c r="R163" s="71" t="str">
        <f t="shared" ca="1" si="11"/>
        <v/>
      </c>
    </row>
    <row r="164" spans="8:18">
      <c r="H164"/>
      <c r="I164"/>
      <c r="J164" s="69">
        <f t="shared" ca="1" si="10"/>
        <v>0</v>
      </c>
      <c r="K164" s="70" t="str">
        <f ca="1">IF(J164=1,COUNTIF($J$1:$J164,1),"")</f>
        <v/>
      </c>
      <c r="L164" s="46" t="str">
        <f ca="1">IFERROR(INDEX($A$1:$A$500,MATCH(ROWS($K$1:$K164),$K$1:$K$500,0)),"")</f>
        <v/>
      </c>
      <c r="M164" s="71" t="str">
        <f t="shared" ca="1" si="8"/>
        <v/>
      </c>
      <c r="O164" s="69">
        <f t="shared" ca="1" si="9"/>
        <v>0</v>
      </c>
      <c r="P164" s="70" t="str">
        <f ca="1">IF(O164=1,COUNTIF($O$1:$O164,1),"")</f>
        <v/>
      </c>
      <c r="Q164" s="46" t="str">
        <f ca="1">IFERROR(INDEX($L$1:$L$500,MATCH(ROWS($P$1:$P164),$P$1:$P$500,0)),"")</f>
        <v/>
      </c>
      <c r="R164" s="71" t="str">
        <f t="shared" ca="1" si="11"/>
        <v/>
      </c>
    </row>
    <row r="165" spans="8:18">
      <c r="H165"/>
      <c r="I165"/>
      <c r="J165" s="69">
        <f t="shared" ca="1" si="10"/>
        <v>0</v>
      </c>
      <c r="K165" s="70" t="str">
        <f ca="1">IF(J165=1,COUNTIF($J$1:$J165,1),"")</f>
        <v/>
      </c>
      <c r="L165" s="46" t="str">
        <f ca="1">IFERROR(INDEX($A$1:$A$500,MATCH(ROWS($K$1:$K165),$K$1:$K$500,0)),"")</f>
        <v/>
      </c>
      <c r="M165" s="71" t="str">
        <f t="shared" ca="1" si="8"/>
        <v/>
      </c>
      <c r="O165" s="69">
        <f t="shared" ca="1" si="9"/>
        <v>0</v>
      </c>
      <c r="P165" s="70" t="str">
        <f ca="1">IF(O165=1,COUNTIF($O$1:$O165,1),"")</f>
        <v/>
      </c>
      <c r="Q165" s="46" t="str">
        <f ca="1">IFERROR(INDEX($L$1:$L$500,MATCH(ROWS($P$1:$P165),$P$1:$P$500,0)),"")</f>
        <v/>
      </c>
      <c r="R165" s="71" t="str">
        <f t="shared" ca="1" si="11"/>
        <v/>
      </c>
    </row>
    <row r="166" spans="8:18">
      <c r="H166"/>
      <c r="I166"/>
      <c r="J166" s="69">
        <f t="shared" ca="1" si="10"/>
        <v>0</v>
      </c>
      <c r="K166" s="70" t="str">
        <f ca="1">IF(J166=1,COUNTIF($J$1:$J166,1),"")</f>
        <v/>
      </c>
      <c r="L166" s="46" t="str">
        <f ca="1">IFERROR(INDEX($A$1:$A$500,MATCH(ROWS($K$1:$K166),$K$1:$K$500,0)),"")</f>
        <v/>
      </c>
      <c r="M166" s="71" t="str">
        <f t="shared" ca="1" si="8"/>
        <v/>
      </c>
      <c r="O166" s="69">
        <f t="shared" ca="1" si="9"/>
        <v>0</v>
      </c>
      <c r="P166" s="70" t="str">
        <f ca="1">IF(O166=1,COUNTIF($O$1:$O166,1),"")</f>
        <v/>
      </c>
      <c r="Q166" s="46" t="str">
        <f ca="1">IFERROR(INDEX($L$1:$L$500,MATCH(ROWS($P$1:$P166),$P$1:$P$500,0)),"")</f>
        <v/>
      </c>
      <c r="R166" s="71" t="str">
        <f t="shared" ca="1" si="11"/>
        <v/>
      </c>
    </row>
    <row r="167" spans="8:18">
      <c r="H167"/>
      <c r="I167"/>
      <c r="J167" s="69">
        <f t="shared" ca="1" si="10"/>
        <v>0</v>
      </c>
      <c r="K167" s="70" t="str">
        <f ca="1">IF(J167=1,COUNTIF($J$1:$J167,1),"")</f>
        <v/>
      </c>
      <c r="L167" s="46" t="str">
        <f ca="1">IFERROR(INDEX($A$1:$A$500,MATCH(ROWS($K$1:$K167),$K$1:$K$500,0)),"")</f>
        <v/>
      </c>
      <c r="M167" s="71" t="str">
        <f t="shared" ca="1" si="8"/>
        <v/>
      </c>
      <c r="O167" s="69">
        <f t="shared" ca="1" si="9"/>
        <v>0</v>
      </c>
      <c r="P167" s="70" t="str">
        <f ca="1">IF(O167=1,COUNTIF($O$1:$O167,1),"")</f>
        <v/>
      </c>
      <c r="Q167" s="46" t="str">
        <f ca="1">IFERROR(INDEX($L$1:$L$500,MATCH(ROWS($P$1:$P167),$P$1:$P$500,0)),"")</f>
        <v/>
      </c>
      <c r="R167" s="71" t="str">
        <f t="shared" ca="1" si="11"/>
        <v/>
      </c>
    </row>
    <row r="168" spans="8:18">
      <c r="H168"/>
      <c r="I168"/>
      <c r="J168" s="69">
        <f t="shared" ca="1" si="10"/>
        <v>0</v>
      </c>
      <c r="K168" s="70" t="str">
        <f ca="1">IF(J168=1,COUNTIF($J$1:$J168,1),"")</f>
        <v/>
      </c>
      <c r="L168" s="46" t="str">
        <f ca="1">IFERROR(INDEX($A$1:$A$500,MATCH(ROWS($K$1:$K168),$K$1:$K$500,0)),"")</f>
        <v/>
      </c>
      <c r="M168" s="71" t="str">
        <f t="shared" ca="1" si="8"/>
        <v/>
      </c>
      <c r="O168" s="69">
        <f t="shared" ca="1" si="9"/>
        <v>0</v>
      </c>
      <c r="P168" s="70" t="str">
        <f ca="1">IF(O168=1,COUNTIF($O$1:$O168,1),"")</f>
        <v/>
      </c>
      <c r="Q168" s="46" t="str">
        <f ca="1">IFERROR(INDEX($L$1:$L$500,MATCH(ROWS($P$1:$P168),$P$1:$P$500,0)),"")</f>
        <v/>
      </c>
      <c r="R168" s="71" t="str">
        <f t="shared" ca="1" si="11"/>
        <v/>
      </c>
    </row>
    <row r="169" spans="8:18">
      <c r="H169"/>
      <c r="I169"/>
      <c r="J169" s="69">
        <f t="shared" ca="1" si="10"/>
        <v>0</v>
      </c>
      <c r="K169" s="70" t="str">
        <f ca="1">IF(J169=1,COUNTIF($J$1:$J169,1),"")</f>
        <v/>
      </c>
      <c r="L169" s="46" t="str">
        <f ca="1">IFERROR(INDEX($A$1:$A$500,MATCH(ROWS($K$1:$K169),$K$1:$K$500,0)),"")</f>
        <v/>
      </c>
      <c r="M169" s="71" t="str">
        <f t="shared" ca="1" si="8"/>
        <v/>
      </c>
      <c r="O169" s="69">
        <f t="shared" ca="1" si="9"/>
        <v>0</v>
      </c>
      <c r="P169" s="70" t="str">
        <f ca="1">IF(O169=1,COUNTIF($O$1:$O169,1),"")</f>
        <v/>
      </c>
      <c r="Q169" s="46" t="str">
        <f ca="1">IFERROR(INDEX($L$1:$L$500,MATCH(ROWS($P$1:$P169),$P$1:$P$500,0)),"")</f>
        <v/>
      </c>
      <c r="R169" s="71" t="str">
        <f t="shared" ca="1" si="11"/>
        <v/>
      </c>
    </row>
    <row r="170" spans="8:18">
      <c r="H170"/>
      <c r="I170"/>
      <c r="J170" s="69">
        <f t="shared" ca="1" si="10"/>
        <v>0</v>
      </c>
      <c r="K170" s="70" t="str">
        <f ca="1">IF(J170=1,COUNTIF($J$1:$J170,1),"")</f>
        <v/>
      </c>
      <c r="L170" s="46" t="str">
        <f ca="1">IFERROR(INDEX($A$1:$A$500,MATCH(ROWS($K$1:$K170),$K$1:$K$500,0)),"")</f>
        <v/>
      </c>
      <c r="M170" s="71" t="str">
        <f t="shared" ca="1" si="8"/>
        <v/>
      </c>
      <c r="O170" s="69">
        <f t="shared" ca="1" si="9"/>
        <v>0</v>
      </c>
      <c r="P170" s="70" t="str">
        <f ca="1">IF(O170=1,COUNTIF($O$1:$O170,1),"")</f>
        <v/>
      </c>
      <c r="Q170" s="46" t="str">
        <f ca="1">IFERROR(INDEX($L$1:$L$500,MATCH(ROWS($P$1:$P170),$P$1:$P$500,0)),"")</f>
        <v/>
      </c>
      <c r="R170" s="71" t="str">
        <f t="shared" ca="1" si="11"/>
        <v/>
      </c>
    </row>
    <row r="171" spans="8:18">
      <c r="H171"/>
      <c r="I171"/>
      <c r="J171" s="69">
        <f t="shared" ca="1" si="10"/>
        <v>0</v>
      </c>
      <c r="K171" s="70" t="str">
        <f ca="1">IF(J171=1,COUNTIF($J$1:$J171,1),"")</f>
        <v/>
      </c>
      <c r="L171" s="46" t="str">
        <f ca="1">IFERROR(INDEX($A$1:$A$500,MATCH(ROWS($K$1:$K171),$K$1:$K$500,0)),"")</f>
        <v/>
      </c>
      <c r="M171" s="71" t="str">
        <f t="shared" ca="1" si="8"/>
        <v/>
      </c>
      <c r="O171" s="69">
        <f t="shared" ca="1" si="9"/>
        <v>0</v>
      </c>
      <c r="P171" s="70" t="str">
        <f ca="1">IF(O171=1,COUNTIF($O$1:$O171,1),"")</f>
        <v/>
      </c>
      <c r="Q171" s="46" t="str">
        <f ca="1">IFERROR(INDEX($L$1:$L$500,MATCH(ROWS($P$1:$P171),$P$1:$P$500,0)),"")</f>
        <v/>
      </c>
      <c r="R171" s="71" t="str">
        <f t="shared" ca="1" si="11"/>
        <v/>
      </c>
    </row>
    <row r="172" spans="8:18">
      <c r="H172"/>
      <c r="I172"/>
      <c r="J172" s="69">
        <f t="shared" ca="1" si="10"/>
        <v>0</v>
      </c>
      <c r="K172" s="70" t="str">
        <f ca="1">IF(J172=1,COUNTIF($J$1:$J172,1),"")</f>
        <v/>
      </c>
      <c r="L172" s="46" t="str">
        <f ca="1">IFERROR(INDEX($A$1:$A$500,MATCH(ROWS($K$1:$K172),$K$1:$K$500,0)),"")</f>
        <v/>
      </c>
      <c r="M172" s="71" t="str">
        <f t="shared" ca="1" si="8"/>
        <v/>
      </c>
      <c r="O172" s="69">
        <f t="shared" ca="1" si="9"/>
        <v>0</v>
      </c>
      <c r="P172" s="70" t="str">
        <f ca="1">IF(O172=1,COUNTIF($O$1:$O172,1),"")</f>
        <v/>
      </c>
      <c r="Q172" s="46" t="str">
        <f ca="1">IFERROR(INDEX($L$1:$L$500,MATCH(ROWS($P$1:$P172),$P$1:$P$500,0)),"")</f>
        <v/>
      </c>
      <c r="R172" s="71" t="str">
        <f t="shared" ca="1" si="11"/>
        <v/>
      </c>
    </row>
    <row r="173" spans="8:18">
      <c r="H173"/>
      <c r="I173"/>
      <c r="J173" s="69">
        <f t="shared" ca="1" si="10"/>
        <v>0</v>
      </c>
      <c r="K173" s="70" t="str">
        <f ca="1">IF(J173=1,COUNTIF($J$1:$J173,1),"")</f>
        <v/>
      </c>
      <c r="L173" s="46" t="str">
        <f ca="1">IFERROR(INDEX($A$1:$A$500,MATCH(ROWS($K$1:$K173),$K$1:$K$500,0)),"")</f>
        <v/>
      </c>
      <c r="M173" s="71" t="str">
        <f t="shared" ca="1" si="8"/>
        <v/>
      </c>
      <c r="O173" s="69">
        <f t="shared" ca="1" si="9"/>
        <v>0</v>
      </c>
      <c r="P173" s="70" t="str">
        <f ca="1">IF(O173=1,COUNTIF($O$1:$O173,1),"")</f>
        <v/>
      </c>
      <c r="Q173" s="46" t="str">
        <f ca="1">IFERROR(INDEX($L$1:$L$500,MATCH(ROWS($P$1:$P173),$P$1:$P$500,0)),"")</f>
        <v/>
      </c>
      <c r="R173" s="71" t="str">
        <f t="shared" ca="1" si="11"/>
        <v/>
      </c>
    </row>
    <row r="174" spans="8:18">
      <c r="H174"/>
      <c r="I174"/>
      <c r="J174" s="69">
        <f t="shared" ca="1" si="10"/>
        <v>0</v>
      </c>
      <c r="K174" s="70" t="str">
        <f ca="1">IF(J174=1,COUNTIF($J$1:$J174,1),"")</f>
        <v/>
      </c>
      <c r="L174" s="46" t="str">
        <f ca="1">IFERROR(INDEX($A$1:$A$500,MATCH(ROWS($K$1:$K174),$K$1:$K$500,0)),"")</f>
        <v/>
      </c>
      <c r="M174" s="71" t="str">
        <f t="shared" ca="1" si="8"/>
        <v/>
      </c>
      <c r="O174" s="69">
        <f t="shared" ca="1" si="9"/>
        <v>0</v>
      </c>
      <c r="P174" s="70" t="str">
        <f ca="1">IF(O174=1,COUNTIF($O$1:$O174,1),"")</f>
        <v/>
      </c>
      <c r="Q174" s="46" t="str">
        <f ca="1">IFERROR(INDEX($L$1:$L$500,MATCH(ROWS($P$1:$P174),$P$1:$P$500,0)),"")</f>
        <v/>
      </c>
      <c r="R174" s="71" t="str">
        <f t="shared" ca="1" si="11"/>
        <v/>
      </c>
    </row>
    <row r="175" spans="8:18">
      <c r="H175"/>
      <c r="I175"/>
      <c r="J175" s="69">
        <f t="shared" ca="1" si="10"/>
        <v>0</v>
      </c>
      <c r="K175" s="70" t="str">
        <f ca="1">IF(J175=1,COUNTIF($J$1:$J175,1),"")</f>
        <v/>
      </c>
      <c r="L175" s="46" t="str">
        <f ca="1">IFERROR(INDEX($A$1:$A$500,MATCH(ROWS($K$1:$K175),$K$1:$K$500,0)),"")</f>
        <v/>
      </c>
      <c r="M175" s="71" t="str">
        <f t="shared" ca="1" si="8"/>
        <v/>
      </c>
      <c r="O175" s="69">
        <f t="shared" ca="1" si="9"/>
        <v>0</v>
      </c>
      <c r="P175" s="70" t="str">
        <f ca="1">IF(O175=1,COUNTIF($O$1:$O175,1),"")</f>
        <v/>
      </c>
      <c r="Q175" s="46" t="str">
        <f ca="1">IFERROR(INDEX($L$1:$L$500,MATCH(ROWS($P$1:$P175),$P$1:$P$500,0)),"")</f>
        <v/>
      </c>
      <c r="R175" s="71" t="str">
        <f t="shared" ca="1" si="11"/>
        <v/>
      </c>
    </row>
    <row r="176" spans="8:18">
      <c r="H176"/>
      <c r="I176"/>
      <c r="J176" s="69">
        <f t="shared" ca="1" si="10"/>
        <v>0</v>
      </c>
      <c r="K176" s="70" t="str">
        <f ca="1">IF(J176=1,COUNTIF($J$1:$J176,1),"")</f>
        <v/>
      </c>
      <c r="L176" s="46" t="str">
        <f ca="1">IFERROR(INDEX($A$1:$A$500,MATCH(ROWS($K$1:$K176),$K$1:$K$500,0)),"")</f>
        <v/>
      </c>
      <c r="M176" s="71" t="str">
        <f t="shared" ca="1" si="8"/>
        <v/>
      </c>
      <c r="O176" s="69">
        <f t="shared" ca="1" si="9"/>
        <v>0</v>
      </c>
      <c r="P176" s="70" t="str">
        <f ca="1">IF(O176=1,COUNTIF($O$1:$O176,1),"")</f>
        <v/>
      </c>
      <c r="Q176" s="46" t="str">
        <f ca="1">IFERROR(INDEX($L$1:$L$500,MATCH(ROWS($P$1:$P176),$P$1:$P$500,0)),"")</f>
        <v/>
      </c>
      <c r="R176" s="71" t="str">
        <f t="shared" ca="1" si="11"/>
        <v/>
      </c>
    </row>
    <row r="177" spans="8:18">
      <c r="H177"/>
      <c r="I177"/>
      <c r="J177" s="69">
        <f t="shared" ca="1" si="10"/>
        <v>0</v>
      </c>
      <c r="K177" s="70" t="str">
        <f ca="1">IF(J177=1,COUNTIF($J$1:$J177,1),"")</f>
        <v/>
      </c>
      <c r="L177" s="46" t="str">
        <f ca="1">IFERROR(INDEX($A$1:$A$500,MATCH(ROWS($K$1:$K177),$K$1:$K$500,0)),"")</f>
        <v/>
      </c>
      <c r="M177" s="71" t="str">
        <f t="shared" ca="1" si="8"/>
        <v/>
      </c>
      <c r="O177" s="69">
        <f t="shared" ca="1" si="9"/>
        <v>0</v>
      </c>
      <c r="P177" s="70" t="str">
        <f ca="1">IF(O177=1,COUNTIF($O$1:$O177,1),"")</f>
        <v/>
      </c>
      <c r="Q177" s="46" t="str">
        <f ca="1">IFERROR(INDEX($L$1:$L$500,MATCH(ROWS($P$1:$P177),$P$1:$P$500,0)),"")</f>
        <v/>
      </c>
      <c r="R177" s="71" t="str">
        <f t="shared" ca="1" si="11"/>
        <v/>
      </c>
    </row>
    <row r="178" spans="8:18">
      <c r="H178"/>
      <c r="I178"/>
      <c r="J178" s="69">
        <f t="shared" ca="1" si="10"/>
        <v>0</v>
      </c>
      <c r="K178" s="70" t="str">
        <f ca="1">IF(J178=1,COUNTIF($J$1:$J178,1),"")</f>
        <v/>
      </c>
      <c r="L178" s="46" t="str">
        <f ca="1">IFERROR(INDEX($A$1:$A$500,MATCH(ROWS($K$1:$K178),$K$1:$K$500,0)),"")</f>
        <v/>
      </c>
      <c r="M178" s="71" t="str">
        <f t="shared" ca="1" si="8"/>
        <v/>
      </c>
      <c r="O178" s="69">
        <f t="shared" ca="1" si="9"/>
        <v>0</v>
      </c>
      <c r="P178" s="70" t="str">
        <f ca="1">IF(O178=1,COUNTIF($O$1:$O178,1),"")</f>
        <v/>
      </c>
      <c r="Q178" s="46" t="str">
        <f ca="1">IFERROR(INDEX($L$1:$L$500,MATCH(ROWS($P$1:$P178),$P$1:$P$500,0)),"")</f>
        <v/>
      </c>
      <c r="R178" s="71" t="str">
        <f t="shared" ca="1" si="11"/>
        <v/>
      </c>
    </row>
    <row r="179" spans="8:18">
      <c r="H179"/>
      <c r="I179"/>
      <c r="J179" s="69">
        <f t="shared" ca="1" si="10"/>
        <v>0</v>
      </c>
      <c r="K179" s="70" t="str">
        <f ca="1">IF(J179=1,COUNTIF($J$1:$J179,1),"")</f>
        <v/>
      </c>
      <c r="L179" s="46" t="str">
        <f ca="1">IFERROR(INDEX($A$1:$A$500,MATCH(ROWS($K$1:$K179),$K$1:$K$500,0)),"")</f>
        <v/>
      </c>
      <c r="M179" s="71" t="str">
        <f t="shared" ca="1" si="8"/>
        <v/>
      </c>
      <c r="O179" s="69">
        <f t="shared" ca="1" si="9"/>
        <v>0</v>
      </c>
      <c r="P179" s="70" t="str">
        <f ca="1">IF(O179=1,COUNTIF($O$1:$O179,1),"")</f>
        <v/>
      </c>
      <c r="Q179" s="46" t="str">
        <f ca="1">IFERROR(INDEX($L$1:$L$500,MATCH(ROWS($P$1:$P179),$P$1:$P$500,0)),"")</f>
        <v/>
      </c>
      <c r="R179" s="71" t="str">
        <f t="shared" ca="1" si="11"/>
        <v/>
      </c>
    </row>
    <row r="180" spans="8:18">
      <c r="H180"/>
      <c r="I180"/>
      <c r="J180" s="69">
        <f t="shared" ca="1" si="10"/>
        <v>0</v>
      </c>
      <c r="K180" s="70" t="str">
        <f ca="1">IF(J180=1,COUNTIF($J$1:$J180,1),"")</f>
        <v/>
      </c>
      <c r="L180" s="46" t="str">
        <f ca="1">IFERROR(INDEX($A$1:$A$500,MATCH(ROWS($K$1:$K180),$K$1:$K$500,0)),"")</f>
        <v/>
      </c>
      <c r="M180" s="71" t="str">
        <f t="shared" ca="1" si="8"/>
        <v/>
      </c>
      <c r="O180" s="69">
        <f t="shared" ca="1" si="9"/>
        <v>0</v>
      </c>
      <c r="P180" s="70" t="str">
        <f ca="1">IF(O180=1,COUNTIF($O$1:$O180,1),"")</f>
        <v/>
      </c>
      <c r="Q180" s="46" t="str">
        <f ca="1">IFERROR(INDEX($L$1:$L$500,MATCH(ROWS($P$1:$P180),$P$1:$P$500,0)),"")</f>
        <v/>
      </c>
      <c r="R180" s="71" t="str">
        <f t="shared" ca="1" si="11"/>
        <v/>
      </c>
    </row>
    <row r="181" spans="8:18">
      <c r="H181"/>
      <c r="I181"/>
      <c r="J181" s="69">
        <f t="shared" ca="1" si="10"/>
        <v>0</v>
      </c>
      <c r="K181" s="70" t="str">
        <f ca="1">IF(J181=1,COUNTIF($J$1:$J181,1),"")</f>
        <v/>
      </c>
      <c r="L181" s="46" t="str">
        <f ca="1">IFERROR(INDEX($A$1:$A$500,MATCH(ROWS($K$1:$K181),$K$1:$K$500,0)),"")</f>
        <v/>
      </c>
      <c r="M181" s="71" t="str">
        <f t="shared" ca="1" si="8"/>
        <v/>
      </c>
      <c r="O181" s="69">
        <f t="shared" ca="1" si="9"/>
        <v>0</v>
      </c>
      <c r="P181" s="70" t="str">
        <f ca="1">IF(O181=1,COUNTIF($O$1:$O181,1),"")</f>
        <v/>
      </c>
      <c r="Q181" s="46" t="str">
        <f ca="1">IFERROR(INDEX($L$1:$L$500,MATCH(ROWS($P$1:$P181),$P$1:$P$500,0)),"")</f>
        <v/>
      </c>
      <c r="R181" s="71" t="str">
        <f t="shared" ca="1" si="11"/>
        <v/>
      </c>
    </row>
    <row r="182" spans="8:18">
      <c r="H182"/>
      <c r="I182"/>
      <c r="J182" s="69">
        <f t="shared" ca="1" si="10"/>
        <v>0</v>
      </c>
      <c r="K182" s="70" t="str">
        <f ca="1">IF(J182=1,COUNTIF($J$1:$J182,1),"")</f>
        <v/>
      </c>
      <c r="L182" s="46" t="str">
        <f ca="1">IFERROR(INDEX($A$1:$A$500,MATCH(ROWS($K$1:$K182),$K$1:$K$500,0)),"")</f>
        <v/>
      </c>
      <c r="M182" s="71" t="str">
        <f t="shared" ca="1" si="8"/>
        <v/>
      </c>
      <c r="O182" s="69">
        <f t="shared" ca="1" si="9"/>
        <v>0</v>
      </c>
      <c r="P182" s="70" t="str">
        <f ca="1">IF(O182=1,COUNTIF($O$1:$O182,1),"")</f>
        <v/>
      </c>
      <c r="Q182" s="46" t="str">
        <f ca="1">IFERROR(INDEX($L$1:$L$500,MATCH(ROWS($P$1:$P182),$P$1:$P$500,0)),"")</f>
        <v/>
      </c>
      <c r="R182" s="71" t="str">
        <f t="shared" ca="1" si="11"/>
        <v/>
      </c>
    </row>
    <row r="183" spans="8:18">
      <c r="H183"/>
      <c r="I183"/>
      <c r="J183" s="69">
        <f t="shared" ca="1" si="10"/>
        <v>0</v>
      </c>
      <c r="K183" s="70" t="str">
        <f ca="1">IF(J183=1,COUNTIF($J$1:$J183,1),"")</f>
        <v/>
      </c>
      <c r="L183" s="46" t="str">
        <f ca="1">IFERROR(INDEX($A$1:$A$500,MATCH(ROWS($K$1:$K183),$K$1:$K$500,0)),"")</f>
        <v/>
      </c>
      <c r="M183" s="71" t="str">
        <f t="shared" ca="1" si="8"/>
        <v/>
      </c>
      <c r="O183" s="69">
        <f t="shared" ca="1" si="9"/>
        <v>0</v>
      </c>
      <c r="P183" s="70" t="str">
        <f ca="1">IF(O183=1,COUNTIF($O$1:$O183,1),"")</f>
        <v/>
      </c>
      <c r="Q183" s="46" t="str">
        <f ca="1">IFERROR(INDEX($L$1:$L$500,MATCH(ROWS($P$1:$P183),$P$1:$P$500,0)),"")</f>
        <v/>
      </c>
      <c r="R183" s="71" t="str">
        <f t="shared" ca="1" si="11"/>
        <v/>
      </c>
    </row>
    <row r="184" spans="8:18">
      <c r="H184"/>
      <c r="I184"/>
      <c r="J184" s="69">
        <f t="shared" ca="1" si="10"/>
        <v>0</v>
      </c>
      <c r="K184" s="70" t="str">
        <f ca="1">IF(J184=1,COUNTIF($J$1:$J184,1),"")</f>
        <v/>
      </c>
      <c r="L184" s="46" t="str">
        <f ca="1">IFERROR(INDEX($A$1:$A$500,MATCH(ROWS($K$1:$K184),$K$1:$K$500,0)),"")</f>
        <v/>
      </c>
      <c r="M184" s="71" t="str">
        <f t="shared" ca="1" si="8"/>
        <v/>
      </c>
      <c r="O184" s="69">
        <f t="shared" ca="1" si="9"/>
        <v>0</v>
      </c>
      <c r="P184" s="70" t="str">
        <f ca="1">IF(O184=1,COUNTIF($O$1:$O184,1),"")</f>
        <v/>
      </c>
      <c r="Q184" s="46" t="str">
        <f ca="1">IFERROR(INDEX($L$1:$L$500,MATCH(ROWS($P$1:$P184),$P$1:$P$500,0)),"")</f>
        <v/>
      </c>
      <c r="R184" s="71" t="str">
        <f t="shared" ca="1" si="11"/>
        <v/>
      </c>
    </row>
    <row r="185" spans="8:18">
      <c r="H185"/>
      <c r="I185"/>
      <c r="J185" s="69">
        <f t="shared" ca="1" si="10"/>
        <v>0</v>
      </c>
      <c r="K185" s="70" t="str">
        <f ca="1">IF(J185=1,COUNTIF($J$1:$J185,1),"")</f>
        <v/>
      </c>
      <c r="L185" s="46" t="str">
        <f ca="1">IFERROR(INDEX($A$1:$A$500,MATCH(ROWS($K$1:$K185),$K$1:$K$500,0)),"")</f>
        <v/>
      </c>
      <c r="M185" s="71" t="str">
        <f t="shared" ca="1" si="8"/>
        <v/>
      </c>
      <c r="O185" s="69">
        <f t="shared" ca="1" si="9"/>
        <v>0</v>
      </c>
      <c r="P185" s="70" t="str">
        <f ca="1">IF(O185=1,COUNTIF($O$1:$O185,1),"")</f>
        <v/>
      </c>
      <c r="Q185" s="46" t="str">
        <f ca="1">IFERROR(INDEX($L$1:$L$500,MATCH(ROWS($P$1:$P185),$P$1:$P$500,0)),"")</f>
        <v/>
      </c>
      <c r="R185" s="71" t="str">
        <f t="shared" ca="1" si="11"/>
        <v/>
      </c>
    </row>
    <row r="186" spans="8:18">
      <c r="H186"/>
      <c r="I186"/>
      <c r="J186" s="69">
        <f t="shared" ca="1" si="10"/>
        <v>0</v>
      </c>
      <c r="K186" s="70" t="str">
        <f ca="1">IF(J186=1,COUNTIF($J$1:$J186,1),"")</f>
        <v/>
      </c>
      <c r="L186" s="46" t="str">
        <f ca="1">IFERROR(INDEX($A$1:$A$500,MATCH(ROWS($K$1:$K186),$K$1:$K$500,0)),"")</f>
        <v/>
      </c>
      <c r="M186" s="71" t="str">
        <f t="shared" ca="1" si="8"/>
        <v/>
      </c>
      <c r="O186" s="69">
        <f t="shared" ca="1" si="9"/>
        <v>0</v>
      </c>
      <c r="P186" s="70" t="str">
        <f ca="1">IF(O186=1,COUNTIF($O$1:$O186,1),"")</f>
        <v/>
      </c>
      <c r="Q186" s="46" t="str">
        <f ca="1">IFERROR(INDEX($L$1:$L$500,MATCH(ROWS($P$1:$P186),$P$1:$P$500,0)),"")</f>
        <v/>
      </c>
      <c r="R186" s="71" t="str">
        <f t="shared" ca="1" si="11"/>
        <v/>
      </c>
    </row>
    <row r="187" spans="8:18">
      <c r="H187"/>
      <c r="I187"/>
      <c r="J187" s="69">
        <f t="shared" ca="1" si="10"/>
        <v>0</v>
      </c>
      <c r="K187" s="70" t="str">
        <f ca="1">IF(J187=1,COUNTIF($J$1:$J187,1),"")</f>
        <v/>
      </c>
      <c r="L187" s="46" t="str">
        <f ca="1">IFERROR(INDEX($A$1:$A$500,MATCH(ROWS($K$1:$K187),$K$1:$K$500,0)),"")</f>
        <v/>
      </c>
      <c r="M187" s="71" t="str">
        <f t="shared" ca="1" si="8"/>
        <v/>
      </c>
      <c r="O187" s="69">
        <f t="shared" ca="1" si="9"/>
        <v>0</v>
      </c>
      <c r="P187" s="70" t="str">
        <f ca="1">IF(O187=1,COUNTIF($O$1:$O187,1),"")</f>
        <v/>
      </c>
      <c r="Q187" s="46" t="str">
        <f ca="1">IFERROR(INDEX($L$1:$L$500,MATCH(ROWS($P$1:$P187),$P$1:$P$500,0)),"")</f>
        <v/>
      </c>
      <c r="R187" s="71" t="str">
        <f t="shared" ca="1" si="11"/>
        <v/>
      </c>
    </row>
    <row r="188" spans="8:18">
      <c r="H188"/>
      <c r="I188"/>
      <c r="J188" s="69">
        <f t="shared" ca="1" si="10"/>
        <v>0</v>
      </c>
      <c r="K188" s="70" t="str">
        <f ca="1">IF(J188=1,COUNTIF($J$1:$J188,1),"")</f>
        <v/>
      </c>
      <c r="L188" s="46" t="str">
        <f ca="1">IFERROR(INDEX($A$1:$A$500,MATCH(ROWS($K$1:$K188),$K$1:$K$500,0)),"")</f>
        <v/>
      </c>
      <c r="M188" s="71" t="str">
        <f t="shared" ca="1" si="8"/>
        <v/>
      </c>
      <c r="O188" s="69">
        <f t="shared" ca="1" si="9"/>
        <v>0</v>
      </c>
      <c r="P188" s="70" t="str">
        <f ca="1">IF(O188=1,COUNTIF($O$1:$O188,1),"")</f>
        <v/>
      </c>
      <c r="Q188" s="46" t="str">
        <f ca="1">IFERROR(INDEX($L$1:$L$500,MATCH(ROWS($P$1:$P188),$P$1:$P$500,0)),"")</f>
        <v/>
      </c>
      <c r="R188" s="71" t="str">
        <f t="shared" ca="1" si="11"/>
        <v/>
      </c>
    </row>
    <row r="189" spans="8:18">
      <c r="H189"/>
      <c r="I189"/>
      <c r="J189" s="69">
        <f t="shared" ca="1" si="10"/>
        <v>0</v>
      </c>
      <c r="K189" s="70" t="str">
        <f ca="1">IF(J189=1,COUNTIF($J$1:$J189,1),"")</f>
        <v/>
      </c>
      <c r="L189" s="46" t="str">
        <f ca="1">IFERROR(INDEX($A$1:$A$500,MATCH(ROWS($K$1:$K189),$K$1:$K$500,0)),"")</f>
        <v/>
      </c>
      <c r="M189" s="71" t="str">
        <f t="shared" ca="1" si="8"/>
        <v/>
      </c>
      <c r="O189" s="69">
        <f t="shared" ca="1" si="9"/>
        <v>0</v>
      </c>
      <c r="P189" s="70" t="str">
        <f ca="1">IF(O189=1,COUNTIF($O$1:$O189,1),"")</f>
        <v/>
      </c>
      <c r="Q189" s="46" t="str">
        <f ca="1">IFERROR(INDEX($L$1:$L$500,MATCH(ROWS($P$1:$P189),$P$1:$P$500,0)),"")</f>
        <v/>
      </c>
      <c r="R189" s="71" t="str">
        <f t="shared" ca="1" si="11"/>
        <v/>
      </c>
    </row>
    <row r="190" spans="8:18">
      <c r="H190"/>
      <c r="I190"/>
      <c r="J190" s="69">
        <f t="shared" ca="1" si="10"/>
        <v>0</v>
      </c>
      <c r="K190" s="70" t="str">
        <f ca="1">IF(J190=1,COUNTIF($J$1:$J190,1),"")</f>
        <v/>
      </c>
      <c r="L190" s="46" t="str">
        <f ca="1">IFERROR(INDEX($A$1:$A$500,MATCH(ROWS($K$1:$K190),$K$1:$K$500,0)),"")</f>
        <v/>
      </c>
      <c r="M190" s="71" t="str">
        <f t="shared" ca="1" si="8"/>
        <v/>
      </c>
      <c r="O190" s="69">
        <f t="shared" ca="1" si="9"/>
        <v>0</v>
      </c>
      <c r="P190" s="70" t="str">
        <f ca="1">IF(O190=1,COUNTIF($O$1:$O190,1),"")</f>
        <v/>
      </c>
      <c r="Q190" s="46" t="str">
        <f ca="1">IFERROR(INDEX($L$1:$L$500,MATCH(ROWS($P$1:$P190),$P$1:$P$500,0)),"")</f>
        <v/>
      </c>
      <c r="R190" s="71" t="str">
        <f t="shared" ca="1" si="11"/>
        <v/>
      </c>
    </row>
    <row r="191" spans="8:18">
      <c r="H191"/>
      <c r="I191"/>
      <c r="J191" s="69">
        <f t="shared" ca="1" si="10"/>
        <v>0</v>
      </c>
      <c r="K191" s="70" t="str">
        <f ca="1">IF(J191=1,COUNTIF($J$1:$J191,1),"")</f>
        <v/>
      </c>
      <c r="L191" s="46" t="str">
        <f ca="1">IFERROR(INDEX($A$1:$A$500,MATCH(ROWS($K$1:$K191),$K$1:$K$500,0)),"")</f>
        <v/>
      </c>
      <c r="M191" s="71" t="str">
        <f t="shared" ca="1" si="8"/>
        <v/>
      </c>
      <c r="O191" s="69">
        <f t="shared" ca="1" si="9"/>
        <v>0</v>
      </c>
      <c r="P191" s="70" t="str">
        <f ca="1">IF(O191=1,COUNTIF($O$1:$O191,1),"")</f>
        <v/>
      </c>
      <c r="Q191" s="46" t="str">
        <f ca="1">IFERROR(INDEX($L$1:$L$500,MATCH(ROWS($P$1:$P191),$P$1:$P$500,0)),"")</f>
        <v/>
      </c>
      <c r="R191" s="71" t="str">
        <f t="shared" ca="1" si="11"/>
        <v/>
      </c>
    </row>
    <row r="192" spans="8:18">
      <c r="H192"/>
      <c r="I192"/>
      <c r="J192" s="69">
        <f t="shared" ca="1" si="10"/>
        <v>0</v>
      </c>
      <c r="K192" s="70" t="str">
        <f ca="1">IF(J192=1,COUNTIF($J$1:$J192,1),"")</f>
        <v/>
      </c>
      <c r="L192" s="46" t="str">
        <f ca="1">IFERROR(INDEX($A$1:$A$500,MATCH(ROWS($K$1:$K192),$K$1:$K$500,0)),"")</f>
        <v/>
      </c>
      <c r="M192" s="71" t="str">
        <f t="shared" ca="1" si="8"/>
        <v/>
      </c>
      <c r="O192" s="69">
        <f t="shared" ca="1" si="9"/>
        <v>0</v>
      </c>
      <c r="P192" s="70" t="str">
        <f ca="1">IF(O192=1,COUNTIF($O$1:$O192,1),"")</f>
        <v/>
      </c>
      <c r="Q192" s="46" t="str">
        <f ca="1">IFERROR(INDEX($L$1:$L$500,MATCH(ROWS($P$1:$P192),$P$1:$P$500,0)),"")</f>
        <v/>
      </c>
      <c r="R192" s="71" t="str">
        <f t="shared" ca="1" si="11"/>
        <v/>
      </c>
    </row>
    <row r="193" spans="8:18">
      <c r="H193"/>
      <c r="I193"/>
      <c r="J193" s="69">
        <f t="shared" ca="1" si="10"/>
        <v>0</v>
      </c>
      <c r="K193" s="70" t="str">
        <f ca="1">IF(J193=1,COUNTIF($J$1:$J193,1),"")</f>
        <v/>
      </c>
      <c r="L193" s="46" t="str">
        <f ca="1">IFERROR(INDEX($A$1:$A$500,MATCH(ROWS($K$1:$K193),$K$1:$K$500,0)),"")</f>
        <v/>
      </c>
      <c r="M193" s="71" t="str">
        <f t="shared" ref="M193:M256" ca="1" si="12">+IF(L193="","",RIGHT(L193,LEN(L193)-FIND("@",SUBSTITUTE(L193,"\","@",LEN(L193)-LEN(SUBSTITUTE(L193,"\",""))),1)))</f>
        <v/>
      </c>
      <c r="O193" s="69">
        <f t="shared" ref="O193:O256" ca="1" si="13">--ISNUMBER(SEARCH($N$2,M193))</f>
        <v>0</v>
      </c>
      <c r="P193" s="70" t="str">
        <f ca="1">IF(O193=1,COUNTIF($O$1:$O193,1),"")</f>
        <v/>
      </c>
      <c r="Q193" s="46" t="str">
        <f ca="1">IFERROR(INDEX($L$1:$L$500,MATCH(ROWS($P$1:$P193),$P$1:$P$500,0)),"")</f>
        <v/>
      </c>
      <c r="R193" s="71" t="str">
        <f t="shared" ca="1" si="11"/>
        <v/>
      </c>
    </row>
    <row r="194" spans="8:18">
      <c r="H194"/>
      <c r="I194"/>
      <c r="J194" s="69">
        <f t="shared" ref="J194:J200" ca="1" si="14">IF($C$2="1 - ALL FORMS",1,--ISNUMBER(SEARCH($C$2,E194)))</f>
        <v>0</v>
      </c>
      <c r="K194" s="70" t="str">
        <f ca="1">IF(J194=1,COUNTIF($J$1:$J194,1),"")</f>
        <v/>
      </c>
      <c r="L194" s="46" t="str">
        <f ca="1">IFERROR(INDEX($A$1:$A$500,MATCH(ROWS($K$1:$K194),$K$1:$K$500,0)),"")</f>
        <v/>
      </c>
      <c r="M194" s="71" t="str">
        <f t="shared" ca="1" si="12"/>
        <v/>
      </c>
      <c r="O194" s="69">
        <f t="shared" ca="1" si="13"/>
        <v>0</v>
      </c>
      <c r="P194" s="70" t="str">
        <f ca="1">IF(O194=1,COUNTIF($O$1:$O194,1),"")</f>
        <v/>
      </c>
      <c r="Q194" s="46" t="str">
        <f ca="1">IFERROR(INDEX($L$1:$L$500,MATCH(ROWS($P$1:$P194),$P$1:$P$500,0)),"")</f>
        <v/>
      </c>
      <c r="R194" s="71" t="str">
        <f t="shared" ref="R194:R257" ca="1" si="15">+IF(Q194="","",RIGHT(Q194,LEN(Q194)-FIND("@",SUBSTITUTE(Q194,"\","@",LEN(Q194)-LEN(SUBSTITUTE(Q194,"\",""))),1)))</f>
        <v/>
      </c>
    </row>
    <row r="195" spans="8:18">
      <c r="H195"/>
      <c r="I195"/>
      <c r="J195" s="69">
        <f t="shared" ca="1" si="14"/>
        <v>0</v>
      </c>
      <c r="K195" s="70" t="str">
        <f ca="1">IF(J195=1,COUNTIF($J$1:$J195,1),"")</f>
        <v/>
      </c>
      <c r="L195" s="46" t="str">
        <f ca="1">IFERROR(INDEX($A$1:$A$500,MATCH(ROWS($K$1:$K195),$K$1:$K$500,0)),"")</f>
        <v/>
      </c>
      <c r="M195" s="71" t="str">
        <f t="shared" ca="1" si="12"/>
        <v/>
      </c>
      <c r="O195" s="69">
        <f t="shared" ca="1" si="13"/>
        <v>0</v>
      </c>
      <c r="P195" s="70" t="str">
        <f ca="1">IF(O195=1,COUNTIF($O$1:$O195,1),"")</f>
        <v/>
      </c>
      <c r="Q195" s="46" t="str">
        <f ca="1">IFERROR(INDEX($L$1:$L$500,MATCH(ROWS($P$1:$P195),$P$1:$P$500,0)),"")</f>
        <v/>
      </c>
      <c r="R195" s="71" t="str">
        <f t="shared" ca="1" si="15"/>
        <v/>
      </c>
    </row>
    <row r="196" spans="8:18">
      <c r="H196"/>
      <c r="I196"/>
      <c r="J196" s="69">
        <f t="shared" ca="1" si="14"/>
        <v>0</v>
      </c>
      <c r="K196" s="70" t="str">
        <f ca="1">IF(J196=1,COUNTIF($J$1:$J196,1),"")</f>
        <v/>
      </c>
      <c r="L196" s="46" t="str">
        <f ca="1">IFERROR(INDEX($A$1:$A$500,MATCH(ROWS($K$1:$K196),$K$1:$K$500,0)),"")</f>
        <v/>
      </c>
      <c r="M196" s="71" t="str">
        <f t="shared" ca="1" si="12"/>
        <v/>
      </c>
      <c r="O196" s="69">
        <f t="shared" ca="1" si="13"/>
        <v>0</v>
      </c>
      <c r="P196" s="70" t="str">
        <f ca="1">IF(O196=1,COUNTIF($O$1:$O196,1),"")</f>
        <v/>
      </c>
      <c r="Q196" s="46" t="str">
        <f ca="1">IFERROR(INDEX($L$1:$L$500,MATCH(ROWS($P$1:$P196),$P$1:$P$500,0)),"")</f>
        <v/>
      </c>
      <c r="R196" s="71" t="str">
        <f t="shared" ca="1" si="15"/>
        <v/>
      </c>
    </row>
    <row r="197" spans="8:18">
      <c r="H197"/>
      <c r="I197"/>
      <c r="J197" s="69">
        <f t="shared" ca="1" si="14"/>
        <v>0</v>
      </c>
      <c r="K197" s="70" t="str">
        <f ca="1">IF(J197=1,COUNTIF($J$1:$J197,1),"")</f>
        <v/>
      </c>
      <c r="L197" s="46" t="str">
        <f ca="1">IFERROR(INDEX($A$1:$A$500,MATCH(ROWS($K$1:$K197),$K$1:$K$500,0)),"")</f>
        <v/>
      </c>
      <c r="M197" s="71" t="str">
        <f t="shared" ca="1" si="12"/>
        <v/>
      </c>
      <c r="O197" s="69">
        <f t="shared" ca="1" si="13"/>
        <v>0</v>
      </c>
      <c r="P197" s="70" t="str">
        <f ca="1">IF(O197=1,COUNTIF($O$1:$O197,1),"")</f>
        <v/>
      </c>
      <c r="Q197" s="46" t="str">
        <f ca="1">IFERROR(INDEX($L$1:$L$500,MATCH(ROWS($P$1:$P197),$P$1:$P$500,0)),"")</f>
        <v/>
      </c>
      <c r="R197" s="71" t="str">
        <f t="shared" ca="1" si="15"/>
        <v/>
      </c>
    </row>
    <row r="198" spans="8:18">
      <c r="H198"/>
      <c r="I198"/>
      <c r="J198" s="69">
        <f t="shared" ca="1" si="14"/>
        <v>0</v>
      </c>
      <c r="K198" s="70" t="str">
        <f ca="1">IF(J198=1,COUNTIF($J$1:$J198,1),"")</f>
        <v/>
      </c>
      <c r="L198" s="46" t="str">
        <f ca="1">IFERROR(INDEX($A$1:$A$500,MATCH(ROWS($K$1:$K198),$K$1:$K$500,0)),"")</f>
        <v/>
      </c>
      <c r="M198" s="71" t="str">
        <f t="shared" ca="1" si="12"/>
        <v/>
      </c>
      <c r="O198" s="69">
        <f t="shared" ca="1" si="13"/>
        <v>0</v>
      </c>
      <c r="P198" s="70" t="str">
        <f ca="1">IF(O198=1,COUNTIF($O$1:$O198,1),"")</f>
        <v/>
      </c>
      <c r="Q198" s="46" t="str">
        <f ca="1">IFERROR(INDEX($L$1:$L$500,MATCH(ROWS($P$1:$P198),$P$1:$P$500,0)),"")</f>
        <v/>
      </c>
      <c r="R198" s="71" t="str">
        <f t="shared" ca="1" si="15"/>
        <v/>
      </c>
    </row>
    <row r="199" spans="8:18">
      <c r="H199"/>
      <c r="I199"/>
      <c r="J199" s="69">
        <f t="shared" ca="1" si="14"/>
        <v>0</v>
      </c>
      <c r="K199" s="70" t="str">
        <f ca="1">IF(J199=1,COUNTIF($J$1:$J199,1),"")</f>
        <v/>
      </c>
      <c r="L199" s="46" t="str">
        <f ca="1">IFERROR(INDEX($A$1:$A$500,MATCH(ROWS($K$1:$K199),$K$1:$K$500,0)),"")</f>
        <v/>
      </c>
      <c r="M199" s="71" t="str">
        <f t="shared" ca="1" si="12"/>
        <v/>
      </c>
      <c r="O199" s="69">
        <f t="shared" ca="1" si="13"/>
        <v>0</v>
      </c>
      <c r="P199" s="70" t="str">
        <f ca="1">IF(O199=1,COUNTIF($O$1:$O199,1),"")</f>
        <v/>
      </c>
      <c r="Q199" s="46" t="str">
        <f ca="1">IFERROR(INDEX($L$1:$L$500,MATCH(ROWS($P$1:$P199),$P$1:$P$500,0)),"")</f>
        <v/>
      </c>
      <c r="R199" s="71" t="str">
        <f t="shared" ca="1" si="15"/>
        <v/>
      </c>
    </row>
    <row r="200" spans="8:18">
      <c r="H200"/>
      <c r="I200"/>
      <c r="J200" s="69">
        <f t="shared" ca="1" si="14"/>
        <v>0</v>
      </c>
      <c r="K200" s="70" t="str">
        <f ca="1">IF(J200=1,COUNTIF($J$1:$J200,1),"")</f>
        <v/>
      </c>
      <c r="L200" s="46" t="str">
        <f ca="1">IFERROR(INDEX($A$1:$A$500,MATCH(ROWS($K$1:$K200),$K$1:$K$500,0)),"")</f>
        <v/>
      </c>
      <c r="M200" s="71" t="str">
        <f t="shared" ca="1" si="12"/>
        <v/>
      </c>
      <c r="O200" s="69">
        <f t="shared" ca="1" si="13"/>
        <v>0</v>
      </c>
      <c r="P200" s="70" t="str">
        <f ca="1">IF(O200=1,COUNTIF($O$1:$O200,1),"")</f>
        <v/>
      </c>
      <c r="Q200" s="46" t="str">
        <f ca="1">IFERROR(INDEX($L$1:$L$500,MATCH(ROWS($P$1:$P200),$P$1:$P$500,0)),"")</f>
        <v/>
      </c>
      <c r="R200" s="71" t="str">
        <f t="shared" ca="1" si="15"/>
        <v/>
      </c>
    </row>
    <row r="201" spans="8:18">
      <c r="H201"/>
      <c r="I201"/>
      <c r="J201" s="68"/>
      <c r="L201" s="46" t="str">
        <f ca="1">IFERROR(INDEX($A$1:$A$500,MATCH(ROWS($K$1:$K201),$K$1:$K$500,0)),"")</f>
        <v/>
      </c>
      <c r="M201" s="71" t="str">
        <f t="shared" ca="1" si="12"/>
        <v/>
      </c>
      <c r="O201" s="69">
        <f t="shared" ca="1" si="13"/>
        <v>0</v>
      </c>
      <c r="P201" s="70" t="str">
        <f ca="1">IF(O201=1,COUNTIF($O$1:$O201,1),"")</f>
        <v/>
      </c>
      <c r="Q201" s="46" t="str">
        <f ca="1">IFERROR(INDEX($L$1:$L$500,MATCH(ROWS($P$1:$P201),$P$1:$P$500,0)),"")</f>
        <v/>
      </c>
      <c r="R201" s="71" t="str">
        <f t="shared" ca="1" si="15"/>
        <v/>
      </c>
    </row>
    <row r="202" spans="8:18">
      <c r="H202"/>
      <c r="I202"/>
      <c r="J202" s="68"/>
      <c r="L202" s="46" t="str">
        <f ca="1">IFERROR(INDEX($A$1:$A$500,MATCH(ROWS($K$1:$K202),$K$1:$K$500,0)),"")</f>
        <v/>
      </c>
      <c r="M202" s="71" t="str">
        <f t="shared" ca="1" si="12"/>
        <v/>
      </c>
      <c r="O202" s="69">
        <f t="shared" ca="1" si="13"/>
        <v>0</v>
      </c>
      <c r="P202" s="70" t="str">
        <f ca="1">IF(O202=1,COUNTIF($O$1:$O202,1),"")</f>
        <v/>
      </c>
      <c r="Q202" s="46" t="str">
        <f ca="1">IFERROR(INDEX($L$1:$L$500,MATCH(ROWS($P$1:$P202),$P$1:$P$500,0)),"")</f>
        <v/>
      </c>
      <c r="R202" s="71" t="str">
        <f t="shared" ca="1" si="15"/>
        <v/>
      </c>
    </row>
    <row r="203" spans="8:18">
      <c r="H203"/>
      <c r="I203"/>
      <c r="J203" s="68"/>
      <c r="L203" s="46" t="str">
        <f ca="1">IFERROR(INDEX($A$1:$A$500,MATCH(ROWS($K$1:$K203),$K$1:$K$500,0)),"")</f>
        <v/>
      </c>
      <c r="M203" s="71" t="str">
        <f t="shared" ca="1" si="12"/>
        <v/>
      </c>
      <c r="O203" s="69">
        <f t="shared" ca="1" si="13"/>
        <v>0</v>
      </c>
      <c r="P203" s="70" t="str">
        <f ca="1">IF(O203=1,COUNTIF($O$1:$O203,1),"")</f>
        <v/>
      </c>
      <c r="Q203" s="46" t="str">
        <f ca="1">IFERROR(INDEX($L$1:$L$500,MATCH(ROWS($P$1:$P203),$P$1:$P$500,0)),"")</f>
        <v/>
      </c>
      <c r="R203" s="71" t="str">
        <f t="shared" ca="1" si="15"/>
        <v/>
      </c>
    </row>
    <row r="204" spans="8:18">
      <c r="H204"/>
      <c r="I204"/>
      <c r="J204" s="68"/>
      <c r="L204" s="46" t="str">
        <f ca="1">IFERROR(INDEX($A$1:$A$500,MATCH(ROWS($K$1:$K204),$K$1:$K$500,0)),"")</f>
        <v/>
      </c>
      <c r="M204" s="71" t="str">
        <f t="shared" ca="1" si="12"/>
        <v/>
      </c>
      <c r="O204" s="69">
        <f t="shared" ca="1" si="13"/>
        <v>0</v>
      </c>
      <c r="P204" s="70" t="str">
        <f ca="1">IF(O204=1,COUNTIF($O$1:$O204,1),"")</f>
        <v/>
      </c>
      <c r="Q204" s="46" t="str">
        <f ca="1">IFERROR(INDEX($L$1:$L$500,MATCH(ROWS($P$1:$P204),$P$1:$P$500,0)),"")</f>
        <v/>
      </c>
      <c r="R204" s="71" t="str">
        <f t="shared" ca="1" si="15"/>
        <v/>
      </c>
    </row>
    <row r="205" spans="8:18">
      <c r="H205"/>
      <c r="I205"/>
      <c r="J205" s="68"/>
      <c r="L205" s="46" t="str">
        <f ca="1">IFERROR(INDEX($A$1:$A$500,MATCH(ROWS($K$1:$K205),$K$1:$K$500,0)),"")</f>
        <v/>
      </c>
      <c r="M205" s="71" t="str">
        <f t="shared" ca="1" si="12"/>
        <v/>
      </c>
      <c r="O205" s="69">
        <f t="shared" ca="1" si="13"/>
        <v>0</v>
      </c>
      <c r="P205" s="70" t="str">
        <f ca="1">IF(O205=1,COUNTIF($O$1:$O205,1),"")</f>
        <v/>
      </c>
      <c r="Q205" s="46" t="str">
        <f ca="1">IFERROR(INDEX($L$1:$L$500,MATCH(ROWS($P$1:$P205),$P$1:$P$500,0)),"")</f>
        <v/>
      </c>
      <c r="R205" s="71" t="str">
        <f t="shared" ca="1" si="15"/>
        <v/>
      </c>
    </row>
    <row r="206" spans="8:18">
      <c r="H206"/>
      <c r="I206"/>
      <c r="J206" s="68"/>
      <c r="L206" s="46" t="str">
        <f ca="1">IFERROR(INDEX($A$1:$A$500,MATCH(ROWS($K$1:$K206),$K$1:$K$500,0)),"")</f>
        <v/>
      </c>
      <c r="M206" s="71" t="str">
        <f t="shared" ca="1" si="12"/>
        <v/>
      </c>
      <c r="O206" s="69">
        <f t="shared" ca="1" si="13"/>
        <v>0</v>
      </c>
      <c r="P206" s="70" t="str">
        <f ca="1">IF(O206=1,COUNTIF($O$1:$O206,1),"")</f>
        <v/>
      </c>
      <c r="Q206" s="46" t="str">
        <f ca="1">IFERROR(INDEX($L$1:$L$500,MATCH(ROWS($P$1:$P206),$P$1:$P$500,0)),"")</f>
        <v/>
      </c>
      <c r="R206" s="71" t="str">
        <f t="shared" ca="1" si="15"/>
        <v/>
      </c>
    </row>
    <row r="207" spans="8:18">
      <c r="H207"/>
      <c r="I207"/>
      <c r="J207" s="68"/>
      <c r="L207" s="46" t="str">
        <f ca="1">IFERROR(INDEX($A$1:$A$500,MATCH(ROWS($K$1:$K207),$K$1:$K$500,0)),"")</f>
        <v/>
      </c>
      <c r="M207" s="71" t="str">
        <f t="shared" ca="1" si="12"/>
        <v/>
      </c>
      <c r="O207" s="69">
        <f t="shared" ca="1" si="13"/>
        <v>0</v>
      </c>
      <c r="P207" s="70" t="str">
        <f ca="1">IF(O207=1,COUNTIF($O$1:$O207,1),"")</f>
        <v/>
      </c>
      <c r="Q207" s="46" t="str">
        <f ca="1">IFERROR(INDEX($L$1:$L$500,MATCH(ROWS($P$1:$P207),$P$1:$P$500,0)),"")</f>
        <v/>
      </c>
      <c r="R207" s="71" t="str">
        <f t="shared" ca="1" si="15"/>
        <v/>
      </c>
    </row>
    <row r="208" spans="8:18">
      <c r="H208"/>
      <c r="I208"/>
      <c r="J208" s="68"/>
      <c r="L208" s="46" t="str">
        <f ca="1">IFERROR(INDEX($A$1:$A$500,MATCH(ROWS($K$1:$K208),$K$1:$K$500,0)),"")</f>
        <v/>
      </c>
      <c r="M208" s="71" t="str">
        <f t="shared" ca="1" si="12"/>
        <v/>
      </c>
      <c r="O208" s="69">
        <f t="shared" ca="1" si="13"/>
        <v>0</v>
      </c>
      <c r="P208" s="70" t="str">
        <f ca="1">IF(O208=1,COUNTIF($O$1:$O208,1),"")</f>
        <v/>
      </c>
      <c r="Q208" s="46" t="str">
        <f ca="1">IFERROR(INDEX($L$1:$L$500,MATCH(ROWS($P$1:$P208),$P$1:$P$500,0)),"")</f>
        <v/>
      </c>
      <c r="R208" s="71" t="str">
        <f t="shared" ca="1" si="15"/>
        <v/>
      </c>
    </row>
    <row r="209" spans="8:18">
      <c r="H209"/>
      <c r="I209"/>
      <c r="J209" s="68"/>
      <c r="L209" s="46" t="str">
        <f ca="1">IFERROR(INDEX($A$1:$A$500,MATCH(ROWS($K$1:$K209),$K$1:$K$500,0)),"")</f>
        <v/>
      </c>
      <c r="M209" s="71" t="str">
        <f t="shared" ca="1" si="12"/>
        <v/>
      </c>
      <c r="O209" s="69">
        <f t="shared" ca="1" si="13"/>
        <v>0</v>
      </c>
      <c r="P209" s="70" t="str">
        <f ca="1">IF(O209=1,COUNTIF($O$1:$O209,1),"")</f>
        <v/>
      </c>
      <c r="Q209" s="46" t="str">
        <f ca="1">IFERROR(INDEX($L$1:$L$500,MATCH(ROWS($P$1:$P209),$P$1:$P$500,0)),"")</f>
        <v/>
      </c>
      <c r="R209" s="71" t="str">
        <f t="shared" ca="1" si="15"/>
        <v/>
      </c>
    </row>
    <row r="210" spans="8:18">
      <c r="H210"/>
      <c r="I210"/>
      <c r="J210" s="68"/>
      <c r="L210" s="46" t="str">
        <f ca="1">IFERROR(INDEX($A$1:$A$500,MATCH(ROWS($K$1:$K210),$K$1:$K$500,0)),"")</f>
        <v/>
      </c>
      <c r="M210" s="71" t="str">
        <f t="shared" ca="1" si="12"/>
        <v/>
      </c>
      <c r="O210" s="69">
        <f t="shared" ca="1" si="13"/>
        <v>0</v>
      </c>
      <c r="P210" s="70" t="str">
        <f ca="1">IF(O210=1,COUNTIF($O$1:$O210,1),"")</f>
        <v/>
      </c>
      <c r="Q210" s="46" t="str">
        <f ca="1">IFERROR(INDEX($L$1:$L$500,MATCH(ROWS($P$1:$P210),$P$1:$P$500,0)),"")</f>
        <v/>
      </c>
      <c r="R210" s="71" t="str">
        <f t="shared" ca="1" si="15"/>
        <v/>
      </c>
    </row>
    <row r="211" spans="8:18">
      <c r="H211"/>
      <c r="I211"/>
      <c r="J211" s="68"/>
      <c r="L211" s="46" t="str">
        <f ca="1">IFERROR(INDEX($A$1:$A$500,MATCH(ROWS($K$1:$K211),$K$1:$K$500,0)),"")</f>
        <v/>
      </c>
      <c r="M211" s="71" t="str">
        <f t="shared" ca="1" si="12"/>
        <v/>
      </c>
      <c r="O211" s="69">
        <f t="shared" ca="1" si="13"/>
        <v>0</v>
      </c>
      <c r="P211" s="70" t="str">
        <f ca="1">IF(O211=1,COUNTIF($O$1:$O211,1),"")</f>
        <v/>
      </c>
      <c r="Q211" s="46" t="str">
        <f ca="1">IFERROR(INDEX($L$1:$L$500,MATCH(ROWS($P$1:$P211),$P$1:$P$500,0)),"")</f>
        <v/>
      </c>
      <c r="R211" s="71" t="str">
        <f t="shared" ca="1" si="15"/>
        <v/>
      </c>
    </row>
    <row r="212" spans="8:18">
      <c r="H212"/>
      <c r="I212"/>
      <c r="J212" s="68"/>
      <c r="L212" s="46" t="str">
        <f ca="1">IFERROR(INDEX($A$1:$A$500,MATCH(ROWS($K$1:$K212),$K$1:$K$500,0)),"")</f>
        <v/>
      </c>
      <c r="M212" s="71" t="str">
        <f t="shared" ca="1" si="12"/>
        <v/>
      </c>
      <c r="O212" s="69">
        <f t="shared" ca="1" si="13"/>
        <v>0</v>
      </c>
      <c r="P212" s="70" t="str">
        <f ca="1">IF(O212=1,COUNTIF($O$1:$O212,1),"")</f>
        <v/>
      </c>
      <c r="Q212" s="46" t="str">
        <f ca="1">IFERROR(INDEX($L$1:$L$500,MATCH(ROWS($P$1:$P212),$P$1:$P$500,0)),"")</f>
        <v/>
      </c>
      <c r="R212" s="71" t="str">
        <f t="shared" ca="1" si="15"/>
        <v/>
      </c>
    </row>
    <row r="213" spans="8:18">
      <c r="H213"/>
      <c r="I213"/>
      <c r="J213" s="68"/>
      <c r="L213" s="46" t="str">
        <f ca="1">IFERROR(INDEX($A$1:$A$500,MATCH(ROWS($K$1:$K213),$K$1:$K$500,0)),"")</f>
        <v/>
      </c>
      <c r="M213" s="71" t="str">
        <f t="shared" ca="1" si="12"/>
        <v/>
      </c>
      <c r="O213" s="69">
        <f t="shared" ca="1" si="13"/>
        <v>0</v>
      </c>
      <c r="P213" s="70" t="str">
        <f ca="1">IF(O213=1,COUNTIF($O$1:$O213,1),"")</f>
        <v/>
      </c>
      <c r="Q213" s="46" t="str">
        <f ca="1">IFERROR(INDEX($L$1:$L$500,MATCH(ROWS($P$1:$P213),$P$1:$P$500,0)),"")</f>
        <v/>
      </c>
      <c r="R213" s="71" t="str">
        <f t="shared" ca="1" si="15"/>
        <v/>
      </c>
    </row>
    <row r="214" spans="8:18">
      <c r="H214"/>
      <c r="I214"/>
      <c r="J214" s="68"/>
      <c r="L214" s="46" t="str">
        <f ca="1">IFERROR(INDEX($A$1:$A$500,MATCH(ROWS($K$1:$K214),$K$1:$K$500,0)),"")</f>
        <v/>
      </c>
      <c r="M214" s="71" t="str">
        <f t="shared" ca="1" si="12"/>
        <v/>
      </c>
      <c r="O214" s="69">
        <f t="shared" ca="1" si="13"/>
        <v>0</v>
      </c>
      <c r="P214" s="70" t="str">
        <f ca="1">IF(O214=1,COUNTIF($O$1:$O214,1),"")</f>
        <v/>
      </c>
      <c r="Q214" s="46" t="str">
        <f ca="1">IFERROR(INDEX($L$1:$L$500,MATCH(ROWS($P$1:$P214),$P$1:$P$500,0)),"")</f>
        <v/>
      </c>
      <c r="R214" s="71" t="str">
        <f t="shared" ca="1" si="15"/>
        <v/>
      </c>
    </row>
    <row r="215" spans="8:18">
      <c r="H215"/>
      <c r="I215"/>
      <c r="J215" s="68"/>
      <c r="L215" s="46" t="str">
        <f ca="1">IFERROR(INDEX($A$1:$A$500,MATCH(ROWS($K$1:$K215),$K$1:$K$500,0)),"")</f>
        <v/>
      </c>
      <c r="M215" s="71" t="str">
        <f t="shared" ca="1" si="12"/>
        <v/>
      </c>
      <c r="O215" s="69">
        <f t="shared" ca="1" si="13"/>
        <v>0</v>
      </c>
      <c r="P215" s="70" t="str">
        <f ca="1">IF(O215=1,COUNTIF($O$1:$O215,1),"")</f>
        <v/>
      </c>
      <c r="Q215" s="46" t="str">
        <f ca="1">IFERROR(INDEX($L$1:$L$500,MATCH(ROWS($P$1:$P215),$P$1:$P$500,0)),"")</f>
        <v/>
      </c>
      <c r="R215" s="71" t="str">
        <f t="shared" ca="1" si="15"/>
        <v/>
      </c>
    </row>
    <row r="216" spans="8:18">
      <c r="H216"/>
      <c r="I216"/>
      <c r="J216" s="68"/>
      <c r="L216" s="46" t="str">
        <f ca="1">IFERROR(INDEX($A$1:$A$500,MATCH(ROWS($K$1:$K216),$K$1:$K$500,0)),"")</f>
        <v/>
      </c>
      <c r="M216" s="71" t="str">
        <f t="shared" ca="1" si="12"/>
        <v/>
      </c>
      <c r="O216" s="69">
        <f t="shared" ca="1" si="13"/>
        <v>0</v>
      </c>
      <c r="P216" s="70" t="str">
        <f ca="1">IF(O216=1,COUNTIF($O$1:$O216,1),"")</f>
        <v/>
      </c>
      <c r="Q216" s="46" t="str">
        <f ca="1">IFERROR(INDEX($L$1:$L$500,MATCH(ROWS($P$1:$P216),$P$1:$P$500,0)),"")</f>
        <v/>
      </c>
      <c r="R216" s="71" t="str">
        <f t="shared" ca="1" si="15"/>
        <v/>
      </c>
    </row>
    <row r="217" spans="8:18">
      <c r="H217"/>
      <c r="I217"/>
      <c r="J217" s="68"/>
      <c r="L217" s="46" t="str">
        <f ca="1">IFERROR(INDEX($A$1:$A$500,MATCH(ROWS($K$1:$K217),$K$1:$K$500,0)),"")</f>
        <v/>
      </c>
      <c r="M217" s="71" t="str">
        <f t="shared" ca="1" si="12"/>
        <v/>
      </c>
      <c r="O217" s="69">
        <f t="shared" ca="1" si="13"/>
        <v>0</v>
      </c>
      <c r="P217" s="70" t="str">
        <f ca="1">IF(O217=1,COUNTIF($O$1:$O217,1),"")</f>
        <v/>
      </c>
      <c r="Q217" s="46" t="str">
        <f ca="1">IFERROR(INDEX($L$1:$L$500,MATCH(ROWS($P$1:$P217),$P$1:$P$500,0)),"")</f>
        <v/>
      </c>
      <c r="R217" s="71" t="str">
        <f t="shared" ca="1" si="15"/>
        <v/>
      </c>
    </row>
    <row r="218" spans="8:18">
      <c r="H218"/>
      <c r="I218"/>
      <c r="J218" s="68"/>
      <c r="L218" s="46" t="str">
        <f ca="1">IFERROR(INDEX($A$1:$A$500,MATCH(ROWS($K$1:$K218),$K$1:$K$500,0)),"")</f>
        <v/>
      </c>
      <c r="M218" s="71" t="str">
        <f t="shared" ca="1" si="12"/>
        <v/>
      </c>
      <c r="O218" s="69">
        <f t="shared" ca="1" si="13"/>
        <v>0</v>
      </c>
      <c r="P218" s="70" t="str">
        <f ca="1">IF(O218=1,COUNTIF($O$1:$O218,1),"")</f>
        <v/>
      </c>
      <c r="Q218" s="46" t="str">
        <f ca="1">IFERROR(INDEX($L$1:$L$500,MATCH(ROWS($P$1:$P218),$P$1:$P$500,0)),"")</f>
        <v/>
      </c>
      <c r="R218" s="71" t="str">
        <f t="shared" ca="1" si="15"/>
        <v/>
      </c>
    </row>
    <row r="219" spans="8:18">
      <c r="H219"/>
      <c r="I219"/>
      <c r="J219" s="68"/>
      <c r="L219" s="46" t="str">
        <f ca="1">IFERROR(INDEX($A$1:$A$500,MATCH(ROWS($K$1:$K219),$K$1:$K$500,0)),"")</f>
        <v/>
      </c>
      <c r="M219" s="71" t="str">
        <f t="shared" ca="1" si="12"/>
        <v/>
      </c>
      <c r="O219" s="69">
        <f t="shared" ca="1" si="13"/>
        <v>0</v>
      </c>
      <c r="P219" s="70" t="str">
        <f ca="1">IF(O219=1,COUNTIF($O$1:$O219,1),"")</f>
        <v/>
      </c>
      <c r="Q219" s="46" t="str">
        <f ca="1">IFERROR(INDEX($L$1:$L$500,MATCH(ROWS($P$1:$P219),$P$1:$P$500,0)),"")</f>
        <v/>
      </c>
      <c r="R219" s="71" t="str">
        <f t="shared" ca="1" si="15"/>
        <v/>
      </c>
    </row>
    <row r="220" spans="8:18">
      <c r="H220"/>
      <c r="I220"/>
      <c r="J220" s="68"/>
      <c r="L220" s="46" t="str">
        <f ca="1">IFERROR(INDEX($A$1:$A$500,MATCH(ROWS($K$1:$K220),$K$1:$K$500,0)),"")</f>
        <v/>
      </c>
      <c r="M220" s="71" t="str">
        <f t="shared" ca="1" si="12"/>
        <v/>
      </c>
      <c r="O220" s="69">
        <f t="shared" ca="1" si="13"/>
        <v>0</v>
      </c>
      <c r="P220" s="70" t="str">
        <f ca="1">IF(O220=1,COUNTIF($O$1:$O220,1),"")</f>
        <v/>
      </c>
      <c r="Q220" s="46" t="str">
        <f ca="1">IFERROR(INDEX($L$1:$L$500,MATCH(ROWS($P$1:$P220),$P$1:$P$500,0)),"")</f>
        <v/>
      </c>
      <c r="R220" s="71" t="str">
        <f t="shared" ca="1" si="15"/>
        <v/>
      </c>
    </row>
    <row r="221" spans="8:18">
      <c r="H221"/>
      <c r="I221"/>
      <c r="J221" s="68"/>
      <c r="L221" s="46" t="str">
        <f ca="1">IFERROR(INDEX($A$1:$A$500,MATCH(ROWS($K$1:$K221),$K$1:$K$500,0)),"")</f>
        <v/>
      </c>
      <c r="M221" s="71" t="str">
        <f t="shared" ca="1" si="12"/>
        <v/>
      </c>
      <c r="O221" s="69">
        <f t="shared" ca="1" si="13"/>
        <v>0</v>
      </c>
      <c r="P221" s="70" t="str">
        <f ca="1">IF(O221=1,COUNTIF($O$1:$O221,1),"")</f>
        <v/>
      </c>
      <c r="Q221" s="46" t="str">
        <f ca="1">IFERROR(INDEX($L$1:$L$500,MATCH(ROWS($P$1:$P221),$P$1:$P$500,0)),"")</f>
        <v/>
      </c>
      <c r="R221" s="71" t="str">
        <f t="shared" ca="1" si="15"/>
        <v/>
      </c>
    </row>
    <row r="222" spans="8:18">
      <c r="H222"/>
      <c r="I222"/>
      <c r="J222" s="68"/>
      <c r="L222" s="46" t="str">
        <f ca="1">IFERROR(INDEX($A$1:$A$500,MATCH(ROWS($K$1:$K222),$K$1:$K$500,0)),"")</f>
        <v/>
      </c>
      <c r="M222" s="71" t="str">
        <f t="shared" ca="1" si="12"/>
        <v/>
      </c>
      <c r="O222" s="69">
        <f t="shared" ca="1" si="13"/>
        <v>0</v>
      </c>
      <c r="P222" s="70" t="str">
        <f ca="1">IF(O222=1,COUNTIF($O$1:$O222,1),"")</f>
        <v/>
      </c>
      <c r="Q222" s="46" t="str">
        <f ca="1">IFERROR(INDEX($L$1:$L$500,MATCH(ROWS($P$1:$P222),$P$1:$P$500,0)),"")</f>
        <v/>
      </c>
      <c r="R222" s="71" t="str">
        <f t="shared" ca="1" si="15"/>
        <v/>
      </c>
    </row>
    <row r="223" spans="8:18">
      <c r="H223"/>
      <c r="I223"/>
      <c r="J223" s="68"/>
      <c r="L223" s="46" t="str">
        <f ca="1">IFERROR(INDEX($A$1:$A$500,MATCH(ROWS($K$1:$K223),$K$1:$K$500,0)),"")</f>
        <v/>
      </c>
      <c r="M223" s="71" t="str">
        <f t="shared" ca="1" si="12"/>
        <v/>
      </c>
      <c r="O223" s="69">
        <f t="shared" ca="1" si="13"/>
        <v>0</v>
      </c>
      <c r="P223" s="70" t="str">
        <f ca="1">IF(O223=1,COUNTIF($O$1:$O223,1),"")</f>
        <v/>
      </c>
      <c r="Q223" s="46" t="str">
        <f ca="1">IFERROR(INDEX($L$1:$L$500,MATCH(ROWS($P$1:$P223),$P$1:$P$500,0)),"")</f>
        <v/>
      </c>
      <c r="R223" s="71" t="str">
        <f t="shared" ca="1" si="15"/>
        <v/>
      </c>
    </row>
    <row r="224" spans="8:18">
      <c r="H224"/>
      <c r="I224"/>
      <c r="J224" s="68"/>
      <c r="L224" s="46" t="str">
        <f ca="1">IFERROR(INDEX($A$1:$A$500,MATCH(ROWS($K$1:$K224),$K$1:$K$500,0)),"")</f>
        <v/>
      </c>
      <c r="M224" s="71" t="str">
        <f t="shared" ca="1" si="12"/>
        <v/>
      </c>
      <c r="O224" s="69">
        <f t="shared" ca="1" si="13"/>
        <v>0</v>
      </c>
      <c r="P224" s="70" t="str">
        <f ca="1">IF(O224=1,COUNTIF($O$1:$O224,1),"")</f>
        <v/>
      </c>
      <c r="Q224" s="46" t="str">
        <f ca="1">IFERROR(INDEX($L$1:$L$500,MATCH(ROWS($P$1:$P224),$P$1:$P$500,0)),"")</f>
        <v/>
      </c>
      <c r="R224" s="71" t="str">
        <f t="shared" ca="1" si="15"/>
        <v/>
      </c>
    </row>
    <row r="225" spans="8:18">
      <c r="H225"/>
      <c r="I225"/>
      <c r="J225" s="68"/>
      <c r="L225" s="46" t="str">
        <f ca="1">IFERROR(INDEX($A$1:$A$500,MATCH(ROWS($K$1:$K225),$K$1:$K$500,0)),"")</f>
        <v/>
      </c>
      <c r="M225" s="71" t="str">
        <f t="shared" ca="1" si="12"/>
        <v/>
      </c>
      <c r="O225" s="69">
        <f t="shared" ca="1" si="13"/>
        <v>0</v>
      </c>
      <c r="P225" s="70" t="str">
        <f ca="1">IF(O225=1,COUNTIF($O$1:$O225,1),"")</f>
        <v/>
      </c>
      <c r="Q225" s="46" t="str">
        <f ca="1">IFERROR(INDEX($L$1:$L$500,MATCH(ROWS($P$1:$P225),$P$1:$P$500,0)),"")</f>
        <v/>
      </c>
      <c r="R225" s="71" t="str">
        <f t="shared" ca="1" si="15"/>
        <v/>
      </c>
    </row>
    <row r="226" spans="8:18">
      <c r="H226"/>
      <c r="I226"/>
      <c r="J226" s="68"/>
      <c r="L226" s="46" t="str">
        <f ca="1">IFERROR(INDEX($A$1:$A$500,MATCH(ROWS($K$1:$K226),$K$1:$K$500,0)),"")</f>
        <v/>
      </c>
      <c r="M226" s="71" t="str">
        <f t="shared" ca="1" si="12"/>
        <v/>
      </c>
      <c r="O226" s="69">
        <f t="shared" ca="1" si="13"/>
        <v>0</v>
      </c>
      <c r="P226" s="70" t="str">
        <f ca="1">IF(O226=1,COUNTIF($O$1:$O226,1),"")</f>
        <v/>
      </c>
      <c r="Q226" s="46" t="str">
        <f ca="1">IFERROR(INDEX($L$1:$L$500,MATCH(ROWS($P$1:$P226),$P$1:$P$500,0)),"")</f>
        <v/>
      </c>
      <c r="R226" s="71" t="str">
        <f t="shared" ca="1" si="15"/>
        <v/>
      </c>
    </row>
    <row r="227" spans="8:18">
      <c r="H227"/>
      <c r="I227"/>
      <c r="J227" s="68"/>
      <c r="L227" s="46" t="str">
        <f ca="1">IFERROR(INDEX($A$1:$A$500,MATCH(ROWS($K$1:$K227),$K$1:$K$500,0)),"")</f>
        <v/>
      </c>
      <c r="M227" s="71" t="str">
        <f t="shared" ca="1" si="12"/>
        <v/>
      </c>
      <c r="O227" s="69">
        <f t="shared" ca="1" si="13"/>
        <v>0</v>
      </c>
      <c r="P227" s="70" t="str">
        <f ca="1">IF(O227=1,COUNTIF($O$1:$O227,1),"")</f>
        <v/>
      </c>
      <c r="Q227" s="46" t="str">
        <f ca="1">IFERROR(INDEX($L$1:$L$500,MATCH(ROWS($P$1:$P227),$P$1:$P$500,0)),"")</f>
        <v/>
      </c>
      <c r="R227" s="71" t="str">
        <f t="shared" ca="1" si="15"/>
        <v/>
      </c>
    </row>
    <row r="228" spans="8:18">
      <c r="H228"/>
      <c r="I228"/>
      <c r="J228" s="68"/>
      <c r="L228" s="46" t="str">
        <f ca="1">IFERROR(INDEX($A$1:$A$500,MATCH(ROWS($K$1:$K228),$K$1:$K$500,0)),"")</f>
        <v/>
      </c>
      <c r="M228" s="71" t="str">
        <f t="shared" ca="1" si="12"/>
        <v/>
      </c>
      <c r="O228" s="69">
        <f t="shared" ca="1" si="13"/>
        <v>0</v>
      </c>
      <c r="P228" s="70" t="str">
        <f ca="1">IF(O228=1,COUNTIF($O$1:$O228,1),"")</f>
        <v/>
      </c>
      <c r="Q228" s="46" t="str">
        <f ca="1">IFERROR(INDEX($L$1:$L$500,MATCH(ROWS($P$1:$P228),$P$1:$P$500,0)),"")</f>
        <v/>
      </c>
      <c r="R228" s="71" t="str">
        <f t="shared" ca="1" si="15"/>
        <v/>
      </c>
    </row>
    <row r="229" spans="8:18">
      <c r="H229"/>
      <c r="I229"/>
      <c r="J229" s="68"/>
      <c r="L229" s="46" t="str">
        <f ca="1">IFERROR(INDEX($A$1:$A$500,MATCH(ROWS($K$1:$K229),$K$1:$K$500,0)),"")</f>
        <v/>
      </c>
      <c r="M229" s="71" t="str">
        <f t="shared" ca="1" si="12"/>
        <v/>
      </c>
      <c r="O229" s="69">
        <f t="shared" ca="1" si="13"/>
        <v>0</v>
      </c>
      <c r="P229" s="70" t="str">
        <f ca="1">IF(O229=1,COUNTIF($O$1:$O229,1),"")</f>
        <v/>
      </c>
      <c r="Q229" s="46" t="str">
        <f ca="1">IFERROR(INDEX($L$1:$L$500,MATCH(ROWS($P$1:$P229),$P$1:$P$500,0)),"")</f>
        <v/>
      </c>
      <c r="R229" s="71" t="str">
        <f t="shared" ca="1" si="15"/>
        <v/>
      </c>
    </row>
    <row r="230" spans="8:18">
      <c r="H230"/>
      <c r="I230"/>
      <c r="J230" s="68"/>
      <c r="L230" s="46" t="str">
        <f ca="1">IFERROR(INDEX($A$1:$A$500,MATCH(ROWS($K$1:$K230),$K$1:$K$500,0)),"")</f>
        <v/>
      </c>
      <c r="M230" s="71" t="str">
        <f t="shared" ca="1" si="12"/>
        <v/>
      </c>
      <c r="O230" s="69">
        <f t="shared" ca="1" si="13"/>
        <v>0</v>
      </c>
      <c r="P230" s="70" t="str">
        <f ca="1">IF(O230=1,COUNTIF($O$1:$O230,1),"")</f>
        <v/>
      </c>
      <c r="Q230" s="46" t="str">
        <f ca="1">IFERROR(INDEX($L$1:$L$500,MATCH(ROWS($P$1:$P230),$P$1:$P$500,0)),"")</f>
        <v/>
      </c>
      <c r="R230" s="71" t="str">
        <f t="shared" ca="1" si="15"/>
        <v/>
      </c>
    </row>
    <row r="231" spans="8:18">
      <c r="H231"/>
      <c r="I231"/>
      <c r="J231" s="68"/>
      <c r="L231" s="46" t="str">
        <f ca="1">IFERROR(INDEX($A$1:$A$500,MATCH(ROWS($K$1:$K231),$K$1:$K$500,0)),"")</f>
        <v/>
      </c>
      <c r="M231" s="71" t="str">
        <f t="shared" ca="1" si="12"/>
        <v/>
      </c>
      <c r="O231" s="69">
        <f t="shared" ca="1" si="13"/>
        <v>0</v>
      </c>
      <c r="P231" s="70" t="str">
        <f ca="1">IF(O231=1,COUNTIF($O$1:$O231,1),"")</f>
        <v/>
      </c>
      <c r="Q231" s="46" t="str">
        <f ca="1">IFERROR(INDEX($L$1:$L$500,MATCH(ROWS($P$1:$P231),$P$1:$P$500,0)),"")</f>
        <v/>
      </c>
      <c r="R231" s="71" t="str">
        <f t="shared" ca="1" si="15"/>
        <v/>
      </c>
    </row>
    <row r="232" spans="8:18">
      <c r="H232"/>
      <c r="I232"/>
      <c r="J232" s="68"/>
      <c r="L232" s="46" t="str">
        <f ca="1">IFERROR(INDEX($A$1:$A$500,MATCH(ROWS($K$1:$K232),$K$1:$K$500,0)),"")</f>
        <v/>
      </c>
      <c r="M232" s="71" t="str">
        <f t="shared" ca="1" si="12"/>
        <v/>
      </c>
      <c r="O232" s="69">
        <f t="shared" ca="1" si="13"/>
        <v>0</v>
      </c>
      <c r="P232" s="70" t="str">
        <f ca="1">IF(O232=1,COUNTIF($O$1:$O232,1),"")</f>
        <v/>
      </c>
      <c r="Q232" s="46" t="str">
        <f ca="1">IFERROR(INDEX($L$1:$L$500,MATCH(ROWS($P$1:$P232),$P$1:$P$500,0)),"")</f>
        <v/>
      </c>
      <c r="R232" s="71" t="str">
        <f t="shared" ca="1" si="15"/>
        <v/>
      </c>
    </row>
    <row r="233" spans="8:18">
      <c r="H233"/>
      <c r="I233"/>
      <c r="J233" s="68"/>
      <c r="L233" s="46" t="str">
        <f ca="1">IFERROR(INDEX($A$1:$A$500,MATCH(ROWS($K$1:$K233),$K$1:$K$500,0)),"")</f>
        <v/>
      </c>
      <c r="M233" s="71" t="str">
        <f t="shared" ca="1" si="12"/>
        <v/>
      </c>
      <c r="O233" s="69">
        <f t="shared" ca="1" si="13"/>
        <v>0</v>
      </c>
      <c r="P233" s="70" t="str">
        <f ca="1">IF(O233=1,COUNTIF($O$1:$O233,1),"")</f>
        <v/>
      </c>
      <c r="Q233" s="46" t="str">
        <f ca="1">IFERROR(INDEX($L$1:$L$500,MATCH(ROWS($P$1:$P233),$P$1:$P$500,0)),"")</f>
        <v/>
      </c>
      <c r="R233" s="71" t="str">
        <f t="shared" ca="1" si="15"/>
        <v/>
      </c>
    </row>
    <row r="234" spans="8:18">
      <c r="H234"/>
      <c r="I234"/>
      <c r="J234" s="68"/>
      <c r="L234" s="46" t="str">
        <f ca="1">IFERROR(INDEX($A$1:$A$500,MATCH(ROWS($K$1:$K234),$K$1:$K$500,0)),"")</f>
        <v/>
      </c>
      <c r="M234" s="71" t="str">
        <f t="shared" ca="1" si="12"/>
        <v/>
      </c>
      <c r="O234" s="69">
        <f t="shared" ca="1" si="13"/>
        <v>0</v>
      </c>
      <c r="P234" s="70" t="str">
        <f ca="1">IF(O234=1,COUNTIF($O$1:$O234,1),"")</f>
        <v/>
      </c>
      <c r="Q234" s="46" t="str">
        <f ca="1">IFERROR(INDEX($L$1:$L$500,MATCH(ROWS($P$1:$P234),$P$1:$P$500,0)),"")</f>
        <v/>
      </c>
      <c r="R234" s="71" t="str">
        <f t="shared" ca="1" si="15"/>
        <v/>
      </c>
    </row>
    <row r="235" spans="8:18">
      <c r="H235"/>
      <c r="I235"/>
      <c r="J235" s="68"/>
      <c r="L235" s="46" t="str">
        <f ca="1">IFERROR(INDEX($A$1:$A$500,MATCH(ROWS($K$1:$K235),$K$1:$K$500,0)),"")</f>
        <v/>
      </c>
      <c r="M235" s="71" t="str">
        <f t="shared" ca="1" si="12"/>
        <v/>
      </c>
      <c r="O235" s="69">
        <f t="shared" ca="1" si="13"/>
        <v>0</v>
      </c>
      <c r="P235" s="70" t="str">
        <f ca="1">IF(O235=1,COUNTIF($O$1:$O235,1),"")</f>
        <v/>
      </c>
      <c r="Q235" s="46" t="str">
        <f ca="1">IFERROR(INDEX($L$1:$L$500,MATCH(ROWS($P$1:$P235),$P$1:$P$500,0)),"")</f>
        <v/>
      </c>
      <c r="R235" s="71" t="str">
        <f t="shared" ca="1" si="15"/>
        <v/>
      </c>
    </row>
    <row r="236" spans="8:18">
      <c r="H236"/>
      <c r="I236"/>
      <c r="J236" s="68"/>
      <c r="L236" s="46" t="str">
        <f ca="1">IFERROR(INDEX($A$1:$A$500,MATCH(ROWS($K$1:$K236),$K$1:$K$500,0)),"")</f>
        <v/>
      </c>
      <c r="M236" s="71" t="str">
        <f t="shared" ca="1" si="12"/>
        <v/>
      </c>
      <c r="O236" s="69">
        <f t="shared" ca="1" si="13"/>
        <v>0</v>
      </c>
      <c r="P236" s="70" t="str">
        <f ca="1">IF(O236=1,COUNTIF($O$1:$O236,1),"")</f>
        <v/>
      </c>
      <c r="Q236" s="46" t="str">
        <f ca="1">IFERROR(INDEX($L$1:$L$500,MATCH(ROWS($P$1:$P236),$P$1:$P$500,0)),"")</f>
        <v/>
      </c>
      <c r="R236" s="71" t="str">
        <f t="shared" ca="1" si="15"/>
        <v/>
      </c>
    </row>
    <row r="237" spans="8:18">
      <c r="H237"/>
      <c r="I237"/>
      <c r="J237" s="68"/>
      <c r="L237" s="46" t="str">
        <f ca="1">IFERROR(INDEX($A$1:$A$500,MATCH(ROWS($K$1:$K237),$K$1:$K$500,0)),"")</f>
        <v/>
      </c>
      <c r="M237" s="71" t="str">
        <f t="shared" ca="1" si="12"/>
        <v/>
      </c>
      <c r="O237" s="69">
        <f t="shared" ca="1" si="13"/>
        <v>0</v>
      </c>
      <c r="P237" s="70" t="str">
        <f ca="1">IF(O237=1,COUNTIF($O$1:$O237,1),"")</f>
        <v/>
      </c>
      <c r="Q237" s="46" t="str">
        <f ca="1">IFERROR(INDEX($L$1:$L$500,MATCH(ROWS($P$1:$P237),$P$1:$P$500,0)),"")</f>
        <v/>
      </c>
      <c r="R237" s="71" t="str">
        <f t="shared" ca="1" si="15"/>
        <v/>
      </c>
    </row>
    <row r="238" spans="8:18">
      <c r="H238"/>
      <c r="I238"/>
      <c r="J238" s="68"/>
      <c r="L238" s="46" t="str">
        <f ca="1">IFERROR(INDEX($A$1:$A$500,MATCH(ROWS($K$1:$K238),$K$1:$K$500,0)),"")</f>
        <v/>
      </c>
      <c r="M238" s="71" t="str">
        <f t="shared" ca="1" si="12"/>
        <v/>
      </c>
      <c r="O238" s="69">
        <f t="shared" ca="1" si="13"/>
        <v>0</v>
      </c>
      <c r="P238" s="70" t="str">
        <f ca="1">IF(O238=1,COUNTIF($O$1:$O238,1),"")</f>
        <v/>
      </c>
      <c r="Q238" s="46" t="str">
        <f ca="1">IFERROR(INDEX($L$1:$L$500,MATCH(ROWS($P$1:$P238),$P$1:$P$500,0)),"")</f>
        <v/>
      </c>
      <c r="R238" s="71" t="str">
        <f t="shared" ca="1" si="15"/>
        <v/>
      </c>
    </row>
    <row r="239" spans="8:18">
      <c r="H239"/>
      <c r="I239"/>
      <c r="J239" s="68"/>
      <c r="L239" s="46" t="str">
        <f ca="1">IFERROR(INDEX($A$1:$A$500,MATCH(ROWS($K$1:$K239),$K$1:$K$500,0)),"")</f>
        <v/>
      </c>
      <c r="M239" s="71" t="str">
        <f t="shared" ca="1" si="12"/>
        <v/>
      </c>
      <c r="O239" s="69">
        <f t="shared" ca="1" si="13"/>
        <v>0</v>
      </c>
      <c r="P239" s="70" t="str">
        <f ca="1">IF(O239=1,COUNTIF($O$1:$O239,1),"")</f>
        <v/>
      </c>
      <c r="Q239" s="46" t="str">
        <f ca="1">IFERROR(INDEX($L$1:$L$500,MATCH(ROWS($P$1:$P239),$P$1:$P$500,0)),"")</f>
        <v/>
      </c>
      <c r="R239" s="71" t="str">
        <f t="shared" ca="1" si="15"/>
        <v/>
      </c>
    </row>
    <row r="240" spans="8:18">
      <c r="H240"/>
      <c r="I240"/>
      <c r="J240" s="68"/>
      <c r="L240" s="46" t="str">
        <f ca="1">IFERROR(INDEX($A$1:$A$500,MATCH(ROWS($K$1:$K240),$K$1:$K$500,0)),"")</f>
        <v/>
      </c>
      <c r="M240" s="71" t="str">
        <f t="shared" ca="1" si="12"/>
        <v/>
      </c>
      <c r="O240" s="69">
        <f t="shared" ca="1" si="13"/>
        <v>0</v>
      </c>
      <c r="P240" s="70" t="str">
        <f ca="1">IF(O240=1,COUNTIF($O$1:$O240,1),"")</f>
        <v/>
      </c>
      <c r="Q240" s="46" t="str">
        <f ca="1">IFERROR(INDEX($L$1:$L$500,MATCH(ROWS($P$1:$P240),$P$1:$P$500,0)),"")</f>
        <v/>
      </c>
      <c r="R240" s="71" t="str">
        <f t="shared" ca="1" si="15"/>
        <v/>
      </c>
    </row>
    <row r="241" spans="8:18">
      <c r="H241"/>
      <c r="I241"/>
      <c r="J241" s="68"/>
      <c r="L241" s="46" t="str">
        <f ca="1">IFERROR(INDEX($A$1:$A$500,MATCH(ROWS($K$1:$K241),$K$1:$K$500,0)),"")</f>
        <v/>
      </c>
      <c r="M241" s="71" t="str">
        <f t="shared" ca="1" si="12"/>
        <v/>
      </c>
      <c r="O241" s="69">
        <f t="shared" ca="1" si="13"/>
        <v>0</v>
      </c>
      <c r="P241" s="70" t="str">
        <f ca="1">IF(O241=1,COUNTIF($O$1:$O241,1),"")</f>
        <v/>
      </c>
      <c r="Q241" s="46" t="str">
        <f ca="1">IFERROR(INDEX($L$1:$L$500,MATCH(ROWS($P$1:$P241),$P$1:$P$500,0)),"")</f>
        <v/>
      </c>
      <c r="R241" s="71" t="str">
        <f t="shared" ca="1" si="15"/>
        <v/>
      </c>
    </row>
    <row r="242" spans="8:18">
      <c r="H242"/>
      <c r="I242"/>
      <c r="J242" s="68"/>
      <c r="L242" s="46" t="str">
        <f ca="1">IFERROR(INDEX($A$1:$A$500,MATCH(ROWS($K$1:$K242),$K$1:$K$500,0)),"")</f>
        <v/>
      </c>
      <c r="M242" s="71" t="str">
        <f t="shared" ca="1" si="12"/>
        <v/>
      </c>
      <c r="O242" s="69">
        <f t="shared" ca="1" si="13"/>
        <v>0</v>
      </c>
      <c r="P242" s="70" t="str">
        <f ca="1">IF(O242=1,COUNTIF($O$1:$O242,1),"")</f>
        <v/>
      </c>
      <c r="Q242" s="46" t="str">
        <f ca="1">IFERROR(INDEX($L$1:$L$500,MATCH(ROWS($P$1:$P242),$P$1:$P$500,0)),"")</f>
        <v/>
      </c>
      <c r="R242" s="71" t="str">
        <f t="shared" ca="1" si="15"/>
        <v/>
      </c>
    </row>
    <row r="243" spans="8:18">
      <c r="H243"/>
      <c r="I243"/>
      <c r="J243" s="68"/>
      <c r="L243" s="46" t="str">
        <f ca="1">IFERROR(INDEX($A$1:$A$500,MATCH(ROWS($K$1:$K243),$K$1:$K$500,0)),"")</f>
        <v/>
      </c>
      <c r="M243" s="71" t="str">
        <f t="shared" ca="1" si="12"/>
        <v/>
      </c>
      <c r="O243" s="69">
        <f t="shared" ca="1" si="13"/>
        <v>0</v>
      </c>
      <c r="P243" s="70" t="str">
        <f ca="1">IF(O243=1,COUNTIF($O$1:$O243,1),"")</f>
        <v/>
      </c>
      <c r="Q243" s="46" t="str">
        <f ca="1">IFERROR(INDEX($L$1:$L$500,MATCH(ROWS($P$1:$P243),$P$1:$P$500,0)),"")</f>
        <v/>
      </c>
      <c r="R243" s="71" t="str">
        <f t="shared" ca="1" si="15"/>
        <v/>
      </c>
    </row>
    <row r="244" spans="8:18">
      <c r="H244"/>
      <c r="I244"/>
      <c r="J244" s="68"/>
      <c r="L244" s="46" t="str">
        <f ca="1">IFERROR(INDEX($A$1:$A$500,MATCH(ROWS($K$1:$K244),$K$1:$K$500,0)),"")</f>
        <v/>
      </c>
      <c r="M244" s="71" t="str">
        <f t="shared" ca="1" si="12"/>
        <v/>
      </c>
      <c r="O244" s="69">
        <f t="shared" ca="1" si="13"/>
        <v>0</v>
      </c>
      <c r="P244" s="70" t="str">
        <f ca="1">IF(O244=1,COUNTIF($O$1:$O244,1),"")</f>
        <v/>
      </c>
      <c r="Q244" s="46" t="str">
        <f ca="1">IFERROR(INDEX($L$1:$L$500,MATCH(ROWS($P$1:$P244),$P$1:$P$500,0)),"")</f>
        <v/>
      </c>
      <c r="R244" s="71" t="str">
        <f t="shared" ca="1" si="15"/>
        <v/>
      </c>
    </row>
    <row r="245" spans="8:18">
      <c r="H245"/>
      <c r="I245"/>
      <c r="J245" s="68"/>
      <c r="L245" s="46" t="str">
        <f ca="1">IFERROR(INDEX($A$1:$A$500,MATCH(ROWS($K$1:$K245),$K$1:$K$500,0)),"")</f>
        <v/>
      </c>
      <c r="M245" s="71" t="str">
        <f t="shared" ca="1" si="12"/>
        <v/>
      </c>
      <c r="O245" s="69">
        <f t="shared" ca="1" si="13"/>
        <v>0</v>
      </c>
      <c r="P245" s="70" t="str">
        <f ca="1">IF(O245=1,COUNTIF($O$1:$O245,1),"")</f>
        <v/>
      </c>
      <c r="Q245" s="46" t="str">
        <f ca="1">IFERROR(INDEX($L$1:$L$500,MATCH(ROWS($P$1:$P245),$P$1:$P$500,0)),"")</f>
        <v/>
      </c>
      <c r="R245" s="71" t="str">
        <f t="shared" ca="1" si="15"/>
        <v/>
      </c>
    </row>
    <row r="246" spans="8:18">
      <c r="H246"/>
      <c r="I246"/>
      <c r="J246" s="68"/>
      <c r="L246" s="46" t="str">
        <f ca="1">IFERROR(INDEX($A$1:$A$500,MATCH(ROWS($K$1:$K246),$K$1:$K$500,0)),"")</f>
        <v/>
      </c>
      <c r="M246" s="71" t="str">
        <f t="shared" ca="1" si="12"/>
        <v/>
      </c>
      <c r="O246" s="69">
        <f t="shared" ca="1" si="13"/>
        <v>0</v>
      </c>
      <c r="P246" s="70" t="str">
        <f ca="1">IF(O246=1,COUNTIF($O$1:$O246,1),"")</f>
        <v/>
      </c>
      <c r="Q246" s="46" t="str">
        <f ca="1">IFERROR(INDEX($L$1:$L$500,MATCH(ROWS($P$1:$P246),$P$1:$P$500,0)),"")</f>
        <v/>
      </c>
      <c r="R246" s="71" t="str">
        <f t="shared" ca="1" si="15"/>
        <v/>
      </c>
    </row>
    <row r="247" spans="8:18">
      <c r="H247"/>
      <c r="I247"/>
      <c r="J247" s="68"/>
      <c r="L247" s="46" t="str">
        <f ca="1">IFERROR(INDEX($A$1:$A$500,MATCH(ROWS($K$1:$K247),$K$1:$K$500,0)),"")</f>
        <v/>
      </c>
      <c r="M247" s="71" t="str">
        <f t="shared" ca="1" si="12"/>
        <v/>
      </c>
      <c r="O247" s="69">
        <f t="shared" ca="1" si="13"/>
        <v>0</v>
      </c>
      <c r="P247" s="70" t="str">
        <f ca="1">IF(O247=1,COUNTIF($O$1:$O247,1),"")</f>
        <v/>
      </c>
      <c r="Q247" s="46" t="str">
        <f ca="1">IFERROR(INDEX($L$1:$L$500,MATCH(ROWS($P$1:$P247),$P$1:$P$500,0)),"")</f>
        <v/>
      </c>
      <c r="R247" s="71" t="str">
        <f t="shared" ca="1" si="15"/>
        <v/>
      </c>
    </row>
    <row r="248" spans="8:18">
      <c r="H248"/>
      <c r="I248"/>
      <c r="J248" s="68"/>
      <c r="L248" s="46" t="str">
        <f ca="1">IFERROR(INDEX($A$1:$A$500,MATCH(ROWS($K$1:$K248),$K$1:$K$500,0)),"")</f>
        <v/>
      </c>
      <c r="M248" s="71" t="str">
        <f t="shared" ca="1" si="12"/>
        <v/>
      </c>
      <c r="O248" s="69">
        <f t="shared" ca="1" si="13"/>
        <v>0</v>
      </c>
      <c r="P248" s="70" t="str">
        <f ca="1">IF(O248=1,COUNTIF($O$1:$O248,1),"")</f>
        <v/>
      </c>
      <c r="Q248" s="46" t="str">
        <f ca="1">IFERROR(INDEX($L$1:$L$500,MATCH(ROWS($P$1:$P248),$P$1:$P$500,0)),"")</f>
        <v/>
      </c>
      <c r="R248" s="71" t="str">
        <f t="shared" ca="1" si="15"/>
        <v/>
      </c>
    </row>
    <row r="249" spans="8:18">
      <c r="H249"/>
      <c r="I249"/>
      <c r="J249" s="68"/>
      <c r="L249" s="46" t="str">
        <f ca="1">IFERROR(INDEX($A$1:$A$500,MATCH(ROWS($K$1:$K249),$K$1:$K$500,0)),"")</f>
        <v/>
      </c>
      <c r="M249" s="71" t="str">
        <f t="shared" ca="1" si="12"/>
        <v/>
      </c>
      <c r="O249" s="69">
        <f t="shared" ca="1" si="13"/>
        <v>0</v>
      </c>
      <c r="P249" s="70" t="str">
        <f ca="1">IF(O249=1,COUNTIF($O$1:$O249,1),"")</f>
        <v/>
      </c>
      <c r="Q249" s="46" t="str">
        <f ca="1">IFERROR(INDEX($L$1:$L$500,MATCH(ROWS($P$1:$P249),$P$1:$P$500,0)),"")</f>
        <v/>
      </c>
      <c r="R249" s="71" t="str">
        <f t="shared" ca="1" si="15"/>
        <v/>
      </c>
    </row>
    <row r="250" spans="8:18">
      <c r="H250"/>
      <c r="I250"/>
      <c r="J250" s="68"/>
      <c r="L250" s="46" t="str">
        <f ca="1">IFERROR(INDEX($A$1:$A$500,MATCH(ROWS($K$1:$K250),$K$1:$K$500,0)),"")</f>
        <v/>
      </c>
      <c r="M250" s="71" t="str">
        <f t="shared" ca="1" si="12"/>
        <v/>
      </c>
      <c r="O250" s="69">
        <f t="shared" ca="1" si="13"/>
        <v>0</v>
      </c>
      <c r="P250" s="70" t="str">
        <f ca="1">IF(O250=1,COUNTIF($O$1:$O250,1),"")</f>
        <v/>
      </c>
      <c r="Q250" s="46" t="str">
        <f ca="1">IFERROR(INDEX($L$1:$L$500,MATCH(ROWS($P$1:$P250),$P$1:$P$500,0)),"")</f>
        <v/>
      </c>
      <c r="R250" s="71" t="str">
        <f t="shared" ca="1" si="15"/>
        <v/>
      </c>
    </row>
    <row r="251" spans="8:18">
      <c r="H251"/>
      <c r="I251"/>
      <c r="J251" s="68"/>
      <c r="L251" s="46" t="str">
        <f ca="1">IFERROR(INDEX($A$1:$A$500,MATCH(ROWS($K$1:$K251),$K$1:$K$500,0)),"")</f>
        <v/>
      </c>
      <c r="M251" s="71" t="str">
        <f t="shared" ca="1" si="12"/>
        <v/>
      </c>
      <c r="O251" s="69">
        <f t="shared" ca="1" si="13"/>
        <v>0</v>
      </c>
      <c r="P251" s="70" t="str">
        <f ca="1">IF(O251=1,COUNTIF($O$1:$O251,1),"")</f>
        <v/>
      </c>
      <c r="Q251" s="46" t="str">
        <f ca="1">IFERROR(INDEX($L$1:$L$500,MATCH(ROWS($P$1:$P251),$P$1:$P$500,0)),"")</f>
        <v/>
      </c>
      <c r="R251" s="71" t="str">
        <f t="shared" ca="1" si="15"/>
        <v/>
      </c>
    </row>
    <row r="252" spans="8:18">
      <c r="H252"/>
      <c r="I252"/>
      <c r="J252" s="68"/>
      <c r="L252" s="46" t="str">
        <f ca="1">IFERROR(INDEX($A$1:$A$500,MATCH(ROWS($K$1:$K252),$K$1:$K$500,0)),"")</f>
        <v/>
      </c>
      <c r="M252" s="71" t="str">
        <f t="shared" ca="1" si="12"/>
        <v/>
      </c>
      <c r="O252" s="69">
        <f t="shared" ca="1" si="13"/>
        <v>0</v>
      </c>
      <c r="P252" s="70" t="str">
        <f ca="1">IF(O252=1,COUNTIF($O$1:$O252,1),"")</f>
        <v/>
      </c>
      <c r="Q252" s="46" t="str">
        <f ca="1">IFERROR(INDEX($L$1:$L$500,MATCH(ROWS($P$1:$P252),$P$1:$P$500,0)),"")</f>
        <v/>
      </c>
      <c r="R252" s="71" t="str">
        <f t="shared" ca="1" si="15"/>
        <v/>
      </c>
    </row>
    <row r="253" spans="8:18">
      <c r="H253"/>
      <c r="I253"/>
      <c r="J253" s="68"/>
      <c r="L253" s="46" t="str">
        <f ca="1">IFERROR(INDEX($A$1:$A$500,MATCH(ROWS($K$1:$K253),$K$1:$K$500,0)),"")</f>
        <v/>
      </c>
      <c r="M253" s="71" t="str">
        <f t="shared" ca="1" si="12"/>
        <v/>
      </c>
      <c r="O253" s="69">
        <f t="shared" ca="1" si="13"/>
        <v>0</v>
      </c>
      <c r="P253" s="70" t="str">
        <f ca="1">IF(O253=1,COUNTIF($O$1:$O253,1),"")</f>
        <v/>
      </c>
      <c r="Q253" s="46" t="str">
        <f ca="1">IFERROR(INDEX($L$1:$L$500,MATCH(ROWS($P$1:$P253),$P$1:$P$500,0)),"")</f>
        <v/>
      </c>
      <c r="R253" s="71" t="str">
        <f t="shared" ca="1" si="15"/>
        <v/>
      </c>
    </row>
    <row r="254" spans="8:18">
      <c r="H254"/>
      <c r="I254"/>
      <c r="J254" s="68"/>
      <c r="L254" s="46" t="str">
        <f ca="1">IFERROR(INDEX($A$1:$A$500,MATCH(ROWS($K$1:$K254),$K$1:$K$500,0)),"")</f>
        <v/>
      </c>
      <c r="M254" s="71" t="str">
        <f t="shared" ca="1" si="12"/>
        <v/>
      </c>
      <c r="O254" s="69">
        <f t="shared" ca="1" si="13"/>
        <v>0</v>
      </c>
      <c r="P254" s="70" t="str">
        <f ca="1">IF(O254=1,COUNTIF($O$1:$O254,1),"")</f>
        <v/>
      </c>
      <c r="Q254" s="46" t="str">
        <f ca="1">IFERROR(INDEX($L$1:$L$500,MATCH(ROWS($P$1:$P254),$P$1:$P$500,0)),"")</f>
        <v/>
      </c>
      <c r="R254" s="71" t="str">
        <f t="shared" ca="1" si="15"/>
        <v/>
      </c>
    </row>
    <row r="255" spans="8:18">
      <c r="H255"/>
      <c r="I255"/>
      <c r="J255" s="68"/>
      <c r="L255" s="46" t="str">
        <f ca="1">IFERROR(INDEX($A$1:$A$500,MATCH(ROWS($K$1:$K255),$K$1:$K$500,0)),"")</f>
        <v/>
      </c>
      <c r="M255" s="71" t="str">
        <f t="shared" ca="1" si="12"/>
        <v/>
      </c>
      <c r="O255" s="69">
        <f t="shared" ca="1" si="13"/>
        <v>0</v>
      </c>
      <c r="P255" s="70" t="str">
        <f ca="1">IF(O255=1,COUNTIF($O$1:$O255,1),"")</f>
        <v/>
      </c>
      <c r="Q255" s="46" t="str">
        <f ca="1">IFERROR(INDEX($L$1:$L$500,MATCH(ROWS($P$1:$P255),$P$1:$P$500,0)),"")</f>
        <v/>
      </c>
      <c r="R255" s="71" t="str">
        <f t="shared" ca="1" si="15"/>
        <v/>
      </c>
    </row>
    <row r="256" spans="8:18">
      <c r="H256"/>
      <c r="I256"/>
      <c r="J256" s="68"/>
      <c r="L256" s="46" t="str">
        <f ca="1">IFERROR(INDEX($A$1:$A$500,MATCH(ROWS($K$1:$K256),$K$1:$K$500,0)),"")</f>
        <v/>
      </c>
      <c r="M256" s="71" t="str">
        <f t="shared" ca="1" si="12"/>
        <v/>
      </c>
      <c r="O256" s="69">
        <f t="shared" ca="1" si="13"/>
        <v>0</v>
      </c>
      <c r="P256" s="70" t="str">
        <f ca="1">IF(O256=1,COUNTIF($O$1:$O256,1),"")</f>
        <v/>
      </c>
      <c r="Q256" s="46" t="str">
        <f ca="1">IFERROR(INDEX($L$1:$L$500,MATCH(ROWS($P$1:$P256),$P$1:$P$500,0)),"")</f>
        <v/>
      </c>
      <c r="R256" s="71" t="str">
        <f t="shared" ca="1" si="15"/>
        <v/>
      </c>
    </row>
    <row r="257" spans="8:18">
      <c r="H257"/>
      <c r="I257"/>
      <c r="J257" s="68"/>
      <c r="L257" s="46" t="str">
        <f ca="1">IFERROR(INDEX($A$1:$A$500,MATCH(ROWS($K$1:$K257),$K$1:$K$500,0)),"")</f>
        <v/>
      </c>
      <c r="M257" s="71" t="str">
        <f t="shared" ref="M257:M320" ca="1" si="16">+IF(L257="","",RIGHT(L257,LEN(L257)-FIND("@",SUBSTITUTE(L257,"\","@",LEN(L257)-LEN(SUBSTITUTE(L257,"\",""))),1)))</f>
        <v/>
      </c>
      <c r="O257" s="69">
        <f t="shared" ref="O257:O320" ca="1" si="17">--ISNUMBER(SEARCH($N$2,M257))</f>
        <v>0</v>
      </c>
      <c r="P257" s="70" t="str">
        <f ca="1">IF(O257=1,COUNTIF($O$1:$O257,1),"")</f>
        <v/>
      </c>
      <c r="Q257" s="46" t="str">
        <f ca="1">IFERROR(INDEX($L$1:$L$500,MATCH(ROWS($P$1:$P257),$P$1:$P$500,0)),"")</f>
        <v/>
      </c>
      <c r="R257" s="71" t="str">
        <f t="shared" ca="1" si="15"/>
        <v/>
      </c>
    </row>
    <row r="258" spans="8:18">
      <c r="H258"/>
      <c r="I258"/>
      <c r="J258" s="68"/>
      <c r="L258" s="46" t="str">
        <f ca="1">IFERROR(INDEX($A$1:$A$500,MATCH(ROWS($K$1:$K258),$K$1:$K$500,0)),"")</f>
        <v/>
      </c>
      <c r="M258" s="71" t="str">
        <f t="shared" ca="1" si="16"/>
        <v/>
      </c>
      <c r="O258" s="69">
        <f t="shared" ca="1" si="17"/>
        <v>0</v>
      </c>
      <c r="P258" s="70" t="str">
        <f ca="1">IF(O258=1,COUNTIF($O$1:$O258,1),"")</f>
        <v/>
      </c>
      <c r="Q258" s="46" t="str">
        <f ca="1">IFERROR(INDEX($L$1:$L$500,MATCH(ROWS($P$1:$P258),$P$1:$P$500,0)),"")</f>
        <v/>
      </c>
      <c r="R258" s="71" t="str">
        <f t="shared" ref="R258:R321" ca="1" si="18">+IF(Q258="","",RIGHT(Q258,LEN(Q258)-FIND("@",SUBSTITUTE(Q258,"\","@",LEN(Q258)-LEN(SUBSTITUTE(Q258,"\",""))),1)))</f>
        <v/>
      </c>
    </row>
    <row r="259" spans="8:18">
      <c r="H259"/>
      <c r="I259"/>
      <c r="J259" s="68"/>
      <c r="L259" s="46" t="str">
        <f ca="1">IFERROR(INDEX($A$1:$A$500,MATCH(ROWS($K$1:$K259),$K$1:$K$500,0)),"")</f>
        <v/>
      </c>
      <c r="M259" s="71" t="str">
        <f t="shared" ca="1" si="16"/>
        <v/>
      </c>
      <c r="O259" s="69">
        <f t="shared" ca="1" si="17"/>
        <v>0</v>
      </c>
      <c r="P259" s="70" t="str">
        <f ca="1">IF(O259=1,COUNTIF($O$1:$O259,1),"")</f>
        <v/>
      </c>
      <c r="Q259" s="46" t="str">
        <f ca="1">IFERROR(INDEX($L$1:$L$500,MATCH(ROWS($P$1:$P259),$P$1:$P$500,0)),"")</f>
        <v/>
      </c>
      <c r="R259" s="71" t="str">
        <f t="shared" ca="1" si="18"/>
        <v/>
      </c>
    </row>
    <row r="260" spans="8:18">
      <c r="H260"/>
      <c r="I260"/>
      <c r="J260" s="68"/>
      <c r="L260" s="46" t="str">
        <f ca="1">IFERROR(INDEX($A$1:$A$500,MATCH(ROWS($K$1:$K260),$K$1:$K$500,0)),"")</f>
        <v/>
      </c>
      <c r="M260" s="71" t="str">
        <f t="shared" ca="1" si="16"/>
        <v/>
      </c>
      <c r="O260" s="69">
        <f t="shared" ca="1" si="17"/>
        <v>0</v>
      </c>
      <c r="P260" s="70" t="str">
        <f ca="1">IF(O260=1,COUNTIF($O$1:$O260,1),"")</f>
        <v/>
      </c>
      <c r="Q260" s="46" t="str">
        <f ca="1">IFERROR(INDEX($L$1:$L$500,MATCH(ROWS($P$1:$P260),$P$1:$P$500,0)),"")</f>
        <v/>
      </c>
      <c r="R260" s="71" t="str">
        <f t="shared" ca="1" si="18"/>
        <v/>
      </c>
    </row>
    <row r="261" spans="8:18">
      <c r="H261"/>
      <c r="I261"/>
      <c r="J261" s="68"/>
      <c r="L261" s="46" t="str">
        <f ca="1">IFERROR(INDEX($A$1:$A$500,MATCH(ROWS($K$1:$K261),$K$1:$K$500,0)),"")</f>
        <v/>
      </c>
      <c r="M261" s="71" t="str">
        <f t="shared" ca="1" si="16"/>
        <v/>
      </c>
      <c r="O261" s="69">
        <f t="shared" ca="1" si="17"/>
        <v>0</v>
      </c>
      <c r="P261" s="70" t="str">
        <f ca="1">IF(O261=1,COUNTIF($O$1:$O261,1),"")</f>
        <v/>
      </c>
      <c r="Q261" s="46" t="str">
        <f ca="1">IFERROR(INDEX($L$1:$L$500,MATCH(ROWS($P$1:$P261),$P$1:$P$500,0)),"")</f>
        <v/>
      </c>
      <c r="R261" s="71" t="str">
        <f t="shared" ca="1" si="18"/>
        <v/>
      </c>
    </row>
    <row r="262" spans="8:18">
      <c r="H262"/>
      <c r="I262"/>
      <c r="J262" s="68"/>
      <c r="L262" s="46" t="str">
        <f ca="1">IFERROR(INDEX($A$1:$A$500,MATCH(ROWS($K$1:$K262),$K$1:$K$500,0)),"")</f>
        <v/>
      </c>
      <c r="M262" s="71" t="str">
        <f t="shared" ca="1" si="16"/>
        <v/>
      </c>
      <c r="O262" s="69">
        <f t="shared" ca="1" si="17"/>
        <v>0</v>
      </c>
      <c r="P262" s="70" t="str">
        <f ca="1">IF(O262=1,COUNTIF($O$1:$O262,1),"")</f>
        <v/>
      </c>
      <c r="Q262" s="46" t="str">
        <f ca="1">IFERROR(INDEX($L$1:$L$500,MATCH(ROWS($P$1:$P262),$P$1:$P$500,0)),"")</f>
        <v/>
      </c>
      <c r="R262" s="71" t="str">
        <f t="shared" ca="1" si="18"/>
        <v/>
      </c>
    </row>
    <row r="263" spans="8:18">
      <c r="H263"/>
      <c r="I263"/>
      <c r="J263" s="68"/>
      <c r="L263" s="46" t="str">
        <f ca="1">IFERROR(INDEX($A$1:$A$500,MATCH(ROWS($K$1:$K263),$K$1:$K$500,0)),"")</f>
        <v/>
      </c>
      <c r="M263" s="71" t="str">
        <f t="shared" ca="1" si="16"/>
        <v/>
      </c>
      <c r="O263" s="69">
        <f t="shared" ca="1" si="17"/>
        <v>0</v>
      </c>
      <c r="P263" s="70" t="str">
        <f ca="1">IF(O263=1,COUNTIF($O$1:$O263,1),"")</f>
        <v/>
      </c>
      <c r="Q263" s="46" t="str">
        <f ca="1">IFERROR(INDEX($L$1:$L$500,MATCH(ROWS($P$1:$P263),$P$1:$P$500,0)),"")</f>
        <v/>
      </c>
      <c r="R263" s="71" t="str">
        <f t="shared" ca="1" si="18"/>
        <v/>
      </c>
    </row>
    <row r="264" spans="8:18">
      <c r="H264"/>
      <c r="I264"/>
      <c r="J264" s="68"/>
      <c r="L264" s="46" t="str">
        <f ca="1">IFERROR(INDEX($A$1:$A$500,MATCH(ROWS($K$1:$K264),$K$1:$K$500,0)),"")</f>
        <v/>
      </c>
      <c r="M264" s="71" t="str">
        <f t="shared" ca="1" si="16"/>
        <v/>
      </c>
      <c r="O264" s="69">
        <f t="shared" ca="1" si="17"/>
        <v>0</v>
      </c>
      <c r="P264" s="70" t="str">
        <f ca="1">IF(O264=1,COUNTIF($O$1:$O264,1),"")</f>
        <v/>
      </c>
      <c r="Q264" s="46" t="str">
        <f ca="1">IFERROR(INDEX($L$1:$L$500,MATCH(ROWS($P$1:$P264),$P$1:$P$500,0)),"")</f>
        <v/>
      </c>
      <c r="R264" s="71" t="str">
        <f t="shared" ca="1" si="18"/>
        <v/>
      </c>
    </row>
    <row r="265" spans="8:18">
      <c r="H265"/>
      <c r="I265"/>
      <c r="J265" s="68"/>
      <c r="L265" s="46" t="str">
        <f ca="1">IFERROR(INDEX($A$1:$A$500,MATCH(ROWS($K$1:$K265),$K$1:$K$500,0)),"")</f>
        <v/>
      </c>
      <c r="M265" s="71" t="str">
        <f t="shared" ca="1" si="16"/>
        <v/>
      </c>
      <c r="O265" s="69">
        <f t="shared" ca="1" si="17"/>
        <v>0</v>
      </c>
      <c r="P265" s="70" t="str">
        <f ca="1">IF(O265=1,COUNTIF($O$1:$O265,1),"")</f>
        <v/>
      </c>
      <c r="Q265" s="46" t="str">
        <f ca="1">IFERROR(INDEX($L$1:$L$500,MATCH(ROWS($P$1:$P265),$P$1:$P$500,0)),"")</f>
        <v/>
      </c>
      <c r="R265" s="71" t="str">
        <f t="shared" ca="1" si="18"/>
        <v/>
      </c>
    </row>
    <row r="266" spans="8:18">
      <c r="H266"/>
      <c r="I266"/>
      <c r="J266" s="68"/>
      <c r="L266" s="46" t="str">
        <f ca="1">IFERROR(INDEX($A$1:$A$500,MATCH(ROWS($K$1:$K266),$K$1:$K$500,0)),"")</f>
        <v/>
      </c>
      <c r="M266" s="71" t="str">
        <f t="shared" ca="1" si="16"/>
        <v/>
      </c>
      <c r="O266" s="69">
        <f t="shared" ca="1" si="17"/>
        <v>0</v>
      </c>
      <c r="P266" s="70" t="str">
        <f ca="1">IF(O266=1,COUNTIF($O$1:$O266,1),"")</f>
        <v/>
      </c>
      <c r="Q266" s="46" t="str">
        <f ca="1">IFERROR(INDEX($L$1:$L$500,MATCH(ROWS($P$1:$P266),$P$1:$P$500,0)),"")</f>
        <v/>
      </c>
      <c r="R266" s="71" t="str">
        <f t="shared" ca="1" si="18"/>
        <v/>
      </c>
    </row>
    <row r="267" spans="8:18">
      <c r="H267"/>
      <c r="I267"/>
      <c r="J267" s="68"/>
      <c r="L267" s="46" t="str">
        <f ca="1">IFERROR(INDEX($A$1:$A$500,MATCH(ROWS($K$1:$K267),$K$1:$K$500,0)),"")</f>
        <v/>
      </c>
      <c r="M267" s="71" t="str">
        <f t="shared" ca="1" si="16"/>
        <v/>
      </c>
      <c r="O267" s="69">
        <f t="shared" ca="1" si="17"/>
        <v>0</v>
      </c>
      <c r="P267" s="70" t="str">
        <f ca="1">IF(O267=1,COUNTIF($O$1:$O267,1),"")</f>
        <v/>
      </c>
      <c r="Q267" s="46" t="str">
        <f ca="1">IFERROR(INDEX($L$1:$L$500,MATCH(ROWS($P$1:$P267),$P$1:$P$500,0)),"")</f>
        <v/>
      </c>
      <c r="R267" s="71" t="str">
        <f t="shared" ca="1" si="18"/>
        <v/>
      </c>
    </row>
    <row r="268" spans="8:18">
      <c r="H268"/>
      <c r="I268"/>
      <c r="J268" s="68"/>
      <c r="L268" s="46" t="str">
        <f ca="1">IFERROR(INDEX($A$1:$A$500,MATCH(ROWS($K$1:$K268),$K$1:$K$500,0)),"")</f>
        <v/>
      </c>
      <c r="M268" s="71" t="str">
        <f t="shared" ca="1" si="16"/>
        <v/>
      </c>
      <c r="O268" s="69">
        <f t="shared" ca="1" si="17"/>
        <v>0</v>
      </c>
      <c r="P268" s="70" t="str">
        <f ca="1">IF(O268=1,COUNTIF($O$1:$O268,1),"")</f>
        <v/>
      </c>
      <c r="Q268" s="46" t="str">
        <f ca="1">IFERROR(INDEX($L$1:$L$500,MATCH(ROWS($P$1:$P268),$P$1:$P$500,0)),"")</f>
        <v/>
      </c>
      <c r="R268" s="71" t="str">
        <f t="shared" ca="1" si="18"/>
        <v/>
      </c>
    </row>
    <row r="269" spans="8:18">
      <c r="H269"/>
      <c r="I269"/>
      <c r="J269" s="68"/>
      <c r="L269" s="46" t="str">
        <f ca="1">IFERROR(INDEX($A$1:$A$500,MATCH(ROWS($K$1:$K269),$K$1:$K$500,0)),"")</f>
        <v/>
      </c>
      <c r="M269" s="71" t="str">
        <f t="shared" ca="1" si="16"/>
        <v/>
      </c>
      <c r="O269" s="69">
        <f t="shared" ca="1" si="17"/>
        <v>0</v>
      </c>
      <c r="P269" s="70" t="str">
        <f ca="1">IF(O269=1,COUNTIF($O$1:$O269,1),"")</f>
        <v/>
      </c>
      <c r="Q269" s="46" t="str">
        <f ca="1">IFERROR(INDEX($L$1:$L$500,MATCH(ROWS($P$1:$P269),$P$1:$P$500,0)),"")</f>
        <v/>
      </c>
      <c r="R269" s="71" t="str">
        <f t="shared" ca="1" si="18"/>
        <v/>
      </c>
    </row>
    <row r="270" spans="8:18">
      <c r="H270"/>
      <c r="I270"/>
      <c r="J270" s="68"/>
      <c r="L270" s="46" t="str">
        <f ca="1">IFERROR(INDEX($A$1:$A$500,MATCH(ROWS($K$1:$K270),$K$1:$K$500,0)),"")</f>
        <v/>
      </c>
      <c r="M270" s="71" t="str">
        <f t="shared" ca="1" si="16"/>
        <v/>
      </c>
      <c r="O270" s="69">
        <f t="shared" ca="1" si="17"/>
        <v>0</v>
      </c>
      <c r="P270" s="70" t="str">
        <f ca="1">IF(O270=1,COUNTIF($O$1:$O270,1),"")</f>
        <v/>
      </c>
      <c r="Q270" s="46" t="str">
        <f ca="1">IFERROR(INDEX($L$1:$L$500,MATCH(ROWS($P$1:$P270),$P$1:$P$500,0)),"")</f>
        <v/>
      </c>
      <c r="R270" s="71" t="str">
        <f t="shared" ca="1" si="18"/>
        <v/>
      </c>
    </row>
    <row r="271" spans="8:18">
      <c r="H271"/>
      <c r="I271"/>
      <c r="J271" s="68"/>
      <c r="L271" s="46" t="str">
        <f ca="1">IFERROR(INDEX($A$1:$A$500,MATCH(ROWS($K$1:$K271),$K$1:$K$500,0)),"")</f>
        <v/>
      </c>
      <c r="M271" s="71" t="str">
        <f t="shared" ca="1" si="16"/>
        <v/>
      </c>
      <c r="O271" s="69">
        <f t="shared" ca="1" si="17"/>
        <v>0</v>
      </c>
      <c r="P271" s="70" t="str">
        <f ca="1">IF(O271=1,COUNTIF($O$1:$O271,1),"")</f>
        <v/>
      </c>
      <c r="Q271" s="46" t="str">
        <f ca="1">IFERROR(INDEX($L$1:$L$500,MATCH(ROWS($P$1:$P271),$P$1:$P$500,0)),"")</f>
        <v/>
      </c>
      <c r="R271" s="71" t="str">
        <f t="shared" ca="1" si="18"/>
        <v/>
      </c>
    </row>
    <row r="272" spans="8:18">
      <c r="H272"/>
      <c r="I272"/>
      <c r="J272" s="68"/>
      <c r="L272" s="46" t="str">
        <f ca="1">IFERROR(INDEX($A$1:$A$500,MATCH(ROWS($K$1:$K272),$K$1:$K$500,0)),"")</f>
        <v/>
      </c>
      <c r="M272" s="71" t="str">
        <f t="shared" ca="1" si="16"/>
        <v/>
      </c>
      <c r="O272" s="69">
        <f t="shared" ca="1" si="17"/>
        <v>0</v>
      </c>
      <c r="P272" s="70" t="str">
        <f ca="1">IF(O272=1,COUNTIF($O$1:$O272,1),"")</f>
        <v/>
      </c>
      <c r="Q272" s="46" t="str">
        <f ca="1">IFERROR(INDEX($L$1:$L$500,MATCH(ROWS($P$1:$P272),$P$1:$P$500,0)),"")</f>
        <v/>
      </c>
      <c r="R272" s="71" t="str">
        <f t="shared" ca="1" si="18"/>
        <v/>
      </c>
    </row>
    <row r="273" spans="8:18">
      <c r="H273"/>
      <c r="I273"/>
      <c r="J273" s="68"/>
      <c r="L273" s="46" t="str">
        <f ca="1">IFERROR(INDEX($A$1:$A$500,MATCH(ROWS($K$1:$K273),$K$1:$K$500,0)),"")</f>
        <v/>
      </c>
      <c r="M273" s="71" t="str">
        <f t="shared" ca="1" si="16"/>
        <v/>
      </c>
      <c r="O273" s="69">
        <f t="shared" ca="1" si="17"/>
        <v>0</v>
      </c>
      <c r="P273" s="70" t="str">
        <f ca="1">IF(O273=1,COUNTIF($O$1:$O273,1),"")</f>
        <v/>
      </c>
      <c r="Q273" s="46" t="str">
        <f ca="1">IFERROR(INDEX($L$1:$L$500,MATCH(ROWS($P$1:$P273),$P$1:$P$500,0)),"")</f>
        <v/>
      </c>
      <c r="R273" s="71" t="str">
        <f t="shared" ca="1" si="18"/>
        <v/>
      </c>
    </row>
    <row r="274" spans="8:18">
      <c r="H274"/>
      <c r="I274"/>
      <c r="J274" s="68"/>
      <c r="L274" s="46" t="str">
        <f ca="1">IFERROR(INDEX($A$1:$A$500,MATCH(ROWS($K$1:$K274),$K$1:$K$500,0)),"")</f>
        <v/>
      </c>
      <c r="M274" s="71" t="str">
        <f t="shared" ca="1" si="16"/>
        <v/>
      </c>
      <c r="O274" s="69">
        <f t="shared" ca="1" si="17"/>
        <v>0</v>
      </c>
      <c r="P274" s="70" t="str">
        <f ca="1">IF(O274=1,COUNTIF($O$1:$O274,1),"")</f>
        <v/>
      </c>
      <c r="Q274" s="46" t="str">
        <f ca="1">IFERROR(INDEX($L$1:$L$500,MATCH(ROWS($P$1:$P274),$P$1:$P$500,0)),"")</f>
        <v/>
      </c>
      <c r="R274" s="71" t="str">
        <f t="shared" ca="1" si="18"/>
        <v/>
      </c>
    </row>
    <row r="275" spans="8:18">
      <c r="H275"/>
      <c r="I275"/>
      <c r="J275" s="68"/>
      <c r="L275" s="46" t="str">
        <f ca="1">IFERROR(INDEX($A$1:$A$500,MATCH(ROWS($K$1:$K275),$K$1:$K$500,0)),"")</f>
        <v/>
      </c>
      <c r="M275" s="71" t="str">
        <f t="shared" ca="1" si="16"/>
        <v/>
      </c>
      <c r="O275" s="69">
        <f t="shared" ca="1" si="17"/>
        <v>0</v>
      </c>
      <c r="P275" s="70" t="str">
        <f ca="1">IF(O275=1,COUNTIF($O$1:$O275,1),"")</f>
        <v/>
      </c>
      <c r="Q275" s="46" t="str">
        <f ca="1">IFERROR(INDEX($L$1:$L$500,MATCH(ROWS($P$1:$P275),$P$1:$P$500,0)),"")</f>
        <v/>
      </c>
      <c r="R275" s="71" t="str">
        <f t="shared" ca="1" si="18"/>
        <v/>
      </c>
    </row>
    <row r="276" spans="8:18">
      <c r="H276"/>
      <c r="I276"/>
      <c r="J276" s="68"/>
      <c r="L276" s="46" t="str">
        <f ca="1">IFERROR(INDEX($A$1:$A$500,MATCH(ROWS($K$1:$K276),$K$1:$K$500,0)),"")</f>
        <v/>
      </c>
      <c r="M276" s="71" t="str">
        <f t="shared" ca="1" si="16"/>
        <v/>
      </c>
      <c r="O276" s="69">
        <f t="shared" ca="1" si="17"/>
        <v>0</v>
      </c>
      <c r="P276" s="70" t="str">
        <f ca="1">IF(O276=1,COUNTIF($O$1:$O276,1),"")</f>
        <v/>
      </c>
      <c r="Q276" s="46" t="str">
        <f ca="1">IFERROR(INDEX($L$1:$L$500,MATCH(ROWS($P$1:$P276),$P$1:$P$500,0)),"")</f>
        <v/>
      </c>
      <c r="R276" s="71" t="str">
        <f t="shared" ca="1" si="18"/>
        <v/>
      </c>
    </row>
    <row r="277" spans="8:18">
      <c r="H277"/>
      <c r="I277"/>
      <c r="J277" s="68"/>
      <c r="L277" s="46" t="str">
        <f ca="1">IFERROR(INDEX($A$1:$A$500,MATCH(ROWS($K$1:$K277),$K$1:$K$500,0)),"")</f>
        <v/>
      </c>
      <c r="M277" s="71" t="str">
        <f t="shared" ca="1" si="16"/>
        <v/>
      </c>
      <c r="O277" s="69">
        <f t="shared" ca="1" si="17"/>
        <v>0</v>
      </c>
      <c r="P277" s="70" t="str">
        <f ca="1">IF(O277=1,COUNTIF($O$1:$O277,1),"")</f>
        <v/>
      </c>
      <c r="Q277" s="46" t="str">
        <f ca="1">IFERROR(INDEX($L$1:$L$500,MATCH(ROWS($P$1:$P277),$P$1:$P$500,0)),"")</f>
        <v/>
      </c>
      <c r="R277" s="71" t="str">
        <f t="shared" ca="1" si="18"/>
        <v/>
      </c>
    </row>
    <row r="278" spans="8:18">
      <c r="H278"/>
      <c r="I278"/>
      <c r="J278" s="68"/>
      <c r="L278" s="46" t="str">
        <f ca="1">IFERROR(INDEX($A$1:$A$500,MATCH(ROWS($K$1:$K278),$K$1:$K$500,0)),"")</f>
        <v/>
      </c>
      <c r="M278" s="71" t="str">
        <f t="shared" ca="1" si="16"/>
        <v/>
      </c>
      <c r="O278" s="69">
        <f t="shared" ca="1" si="17"/>
        <v>0</v>
      </c>
      <c r="P278" s="70" t="str">
        <f ca="1">IF(O278=1,COUNTIF($O$1:$O278,1),"")</f>
        <v/>
      </c>
      <c r="Q278" s="46" t="str">
        <f ca="1">IFERROR(INDEX($L$1:$L$500,MATCH(ROWS($P$1:$P278),$P$1:$P$500,0)),"")</f>
        <v/>
      </c>
      <c r="R278" s="71" t="str">
        <f t="shared" ca="1" si="18"/>
        <v/>
      </c>
    </row>
    <row r="279" spans="8:18">
      <c r="H279"/>
      <c r="I279"/>
      <c r="J279" s="68"/>
      <c r="L279" s="46" t="str">
        <f ca="1">IFERROR(INDEX($A$1:$A$500,MATCH(ROWS($K$1:$K279),$K$1:$K$500,0)),"")</f>
        <v/>
      </c>
      <c r="M279" s="71" t="str">
        <f t="shared" ca="1" si="16"/>
        <v/>
      </c>
      <c r="O279" s="69">
        <f t="shared" ca="1" si="17"/>
        <v>0</v>
      </c>
      <c r="P279" s="70" t="str">
        <f ca="1">IF(O279=1,COUNTIF($O$1:$O279,1),"")</f>
        <v/>
      </c>
      <c r="Q279" s="46" t="str">
        <f ca="1">IFERROR(INDEX($L$1:$L$500,MATCH(ROWS($P$1:$P279),$P$1:$P$500,0)),"")</f>
        <v/>
      </c>
      <c r="R279" s="71" t="str">
        <f t="shared" ca="1" si="18"/>
        <v/>
      </c>
    </row>
    <row r="280" spans="8:18">
      <c r="H280"/>
      <c r="I280"/>
      <c r="J280" s="68"/>
      <c r="L280" s="46" t="str">
        <f ca="1">IFERROR(INDEX($A$1:$A$500,MATCH(ROWS($K$1:$K280),$K$1:$K$500,0)),"")</f>
        <v/>
      </c>
      <c r="M280" s="71" t="str">
        <f t="shared" ca="1" si="16"/>
        <v/>
      </c>
      <c r="O280" s="69">
        <f t="shared" ca="1" si="17"/>
        <v>0</v>
      </c>
      <c r="P280" s="70" t="str">
        <f ca="1">IF(O280=1,COUNTIF($O$1:$O280,1),"")</f>
        <v/>
      </c>
      <c r="Q280" s="46" t="str">
        <f ca="1">IFERROR(INDEX($L$1:$L$500,MATCH(ROWS($P$1:$P280),$P$1:$P$500,0)),"")</f>
        <v/>
      </c>
      <c r="R280" s="71" t="str">
        <f t="shared" ca="1" si="18"/>
        <v/>
      </c>
    </row>
    <row r="281" spans="8:18">
      <c r="H281"/>
      <c r="I281"/>
      <c r="J281" s="68"/>
      <c r="L281" s="46" t="str">
        <f ca="1">IFERROR(INDEX($A$1:$A$500,MATCH(ROWS($K$1:$K281),$K$1:$K$500,0)),"")</f>
        <v/>
      </c>
      <c r="M281" s="71" t="str">
        <f t="shared" ca="1" si="16"/>
        <v/>
      </c>
      <c r="O281" s="69">
        <f t="shared" ca="1" si="17"/>
        <v>0</v>
      </c>
      <c r="P281" s="70" t="str">
        <f ca="1">IF(O281=1,COUNTIF($O$1:$O281,1),"")</f>
        <v/>
      </c>
      <c r="Q281" s="46" t="str">
        <f ca="1">IFERROR(INDEX($L$1:$L$500,MATCH(ROWS($P$1:$P281),$P$1:$P$500,0)),"")</f>
        <v/>
      </c>
      <c r="R281" s="71" t="str">
        <f t="shared" ca="1" si="18"/>
        <v/>
      </c>
    </row>
    <row r="282" spans="8:18">
      <c r="H282"/>
      <c r="I282"/>
      <c r="J282" s="68"/>
      <c r="L282" s="46" t="str">
        <f ca="1">IFERROR(INDEX($A$1:$A$500,MATCH(ROWS($K$1:$K282),$K$1:$K$500,0)),"")</f>
        <v/>
      </c>
      <c r="M282" s="71" t="str">
        <f t="shared" ca="1" si="16"/>
        <v/>
      </c>
      <c r="O282" s="69">
        <f t="shared" ca="1" si="17"/>
        <v>0</v>
      </c>
      <c r="P282" s="70" t="str">
        <f ca="1">IF(O282=1,COUNTIF($O$1:$O282,1),"")</f>
        <v/>
      </c>
      <c r="Q282" s="46" t="str">
        <f ca="1">IFERROR(INDEX($L$1:$L$500,MATCH(ROWS($P$1:$P282),$P$1:$P$500,0)),"")</f>
        <v/>
      </c>
      <c r="R282" s="71" t="str">
        <f t="shared" ca="1" si="18"/>
        <v/>
      </c>
    </row>
    <row r="283" spans="8:18">
      <c r="H283"/>
      <c r="I283"/>
      <c r="J283" s="68"/>
      <c r="L283" s="46" t="str">
        <f ca="1">IFERROR(INDEX($A$1:$A$500,MATCH(ROWS($K$1:$K283),$K$1:$K$500,0)),"")</f>
        <v/>
      </c>
      <c r="M283" s="71" t="str">
        <f t="shared" ca="1" si="16"/>
        <v/>
      </c>
      <c r="O283" s="69">
        <f t="shared" ca="1" si="17"/>
        <v>0</v>
      </c>
      <c r="P283" s="70" t="str">
        <f ca="1">IF(O283=1,COUNTIF($O$1:$O283,1),"")</f>
        <v/>
      </c>
      <c r="Q283" s="46" t="str">
        <f ca="1">IFERROR(INDEX($L$1:$L$500,MATCH(ROWS($P$1:$P283),$P$1:$P$500,0)),"")</f>
        <v/>
      </c>
      <c r="R283" s="71" t="str">
        <f t="shared" ca="1" si="18"/>
        <v/>
      </c>
    </row>
    <row r="284" spans="8:18">
      <c r="H284"/>
      <c r="I284"/>
      <c r="J284" s="68"/>
      <c r="L284" s="46" t="str">
        <f ca="1">IFERROR(INDEX($A$1:$A$500,MATCH(ROWS($K$1:$K284),$K$1:$K$500,0)),"")</f>
        <v/>
      </c>
      <c r="M284" s="71" t="str">
        <f t="shared" ca="1" si="16"/>
        <v/>
      </c>
      <c r="O284" s="69">
        <f t="shared" ca="1" si="17"/>
        <v>0</v>
      </c>
      <c r="P284" s="70" t="str">
        <f ca="1">IF(O284=1,COUNTIF($O$1:$O284,1),"")</f>
        <v/>
      </c>
      <c r="Q284" s="46" t="str">
        <f ca="1">IFERROR(INDEX($L$1:$L$500,MATCH(ROWS($P$1:$P284),$P$1:$P$500,0)),"")</f>
        <v/>
      </c>
      <c r="R284" s="71" t="str">
        <f t="shared" ca="1" si="18"/>
        <v/>
      </c>
    </row>
    <row r="285" spans="8:18">
      <c r="H285"/>
      <c r="I285"/>
      <c r="J285" s="68"/>
      <c r="L285" s="46" t="str">
        <f ca="1">IFERROR(INDEX($A$1:$A$500,MATCH(ROWS($K$1:$K285),$K$1:$K$500,0)),"")</f>
        <v/>
      </c>
      <c r="M285" s="71" t="str">
        <f t="shared" ca="1" si="16"/>
        <v/>
      </c>
      <c r="O285" s="69">
        <f t="shared" ca="1" si="17"/>
        <v>0</v>
      </c>
      <c r="P285" s="70" t="str">
        <f ca="1">IF(O285=1,COUNTIF($O$1:$O285,1),"")</f>
        <v/>
      </c>
      <c r="Q285" s="46" t="str">
        <f ca="1">IFERROR(INDEX($L$1:$L$500,MATCH(ROWS($P$1:$P285),$P$1:$P$500,0)),"")</f>
        <v/>
      </c>
      <c r="R285" s="71" t="str">
        <f t="shared" ca="1" si="18"/>
        <v/>
      </c>
    </row>
    <row r="286" spans="8:18">
      <c r="H286"/>
      <c r="I286"/>
      <c r="J286" s="68"/>
      <c r="L286" s="46" t="str">
        <f ca="1">IFERROR(INDEX($A$1:$A$500,MATCH(ROWS($K$1:$K286),$K$1:$K$500,0)),"")</f>
        <v/>
      </c>
      <c r="M286" s="71" t="str">
        <f t="shared" ca="1" si="16"/>
        <v/>
      </c>
      <c r="O286" s="69">
        <f t="shared" ca="1" si="17"/>
        <v>0</v>
      </c>
      <c r="P286" s="70" t="str">
        <f ca="1">IF(O286=1,COUNTIF($O$1:$O286,1),"")</f>
        <v/>
      </c>
      <c r="Q286" s="46" t="str">
        <f ca="1">IFERROR(INDEX($L$1:$L$500,MATCH(ROWS($P$1:$P286),$P$1:$P$500,0)),"")</f>
        <v/>
      </c>
      <c r="R286" s="71" t="str">
        <f t="shared" ca="1" si="18"/>
        <v/>
      </c>
    </row>
    <row r="287" spans="8:18">
      <c r="H287"/>
      <c r="I287"/>
      <c r="J287" s="68"/>
      <c r="L287" s="46" t="str">
        <f ca="1">IFERROR(INDEX($A$1:$A$500,MATCH(ROWS($K$1:$K287),$K$1:$K$500,0)),"")</f>
        <v/>
      </c>
      <c r="M287" s="71" t="str">
        <f t="shared" ca="1" si="16"/>
        <v/>
      </c>
      <c r="O287" s="69">
        <f t="shared" ca="1" si="17"/>
        <v>0</v>
      </c>
      <c r="P287" s="70" t="str">
        <f ca="1">IF(O287=1,COUNTIF($O$1:$O287,1),"")</f>
        <v/>
      </c>
      <c r="Q287" s="46" t="str">
        <f ca="1">IFERROR(INDEX($L$1:$L$500,MATCH(ROWS($P$1:$P287),$P$1:$P$500,0)),"")</f>
        <v/>
      </c>
      <c r="R287" s="71" t="str">
        <f t="shared" ca="1" si="18"/>
        <v/>
      </c>
    </row>
    <row r="288" spans="8:18">
      <c r="H288"/>
      <c r="I288"/>
      <c r="J288" s="68"/>
      <c r="L288" s="46" t="str">
        <f ca="1">IFERROR(INDEX($A$1:$A$500,MATCH(ROWS($K$1:$K288),$K$1:$K$500,0)),"")</f>
        <v/>
      </c>
      <c r="M288" s="71" t="str">
        <f t="shared" ca="1" si="16"/>
        <v/>
      </c>
      <c r="O288" s="69">
        <f t="shared" ca="1" si="17"/>
        <v>0</v>
      </c>
      <c r="P288" s="70" t="str">
        <f ca="1">IF(O288=1,COUNTIF($O$1:$O288,1),"")</f>
        <v/>
      </c>
      <c r="Q288" s="46" t="str">
        <f ca="1">IFERROR(INDEX($L$1:$L$500,MATCH(ROWS($P$1:$P288),$P$1:$P$500,0)),"")</f>
        <v/>
      </c>
      <c r="R288" s="71" t="str">
        <f t="shared" ca="1" si="18"/>
        <v/>
      </c>
    </row>
    <row r="289" spans="8:18">
      <c r="H289"/>
      <c r="I289"/>
      <c r="J289" s="68"/>
      <c r="L289" s="46" t="str">
        <f ca="1">IFERROR(INDEX($A$1:$A$500,MATCH(ROWS($K$1:$K289),$K$1:$K$500,0)),"")</f>
        <v/>
      </c>
      <c r="M289" s="71" t="str">
        <f t="shared" ca="1" si="16"/>
        <v/>
      </c>
      <c r="O289" s="69">
        <f t="shared" ca="1" si="17"/>
        <v>0</v>
      </c>
      <c r="P289" s="70" t="str">
        <f ca="1">IF(O289=1,COUNTIF($O$1:$O289,1),"")</f>
        <v/>
      </c>
      <c r="Q289" s="46" t="str">
        <f ca="1">IFERROR(INDEX($L$1:$L$500,MATCH(ROWS($P$1:$P289),$P$1:$P$500,0)),"")</f>
        <v/>
      </c>
      <c r="R289" s="71" t="str">
        <f t="shared" ca="1" si="18"/>
        <v/>
      </c>
    </row>
    <row r="290" spans="8:18">
      <c r="H290"/>
      <c r="I290"/>
      <c r="J290" s="68"/>
      <c r="L290" s="46" t="str">
        <f ca="1">IFERROR(INDEX($A$1:$A$500,MATCH(ROWS($K$1:$K290),$K$1:$K$500,0)),"")</f>
        <v/>
      </c>
      <c r="M290" s="71" t="str">
        <f t="shared" ca="1" si="16"/>
        <v/>
      </c>
      <c r="O290" s="69">
        <f t="shared" ca="1" si="17"/>
        <v>0</v>
      </c>
      <c r="P290" s="70" t="str">
        <f ca="1">IF(O290=1,COUNTIF($O$1:$O290,1),"")</f>
        <v/>
      </c>
      <c r="Q290" s="46" t="str">
        <f ca="1">IFERROR(INDEX($L$1:$L$500,MATCH(ROWS($P$1:$P290),$P$1:$P$500,0)),"")</f>
        <v/>
      </c>
      <c r="R290" s="71" t="str">
        <f t="shared" ca="1" si="18"/>
        <v/>
      </c>
    </row>
    <row r="291" spans="8:18">
      <c r="H291"/>
      <c r="I291"/>
      <c r="J291" s="68"/>
      <c r="L291" s="46" t="str">
        <f ca="1">IFERROR(INDEX($A$1:$A$500,MATCH(ROWS($K$1:$K291),$K$1:$K$500,0)),"")</f>
        <v/>
      </c>
      <c r="M291" s="71" t="str">
        <f t="shared" ca="1" si="16"/>
        <v/>
      </c>
      <c r="O291" s="69">
        <f t="shared" ca="1" si="17"/>
        <v>0</v>
      </c>
      <c r="P291" s="70" t="str">
        <f ca="1">IF(O291=1,COUNTIF($O$1:$O291,1),"")</f>
        <v/>
      </c>
      <c r="Q291" s="46" t="str">
        <f ca="1">IFERROR(INDEX($L$1:$L$500,MATCH(ROWS($P$1:$P291),$P$1:$P$500,0)),"")</f>
        <v/>
      </c>
      <c r="R291" s="71" t="str">
        <f t="shared" ca="1" si="18"/>
        <v/>
      </c>
    </row>
    <row r="292" spans="8:18">
      <c r="H292"/>
      <c r="I292"/>
      <c r="J292" s="68"/>
      <c r="L292" s="46" t="str">
        <f ca="1">IFERROR(INDEX($A$1:$A$500,MATCH(ROWS($K$1:$K292),$K$1:$K$500,0)),"")</f>
        <v/>
      </c>
      <c r="M292" s="71" t="str">
        <f t="shared" ca="1" si="16"/>
        <v/>
      </c>
      <c r="O292" s="69">
        <f t="shared" ca="1" si="17"/>
        <v>0</v>
      </c>
      <c r="P292" s="70" t="str">
        <f ca="1">IF(O292=1,COUNTIF($O$1:$O292,1),"")</f>
        <v/>
      </c>
      <c r="Q292" s="46" t="str">
        <f ca="1">IFERROR(INDEX($L$1:$L$500,MATCH(ROWS($P$1:$P292),$P$1:$P$500,0)),"")</f>
        <v/>
      </c>
      <c r="R292" s="71" t="str">
        <f t="shared" ca="1" si="18"/>
        <v/>
      </c>
    </row>
    <row r="293" spans="8:18">
      <c r="H293"/>
      <c r="I293"/>
      <c r="J293" s="68"/>
      <c r="L293" s="46" t="str">
        <f ca="1">IFERROR(INDEX($A$1:$A$500,MATCH(ROWS($K$1:$K293),$K$1:$K$500,0)),"")</f>
        <v/>
      </c>
      <c r="M293" s="71" t="str">
        <f t="shared" ca="1" si="16"/>
        <v/>
      </c>
      <c r="O293" s="69">
        <f t="shared" ca="1" si="17"/>
        <v>0</v>
      </c>
      <c r="P293" s="70" t="str">
        <f ca="1">IF(O293=1,COUNTIF($O$1:$O293,1),"")</f>
        <v/>
      </c>
      <c r="Q293" s="46" t="str">
        <f ca="1">IFERROR(INDEX($L$1:$L$500,MATCH(ROWS($P$1:$P293),$P$1:$P$500,0)),"")</f>
        <v/>
      </c>
      <c r="R293" s="71" t="str">
        <f t="shared" ca="1" si="18"/>
        <v/>
      </c>
    </row>
    <row r="294" spans="8:18">
      <c r="H294"/>
      <c r="I294"/>
      <c r="J294" s="68"/>
      <c r="L294" s="46" t="str">
        <f ca="1">IFERROR(INDEX($A$1:$A$500,MATCH(ROWS($K$1:$K294),$K$1:$K$500,0)),"")</f>
        <v/>
      </c>
      <c r="M294" s="71" t="str">
        <f t="shared" ca="1" si="16"/>
        <v/>
      </c>
      <c r="O294" s="69">
        <f t="shared" ca="1" si="17"/>
        <v>0</v>
      </c>
      <c r="P294" s="70" t="str">
        <f ca="1">IF(O294=1,COUNTIF($O$1:$O294,1),"")</f>
        <v/>
      </c>
      <c r="Q294" s="46" t="str">
        <f ca="1">IFERROR(INDEX($L$1:$L$500,MATCH(ROWS($P$1:$P294),$P$1:$P$500,0)),"")</f>
        <v/>
      </c>
      <c r="R294" s="71" t="str">
        <f t="shared" ca="1" si="18"/>
        <v/>
      </c>
    </row>
    <row r="295" spans="8:18">
      <c r="H295"/>
      <c r="I295"/>
      <c r="J295" s="68"/>
      <c r="L295" s="46" t="str">
        <f ca="1">IFERROR(INDEX($A$1:$A$500,MATCH(ROWS($K$1:$K295),$K$1:$K$500,0)),"")</f>
        <v/>
      </c>
      <c r="M295" s="71" t="str">
        <f t="shared" ca="1" si="16"/>
        <v/>
      </c>
      <c r="O295" s="69">
        <f t="shared" ca="1" si="17"/>
        <v>0</v>
      </c>
      <c r="P295" s="70" t="str">
        <f ca="1">IF(O295=1,COUNTIF($O$1:$O295,1),"")</f>
        <v/>
      </c>
      <c r="Q295" s="46" t="str">
        <f ca="1">IFERROR(INDEX($L$1:$L$500,MATCH(ROWS($P$1:$P295),$P$1:$P$500,0)),"")</f>
        <v/>
      </c>
      <c r="R295" s="71" t="str">
        <f t="shared" ca="1" si="18"/>
        <v/>
      </c>
    </row>
    <row r="296" spans="8:18">
      <c r="H296"/>
      <c r="I296"/>
      <c r="J296" s="68"/>
      <c r="L296" s="46" t="str">
        <f ca="1">IFERROR(INDEX($A$1:$A$500,MATCH(ROWS($K$1:$K296),$K$1:$K$500,0)),"")</f>
        <v/>
      </c>
      <c r="M296" s="71" t="str">
        <f t="shared" ca="1" si="16"/>
        <v/>
      </c>
      <c r="O296" s="69">
        <f t="shared" ca="1" si="17"/>
        <v>0</v>
      </c>
      <c r="P296" s="70" t="str">
        <f ca="1">IF(O296=1,COUNTIF($O$1:$O296,1),"")</f>
        <v/>
      </c>
      <c r="Q296" s="46" t="str">
        <f ca="1">IFERROR(INDEX($L$1:$L$500,MATCH(ROWS($P$1:$P296),$P$1:$P$500,0)),"")</f>
        <v/>
      </c>
      <c r="R296" s="71" t="str">
        <f t="shared" ca="1" si="18"/>
        <v/>
      </c>
    </row>
    <row r="297" spans="8:18">
      <c r="H297"/>
      <c r="I297"/>
      <c r="J297" s="68"/>
      <c r="L297" s="46" t="str">
        <f ca="1">IFERROR(INDEX($A$1:$A$500,MATCH(ROWS($K$1:$K297),$K$1:$K$500,0)),"")</f>
        <v/>
      </c>
      <c r="M297" s="71" t="str">
        <f t="shared" ca="1" si="16"/>
        <v/>
      </c>
      <c r="O297" s="69">
        <f t="shared" ca="1" si="17"/>
        <v>0</v>
      </c>
      <c r="P297" s="70" t="str">
        <f ca="1">IF(O297=1,COUNTIF($O$1:$O297,1),"")</f>
        <v/>
      </c>
      <c r="Q297" s="46" t="str">
        <f ca="1">IFERROR(INDEX($L$1:$L$500,MATCH(ROWS($P$1:$P297),$P$1:$P$500,0)),"")</f>
        <v/>
      </c>
      <c r="R297" s="71" t="str">
        <f t="shared" ca="1" si="18"/>
        <v/>
      </c>
    </row>
    <row r="298" spans="8:18">
      <c r="H298"/>
      <c r="I298"/>
      <c r="J298" s="68"/>
      <c r="L298" s="46" t="str">
        <f ca="1">IFERROR(INDEX($A$1:$A$500,MATCH(ROWS($K$1:$K298),$K$1:$K$500,0)),"")</f>
        <v/>
      </c>
      <c r="M298" s="71" t="str">
        <f t="shared" ca="1" si="16"/>
        <v/>
      </c>
      <c r="O298" s="69">
        <f t="shared" ca="1" si="17"/>
        <v>0</v>
      </c>
      <c r="P298" s="70" t="str">
        <f ca="1">IF(O298=1,COUNTIF($O$1:$O298,1),"")</f>
        <v/>
      </c>
      <c r="Q298" s="46" t="str">
        <f ca="1">IFERROR(INDEX($L$1:$L$500,MATCH(ROWS($P$1:$P298),$P$1:$P$500,0)),"")</f>
        <v/>
      </c>
      <c r="R298" s="71" t="str">
        <f t="shared" ca="1" si="18"/>
        <v/>
      </c>
    </row>
    <row r="299" spans="8:18">
      <c r="H299"/>
      <c r="I299"/>
      <c r="J299" s="68"/>
      <c r="L299" s="46" t="str">
        <f ca="1">IFERROR(INDEX($A$1:$A$500,MATCH(ROWS($K$1:$K299),$K$1:$K$500,0)),"")</f>
        <v/>
      </c>
      <c r="M299" s="71" t="str">
        <f t="shared" ca="1" si="16"/>
        <v/>
      </c>
      <c r="O299" s="69">
        <f t="shared" ca="1" si="17"/>
        <v>0</v>
      </c>
      <c r="P299" s="70" t="str">
        <f ca="1">IF(O299=1,COUNTIF($O$1:$O299,1),"")</f>
        <v/>
      </c>
      <c r="Q299" s="46" t="str">
        <f ca="1">IFERROR(INDEX($L$1:$L$500,MATCH(ROWS($P$1:$P299),$P$1:$P$500,0)),"")</f>
        <v/>
      </c>
      <c r="R299" s="71" t="str">
        <f t="shared" ca="1" si="18"/>
        <v/>
      </c>
    </row>
    <row r="300" spans="8:18">
      <c r="H300"/>
      <c r="I300"/>
      <c r="J300" s="68"/>
      <c r="L300" s="46" t="str">
        <f ca="1">IFERROR(INDEX($A$1:$A$500,MATCH(ROWS($K$1:$K300),$K$1:$K$500,0)),"")</f>
        <v/>
      </c>
      <c r="M300" s="71" t="str">
        <f t="shared" ca="1" si="16"/>
        <v/>
      </c>
      <c r="O300" s="69">
        <f t="shared" ca="1" si="17"/>
        <v>0</v>
      </c>
      <c r="P300" s="70" t="str">
        <f ca="1">IF(O300=1,COUNTIF($O$1:$O300,1),"")</f>
        <v/>
      </c>
      <c r="Q300" s="46" t="str">
        <f ca="1">IFERROR(INDEX($L$1:$L$500,MATCH(ROWS($P$1:$P300),$P$1:$P$500,0)),"")</f>
        <v/>
      </c>
      <c r="R300" s="71" t="str">
        <f t="shared" ca="1" si="18"/>
        <v/>
      </c>
    </row>
    <row r="301" spans="8:18">
      <c r="H301"/>
      <c r="I301"/>
      <c r="J301" s="68"/>
      <c r="L301" s="46" t="str">
        <f ca="1">IFERROR(INDEX($A$1:$A$500,MATCH(ROWS($K$1:$K301),$K$1:$K$500,0)),"")</f>
        <v/>
      </c>
      <c r="M301" s="71" t="str">
        <f t="shared" ca="1" si="16"/>
        <v/>
      </c>
      <c r="O301" s="69">
        <f t="shared" ca="1" si="17"/>
        <v>0</v>
      </c>
      <c r="P301" s="70" t="str">
        <f ca="1">IF(O301=1,COUNTIF($O$1:$O301,1),"")</f>
        <v/>
      </c>
      <c r="Q301" s="46" t="str">
        <f ca="1">IFERROR(INDEX($L$1:$L$500,MATCH(ROWS($P$1:$P301),$P$1:$P$500,0)),"")</f>
        <v/>
      </c>
      <c r="R301" s="71" t="str">
        <f t="shared" ca="1" si="18"/>
        <v/>
      </c>
    </row>
    <row r="302" spans="8:18">
      <c r="H302"/>
      <c r="I302"/>
      <c r="J302" s="68"/>
      <c r="L302" s="46" t="str">
        <f ca="1">IFERROR(INDEX($A$1:$A$500,MATCH(ROWS($K$1:$K302),$K$1:$K$500,0)),"")</f>
        <v/>
      </c>
      <c r="M302" s="71" t="str">
        <f t="shared" ca="1" si="16"/>
        <v/>
      </c>
      <c r="O302" s="69">
        <f t="shared" ca="1" si="17"/>
        <v>0</v>
      </c>
      <c r="P302" s="70" t="str">
        <f ca="1">IF(O302=1,COUNTIF($O$1:$O302,1),"")</f>
        <v/>
      </c>
      <c r="Q302" s="46" t="str">
        <f ca="1">IFERROR(INDEX($L$1:$L$500,MATCH(ROWS($P$1:$P302),$P$1:$P$500,0)),"")</f>
        <v/>
      </c>
      <c r="R302" s="71" t="str">
        <f t="shared" ca="1" si="18"/>
        <v/>
      </c>
    </row>
    <row r="303" spans="8:18">
      <c r="H303"/>
      <c r="I303"/>
      <c r="J303" s="68"/>
      <c r="L303" s="46" t="str">
        <f ca="1">IFERROR(INDEX($A$1:$A$500,MATCH(ROWS($K$1:$K303),$K$1:$K$500,0)),"")</f>
        <v/>
      </c>
      <c r="M303" s="71" t="str">
        <f t="shared" ca="1" si="16"/>
        <v/>
      </c>
      <c r="O303" s="69">
        <f t="shared" ca="1" si="17"/>
        <v>0</v>
      </c>
      <c r="P303" s="70" t="str">
        <f ca="1">IF(O303=1,COUNTIF($O$1:$O303,1),"")</f>
        <v/>
      </c>
      <c r="Q303" s="46" t="str">
        <f ca="1">IFERROR(INDEX($L$1:$L$500,MATCH(ROWS($P$1:$P303),$P$1:$P$500,0)),"")</f>
        <v/>
      </c>
      <c r="R303" s="71" t="str">
        <f t="shared" ca="1" si="18"/>
        <v/>
      </c>
    </row>
    <row r="304" spans="8:18">
      <c r="H304"/>
      <c r="I304"/>
      <c r="J304" s="68"/>
      <c r="L304" s="46" t="str">
        <f ca="1">IFERROR(INDEX($A$1:$A$500,MATCH(ROWS($K$1:$K304),$K$1:$K$500,0)),"")</f>
        <v/>
      </c>
      <c r="M304" s="71" t="str">
        <f t="shared" ca="1" si="16"/>
        <v/>
      </c>
      <c r="O304" s="69">
        <f t="shared" ca="1" si="17"/>
        <v>0</v>
      </c>
      <c r="P304" s="70" t="str">
        <f ca="1">IF(O304=1,COUNTIF($O$1:$O304,1),"")</f>
        <v/>
      </c>
      <c r="Q304" s="46" t="str">
        <f ca="1">IFERROR(INDEX($L$1:$L$500,MATCH(ROWS($P$1:$P304),$P$1:$P$500,0)),"")</f>
        <v/>
      </c>
      <c r="R304" s="71" t="str">
        <f t="shared" ca="1" si="18"/>
        <v/>
      </c>
    </row>
    <row r="305" spans="8:18">
      <c r="H305"/>
      <c r="I305"/>
      <c r="J305" s="68"/>
      <c r="L305" s="46" t="str">
        <f ca="1">IFERROR(INDEX($A$1:$A$500,MATCH(ROWS($K$1:$K305),$K$1:$K$500,0)),"")</f>
        <v/>
      </c>
      <c r="M305" s="71" t="str">
        <f t="shared" ca="1" si="16"/>
        <v/>
      </c>
      <c r="O305" s="69">
        <f t="shared" ca="1" si="17"/>
        <v>0</v>
      </c>
      <c r="P305" s="70" t="str">
        <f ca="1">IF(O305=1,COUNTIF($O$1:$O305,1),"")</f>
        <v/>
      </c>
      <c r="Q305" s="46" t="str">
        <f ca="1">IFERROR(INDEX($L$1:$L$500,MATCH(ROWS($P$1:$P305),$P$1:$P$500,0)),"")</f>
        <v/>
      </c>
      <c r="R305" s="71" t="str">
        <f t="shared" ca="1" si="18"/>
        <v/>
      </c>
    </row>
    <row r="306" spans="8:18">
      <c r="H306"/>
      <c r="I306"/>
      <c r="J306" s="68"/>
      <c r="L306" s="46" t="str">
        <f ca="1">IFERROR(INDEX($A$1:$A$500,MATCH(ROWS($K$1:$K306),$K$1:$K$500,0)),"")</f>
        <v/>
      </c>
      <c r="M306" s="71" t="str">
        <f t="shared" ca="1" si="16"/>
        <v/>
      </c>
      <c r="O306" s="69">
        <f t="shared" ca="1" si="17"/>
        <v>0</v>
      </c>
      <c r="P306" s="70" t="str">
        <f ca="1">IF(O306=1,COUNTIF($O$1:$O306,1),"")</f>
        <v/>
      </c>
      <c r="Q306" s="46" t="str">
        <f ca="1">IFERROR(INDEX($L$1:$L$500,MATCH(ROWS($P$1:$P306),$P$1:$P$500,0)),"")</f>
        <v/>
      </c>
      <c r="R306" s="71" t="str">
        <f t="shared" ca="1" si="18"/>
        <v/>
      </c>
    </row>
    <row r="307" spans="8:18">
      <c r="H307"/>
      <c r="I307"/>
      <c r="J307" s="68"/>
      <c r="L307" s="46" t="str">
        <f ca="1">IFERROR(INDEX($A$1:$A$500,MATCH(ROWS($K$1:$K307),$K$1:$K$500,0)),"")</f>
        <v/>
      </c>
      <c r="M307" s="71" t="str">
        <f t="shared" ca="1" si="16"/>
        <v/>
      </c>
      <c r="O307" s="69">
        <f t="shared" ca="1" si="17"/>
        <v>0</v>
      </c>
      <c r="P307" s="70" t="str">
        <f ca="1">IF(O307=1,COUNTIF($O$1:$O307,1),"")</f>
        <v/>
      </c>
      <c r="Q307" s="46" t="str">
        <f ca="1">IFERROR(INDEX($L$1:$L$500,MATCH(ROWS($P$1:$P307),$P$1:$P$500,0)),"")</f>
        <v/>
      </c>
      <c r="R307" s="71" t="str">
        <f t="shared" ca="1" si="18"/>
        <v/>
      </c>
    </row>
    <row r="308" spans="8:18">
      <c r="H308"/>
      <c r="I308"/>
      <c r="J308" s="68"/>
      <c r="L308" s="46" t="str">
        <f ca="1">IFERROR(INDEX($A$1:$A$500,MATCH(ROWS($K$1:$K308),$K$1:$K$500,0)),"")</f>
        <v/>
      </c>
      <c r="M308" s="71" t="str">
        <f t="shared" ca="1" si="16"/>
        <v/>
      </c>
      <c r="O308" s="69">
        <f t="shared" ca="1" si="17"/>
        <v>0</v>
      </c>
      <c r="P308" s="70" t="str">
        <f ca="1">IF(O308=1,COUNTIF($O$1:$O308,1),"")</f>
        <v/>
      </c>
      <c r="Q308" s="46" t="str">
        <f ca="1">IFERROR(INDEX($L$1:$L$500,MATCH(ROWS($P$1:$P308),$P$1:$P$500,0)),"")</f>
        <v/>
      </c>
      <c r="R308" s="71" t="str">
        <f t="shared" ca="1" si="18"/>
        <v/>
      </c>
    </row>
    <row r="309" spans="8:18">
      <c r="H309"/>
      <c r="I309"/>
      <c r="J309" s="68"/>
      <c r="L309" s="46" t="str">
        <f ca="1">IFERROR(INDEX($A$1:$A$500,MATCH(ROWS($K$1:$K309),$K$1:$K$500,0)),"")</f>
        <v/>
      </c>
      <c r="M309" s="71" t="str">
        <f t="shared" ca="1" si="16"/>
        <v/>
      </c>
      <c r="O309" s="69">
        <f t="shared" ca="1" si="17"/>
        <v>0</v>
      </c>
      <c r="P309" s="70" t="str">
        <f ca="1">IF(O309=1,COUNTIF($O$1:$O309,1),"")</f>
        <v/>
      </c>
      <c r="Q309" s="46" t="str">
        <f ca="1">IFERROR(INDEX($L$1:$L$500,MATCH(ROWS($P$1:$P309),$P$1:$P$500,0)),"")</f>
        <v/>
      </c>
      <c r="R309" s="71" t="str">
        <f t="shared" ca="1" si="18"/>
        <v/>
      </c>
    </row>
    <row r="310" spans="8:18">
      <c r="H310"/>
      <c r="I310"/>
      <c r="J310" s="68"/>
      <c r="L310" s="46" t="str">
        <f ca="1">IFERROR(INDEX($A$1:$A$500,MATCH(ROWS($K$1:$K310),$K$1:$K$500,0)),"")</f>
        <v/>
      </c>
      <c r="M310" s="71" t="str">
        <f t="shared" ca="1" si="16"/>
        <v/>
      </c>
      <c r="O310" s="69">
        <f t="shared" ca="1" si="17"/>
        <v>0</v>
      </c>
      <c r="P310" s="70" t="str">
        <f ca="1">IF(O310=1,COUNTIF($O$1:$O310,1),"")</f>
        <v/>
      </c>
      <c r="Q310" s="46" t="str">
        <f ca="1">IFERROR(INDEX($L$1:$L$500,MATCH(ROWS($P$1:$P310),$P$1:$P$500,0)),"")</f>
        <v/>
      </c>
      <c r="R310" s="71" t="str">
        <f t="shared" ca="1" si="18"/>
        <v/>
      </c>
    </row>
    <row r="311" spans="8:18">
      <c r="H311"/>
      <c r="I311"/>
      <c r="J311" s="68"/>
      <c r="L311" s="46" t="str">
        <f ca="1">IFERROR(INDEX($A$1:$A$500,MATCH(ROWS($K$1:$K311),$K$1:$K$500,0)),"")</f>
        <v/>
      </c>
      <c r="M311" s="71" t="str">
        <f t="shared" ca="1" si="16"/>
        <v/>
      </c>
      <c r="O311" s="69">
        <f t="shared" ca="1" si="17"/>
        <v>0</v>
      </c>
      <c r="P311" s="70" t="str">
        <f ca="1">IF(O311=1,COUNTIF($O$1:$O311,1),"")</f>
        <v/>
      </c>
      <c r="Q311" s="46" t="str">
        <f ca="1">IFERROR(INDEX($L$1:$L$500,MATCH(ROWS($P$1:$P311),$P$1:$P$500,0)),"")</f>
        <v/>
      </c>
      <c r="R311" s="71" t="str">
        <f t="shared" ca="1" si="18"/>
        <v/>
      </c>
    </row>
    <row r="312" spans="8:18">
      <c r="H312"/>
      <c r="I312"/>
      <c r="J312" s="68"/>
      <c r="L312" s="46" t="str">
        <f ca="1">IFERROR(INDEX($A$1:$A$500,MATCH(ROWS($K$1:$K312),$K$1:$K$500,0)),"")</f>
        <v/>
      </c>
      <c r="M312" s="71" t="str">
        <f t="shared" ca="1" si="16"/>
        <v/>
      </c>
      <c r="O312" s="69">
        <f t="shared" ca="1" si="17"/>
        <v>0</v>
      </c>
      <c r="P312" s="70" t="str">
        <f ca="1">IF(O312=1,COUNTIF($O$1:$O312,1),"")</f>
        <v/>
      </c>
      <c r="Q312" s="46" t="str">
        <f ca="1">IFERROR(INDEX($L$1:$L$500,MATCH(ROWS($P$1:$P312),$P$1:$P$500,0)),"")</f>
        <v/>
      </c>
      <c r="R312" s="71" t="str">
        <f t="shared" ca="1" si="18"/>
        <v/>
      </c>
    </row>
    <row r="313" spans="8:18">
      <c r="H313"/>
      <c r="I313"/>
      <c r="J313" s="68"/>
      <c r="L313" s="46" t="str">
        <f ca="1">IFERROR(INDEX($A$1:$A$500,MATCH(ROWS($K$1:$K313),$K$1:$K$500,0)),"")</f>
        <v/>
      </c>
      <c r="M313" s="71" t="str">
        <f t="shared" ca="1" si="16"/>
        <v/>
      </c>
      <c r="O313" s="69">
        <f t="shared" ca="1" si="17"/>
        <v>0</v>
      </c>
      <c r="P313" s="70" t="str">
        <f ca="1">IF(O313=1,COUNTIF($O$1:$O313,1),"")</f>
        <v/>
      </c>
      <c r="Q313" s="46" t="str">
        <f ca="1">IFERROR(INDEX($L$1:$L$500,MATCH(ROWS($P$1:$P313),$P$1:$P$500,0)),"")</f>
        <v/>
      </c>
      <c r="R313" s="71" t="str">
        <f t="shared" ca="1" si="18"/>
        <v/>
      </c>
    </row>
    <row r="314" spans="8:18">
      <c r="H314"/>
      <c r="I314"/>
      <c r="J314" s="68"/>
      <c r="L314" s="46" t="str">
        <f ca="1">IFERROR(INDEX($A$1:$A$500,MATCH(ROWS($K$1:$K314),$K$1:$K$500,0)),"")</f>
        <v/>
      </c>
      <c r="M314" s="71" t="str">
        <f t="shared" ca="1" si="16"/>
        <v/>
      </c>
      <c r="O314" s="69">
        <f t="shared" ca="1" si="17"/>
        <v>0</v>
      </c>
      <c r="P314" s="70" t="str">
        <f ca="1">IF(O314=1,COUNTIF($O$1:$O314,1),"")</f>
        <v/>
      </c>
      <c r="Q314" s="46" t="str">
        <f ca="1">IFERROR(INDEX($L$1:$L$500,MATCH(ROWS($P$1:$P314),$P$1:$P$500,0)),"")</f>
        <v/>
      </c>
      <c r="R314" s="71" t="str">
        <f t="shared" ca="1" si="18"/>
        <v/>
      </c>
    </row>
    <row r="315" spans="8:18">
      <c r="H315"/>
      <c r="I315"/>
      <c r="J315" s="68"/>
      <c r="L315" s="46" t="str">
        <f ca="1">IFERROR(INDEX($A$1:$A$500,MATCH(ROWS($K$1:$K315),$K$1:$K$500,0)),"")</f>
        <v/>
      </c>
      <c r="M315" s="71" t="str">
        <f t="shared" ca="1" si="16"/>
        <v/>
      </c>
      <c r="O315" s="69">
        <f t="shared" ca="1" si="17"/>
        <v>0</v>
      </c>
      <c r="P315" s="70" t="str">
        <f ca="1">IF(O315=1,COUNTIF($O$1:$O315,1),"")</f>
        <v/>
      </c>
      <c r="Q315" s="46" t="str">
        <f ca="1">IFERROR(INDEX($L$1:$L$500,MATCH(ROWS($P$1:$P315),$P$1:$P$500,0)),"")</f>
        <v/>
      </c>
      <c r="R315" s="71" t="str">
        <f t="shared" ca="1" si="18"/>
        <v/>
      </c>
    </row>
    <row r="316" spans="8:18">
      <c r="H316"/>
      <c r="I316"/>
      <c r="J316" s="68"/>
      <c r="L316" s="46" t="str">
        <f ca="1">IFERROR(INDEX($A$1:$A$500,MATCH(ROWS($K$1:$K316),$K$1:$K$500,0)),"")</f>
        <v/>
      </c>
      <c r="M316" s="71" t="str">
        <f t="shared" ca="1" si="16"/>
        <v/>
      </c>
      <c r="O316" s="69">
        <f t="shared" ca="1" si="17"/>
        <v>0</v>
      </c>
      <c r="P316" s="70" t="str">
        <f ca="1">IF(O316=1,COUNTIF($O$1:$O316,1),"")</f>
        <v/>
      </c>
      <c r="Q316" s="46" t="str">
        <f ca="1">IFERROR(INDEX($L$1:$L$500,MATCH(ROWS($P$1:$P316),$P$1:$P$500,0)),"")</f>
        <v/>
      </c>
      <c r="R316" s="71" t="str">
        <f t="shared" ca="1" si="18"/>
        <v/>
      </c>
    </row>
    <row r="317" spans="8:18">
      <c r="H317"/>
      <c r="I317"/>
      <c r="J317" s="68"/>
      <c r="L317" s="46" t="str">
        <f ca="1">IFERROR(INDEX($A$1:$A$500,MATCH(ROWS($K$1:$K317),$K$1:$K$500,0)),"")</f>
        <v/>
      </c>
      <c r="M317" s="71" t="str">
        <f t="shared" ca="1" si="16"/>
        <v/>
      </c>
      <c r="O317" s="69">
        <f t="shared" ca="1" si="17"/>
        <v>0</v>
      </c>
      <c r="P317" s="70" t="str">
        <f ca="1">IF(O317=1,COUNTIF($O$1:$O317,1),"")</f>
        <v/>
      </c>
      <c r="Q317" s="46" t="str">
        <f ca="1">IFERROR(INDEX($L$1:$L$500,MATCH(ROWS($P$1:$P317),$P$1:$P$500,0)),"")</f>
        <v/>
      </c>
      <c r="R317" s="71" t="str">
        <f t="shared" ca="1" si="18"/>
        <v/>
      </c>
    </row>
    <row r="318" spans="8:18">
      <c r="H318"/>
      <c r="I318"/>
      <c r="J318" s="68"/>
      <c r="L318" s="46" t="str">
        <f ca="1">IFERROR(INDEX($A$1:$A$500,MATCH(ROWS($K$1:$K318),$K$1:$K$500,0)),"")</f>
        <v/>
      </c>
      <c r="M318" s="71" t="str">
        <f t="shared" ca="1" si="16"/>
        <v/>
      </c>
      <c r="O318" s="69">
        <f t="shared" ca="1" si="17"/>
        <v>0</v>
      </c>
      <c r="P318" s="70" t="str">
        <f ca="1">IF(O318=1,COUNTIF($O$1:$O318,1),"")</f>
        <v/>
      </c>
      <c r="Q318" s="46" t="str">
        <f ca="1">IFERROR(INDEX($L$1:$L$500,MATCH(ROWS($P$1:$P318),$P$1:$P$500,0)),"")</f>
        <v/>
      </c>
      <c r="R318" s="71" t="str">
        <f t="shared" ca="1" si="18"/>
        <v/>
      </c>
    </row>
    <row r="319" spans="8:18">
      <c r="H319"/>
      <c r="I319"/>
      <c r="J319" s="68"/>
      <c r="L319" s="46" t="str">
        <f ca="1">IFERROR(INDEX($A$1:$A$500,MATCH(ROWS($K$1:$K319),$K$1:$K$500,0)),"")</f>
        <v/>
      </c>
      <c r="M319" s="71" t="str">
        <f t="shared" ca="1" si="16"/>
        <v/>
      </c>
      <c r="O319" s="69">
        <f t="shared" ca="1" si="17"/>
        <v>0</v>
      </c>
      <c r="P319" s="70" t="str">
        <f ca="1">IF(O319=1,COUNTIF($O$1:$O319,1),"")</f>
        <v/>
      </c>
      <c r="Q319" s="46" t="str">
        <f ca="1">IFERROR(INDEX($L$1:$L$500,MATCH(ROWS($P$1:$P319),$P$1:$P$500,0)),"")</f>
        <v/>
      </c>
      <c r="R319" s="71" t="str">
        <f t="shared" ca="1" si="18"/>
        <v/>
      </c>
    </row>
    <row r="320" spans="8:18">
      <c r="H320"/>
      <c r="I320"/>
      <c r="J320" s="68"/>
      <c r="L320" s="46" t="str">
        <f ca="1">IFERROR(INDEX($A$1:$A$500,MATCH(ROWS($K$1:$K320),$K$1:$K$500,0)),"")</f>
        <v/>
      </c>
      <c r="M320" s="71" t="str">
        <f t="shared" ca="1" si="16"/>
        <v/>
      </c>
      <c r="O320" s="69">
        <f t="shared" ca="1" si="17"/>
        <v>0</v>
      </c>
      <c r="P320" s="70" t="str">
        <f ca="1">IF(O320=1,COUNTIF($O$1:$O320,1),"")</f>
        <v/>
      </c>
      <c r="Q320" s="46" t="str">
        <f ca="1">IFERROR(INDEX($L$1:$L$500,MATCH(ROWS($P$1:$P320),$P$1:$P$500,0)),"")</f>
        <v/>
      </c>
      <c r="R320" s="71" t="str">
        <f t="shared" ca="1" si="18"/>
        <v/>
      </c>
    </row>
    <row r="321" spans="8:18">
      <c r="H321"/>
      <c r="I321"/>
      <c r="J321" s="68"/>
      <c r="L321" s="46" t="str">
        <f ca="1">IFERROR(INDEX($A$1:$A$500,MATCH(ROWS($K$1:$K321),$K$1:$K$500,0)),"")</f>
        <v/>
      </c>
      <c r="M321" s="71" t="str">
        <f t="shared" ref="M321:M384" ca="1" si="19">+IF(L321="","",RIGHT(L321,LEN(L321)-FIND("@",SUBSTITUTE(L321,"\","@",LEN(L321)-LEN(SUBSTITUTE(L321,"\",""))),1)))</f>
        <v/>
      </c>
      <c r="O321" s="69">
        <f t="shared" ref="O321:O384" ca="1" si="20">--ISNUMBER(SEARCH($N$2,M321))</f>
        <v>0</v>
      </c>
      <c r="P321" s="70" t="str">
        <f ca="1">IF(O321=1,COUNTIF($O$1:$O321,1),"")</f>
        <v/>
      </c>
      <c r="Q321" s="46" t="str">
        <f ca="1">IFERROR(INDEX($L$1:$L$500,MATCH(ROWS($P$1:$P321),$P$1:$P$500,0)),"")</f>
        <v/>
      </c>
      <c r="R321" s="71" t="str">
        <f t="shared" ca="1" si="18"/>
        <v/>
      </c>
    </row>
    <row r="322" spans="8:18">
      <c r="H322"/>
      <c r="I322"/>
      <c r="J322" s="68"/>
      <c r="L322" s="46" t="str">
        <f ca="1">IFERROR(INDEX($A$1:$A$500,MATCH(ROWS($K$1:$K322),$K$1:$K$500,0)),"")</f>
        <v/>
      </c>
      <c r="M322" s="71" t="str">
        <f t="shared" ca="1" si="19"/>
        <v/>
      </c>
      <c r="O322" s="69">
        <f t="shared" ca="1" si="20"/>
        <v>0</v>
      </c>
      <c r="P322" s="70" t="str">
        <f ca="1">IF(O322=1,COUNTIF($O$1:$O322,1),"")</f>
        <v/>
      </c>
      <c r="Q322" s="46" t="str">
        <f ca="1">IFERROR(INDEX($L$1:$L$500,MATCH(ROWS($P$1:$P322),$P$1:$P$500,0)),"")</f>
        <v/>
      </c>
      <c r="R322" s="71" t="str">
        <f t="shared" ref="R322:R385" ca="1" si="21">+IF(Q322="","",RIGHT(Q322,LEN(Q322)-FIND("@",SUBSTITUTE(Q322,"\","@",LEN(Q322)-LEN(SUBSTITUTE(Q322,"\",""))),1)))</f>
        <v/>
      </c>
    </row>
    <row r="323" spans="8:18">
      <c r="H323"/>
      <c r="I323"/>
      <c r="J323" s="68"/>
      <c r="L323" s="46" t="str">
        <f ca="1">IFERROR(INDEX($A$1:$A$500,MATCH(ROWS($K$1:$K323),$K$1:$K$500,0)),"")</f>
        <v/>
      </c>
      <c r="M323" s="71" t="str">
        <f t="shared" ca="1" si="19"/>
        <v/>
      </c>
      <c r="O323" s="69">
        <f t="shared" ca="1" si="20"/>
        <v>0</v>
      </c>
      <c r="P323" s="70" t="str">
        <f ca="1">IF(O323=1,COUNTIF($O$1:$O323,1),"")</f>
        <v/>
      </c>
      <c r="Q323" s="46" t="str">
        <f ca="1">IFERROR(INDEX($L$1:$L$500,MATCH(ROWS($P$1:$P323),$P$1:$P$500,0)),"")</f>
        <v/>
      </c>
      <c r="R323" s="71" t="str">
        <f t="shared" ca="1" si="21"/>
        <v/>
      </c>
    </row>
    <row r="324" spans="8:18">
      <c r="H324"/>
      <c r="I324"/>
      <c r="J324" s="68"/>
      <c r="L324" s="46" t="str">
        <f ca="1">IFERROR(INDEX($A$1:$A$500,MATCH(ROWS($K$1:$K324),$K$1:$K$500,0)),"")</f>
        <v/>
      </c>
      <c r="M324" s="71" t="str">
        <f t="shared" ca="1" si="19"/>
        <v/>
      </c>
      <c r="O324" s="69">
        <f t="shared" ca="1" si="20"/>
        <v>0</v>
      </c>
      <c r="P324" s="70" t="str">
        <f ca="1">IF(O324=1,COUNTIF($O$1:$O324,1),"")</f>
        <v/>
      </c>
      <c r="Q324" s="46" t="str">
        <f ca="1">IFERROR(INDEX($L$1:$L$500,MATCH(ROWS($P$1:$P324),$P$1:$P$500,0)),"")</f>
        <v/>
      </c>
      <c r="R324" s="71" t="str">
        <f t="shared" ca="1" si="21"/>
        <v/>
      </c>
    </row>
    <row r="325" spans="8:18">
      <c r="H325"/>
      <c r="I325"/>
      <c r="J325" s="68"/>
      <c r="L325" s="46" t="str">
        <f ca="1">IFERROR(INDEX($A$1:$A$500,MATCH(ROWS($K$1:$K325),$K$1:$K$500,0)),"")</f>
        <v/>
      </c>
      <c r="M325" s="71" t="str">
        <f t="shared" ca="1" si="19"/>
        <v/>
      </c>
      <c r="O325" s="69">
        <f t="shared" ca="1" si="20"/>
        <v>0</v>
      </c>
      <c r="P325" s="70" t="str">
        <f ca="1">IF(O325=1,COUNTIF($O$1:$O325,1),"")</f>
        <v/>
      </c>
      <c r="Q325" s="46" t="str">
        <f ca="1">IFERROR(INDEX($L$1:$L$500,MATCH(ROWS($P$1:$P325),$P$1:$P$500,0)),"")</f>
        <v/>
      </c>
      <c r="R325" s="71" t="str">
        <f t="shared" ca="1" si="21"/>
        <v/>
      </c>
    </row>
    <row r="326" spans="8:18">
      <c r="H326"/>
      <c r="I326"/>
      <c r="J326" s="68"/>
      <c r="L326" s="46" t="str">
        <f ca="1">IFERROR(INDEX($A$1:$A$500,MATCH(ROWS($K$1:$K326),$K$1:$K$500,0)),"")</f>
        <v/>
      </c>
      <c r="M326" s="71" t="str">
        <f t="shared" ca="1" si="19"/>
        <v/>
      </c>
      <c r="O326" s="69">
        <f t="shared" ca="1" si="20"/>
        <v>0</v>
      </c>
      <c r="P326" s="70" t="str">
        <f ca="1">IF(O326=1,COUNTIF($O$1:$O326,1),"")</f>
        <v/>
      </c>
      <c r="Q326" s="46" t="str">
        <f ca="1">IFERROR(INDEX($L$1:$L$500,MATCH(ROWS($P$1:$P326),$P$1:$P$500,0)),"")</f>
        <v/>
      </c>
      <c r="R326" s="71" t="str">
        <f t="shared" ca="1" si="21"/>
        <v/>
      </c>
    </row>
    <row r="327" spans="8:18">
      <c r="H327"/>
      <c r="I327"/>
      <c r="J327" s="68"/>
      <c r="L327" s="46" t="str">
        <f ca="1">IFERROR(INDEX($A$1:$A$500,MATCH(ROWS($K$1:$K327),$K$1:$K$500,0)),"")</f>
        <v/>
      </c>
      <c r="M327" s="71" t="str">
        <f t="shared" ca="1" si="19"/>
        <v/>
      </c>
      <c r="O327" s="69">
        <f t="shared" ca="1" si="20"/>
        <v>0</v>
      </c>
      <c r="P327" s="70" t="str">
        <f ca="1">IF(O327=1,COUNTIF($O$1:$O327,1),"")</f>
        <v/>
      </c>
      <c r="Q327" s="46" t="str">
        <f ca="1">IFERROR(INDEX($L$1:$L$500,MATCH(ROWS($P$1:$P327),$P$1:$P$500,0)),"")</f>
        <v/>
      </c>
      <c r="R327" s="71" t="str">
        <f t="shared" ca="1" si="21"/>
        <v/>
      </c>
    </row>
    <row r="328" spans="8:18">
      <c r="H328"/>
      <c r="I328"/>
      <c r="J328" s="68"/>
      <c r="L328" s="46" t="str">
        <f ca="1">IFERROR(INDEX($A$1:$A$500,MATCH(ROWS($K$1:$K328),$K$1:$K$500,0)),"")</f>
        <v/>
      </c>
      <c r="M328" s="71" t="str">
        <f t="shared" ca="1" si="19"/>
        <v/>
      </c>
      <c r="O328" s="69">
        <f t="shared" ca="1" si="20"/>
        <v>0</v>
      </c>
      <c r="P328" s="70" t="str">
        <f ca="1">IF(O328=1,COUNTIF($O$1:$O328,1),"")</f>
        <v/>
      </c>
      <c r="Q328" s="46" t="str">
        <f ca="1">IFERROR(INDEX($L$1:$L$500,MATCH(ROWS($P$1:$P328),$P$1:$P$500,0)),"")</f>
        <v/>
      </c>
      <c r="R328" s="71" t="str">
        <f t="shared" ca="1" si="21"/>
        <v/>
      </c>
    </row>
    <row r="329" spans="8:18">
      <c r="H329"/>
      <c r="I329"/>
      <c r="J329" s="68"/>
      <c r="L329" s="46" t="str">
        <f ca="1">IFERROR(INDEX($A$1:$A$500,MATCH(ROWS($K$1:$K329),$K$1:$K$500,0)),"")</f>
        <v/>
      </c>
      <c r="M329" s="71" t="str">
        <f t="shared" ca="1" si="19"/>
        <v/>
      </c>
      <c r="O329" s="69">
        <f t="shared" ca="1" si="20"/>
        <v>0</v>
      </c>
      <c r="P329" s="70" t="str">
        <f ca="1">IF(O329=1,COUNTIF($O$1:$O329,1),"")</f>
        <v/>
      </c>
      <c r="Q329" s="46" t="str">
        <f ca="1">IFERROR(INDEX($L$1:$L$500,MATCH(ROWS($P$1:$P329),$P$1:$P$500,0)),"")</f>
        <v/>
      </c>
      <c r="R329" s="71" t="str">
        <f t="shared" ca="1" si="21"/>
        <v/>
      </c>
    </row>
    <row r="330" spans="8:18">
      <c r="H330"/>
      <c r="I330"/>
      <c r="J330" s="68"/>
      <c r="L330" s="46" t="str">
        <f ca="1">IFERROR(INDEX($A$1:$A$500,MATCH(ROWS($K$1:$K330),$K$1:$K$500,0)),"")</f>
        <v/>
      </c>
      <c r="M330" s="71" t="str">
        <f t="shared" ca="1" si="19"/>
        <v/>
      </c>
      <c r="O330" s="69">
        <f t="shared" ca="1" si="20"/>
        <v>0</v>
      </c>
      <c r="P330" s="70" t="str">
        <f ca="1">IF(O330=1,COUNTIF($O$1:$O330,1),"")</f>
        <v/>
      </c>
      <c r="Q330" s="46" t="str">
        <f ca="1">IFERROR(INDEX($L$1:$L$500,MATCH(ROWS($P$1:$P330),$P$1:$P$500,0)),"")</f>
        <v/>
      </c>
      <c r="R330" s="71" t="str">
        <f t="shared" ca="1" si="21"/>
        <v/>
      </c>
    </row>
    <row r="331" spans="8:18">
      <c r="H331"/>
      <c r="I331"/>
      <c r="J331" s="68"/>
      <c r="L331" s="46" t="str">
        <f ca="1">IFERROR(INDEX($A$1:$A$500,MATCH(ROWS($K$1:$K331),$K$1:$K$500,0)),"")</f>
        <v/>
      </c>
      <c r="M331" s="71" t="str">
        <f t="shared" ca="1" si="19"/>
        <v/>
      </c>
      <c r="O331" s="69">
        <f t="shared" ca="1" si="20"/>
        <v>0</v>
      </c>
      <c r="P331" s="70" t="str">
        <f ca="1">IF(O331=1,COUNTIF($O$1:$O331,1),"")</f>
        <v/>
      </c>
      <c r="Q331" s="46" t="str">
        <f ca="1">IFERROR(INDEX($L$1:$L$500,MATCH(ROWS($P$1:$P331),$P$1:$P$500,0)),"")</f>
        <v/>
      </c>
      <c r="R331" s="71" t="str">
        <f t="shared" ca="1" si="21"/>
        <v/>
      </c>
    </row>
    <row r="332" spans="8:18">
      <c r="H332"/>
      <c r="I332"/>
      <c r="J332" s="68"/>
      <c r="L332" s="46" t="str">
        <f ca="1">IFERROR(INDEX($A$1:$A$500,MATCH(ROWS($K$1:$K332),$K$1:$K$500,0)),"")</f>
        <v/>
      </c>
      <c r="M332" s="71" t="str">
        <f t="shared" ca="1" si="19"/>
        <v/>
      </c>
      <c r="O332" s="69">
        <f t="shared" ca="1" si="20"/>
        <v>0</v>
      </c>
      <c r="P332" s="70" t="str">
        <f ca="1">IF(O332=1,COUNTIF($O$1:$O332,1),"")</f>
        <v/>
      </c>
      <c r="Q332" s="46" t="str">
        <f ca="1">IFERROR(INDEX($L$1:$L$500,MATCH(ROWS($P$1:$P332),$P$1:$P$500,0)),"")</f>
        <v/>
      </c>
      <c r="R332" s="71" t="str">
        <f t="shared" ca="1" si="21"/>
        <v/>
      </c>
    </row>
    <row r="333" spans="8:18">
      <c r="H333"/>
      <c r="I333"/>
      <c r="J333" s="68"/>
      <c r="L333" s="46" t="str">
        <f ca="1">IFERROR(INDEX($A$1:$A$500,MATCH(ROWS($K$1:$K333),$K$1:$K$500,0)),"")</f>
        <v/>
      </c>
      <c r="M333" s="71" t="str">
        <f t="shared" ca="1" si="19"/>
        <v/>
      </c>
      <c r="O333" s="69">
        <f t="shared" ca="1" si="20"/>
        <v>0</v>
      </c>
      <c r="P333" s="70" t="str">
        <f ca="1">IF(O333=1,COUNTIF($O$1:$O333,1),"")</f>
        <v/>
      </c>
      <c r="Q333" s="46" t="str">
        <f ca="1">IFERROR(INDEX($L$1:$L$500,MATCH(ROWS($P$1:$P333),$P$1:$P$500,0)),"")</f>
        <v/>
      </c>
      <c r="R333" s="71" t="str">
        <f t="shared" ca="1" si="21"/>
        <v/>
      </c>
    </row>
    <row r="334" spans="8:18">
      <c r="H334"/>
      <c r="I334"/>
      <c r="J334" s="68"/>
      <c r="L334" s="46" t="str">
        <f ca="1">IFERROR(INDEX($A$1:$A$500,MATCH(ROWS($K$1:$K334),$K$1:$K$500,0)),"")</f>
        <v/>
      </c>
      <c r="M334" s="71" t="str">
        <f t="shared" ca="1" si="19"/>
        <v/>
      </c>
      <c r="O334" s="69">
        <f t="shared" ca="1" si="20"/>
        <v>0</v>
      </c>
      <c r="P334" s="70" t="str">
        <f ca="1">IF(O334=1,COUNTIF($O$1:$O334,1),"")</f>
        <v/>
      </c>
      <c r="Q334" s="46" t="str">
        <f ca="1">IFERROR(INDEX($L$1:$L$500,MATCH(ROWS($P$1:$P334),$P$1:$P$500,0)),"")</f>
        <v/>
      </c>
      <c r="R334" s="71" t="str">
        <f t="shared" ca="1" si="21"/>
        <v/>
      </c>
    </row>
    <row r="335" spans="8:18">
      <c r="H335"/>
      <c r="I335"/>
      <c r="J335" s="68"/>
      <c r="L335" s="46" t="str">
        <f ca="1">IFERROR(INDEX($A$1:$A$500,MATCH(ROWS($K$1:$K335),$K$1:$K$500,0)),"")</f>
        <v/>
      </c>
      <c r="M335" s="71" t="str">
        <f t="shared" ca="1" si="19"/>
        <v/>
      </c>
      <c r="O335" s="69">
        <f t="shared" ca="1" si="20"/>
        <v>0</v>
      </c>
      <c r="P335" s="70" t="str">
        <f ca="1">IF(O335=1,COUNTIF($O$1:$O335,1),"")</f>
        <v/>
      </c>
      <c r="Q335" s="46" t="str">
        <f ca="1">IFERROR(INDEX($L$1:$L$500,MATCH(ROWS($P$1:$P335),$P$1:$P$500,0)),"")</f>
        <v/>
      </c>
      <c r="R335" s="71" t="str">
        <f t="shared" ca="1" si="21"/>
        <v/>
      </c>
    </row>
    <row r="336" spans="8:18">
      <c r="H336"/>
      <c r="I336"/>
      <c r="J336" s="68"/>
      <c r="L336" s="46" t="str">
        <f ca="1">IFERROR(INDEX($A$1:$A$500,MATCH(ROWS($K$1:$K336),$K$1:$K$500,0)),"")</f>
        <v/>
      </c>
      <c r="M336" s="71" t="str">
        <f t="shared" ca="1" si="19"/>
        <v/>
      </c>
      <c r="O336" s="69">
        <f t="shared" ca="1" si="20"/>
        <v>0</v>
      </c>
      <c r="P336" s="70" t="str">
        <f ca="1">IF(O336=1,COUNTIF($O$1:$O336,1),"")</f>
        <v/>
      </c>
      <c r="Q336" s="46" t="str">
        <f ca="1">IFERROR(INDEX($L$1:$L$500,MATCH(ROWS($P$1:$P336),$P$1:$P$500,0)),"")</f>
        <v/>
      </c>
      <c r="R336" s="71" t="str">
        <f t="shared" ca="1" si="21"/>
        <v/>
      </c>
    </row>
    <row r="337" spans="8:18">
      <c r="H337"/>
      <c r="I337"/>
      <c r="J337" s="68"/>
      <c r="L337" s="46" t="str">
        <f ca="1">IFERROR(INDEX($A$1:$A$500,MATCH(ROWS($K$1:$K337),$K$1:$K$500,0)),"")</f>
        <v/>
      </c>
      <c r="M337" s="71" t="str">
        <f t="shared" ca="1" si="19"/>
        <v/>
      </c>
      <c r="O337" s="69">
        <f t="shared" ca="1" si="20"/>
        <v>0</v>
      </c>
      <c r="P337" s="70" t="str">
        <f ca="1">IF(O337=1,COUNTIF($O$1:$O337,1),"")</f>
        <v/>
      </c>
      <c r="Q337" s="46" t="str">
        <f ca="1">IFERROR(INDEX($L$1:$L$500,MATCH(ROWS($P$1:$P337),$P$1:$P$500,0)),"")</f>
        <v/>
      </c>
      <c r="R337" s="71" t="str">
        <f t="shared" ca="1" si="21"/>
        <v/>
      </c>
    </row>
    <row r="338" spans="8:18">
      <c r="H338"/>
      <c r="I338"/>
      <c r="J338" s="68"/>
      <c r="L338" s="46" t="str">
        <f ca="1">IFERROR(INDEX($A$1:$A$500,MATCH(ROWS($K$1:$K338),$K$1:$K$500,0)),"")</f>
        <v/>
      </c>
      <c r="M338" s="71" t="str">
        <f t="shared" ca="1" si="19"/>
        <v/>
      </c>
      <c r="O338" s="69">
        <f t="shared" ca="1" si="20"/>
        <v>0</v>
      </c>
      <c r="P338" s="70" t="str">
        <f ca="1">IF(O338=1,COUNTIF($O$1:$O338,1),"")</f>
        <v/>
      </c>
      <c r="Q338" s="46" t="str">
        <f ca="1">IFERROR(INDEX($L$1:$L$500,MATCH(ROWS($P$1:$P338),$P$1:$P$500,0)),"")</f>
        <v/>
      </c>
      <c r="R338" s="71" t="str">
        <f t="shared" ca="1" si="21"/>
        <v/>
      </c>
    </row>
    <row r="339" spans="8:18">
      <c r="H339"/>
      <c r="I339"/>
      <c r="J339" s="68"/>
      <c r="L339" s="46" t="str">
        <f ca="1">IFERROR(INDEX($A$1:$A$500,MATCH(ROWS($K$1:$K339),$K$1:$K$500,0)),"")</f>
        <v/>
      </c>
      <c r="M339" s="71" t="str">
        <f t="shared" ca="1" si="19"/>
        <v/>
      </c>
      <c r="O339" s="69">
        <f t="shared" ca="1" si="20"/>
        <v>0</v>
      </c>
      <c r="P339" s="70" t="str">
        <f ca="1">IF(O339=1,COUNTIF($O$1:$O339,1),"")</f>
        <v/>
      </c>
      <c r="Q339" s="46" t="str">
        <f ca="1">IFERROR(INDEX($L$1:$L$500,MATCH(ROWS($P$1:$P339),$P$1:$P$500,0)),"")</f>
        <v/>
      </c>
      <c r="R339" s="71" t="str">
        <f t="shared" ca="1" si="21"/>
        <v/>
      </c>
    </row>
    <row r="340" spans="8:18">
      <c r="H340"/>
      <c r="I340"/>
      <c r="J340" s="68"/>
      <c r="L340" s="46" t="str">
        <f ca="1">IFERROR(INDEX($A$1:$A$500,MATCH(ROWS($K$1:$K340),$K$1:$K$500,0)),"")</f>
        <v/>
      </c>
      <c r="M340" s="71" t="str">
        <f t="shared" ca="1" si="19"/>
        <v/>
      </c>
      <c r="O340" s="69">
        <f t="shared" ca="1" si="20"/>
        <v>0</v>
      </c>
      <c r="P340" s="70" t="str">
        <f ca="1">IF(O340=1,COUNTIF($O$1:$O340,1),"")</f>
        <v/>
      </c>
      <c r="Q340" s="46" t="str">
        <f ca="1">IFERROR(INDEX($L$1:$L$500,MATCH(ROWS($P$1:$P340),$P$1:$P$500,0)),"")</f>
        <v/>
      </c>
      <c r="R340" s="71" t="str">
        <f t="shared" ca="1" si="21"/>
        <v/>
      </c>
    </row>
    <row r="341" spans="8:18">
      <c r="H341"/>
      <c r="I341"/>
      <c r="J341" s="68"/>
      <c r="L341" s="46" t="str">
        <f ca="1">IFERROR(INDEX($A$1:$A$500,MATCH(ROWS($K$1:$K341),$K$1:$K$500,0)),"")</f>
        <v/>
      </c>
      <c r="M341" s="71" t="str">
        <f t="shared" ca="1" si="19"/>
        <v/>
      </c>
      <c r="O341" s="69">
        <f t="shared" ca="1" si="20"/>
        <v>0</v>
      </c>
      <c r="P341" s="70" t="str">
        <f ca="1">IF(O341=1,COUNTIF($O$1:$O341,1),"")</f>
        <v/>
      </c>
      <c r="Q341" s="46" t="str">
        <f ca="1">IFERROR(INDEX($L$1:$L$500,MATCH(ROWS($P$1:$P341),$P$1:$P$500,0)),"")</f>
        <v/>
      </c>
      <c r="R341" s="71" t="str">
        <f t="shared" ca="1" si="21"/>
        <v/>
      </c>
    </row>
    <row r="342" spans="8:18">
      <c r="H342"/>
      <c r="I342"/>
      <c r="J342" s="68"/>
      <c r="L342" s="46" t="str">
        <f ca="1">IFERROR(INDEX($A$1:$A$500,MATCH(ROWS($K$1:$K342),$K$1:$K$500,0)),"")</f>
        <v/>
      </c>
      <c r="M342" s="71" t="str">
        <f t="shared" ca="1" si="19"/>
        <v/>
      </c>
      <c r="O342" s="69">
        <f t="shared" ca="1" si="20"/>
        <v>0</v>
      </c>
      <c r="P342" s="70" t="str">
        <f ca="1">IF(O342=1,COUNTIF($O$1:$O342,1),"")</f>
        <v/>
      </c>
      <c r="Q342" s="46" t="str">
        <f ca="1">IFERROR(INDEX($L$1:$L$500,MATCH(ROWS($P$1:$P342),$P$1:$P$500,0)),"")</f>
        <v/>
      </c>
      <c r="R342" s="71" t="str">
        <f t="shared" ca="1" si="21"/>
        <v/>
      </c>
    </row>
    <row r="343" spans="8:18">
      <c r="H343"/>
      <c r="I343"/>
      <c r="J343" s="68"/>
      <c r="L343" s="46" t="str">
        <f ca="1">IFERROR(INDEX($A$1:$A$500,MATCH(ROWS($K$1:$K343),$K$1:$K$500,0)),"")</f>
        <v/>
      </c>
      <c r="M343" s="71" t="str">
        <f t="shared" ca="1" si="19"/>
        <v/>
      </c>
      <c r="O343" s="69">
        <f t="shared" ca="1" si="20"/>
        <v>0</v>
      </c>
      <c r="P343" s="70" t="str">
        <f ca="1">IF(O343=1,COUNTIF($O$1:$O343,1),"")</f>
        <v/>
      </c>
      <c r="Q343" s="46" t="str">
        <f ca="1">IFERROR(INDEX($L$1:$L$500,MATCH(ROWS($P$1:$P343),$P$1:$P$500,0)),"")</f>
        <v/>
      </c>
      <c r="R343" s="71" t="str">
        <f t="shared" ca="1" si="21"/>
        <v/>
      </c>
    </row>
    <row r="344" spans="8:18">
      <c r="H344"/>
      <c r="I344"/>
      <c r="J344" s="68"/>
      <c r="L344" s="46" t="str">
        <f ca="1">IFERROR(INDEX($A$1:$A$500,MATCH(ROWS($K$1:$K344),$K$1:$K$500,0)),"")</f>
        <v/>
      </c>
      <c r="M344" s="71" t="str">
        <f t="shared" ca="1" si="19"/>
        <v/>
      </c>
      <c r="O344" s="69">
        <f t="shared" ca="1" si="20"/>
        <v>0</v>
      </c>
      <c r="P344" s="70" t="str">
        <f ca="1">IF(O344=1,COUNTIF($O$1:$O344,1),"")</f>
        <v/>
      </c>
      <c r="Q344" s="46" t="str">
        <f ca="1">IFERROR(INDEX($L$1:$L$500,MATCH(ROWS($P$1:$P344),$P$1:$P$500,0)),"")</f>
        <v/>
      </c>
      <c r="R344" s="71" t="str">
        <f t="shared" ca="1" si="21"/>
        <v/>
      </c>
    </row>
    <row r="345" spans="8:18">
      <c r="H345"/>
      <c r="I345"/>
      <c r="J345" s="68"/>
      <c r="L345" s="46" t="str">
        <f ca="1">IFERROR(INDEX($A$1:$A$500,MATCH(ROWS($K$1:$K345),$K$1:$K$500,0)),"")</f>
        <v/>
      </c>
      <c r="M345" s="71" t="str">
        <f t="shared" ca="1" si="19"/>
        <v/>
      </c>
      <c r="O345" s="69">
        <f t="shared" ca="1" si="20"/>
        <v>0</v>
      </c>
      <c r="P345" s="70" t="str">
        <f ca="1">IF(O345=1,COUNTIF($O$1:$O345,1),"")</f>
        <v/>
      </c>
      <c r="Q345" s="46" t="str">
        <f ca="1">IFERROR(INDEX($L$1:$L$500,MATCH(ROWS($P$1:$P345),$P$1:$P$500,0)),"")</f>
        <v/>
      </c>
      <c r="R345" s="71" t="str">
        <f t="shared" ca="1" si="21"/>
        <v/>
      </c>
    </row>
    <row r="346" spans="8:18">
      <c r="H346"/>
      <c r="I346"/>
      <c r="J346" s="68"/>
      <c r="L346" s="46" t="str">
        <f ca="1">IFERROR(INDEX($A$1:$A$500,MATCH(ROWS($K$1:$K346),$K$1:$K$500,0)),"")</f>
        <v/>
      </c>
      <c r="M346" s="71" t="str">
        <f t="shared" ca="1" si="19"/>
        <v/>
      </c>
      <c r="O346" s="69">
        <f t="shared" ca="1" si="20"/>
        <v>0</v>
      </c>
      <c r="P346" s="70" t="str">
        <f ca="1">IF(O346=1,COUNTIF($O$1:$O346,1),"")</f>
        <v/>
      </c>
      <c r="Q346" s="46" t="str">
        <f ca="1">IFERROR(INDEX($L$1:$L$500,MATCH(ROWS($P$1:$P346),$P$1:$P$500,0)),"")</f>
        <v/>
      </c>
      <c r="R346" s="71" t="str">
        <f t="shared" ca="1" si="21"/>
        <v/>
      </c>
    </row>
    <row r="347" spans="8:18">
      <c r="H347"/>
      <c r="I347"/>
      <c r="J347" s="68"/>
      <c r="L347" s="46" t="str">
        <f ca="1">IFERROR(INDEX($A$1:$A$500,MATCH(ROWS($K$1:$K347),$K$1:$K$500,0)),"")</f>
        <v/>
      </c>
      <c r="M347" s="71" t="str">
        <f t="shared" ca="1" si="19"/>
        <v/>
      </c>
      <c r="O347" s="69">
        <f t="shared" ca="1" si="20"/>
        <v>0</v>
      </c>
      <c r="P347" s="70" t="str">
        <f ca="1">IF(O347=1,COUNTIF($O$1:$O347,1),"")</f>
        <v/>
      </c>
      <c r="Q347" s="46" t="str">
        <f ca="1">IFERROR(INDEX($L$1:$L$500,MATCH(ROWS($P$1:$P347),$P$1:$P$500,0)),"")</f>
        <v/>
      </c>
      <c r="R347" s="71" t="str">
        <f t="shared" ca="1" si="21"/>
        <v/>
      </c>
    </row>
    <row r="348" spans="8:18">
      <c r="H348"/>
      <c r="I348"/>
      <c r="J348" s="68"/>
      <c r="L348" s="46" t="str">
        <f ca="1">IFERROR(INDEX($A$1:$A$500,MATCH(ROWS($K$1:$K348),$K$1:$K$500,0)),"")</f>
        <v/>
      </c>
      <c r="M348" s="71" t="str">
        <f t="shared" ca="1" si="19"/>
        <v/>
      </c>
      <c r="O348" s="69">
        <f t="shared" ca="1" si="20"/>
        <v>0</v>
      </c>
      <c r="P348" s="70" t="str">
        <f ca="1">IF(O348=1,COUNTIF($O$1:$O348,1),"")</f>
        <v/>
      </c>
      <c r="Q348" s="46" t="str">
        <f ca="1">IFERROR(INDEX($L$1:$L$500,MATCH(ROWS($P$1:$P348),$P$1:$P$500,0)),"")</f>
        <v/>
      </c>
      <c r="R348" s="71" t="str">
        <f t="shared" ca="1" si="21"/>
        <v/>
      </c>
    </row>
    <row r="349" spans="8:18">
      <c r="H349"/>
      <c r="I349"/>
      <c r="J349" s="68"/>
      <c r="L349" s="46" t="str">
        <f ca="1">IFERROR(INDEX($A$1:$A$500,MATCH(ROWS($K$1:$K349),$K$1:$K$500,0)),"")</f>
        <v/>
      </c>
      <c r="M349" s="71" t="str">
        <f t="shared" ca="1" si="19"/>
        <v/>
      </c>
      <c r="O349" s="69">
        <f t="shared" ca="1" si="20"/>
        <v>0</v>
      </c>
      <c r="P349" s="70" t="str">
        <f ca="1">IF(O349=1,COUNTIF($O$1:$O349,1),"")</f>
        <v/>
      </c>
      <c r="Q349" s="46" t="str">
        <f ca="1">IFERROR(INDEX($L$1:$L$500,MATCH(ROWS($P$1:$P349),$P$1:$P$500,0)),"")</f>
        <v/>
      </c>
      <c r="R349" s="71" t="str">
        <f t="shared" ca="1" si="21"/>
        <v/>
      </c>
    </row>
    <row r="350" spans="8:18">
      <c r="H350"/>
      <c r="I350"/>
      <c r="J350" s="68"/>
      <c r="L350" s="46" t="str">
        <f ca="1">IFERROR(INDEX($A$1:$A$500,MATCH(ROWS($K$1:$K350),$K$1:$K$500,0)),"")</f>
        <v/>
      </c>
      <c r="M350" s="71" t="str">
        <f t="shared" ca="1" si="19"/>
        <v/>
      </c>
      <c r="O350" s="69">
        <f t="shared" ca="1" si="20"/>
        <v>0</v>
      </c>
      <c r="P350" s="70" t="str">
        <f ca="1">IF(O350=1,COUNTIF($O$1:$O350,1),"")</f>
        <v/>
      </c>
      <c r="Q350" s="46" t="str">
        <f ca="1">IFERROR(INDEX($L$1:$L$500,MATCH(ROWS($P$1:$P350),$P$1:$P$500,0)),"")</f>
        <v/>
      </c>
      <c r="R350" s="71" t="str">
        <f t="shared" ca="1" si="21"/>
        <v/>
      </c>
    </row>
    <row r="351" spans="8:18">
      <c r="H351"/>
      <c r="I351"/>
      <c r="J351" s="68"/>
      <c r="L351" s="46" t="str">
        <f ca="1">IFERROR(INDEX($A$1:$A$500,MATCH(ROWS($K$1:$K351),$K$1:$K$500,0)),"")</f>
        <v/>
      </c>
      <c r="M351" s="71" t="str">
        <f t="shared" ca="1" si="19"/>
        <v/>
      </c>
      <c r="O351" s="69">
        <f t="shared" ca="1" si="20"/>
        <v>0</v>
      </c>
      <c r="P351" s="70" t="str">
        <f ca="1">IF(O351=1,COUNTIF($O$1:$O351,1),"")</f>
        <v/>
      </c>
      <c r="Q351" s="46" t="str">
        <f ca="1">IFERROR(INDEX($L$1:$L$500,MATCH(ROWS($P$1:$P351),$P$1:$P$500,0)),"")</f>
        <v/>
      </c>
      <c r="R351" s="71" t="str">
        <f t="shared" ca="1" si="21"/>
        <v/>
      </c>
    </row>
    <row r="352" spans="8:18">
      <c r="H352"/>
      <c r="I352"/>
      <c r="J352" s="68"/>
      <c r="L352" s="46" t="str">
        <f ca="1">IFERROR(INDEX($A$1:$A$500,MATCH(ROWS($K$1:$K352),$K$1:$K$500,0)),"")</f>
        <v/>
      </c>
      <c r="M352" s="71" t="str">
        <f t="shared" ca="1" si="19"/>
        <v/>
      </c>
      <c r="O352" s="69">
        <f t="shared" ca="1" si="20"/>
        <v>0</v>
      </c>
      <c r="P352" s="70" t="str">
        <f ca="1">IF(O352=1,COUNTIF($O$1:$O352,1),"")</f>
        <v/>
      </c>
      <c r="Q352" s="46" t="str">
        <f ca="1">IFERROR(INDEX($L$1:$L$500,MATCH(ROWS($P$1:$P352),$P$1:$P$500,0)),"")</f>
        <v/>
      </c>
      <c r="R352" s="71" t="str">
        <f t="shared" ca="1" si="21"/>
        <v/>
      </c>
    </row>
    <row r="353" spans="8:18">
      <c r="H353"/>
      <c r="I353"/>
      <c r="J353" s="68"/>
      <c r="L353" s="46" t="str">
        <f ca="1">IFERROR(INDEX($A$1:$A$500,MATCH(ROWS($K$1:$K353),$K$1:$K$500,0)),"")</f>
        <v/>
      </c>
      <c r="M353" s="71" t="str">
        <f t="shared" ca="1" si="19"/>
        <v/>
      </c>
      <c r="O353" s="69">
        <f t="shared" ca="1" si="20"/>
        <v>0</v>
      </c>
      <c r="P353" s="70" t="str">
        <f ca="1">IF(O353=1,COUNTIF($O$1:$O353,1),"")</f>
        <v/>
      </c>
      <c r="Q353" s="46" t="str">
        <f ca="1">IFERROR(INDEX($L$1:$L$500,MATCH(ROWS($P$1:$P353),$P$1:$P$500,0)),"")</f>
        <v/>
      </c>
      <c r="R353" s="71" t="str">
        <f t="shared" ca="1" si="21"/>
        <v/>
      </c>
    </row>
    <row r="354" spans="8:18">
      <c r="H354"/>
      <c r="I354"/>
      <c r="J354" s="68"/>
      <c r="L354" s="46" t="str">
        <f ca="1">IFERROR(INDEX($A$1:$A$500,MATCH(ROWS($K$1:$K354),$K$1:$K$500,0)),"")</f>
        <v/>
      </c>
      <c r="M354" s="71" t="str">
        <f t="shared" ca="1" si="19"/>
        <v/>
      </c>
      <c r="O354" s="69">
        <f t="shared" ca="1" si="20"/>
        <v>0</v>
      </c>
      <c r="P354" s="70" t="str">
        <f ca="1">IF(O354=1,COUNTIF($O$1:$O354,1),"")</f>
        <v/>
      </c>
      <c r="Q354" s="46" t="str">
        <f ca="1">IFERROR(INDEX($L$1:$L$500,MATCH(ROWS($P$1:$P354),$P$1:$P$500,0)),"")</f>
        <v/>
      </c>
      <c r="R354" s="71" t="str">
        <f t="shared" ca="1" si="21"/>
        <v/>
      </c>
    </row>
    <row r="355" spans="8:18">
      <c r="H355"/>
      <c r="I355"/>
      <c r="J355" s="68"/>
      <c r="L355" s="46" t="str">
        <f ca="1">IFERROR(INDEX($A$1:$A$500,MATCH(ROWS($K$1:$K355),$K$1:$K$500,0)),"")</f>
        <v/>
      </c>
      <c r="M355" s="71" t="str">
        <f t="shared" ca="1" si="19"/>
        <v/>
      </c>
      <c r="O355" s="69">
        <f t="shared" ca="1" si="20"/>
        <v>0</v>
      </c>
      <c r="P355" s="70" t="str">
        <f ca="1">IF(O355=1,COUNTIF($O$1:$O355,1),"")</f>
        <v/>
      </c>
      <c r="Q355" s="46" t="str">
        <f ca="1">IFERROR(INDEX($L$1:$L$500,MATCH(ROWS($P$1:$P355),$P$1:$P$500,0)),"")</f>
        <v/>
      </c>
      <c r="R355" s="71" t="str">
        <f t="shared" ca="1" si="21"/>
        <v/>
      </c>
    </row>
    <row r="356" spans="8:18">
      <c r="H356"/>
      <c r="I356"/>
      <c r="J356" s="68"/>
      <c r="L356" s="46" t="str">
        <f ca="1">IFERROR(INDEX($A$1:$A$500,MATCH(ROWS($K$1:$K356),$K$1:$K$500,0)),"")</f>
        <v/>
      </c>
      <c r="M356" s="71" t="str">
        <f t="shared" ca="1" si="19"/>
        <v/>
      </c>
      <c r="O356" s="69">
        <f t="shared" ca="1" si="20"/>
        <v>0</v>
      </c>
      <c r="P356" s="70" t="str">
        <f ca="1">IF(O356=1,COUNTIF($O$1:$O356,1),"")</f>
        <v/>
      </c>
      <c r="Q356" s="46" t="str">
        <f ca="1">IFERROR(INDEX($L$1:$L$500,MATCH(ROWS($P$1:$P356),$P$1:$P$500,0)),"")</f>
        <v/>
      </c>
      <c r="R356" s="71" t="str">
        <f t="shared" ca="1" si="21"/>
        <v/>
      </c>
    </row>
    <row r="357" spans="8:18">
      <c r="H357"/>
      <c r="I357"/>
      <c r="J357" s="68"/>
      <c r="L357" s="46" t="str">
        <f ca="1">IFERROR(INDEX($A$1:$A$500,MATCH(ROWS($K$1:$K357),$K$1:$K$500,0)),"")</f>
        <v/>
      </c>
      <c r="M357" s="71" t="str">
        <f t="shared" ca="1" si="19"/>
        <v/>
      </c>
      <c r="O357" s="69">
        <f t="shared" ca="1" si="20"/>
        <v>0</v>
      </c>
      <c r="P357" s="70" t="str">
        <f ca="1">IF(O357=1,COUNTIF($O$1:$O357,1),"")</f>
        <v/>
      </c>
      <c r="Q357" s="46" t="str">
        <f ca="1">IFERROR(INDEX($L$1:$L$500,MATCH(ROWS($P$1:$P357),$P$1:$P$500,0)),"")</f>
        <v/>
      </c>
      <c r="R357" s="71" t="str">
        <f t="shared" ca="1" si="21"/>
        <v/>
      </c>
    </row>
    <row r="358" spans="8:18">
      <c r="H358"/>
      <c r="I358"/>
      <c r="J358" s="68"/>
      <c r="L358" s="46" t="str">
        <f ca="1">IFERROR(INDEX($A$1:$A$500,MATCH(ROWS($K$1:$K358),$K$1:$K$500,0)),"")</f>
        <v/>
      </c>
      <c r="M358" s="71" t="str">
        <f t="shared" ca="1" si="19"/>
        <v/>
      </c>
      <c r="O358" s="69">
        <f t="shared" ca="1" si="20"/>
        <v>0</v>
      </c>
      <c r="P358" s="70" t="str">
        <f ca="1">IF(O358=1,COUNTIF($O$1:$O358,1),"")</f>
        <v/>
      </c>
      <c r="Q358" s="46" t="str">
        <f ca="1">IFERROR(INDEX($L$1:$L$500,MATCH(ROWS($P$1:$P358),$P$1:$P$500,0)),"")</f>
        <v/>
      </c>
      <c r="R358" s="71" t="str">
        <f t="shared" ca="1" si="21"/>
        <v/>
      </c>
    </row>
    <row r="359" spans="8:18">
      <c r="H359"/>
      <c r="I359"/>
      <c r="J359" s="68"/>
      <c r="L359" s="46" t="str">
        <f ca="1">IFERROR(INDEX($A$1:$A$500,MATCH(ROWS($K$1:$K359),$K$1:$K$500,0)),"")</f>
        <v/>
      </c>
      <c r="M359" s="71" t="str">
        <f t="shared" ca="1" si="19"/>
        <v/>
      </c>
      <c r="O359" s="69">
        <f t="shared" ca="1" si="20"/>
        <v>0</v>
      </c>
      <c r="P359" s="70" t="str">
        <f ca="1">IF(O359=1,COUNTIF($O$1:$O359,1),"")</f>
        <v/>
      </c>
      <c r="Q359" s="46" t="str">
        <f ca="1">IFERROR(INDEX($L$1:$L$500,MATCH(ROWS($P$1:$P359),$P$1:$P$500,0)),"")</f>
        <v/>
      </c>
      <c r="R359" s="71" t="str">
        <f t="shared" ca="1" si="21"/>
        <v/>
      </c>
    </row>
    <row r="360" spans="8:18">
      <c r="H360"/>
      <c r="I360"/>
      <c r="J360" s="68"/>
      <c r="L360" s="46" t="str">
        <f ca="1">IFERROR(INDEX($A$1:$A$500,MATCH(ROWS($K$1:$K360),$K$1:$K$500,0)),"")</f>
        <v/>
      </c>
      <c r="M360" s="71" t="str">
        <f t="shared" ca="1" si="19"/>
        <v/>
      </c>
      <c r="O360" s="69">
        <f t="shared" ca="1" si="20"/>
        <v>0</v>
      </c>
      <c r="P360" s="70" t="str">
        <f ca="1">IF(O360=1,COUNTIF($O$1:$O360,1),"")</f>
        <v/>
      </c>
      <c r="Q360" s="46" t="str">
        <f ca="1">IFERROR(INDEX($L$1:$L$500,MATCH(ROWS($P$1:$P360),$P$1:$P$500,0)),"")</f>
        <v/>
      </c>
      <c r="R360" s="71" t="str">
        <f t="shared" ca="1" si="21"/>
        <v/>
      </c>
    </row>
    <row r="361" spans="8:18">
      <c r="H361"/>
      <c r="I361"/>
      <c r="J361" s="68"/>
      <c r="L361" s="46" t="str">
        <f ca="1">IFERROR(INDEX($A$1:$A$500,MATCH(ROWS($K$1:$K361),$K$1:$K$500,0)),"")</f>
        <v/>
      </c>
      <c r="M361" s="71" t="str">
        <f t="shared" ca="1" si="19"/>
        <v/>
      </c>
      <c r="O361" s="69">
        <f t="shared" ca="1" si="20"/>
        <v>0</v>
      </c>
      <c r="P361" s="70" t="str">
        <f ca="1">IF(O361=1,COUNTIF($O$1:$O361,1),"")</f>
        <v/>
      </c>
      <c r="Q361" s="46" t="str">
        <f ca="1">IFERROR(INDEX($L$1:$L$500,MATCH(ROWS($P$1:$P361),$P$1:$P$500,0)),"")</f>
        <v/>
      </c>
      <c r="R361" s="71" t="str">
        <f t="shared" ca="1" si="21"/>
        <v/>
      </c>
    </row>
    <row r="362" spans="8:18">
      <c r="H362"/>
      <c r="I362"/>
      <c r="J362" s="68"/>
      <c r="L362" s="46" t="str">
        <f ca="1">IFERROR(INDEX($A$1:$A$500,MATCH(ROWS($K$1:$K362),$K$1:$K$500,0)),"")</f>
        <v/>
      </c>
      <c r="M362" s="71" t="str">
        <f t="shared" ca="1" si="19"/>
        <v/>
      </c>
      <c r="O362" s="69">
        <f t="shared" ca="1" si="20"/>
        <v>0</v>
      </c>
      <c r="P362" s="70" t="str">
        <f ca="1">IF(O362=1,COUNTIF($O$1:$O362,1),"")</f>
        <v/>
      </c>
      <c r="Q362" s="46" t="str">
        <f ca="1">IFERROR(INDEX($L$1:$L$500,MATCH(ROWS($P$1:$P362),$P$1:$P$500,0)),"")</f>
        <v/>
      </c>
      <c r="R362" s="71" t="str">
        <f t="shared" ca="1" si="21"/>
        <v/>
      </c>
    </row>
    <row r="363" spans="8:18">
      <c r="H363"/>
      <c r="I363"/>
      <c r="J363" s="68"/>
      <c r="L363" s="46" t="str">
        <f ca="1">IFERROR(INDEX($A$1:$A$500,MATCH(ROWS($K$1:$K363),$K$1:$K$500,0)),"")</f>
        <v/>
      </c>
      <c r="M363" s="71" t="str">
        <f t="shared" ca="1" si="19"/>
        <v/>
      </c>
      <c r="O363" s="69">
        <f t="shared" ca="1" si="20"/>
        <v>0</v>
      </c>
      <c r="P363" s="70" t="str">
        <f ca="1">IF(O363=1,COUNTIF($O$1:$O363,1),"")</f>
        <v/>
      </c>
      <c r="Q363" s="46" t="str">
        <f ca="1">IFERROR(INDEX($L$1:$L$500,MATCH(ROWS($P$1:$P363),$P$1:$P$500,0)),"")</f>
        <v/>
      </c>
      <c r="R363" s="71" t="str">
        <f t="shared" ca="1" si="21"/>
        <v/>
      </c>
    </row>
    <row r="364" spans="8:18">
      <c r="H364"/>
      <c r="I364"/>
      <c r="J364" s="68"/>
      <c r="L364" s="46" t="str">
        <f ca="1">IFERROR(INDEX($A$1:$A$500,MATCH(ROWS($K$1:$K364),$K$1:$K$500,0)),"")</f>
        <v/>
      </c>
      <c r="M364" s="71" t="str">
        <f t="shared" ca="1" si="19"/>
        <v/>
      </c>
      <c r="O364" s="69">
        <f t="shared" ca="1" si="20"/>
        <v>0</v>
      </c>
      <c r="P364" s="70" t="str">
        <f ca="1">IF(O364=1,COUNTIF($O$1:$O364,1),"")</f>
        <v/>
      </c>
      <c r="Q364" s="46" t="str">
        <f ca="1">IFERROR(INDEX($L$1:$L$500,MATCH(ROWS($P$1:$P364),$P$1:$P$500,0)),"")</f>
        <v/>
      </c>
      <c r="R364" s="71" t="str">
        <f t="shared" ca="1" si="21"/>
        <v/>
      </c>
    </row>
    <row r="365" spans="8:18">
      <c r="H365"/>
      <c r="I365"/>
      <c r="J365" s="68"/>
      <c r="L365" s="46" t="str">
        <f ca="1">IFERROR(INDEX($A$1:$A$500,MATCH(ROWS($K$1:$K365),$K$1:$K$500,0)),"")</f>
        <v/>
      </c>
      <c r="M365" s="71" t="str">
        <f t="shared" ca="1" si="19"/>
        <v/>
      </c>
      <c r="O365" s="69">
        <f t="shared" ca="1" si="20"/>
        <v>0</v>
      </c>
      <c r="P365" s="70" t="str">
        <f ca="1">IF(O365=1,COUNTIF($O$1:$O365,1),"")</f>
        <v/>
      </c>
      <c r="Q365" s="46" t="str">
        <f ca="1">IFERROR(INDEX($L$1:$L$500,MATCH(ROWS($P$1:$P365),$P$1:$P$500,0)),"")</f>
        <v/>
      </c>
      <c r="R365" s="71" t="str">
        <f t="shared" ca="1" si="21"/>
        <v/>
      </c>
    </row>
    <row r="366" spans="8:18">
      <c r="H366"/>
      <c r="I366"/>
      <c r="J366" s="68"/>
      <c r="L366" s="46" t="str">
        <f ca="1">IFERROR(INDEX($A$1:$A$500,MATCH(ROWS($K$1:$K366),$K$1:$K$500,0)),"")</f>
        <v/>
      </c>
      <c r="M366" s="71" t="str">
        <f t="shared" ca="1" si="19"/>
        <v/>
      </c>
      <c r="O366" s="69">
        <f t="shared" ca="1" si="20"/>
        <v>0</v>
      </c>
      <c r="P366" s="70" t="str">
        <f ca="1">IF(O366=1,COUNTIF($O$1:$O366,1),"")</f>
        <v/>
      </c>
      <c r="Q366" s="46" t="str">
        <f ca="1">IFERROR(INDEX($L$1:$L$500,MATCH(ROWS($P$1:$P366),$P$1:$P$500,0)),"")</f>
        <v/>
      </c>
      <c r="R366" s="71" t="str">
        <f t="shared" ca="1" si="21"/>
        <v/>
      </c>
    </row>
    <row r="367" spans="8:18">
      <c r="H367"/>
      <c r="I367"/>
      <c r="J367" s="68"/>
      <c r="L367" s="46" t="str">
        <f ca="1">IFERROR(INDEX($A$1:$A$500,MATCH(ROWS($K$1:$K367),$K$1:$K$500,0)),"")</f>
        <v/>
      </c>
      <c r="M367" s="71" t="str">
        <f t="shared" ca="1" si="19"/>
        <v/>
      </c>
      <c r="O367" s="69">
        <f t="shared" ca="1" si="20"/>
        <v>0</v>
      </c>
      <c r="P367" s="70" t="str">
        <f ca="1">IF(O367=1,COUNTIF($O$1:$O367,1),"")</f>
        <v/>
      </c>
      <c r="Q367" s="46" t="str">
        <f ca="1">IFERROR(INDEX($L$1:$L$500,MATCH(ROWS($P$1:$P367),$P$1:$P$500,0)),"")</f>
        <v/>
      </c>
      <c r="R367" s="71" t="str">
        <f t="shared" ca="1" si="21"/>
        <v/>
      </c>
    </row>
    <row r="368" spans="8:18">
      <c r="H368"/>
      <c r="I368"/>
      <c r="J368" s="68"/>
      <c r="L368" s="46" t="str">
        <f ca="1">IFERROR(INDEX($A$1:$A$500,MATCH(ROWS($K$1:$K368),$K$1:$K$500,0)),"")</f>
        <v/>
      </c>
      <c r="M368" s="71" t="str">
        <f t="shared" ca="1" si="19"/>
        <v/>
      </c>
      <c r="O368" s="69">
        <f t="shared" ca="1" si="20"/>
        <v>0</v>
      </c>
      <c r="P368" s="70" t="str">
        <f ca="1">IF(O368=1,COUNTIF($O$1:$O368,1),"")</f>
        <v/>
      </c>
      <c r="Q368" s="46" t="str">
        <f ca="1">IFERROR(INDEX($L$1:$L$500,MATCH(ROWS($P$1:$P368),$P$1:$P$500,0)),"")</f>
        <v/>
      </c>
      <c r="R368" s="71" t="str">
        <f t="shared" ca="1" si="21"/>
        <v/>
      </c>
    </row>
    <row r="369" spans="8:18">
      <c r="H369"/>
      <c r="I369"/>
      <c r="J369" s="68"/>
      <c r="L369" s="46" t="str">
        <f ca="1">IFERROR(INDEX($A$1:$A$500,MATCH(ROWS($K$1:$K369),$K$1:$K$500,0)),"")</f>
        <v/>
      </c>
      <c r="M369" s="71" t="str">
        <f t="shared" ca="1" si="19"/>
        <v/>
      </c>
      <c r="O369" s="69">
        <f t="shared" ca="1" si="20"/>
        <v>0</v>
      </c>
      <c r="P369" s="70" t="str">
        <f ca="1">IF(O369=1,COUNTIF($O$1:$O369,1),"")</f>
        <v/>
      </c>
      <c r="Q369" s="46" t="str">
        <f ca="1">IFERROR(INDEX($L$1:$L$500,MATCH(ROWS($P$1:$P369),$P$1:$P$500,0)),"")</f>
        <v/>
      </c>
      <c r="R369" s="71" t="str">
        <f t="shared" ca="1" si="21"/>
        <v/>
      </c>
    </row>
    <row r="370" spans="8:18">
      <c r="H370"/>
      <c r="I370"/>
      <c r="J370" s="68"/>
      <c r="L370" s="46" t="str">
        <f ca="1">IFERROR(INDEX($A$1:$A$500,MATCH(ROWS($K$1:$K370),$K$1:$K$500,0)),"")</f>
        <v/>
      </c>
      <c r="M370" s="71" t="str">
        <f t="shared" ca="1" si="19"/>
        <v/>
      </c>
      <c r="O370" s="69">
        <f t="shared" ca="1" si="20"/>
        <v>0</v>
      </c>
      <c r="P370" s="70" t="str">
        <f ca="1">IF(O370=1,COUNTIF($O$1:$O370,1),"")</f>
        <v/>
      </c>
      <c r="Q370" s="46" t="str">
        <f ca="1">IFERROR(INDEX($L$1:$L$500,MATCH(ROWS($P$1:$P370),$P$1:$P$500,0)),"")</f>
        <v/>
      </c>
      <c r="R370" s="71" t="str">
        <f t="shared" ca="1" si="21"/>
        <v/>
      </c>
    </row>
    <row r="371" spans="8:18">
      <c r="H371"/>
      <c r="I371"/>
      <c r="J371" s="68"/>
      <c r="L371" s="46" t="str">
        <f ca="1">IFERROR(INDEX($A$1:$A$500,MATCH(ROWS($K$1:$K371),$K$1:$K$500,0)),"")</f>
        <v/>
      </c>
      <c r="M371" s="71" t="str">
        <f t="shared" ca="1" si="19"/>
        <v/>
      </c>
      <c r="O371" s="69">
        <f t="shared" ca="1" si="20"/>
        <v>0</v>
      </c>
      <c r="P371" s="70" t="str">
        <f ca="1">IF(O371=1,COUNTIF($O$1:$O371,1),"")</f>
        <v/>
      </c>
      <c r="Q371" s="46" t="str">
        <f ca="1">IFERROR(INDEX($L$1:$L$500,MATCH(ROWS($P$1:$P371),$P$1:$P$500,0)),"")</f>
        <v/>
      </c>
      <c r="R371" s="71" t="str">
        <f t="shared" ca="1" si="21"/>
        <v/>
      </c>
    </row>
    <row r="372" spans="8:18">
      <c r="H372"/>
      <c r="I372"/>
      <c r="J372" s="68"/>
      <c r="L372" s="46" t="str">
        <f ca="1">IFERROR(INDEX($A$1:$A$500,MATCH(ROWS($K$1:$K372),$K$1:$K$500,0)),"")</f>
        <v/>
      </c>
      <c r="M372" s="71" t="str">
        <f t="shared" ca="1" si="19"/>
        <v/>
      </c>
      <c r="O372" s="69">
        <f t="shared" ca="1" si="20"/>
        <v>0</v>
      </c>
      <c r="P372" s="70" t="str">
        <f ca="1">IF(O372=1,COUNTIF($O$1:$O372,1),"")</f>
        <v/>
      </c>
      <c r="Q372" s="46" t="str">
        <f ca="1">IFERROR(INDEX($L$1:$L$500,MATCH(ROWS($P$1:$P372),$P$1:$P$500,0)),"")</f>
        <v/>
      </c>
      <c r="R372" s="71" t="str">
        <f t="shared" ca="1" si="21"/>
        <v/>
      </c>
    </row>
    <row r="373" spans="8:18">
      <c r="H373"/>
      <c r="I373"/>
      <c r="J373" s="68"/>
      <c r="L373" s="46" t="str">
        <f ca="1">IFERROR(INDEX($A$1:$A$500,MATCH(ROWS($K$1:$K373),$K$1:$K$500,0)),"")</f>
        <v/>
      </c>
      <c r="M373" s="71" t="str">
        <f t="shared" ca="1" si="19"/>
        <v/>
      </c>
      <c r="O373" s="69">
        <f t="shared" ca="1" si="20"/>
        <v>0</v>
      </c>
      <c r="P373" s="70" t="str">
        <f ca="1">IF(O373=1,COUNTIF($O$1:$O373,1),"")</f>
        <v/>
      </c>
      <c r="Q373" s="46" t="str">
        <f ca="1">IFERROR(INDEX($L$1:$L$500,MATCH(ROWS($P$1:$P373),$P$1:$P$500,0)),"")</f>
        <v/>
      </c>
      <c r="R373" s="71" t="str">
        <f t="shared" ca="1" si="21"/>
        <v/>
      </c>
    </row>
    <row r="374" spans="8:18">
      <c r="H374"/>
      <c r="I374"/>
      <c r="J374" s="68"/>
      <c r="L374" s="46" t="str">
        <f ca="1">IFERROR(INDEX($A$1:$A$500,MATCH(ROWS($K$1:$K374),$K$1:$K$500,0)),"")</f>
        <v/>
      </c>
      <c r="M374" s="71" t="str">
        <f t="shared" ca="1" si="19"/>
        <v/>
      </c>
      <c r="O374" s="69">
        <f t="shared" ca="1" si="20"/>
        <v>0</v>
      </c>
      <c r="P374" s="70" t="str">
        <f ca="1">IF(O374=1,COUNTIF($O$1:$O374,1),"")</f>
        <v/>
      </c>
      <c r="Q374" s="46" t="str">
        <f ca="1">IFERROR(INDEX($L$1:$L$500,MATCH(ROWS($P$1:$P374),$P$1:$P$500,0)),"")</f>
        <v/>
      </c>
      <c r="R374" s="71" t="str">
        <f t="shared" ca="1" si="21"/>
        <v/>
      </c>
    </row>
    <row r="375" spans="8:18">
      <c r="H375"/>
      <c r="I375"/>
      <c r="J375" s="68"/>
      <c r="L375" s="46" t="str">
        <f ca="1">IFERROR(INDEX($A$1:$A$500,MATCH(ROWS($K$1:$K375),$K$1:$K$500,0)),"")</f>
        <v/>
      </c>
      <c r="M375" s="71" t="str">
        <f t="shared" ca="1" si="19"/>
        <v/>
      </c>
      <c r="O375" s="69">
        <f t="shared" ca="1" si="20"/>
        <v>0</v>
      </c>
      <c r="P375" s="70" t="str">
        <f ca="1">IF(O375=1,COUNTIF($O$1:$O375,1),"")</f>
        <v/>
      </c>
      <c r="Q375" s="46" t="str">
        <f ca="1">IFERROR(INDEX($L$1:$L$500,MATCH(ROWS($P$1:$P375),$P$1:$P$500,0)),"")</f>
        <v/>
      </c>
      <c r="R375" s="71" t="str">
        <f t="shared" ca="1" si="21"/>
        <v/>
      </c>
    </row>
    <row r="376" spans="8:18">
      <c r="H376"/>
      <c r="I376"/>
      <c r="J376" s="68"/>
      <c r="L376" s="46" t="str">
        <f ca="1">IFERROR(INDEX($A$1:$A$500,MATCH(ROWS($K$1:$K376),$K$1:$K$500,0)),"")</f>
        <v/>
      </c>
      <c r="M376" s="71" t="str">
        <f t="shared" ca="1" si="19"/>
        <v/>
      </c>
      <c r="O376" s="69">
        <f t="shared" ca="1" si="20"/>
        <v>0</v>
      </c>
      <c r="P376" s="70" t="str">
        <f ca="1">IF(O376=1,COUNTIF($O$1:$O376,1),"")</f>
        <v/>
      </c>
      <c r="Q376" s="46" t="str">
        <f ca="1">IFERROR(INDEX($L$1:$L$500,MATCH(ROWS($P$1:$P376),$P$1:$P$500,0)),"")</f>
        <v/>
      </c>
      <c r="R376" s="71" t="str">
        <f t="shared" ca="1" si="21"/>
        <v/>
      </c>
    </row>
    <row r="377" spans="8:18">
      <c r="H377"/>
      <c r="I377"/>
      <c r="J377" s="68"/>
      <c r="L377" s="46" t="str">
        <f ca="1">IFERROR(INDEX($A$1:$A$500,MATCH(ROWS($K$1:$K377),$K$1:$K$500,0)),"")</f>
        <v/>
      </c>
      <c r="M377" s="71" t="str">
        <f t="shared" ca="1" si="19"/>
        <v/>
      </c>
      <c r="O377" s="69">
        <f t="shared" ca="1" si="20"/>
        <v>0</v>
      </c>
      <c r="P377" s="70" t="str">
        <f ca="1">IF(O377=1,COUNTIF($O$1:$O377,1),"")</f>
        <v/>
      </c>
      <c r="Q377" s="46" t="str">
        <f ca="1">IFERROR(INDEX($L$1:$L$500,MATCH(ROWS($P$1:$P377),$P$1:$P$500,0)),"")</f>
        <v/>
      </c>
      <c r="R377" s="71" t="str">
        <f t="shared" ca="1" si="21"/>
        <v/>
      </c>
    </row>
    <row r="378" spans="8:18">
      <c r="H378"/>
      <c r="I378"/>
      <c r="J378" s="68"/>
      <c r="L378" s="46" t="str">
        <f ca="1">IFERROR(INDEX($A$1:$A$500,MATCH(ROWS($K$1:$K378),$K$1:$K$500,0)),"")</f>
        <v/>
      </c>
      <c r="M378" s="71" t="str">
        <f t="shared" ca="1" si="19"/>
        <v/>
      </c>
      <c r="O378" s="69">
        <f t="shared" ca="1" si="20"/>
        <v>0</v>
      </c>
      <c r="P378" s="70" t="str">
        <f ca="1">IF(O378=1,COUNTIF($O$1:$O378,1),"")</f>
        <v/>
      </c>
      <c r="Q378" s="46" t="str">
        <f ca="1">IFERROR(INDEX($L$1:$L$500,MATCH(ROWS($P$1:$P378),$P$1:$P$500,0)),"")</f>
        <v/>
      </c>
      <c r="R378" s="71" t="str">
        <f t="shared" ca="1" si="21"/>
        <v/>
      </c>
    </row>
    <row r="379" spans="8:18">
      <c r="H379"/>
      <c r="I379"/>
      <c r="J379" s="68"/>
      <c r="L379" s="46" t="str">
        <f ca="1">IFERROR(INDEX($A$1:$A$500,MATCH(ROWS($K$1:$K379),$K$1:$K$500,0)),"")</f>
        <v/>
      </c>
      <c r="M379" s="71" t="str">
        <f t="shared" ca="1" si="19"/>
        <v/>
      </c>
      <c r="O379" s="69">
        <f t="shared" ca="1" si="20"/>
        <v>0</v>
      </c>
      <c r="P379" s="70" t="str">
        <f ca="1">IF(O379=1,COUNTIF($O$1:$O379,1),"")</f>
        <v/>
      </c>
      <c r="Q379" s="46" t="str">
        <f ca="1">IFERROR(INDEX($L$1:$L$500,MATCH(ROWS($P$1:$P379),$P$1:$P$500,0)),"")</f>
        <v/>
      </c>
      <c r="R379" s="71" t="str">
        <f t="shared" ca="1" si="21"/>
        <v/>
      </c>
    </row>
    <row r="380" spans="8:18">
      <c r="H380"/>
      <c r="I380"/>
      <c r="J380" s="68"/>
      <c r="L380" s="46" t="str">
        <f ca="1">IFERROR(INDEX($A$1:$A$500,MATCH(ROWS($K$1:$K380),$K$1:$K$500,0)),"")</f>
        <v/>
      </c>
      <c r="M380" s="71" t="str">
        <f t="shared" ca="1" si="19"/>
        <v/>
      </c>
      <c r="O380" s="69">
        <f t="shared" ca="1" si="20"/>
        <v>0</v>
      </c>
      <c r="P380" s="70" t="str">
        <f ca="1">IF(O380=1,COUNTIF($O$1:$O380,1),"")</f>
        <v/>
      </c>
      <c r="Q380" s="46" t="str">
        <f ca="1">IFERROR(INDEX($L$1:$L$500,MATCH(ROWS($P$1:$P380),$P$1:$P$500,0)),"")</f>
        <v/>
      </c>
      <c r="R380" s="71" t="str">
        <f t="shared" ca="1" si="21"/>
        <v/>
      </c>
    </row>
    <row r="381" spans="8:18">
      <c r="H381"/>
      <c r="I381"/>
      <c r="J381" s="68"/>
      <c r="L381" s="46" t="str">
        <f ca="1">IFERROR(INDEX($A$1:$A$500,MATCH(ROWS($K$1:$K381),$K$1:$K$500,0)),"")</f>
        <v/>
      </c>
      <c r="M381" s="71" t="str">
        <f t="shared" ca="1" si="19"/>
        <v/>
      </c>
      <c r="O381" s="69">
        <f t="shared" ca="1" si="20"/>
        <v>0</v>
      </c>
      <c r="P381" s="70" t="str">
        <f ca="1">IF(O381=1,COUNTIF($O$1:$O381,1),"")</f>
        <v/>
      </c>
      <c r="Q381" s="46" t="str">
        <f ca="1">IFERROR(INDEX($L$1:$L$500,MATCH(ROWS($P$1:$P381),$P$1:$P$500,0)),"")</f>
        <v/>
      </c>
      <c r="R381" s="71" t="str">
        <f t="shared" ca="1" si="21"/>
        <v/>
      </c>
    </row>
    <row r="382" spans="8:18">
      <c r="H382"/>
      <c r="I382"/>
      <c r="J382" s="68"/>
      <c r="L382" s="46" t="str">
        <f ca="1">IFERROR(INDEX($A$1:$A$500,MATCH(ROWS($K$1:$K382),$K$1:$K$500,0)),"")</f>
        <v/>
      </c>
      <c r="M382" s="71" t="str">
        <f t="shared" ca="1" si="19"/>
        <v/>
      </c>
      <c r="O382" s="69">
        <f t="shared" ca="1" si="20"/>
        <v>0</v>
      </c>
      <c r="P382" s="70" t="str">
        <f ca="1">IF(O382=1,COUNTIF($O$1:$O382,1),"")</f>
        <v/>
      </c>
      <c r="Q382" s="46" t="str">
        <f ca="1">IFERROR(INDEX($L$1:$L$500,MATCH(ROWS($P$1:$P382),$P$1:$P$500,0)),"")</f>
        <v/>
      </c>
      <c r="R382" s="71" t="str">
        <f t="shared" ca="1" si="21"/>
        <v/>
      </c>
    </row>
    <row r="383" spans="8:18">
      <c r="H383"/>
      <c r="I383"/>
      <c r="J383" s="68"/>
      <c r="L383" s="46" t="str">
        <f ca="1">IFERROR(INDEX($A$1:$A$500,MATCH(ROWS($K$1:$K383),$K$1:$K$500,0)),"")</f>
        <v/>
      </c>
      <c r="M383" s="71" t="str">
        <f t="shared" ca="1" si="19"/>
        <v/>
      </c>
      <c r="O383" s="69">
        <f t="shared" ca="1" si="20"/>
        <v>0</v>
      </c>
      <c r="P383" s="70" t="str">
        <f ca="1">IF(O383=1,COUNTIF($O$1:$O383,1),"")</f>
        <v/>
      </c>
      <c r="Q383" s="46" t="str">
        <f ca="1">IFERROR(INDEX($L$1:$L$500,MATCH(ROWS($P$1:$P383),$P$1:$P$500,0)),"")</f>
        <v/>
      </c>
      <c r="R383" s="71" t="str">
        <f t="shared" ca="1" si="21"/>
        <v/>
      </c>
    </row>
    <row r="384" spans="8:18">
      <c r="H384"/>
      <c r="I384"/>
      <c r="J384" s="68"/>
      <c r="L384" s="46" t="str">
        <f ca="1">IFERROR(INDEX($A$1:$A$500,MATCH(ROWS($K$1:$K384),$K$1:$K$500,0)),"")</f>
        <v/>
      </c>
      <c r="M384" s="71" t="str">
        <f t="shared" ca="1" si="19"/>
        <v/>
      </c>
      <c r="O384" s="69">
        <f t="shared" ca="1" si="20"/>
        <v>0</v>
      </c>
      <c r="P384" s="70" t="str">
        <f ca="1">IF(O384=1,COUNTIF($O$1:$O384,1),"")</f>
        <v/>
      </c>
      <c r="Q384" s="46" t="str">
        <f ca="1">IFERROR(INDEX($L$1:$L$500,MATCH(ROWS($P$1:$P384),$P$1:$P$500,0)),"")</f>
        <v/>
      </c>
      <c r="R384" s="71" t="str">
        <f t="shared" ca="1" si="21"/>
        <v/>
      </c>
    </row>
    <row r="385" spans="8:18">
      <c r="H385"/>
      <c r="I385"/>
      <c r="J385" s="68"/>
      <c r="L385" s="46" t="str">
        <f ca="1">IFERROR(INDEX($A$1:$A$500,MATCH(ROWS($K$1:$K385),$K$1:$K$500,0)),"")</f>
        <v/>
      </c>
      <c r="M385" s="71" t="str">
        <f t="shared" ref="M385:M448" ca="1" si="22">+IF(L385="","",RIGHT(L385,LEN(L385)-FIND("@",SUBSTITUTE(L385,"\","@",LEN(L385)-LEN(SUBSTITUTE(L385,"\",""))),1)))</f>
        <v/>
      </c>
      <c r="O385" s="69">
        <f t="shared" ref="O385:O448" ca="1" si="23">--ISNUMBER(SEARCH($N$2,M385))</f>
        <v>0</v>
      </c>
      <c r="P385" s="70" t="str">
        <f ca="1">IF(O385=1,COUNTIF($O$1:$O385,1),"")</f>
        <v/>
      </c>
      <c r="Q385" s="46" t="str">
        <f ca="1">IFERROR(INDEX($L$1:$L$500,MATCH(ROWS($P$1:$P385),$P$1:$P$500,0)),"")</f>
        <v/>
      </c>
      <c r="R385" s="71" t="str">
        <f t="shared" ca="1" si="21"/>
        <v/>
      </c>
    </row>
    <row r="386" spans="8:18">
      <c r="H386"/>
      <c r="I386"/>
      <c r="J386" s="68"/>
      <c r="L386" s="46" t="str">
        <f ca="1">IFERROR(INDEX($A$1:$A$500,MATCH(ROWS($K$1:$K386),$K$1:$K$500,0)),"")</f>
        <v/>
      </c>
      <c r="M386" s="71" t="str">
        <f t="shared" ca="1" si="22"/>
        <v/>
      </c>
      <c r="O386" s="69">
        <f t="shared" ca="1" si="23"/>
        <v>0</v>
      </c>
      <c r="P386" s="70" t="str">
        <f ca="1">IF(O386=1,COUNTIF($O$1:$O386,1),"")</f>
        <v/>
      </c>
      <c r="Q386" s="46" t="str">
        <f ca="1">IFERROR(INDEX($L$1:$L$500,MATCH(ROWS($P$1:$P386),$P$1:$P$500,0)),"")</f>
        <v/>
      </c>
      <c r="R386" s="71" t="str">
        <f t="shared" ref="R386:R449" ca="1" si="24">+IF(Q386="","",RIGHT(Q386,LEN(Q386)-FIND("@",SUBSTITUTE(Q386,"\","@",LEN(Q386)-LEN(SUBSTITUTE(Q386,"\",""))),1)))</f>
        <v/>
      </c>
    </row>
    <row r="387" spans="8:18">
      <c r="H387"/>
      <c r="I387"/>
      <c r="J387" s="68"/>
      <c r="L387" s="46" t="str">
        <f ca="1">IFERROR(INDEX($A$1:$A$500,MATCH(ROWS($K$1:$K387),$K$1:$K$500,0)),"")</f>
        <v/>
      </c>
      <c r="M387" s="71" t="str">
        <f t="shared" ca="1" si="22"/>
        <v/>
      </c>
      <c r="O387" s="69">
        <f t="shared" ca="1" si="23"/>
        <v>0</v>
      </c>
      <c r="P387" s="70" t="str">
        <f ca="1">IF(O387=1,COUNTIF($O$1:$O387,1),"")</f>
        <v/>
      </c>
      <c r="Q387" s="46" t="str">
        <f ca="1">IFERROR(INDEX($L$1:$L$500,MATCH(ROWS($P$1:$P387),$P$1:$P$500,0)),"")</f>
        <v/>
      </c>
      <c r="R387" s="71" t="str">
        <f t="shared" ca="1" si="24"/>
        <v/>
      </c>
    </row>
    <row r="388" spans="8:18">
      <c r="H388"/>
      <c r="I388"/>
      <c r="J388" s="68"/>
      <c r="L388" s="46" t="str">
        <f ca="1">IFERROR(INDEX($A$1:$A$500,MATCH(ROWS($K$1:$K388),$K$1:$K$500,0)),"")</f>
        <v/>
      </c>
      <c r="M388" s="71" t="str">
        <f t="shared" ca="1" si="22"/>
        <v/>
      </c>
      <c r="O388" s="69">
        <f t="shared" ca="1" si="23"/>
        <v>0</v>
      </c>
      <c r="P388" s="70" t="str">
        <f ca="1">IF(O388=1,COUNTIF($O$1:$O388,1),"")</f>
        <v/>
      </c>
      <c r="Q388" s="46" t="str">
        <f ca="1">IFERROR(INDEX($L$1:$L$500,MATCH(ROWS($P$1:$P388),$P$1:$P$500,0)),"")</f>
        <v/>
      </c>
      <c r="R388" s="71" t="str">
        <f t="shared" ca="1" si="24"/>
        <v/>
      </c>
    </row>
    <row r="389" spans="8:18">
      <c r="H389"/>
      <c r="I389"/>
      <c r="J389" s="68"/>
      <c r="L389" s="46" t="str">
        <f ca="1">IFERROR(INDEX($A$1:$A$500,MATCH(ROWS($K$1:$K389),$K$1:$K$500,0)),"")</f>
        <v/>
      </c>
      <c r="M389" s="71" t="str">
        <f t="shared" ca="1" si="22"/>
        <v/>
      </c>
      <c r="O389" s="69">
        <f t="shared" ca="1" si="23"/>
        <v>0</v>
      </c>
      <c r="P389" s="70" t="str">
        <f ca="1">IF(O389=1,COUNTIF($O$1:$O389,1),"")</f>
        <v/>
      </c>
      <c r="Q389" s="46" t="str">
        <f ca="1">IFERROR(INDEX($L$1:$L$500,MATCH(ROWS($P$1:$P389),$P$1:$P$500,0)),"")</f>
        <v/>
      </c>
      <c r="R389" s="71" t="str">
        <f t="shared" ca="1" si="24"/>
        <v/>
      </c>
    </row>
    <row r="390" spans="8:18">
      <c r="H390"/>
      <c r="I390"/>
      <c r="J390" s="68"/>
      <c r="L390" s="46" t="str">
        <f ca="1">IFERROR(INDEX($A$1:$A$500,MATCH(ROWS($K$1:$K390),$K$1:$K$500,0)),"")</f>
        <v/>
      </c>
      <c r="M390" s="71" t="str">
        <f t="shared" ca="1" si="22"/>
        <v/>
      </c>
      <c r="O390" s="69">
        <f t="shared" ca="1" si="23"/>
        <v>0</v>
      </c>
      <c r="P390" s="70" t="str">
        <f ca="1">IF(O390=1,COUNTIF($O$1:$O390,1),"")</f>
        <v/>
      </c>
      <c r="Q390" s="46" t="str">
        <f ca="1">IFERROR(INDEX($L$1:$L$500,MATCH(ROWS($P$1:$P390),$P$1:$P$500,0)),"")</f>
        <v/>
      </c>
      <c r="R390" s="71" t="str">
        <f t="shared" ca="1" si="24"/>
        <v/>
      </c>
    </row>
    <row r="391" spans="8:18">
      <c r="H391"/>
      <c r="I391"/>
      <c r="J391" s="68"/>
      <c r="L391" s="46" t="str">
        <f ca="1">IFERROR(INDEX($A$1:$A$500,MATCH(ROWS($K$1:$K391),$K$1:$K$500,0)),"")</f>
        <v/>
      </c>
      <c r="M391" s="71" t="str">
        <f t="shared" ca="1" si="22"/>
        <v/>
      </c>
      <c r="O391" s="69">
        <f t="shared" ca="1" si="23"/>
        <v>0</v>
      </c>
      <c r="P391" s="70" t="str">
        <f ca="1">IF(O391=1,COUNTIF($O$1:$O391,1),"")</f>
        <v/>
      </c>
      <c r="Q391" s="46" t="str">
        <f ca="1">IFERROR(INDEX($L$1:$L$500,MATCH(ROWS($P$1:$P391),$P$1:$P$500,0)),"")</f>
        <v/>
      </c>
      <c r="R391" s="71" t="str">
        <f t="shared" ca="1" si="24"/>
        <v/>
      </c>
    </row>
    <row r="392" spans="8:18">
      <c r="H392"/>
      <c r="I392"/>
      <c r="J392" s="68"/>
      <c r="L392" s="46" t="str">
        <f ca="1">IFERROR(INDEX($A$1:$A$500,MATCH(ROWS($K$1:$K392),$K$1:$K$500,0)),"")</f>
        <v/>
      </c>
      <c r="M392" s="71" t="str">
        <f t="shared" ca="1" si="22"/>
        <v/>
      </c>
      <c r="O392" s="69">
        <f t="shared" ca="1" si="23"/>
        <v>0</v>
      </c>
      <c r="P392" s="70" t="str">
        <f ca="1">IF(O392=1,COUNTIF($O$1:$O392,1),"")</f>
        <v/>
      </c>
      <c r="Q392" s="46" t="str">
        <f ca="1">IFERROR(INDEX($L$1:$L$500,MATCH(ROWS($P$1:$P392),$P$1:$P$500,0)),"")</f>
        <v/>
      </c>
      <c r="R392" s="71" t="str">
        <f t="shared" ca="1" si="24"/>
        <v/>
      </c>
    </row>
    <row r="393" spans="8:18">
      <c r="H393"/>
      <c r="I393"/>
      <c r="J393" s="68"/>
      <c r="L393" s="46" t="str">
        <f ca="1">IFERROR(INDEX($A$1:$A$500,MATCH(ROWS($K$1:$K393),$K$1:$K$500,0)),"")</f>
        <v/>
      </c>
      <c r="M393" s="71" t="str">
        <f t="shared" ca="1" si="22"/>
        <v/>
      </c>
      <c r="O393" s="69">
        <f t="shared" ca="1" si="23"/>
        <v>0</v>
      </c>
      <c r="P393" s="70" t="str">
        <f ca="1">IF(O393=1,COUNTIF($O$1:$O393,1),"")</f>
        <v/>
      </c>
      <c r="Q393" s="46" t="str">
        <f ca="1">IFERROR(INDEX($L$1:$L$500,MATCH(ROWS($P$1:$P393),$P$1:$P$500,0)),"")</f>
        <v/>
      </c>
      <c r="R393" s="71" t="str">
        <f t="shared" ca="1" si="24"/>
        <v/>
      </c>
    </row>
    <row r="394" spans="8:18">
      <c r="H394"/>
      <c r="I394"/>
      <c r="J394" s="68"/>
      <c r="L394" s="46" t="str">
        <f ca="1">IFERROR(INDEX($A$1:$A$500,MATCH(ROWS($K$1:$K394),$K$1:$K$500,0)),"")</f>
        <v/>
      </c>
      <c r="M394" s="71" t="str">
        <f t="shared" ca="1" si="22"/>
        <v/>
      </c>
      <c r="O394" s="69">
        <f t="shared" ca="1" si="23"/>
        <v>0</v>
      </c>
      <c r="P394" s="70" t="str">
        <f ca="1">IF(O394=1,COUNTIF($O$1:$O394,1),"")</f>
        <v/>
      </c>
      <c r="Q394" s="46" t="str">
        <f ca="1">IFERROR(INDEX($L$1:$L$500,MATCH(ROWS($P$1:$P394),$P$1:$P$500,0)),"")</f>
        <v/>
      </c>
      <c r="R394" s="71" t="str">
        <f t="shared" ca="1" si="24"/>
        <v/>
      </c>
    </row>
    <row r="395" spans="8:18">
      <c r="H395"/>
      <c r="I395"/>
      <c r="J395" s="68"/>
      <c r="L395" s="46" t="str">
        <f ca="1">IFERROR(INDEX($A$1:$A$500,MATCH(ROWS($K$1:$K395),$K$1:$K$500,0)),"")</f>
        <v/>
      </c>
      <c r="M395" s="71" t="str">
        <f t="shared" ca="1" si="22"/>
        <v/>
      </c>
      <c r="O395" s="69">
        <f t="shared" ca="1" si="23"/>
        <v>0</v>
      </c>
      <c r="P395" s="70" t="str">
        <f ca="1">IF(O395=1,COUNTIF($O$1:$O395,1),"")</f>
        <v/>
      </c>
      <c r="Q395" s="46" t="str">
        <f ca="1">IFERROR(INDEX($L$1:$L$500,MATCH(ROWS($P$1:$P395),$P$1:$P$500,0)),"")</f>
        <v/>
      </c>
      <c r="R395" s="71" t="str">
        <f t="shared" ca="1" si="24"/>
        <v/>
      </c>
    </row>
    <row r="396" spans="8:18">
      <c r="H396"/>
      <c r="I396"/>
      <c r="J396" s="68"/>
      <c r="L396" s="46" t="str">
        <f ca="1">IFERROR(INDEX($A$1:$A$500,MATCH(ROWS($K$1:$K396),$K$1:$K$500,0)),"")</f>
        <v/>
      </c>
      <c r="M396" s="71" t="str">
        <f t="shared" ca="1" si="22"/>
        <v/>
      </c>
      <c r="O396" s="69">
        <f t="shared" ca="1" si="23"/>
        <v>0</v>
      </c>
      <c r="P396" s="70" t="str">
        <f ca="1">IF(O396=1,COUNTIF($O$1:$O396,1),"")</f>
        <v/>
      </c>
      <c r="Q396" s="46" t="str">
        <f ca="1">IFERROR(INDEX($L$1:$L$500,MATCH(ROWS($P$1:$P396),$P$1:$P$500,0)),"")</f>
        <v/>
      </c>
      <c r="R396" s="71" t="str">
        <f t="shared" ca="1" si="24"/>
        <v/>
      </c>
    </row>
    <row r="397" spans="8:18">
      <c r="H397"/>
      <c r="I397"/>
      <c r="J397" s="68"/>
      <c r="L397" s="46" t="str">
        <f ca="1">IFERROR(INDEX($A$1:$A$500,MATCH(ROWS($K$1:$K397),$K$1:$K$500,0)),"")</f>
        <v/>
      </c>
      <c r="M397" s="71" t="str">
        <f t="shared" ca="1" si="22"/>
        <v/>
      </c>
      <c r="O397" s="69">
        <f t="shared" ca="1" si="23"/>
        <v>0</v>
      </c>
      <c r="P397" s="70" t="str">
        <f ca="1">IF(O397=1,COUNTIF($O$1:$O397,1),"")</f>
        <v/>
      </c>
      <c r="Q397" s="46" t="str">
        <f ca="1">IFERROR(INDEX($L$1:$L$500,MATCH(ROWS($P$1:$P397),$P$1:$P$500,0)),"")</f>
        <v/>
      </c>
      <c r="R397" s="71" t="str">
        <f t="shared" ca="1" si="24"/>
        <v/>
      </c>
    </row>
    <row r="398" spans="8:18">
      <c r="H398"/>
      <c r="I398"/>
      <c r="J398" s="68"/>
      <c r="L398" s="46" t="str">
        <f ca="1">IFERROR(INDEX($A$1:$A$500,MATCH(ROWS($K$1:$K398),$K$1:$K$500,0)),"")</f>
        <v/>
      </c>
      <c r="M398" s="71" t="str">
        <f t="shared" ca="1" si="22"/>
        <v/>
      </c>
      <c r="O398" s="69">
        <f t="shared" ca="1" si="23"/>
        <v>0</v>
      </c>
      <c r="P398" s="70" t="str">
        <f ca="1">IF(O398=1,COUNTIF($O$1:$O398,1),"")</f>
        <v/>
      </c>
      <c r="Q398" s="46" t="str">
        <f ca="1">IFERROR(INDEX($L$1:$L$500,MATCH(ROWS($P$1:$P398),$P$1:$P$500,0)),"")</f>
        <v/>
      </c>
      <c r="R398" s="71" t="str">
        <f t="shared" ca="1" si="24"/>
        <v/>
      </c>
    </row>
    <row r="399" spans="8:18">
      <c r="H399"/>
      <c r="I399"/>
      <c r="J399" s="68"/>
      <c r="L399" s="46" t="str">
        <f ca="1">IFERROR(INDEX($A$1:$A$500,MATCH(ROWS($K$1:$K399),$K$1:$K$500,0)),"")</f>
        <v/>
      </c>
      <c r="M399" s="71" t="str">
        <f t="shared" ca="1" si="22"/>
        <v/>
      </c>
      <c r="O399" s="69">
        <f t="shared" ca="1" si="23"/>
        <v>0</v>
      </c>
      <c r="P399" s="70" t="str">
        <f ca="1">IF(O399=1,COUNTIF($O$1:$O399,1),"")</f>
        <v/>
      </c>
      <c r="Q399" s="46" t="str">
        <f ca="1">IFERROR(INDEX($L$1:$L$500,MATCH(ROWS($P$1:$P399),$P$1:$P$500,0)),"")</f>
        <v/>
      </c>
      <c r="R399" s="71" t="str">
        <f t="shared" ca="1" si="24"/>
        <v/>
      </c>
    </row>
    <row r="400" spans="8:18">
      <c r="H400"/>
      <c r="I400"/>
      <c r="J400" s="68"/>
      <c r="L400" s="46" t="str">
        <f ca="1">IFERROR(INDEX($A$1:$A$500,MATCH(ROWS($K$1:$K400),$K$1:$K$500,0)),"")</f>
        <v/>
      </c>
      <c r="M400" s="71" t="str">
        <f t="shared" ca="1" si="22"/>
        <v/>
      </c>
      <c r="O400" s="69">
        <f t="shared" ca="1" si="23"/>
        <v>0</v>
      </c>
      <c r="P400" s="70" t="str">
        <f ca="1">IF(O400=1,COUNTIF($O$1:$O400,1),"")</f>
        <v/>
      </c>
      <c r="Q400" s="46" t="str">
        <f ca="1">IFERROR(INDEX($L$1:$L$500,MATCH(ROWS($P$1:$P400),$P$1:$P$500,0)),"")</f>
        <v/>
      </c>
      <c r="R400" s="71" t="str">
        <f t="shared" ca="1" si="24"/>
        <v/>
      </c>
    </row>
    <row r="401" spans="8:18">
      <c r="H401"/>
      <c r="I401"/>
      <c r="J401" s="68"/>
      <c r="L401" s="46" t="str">
        <f ca="1">IFERROR(INDEX($A$1:$A$500,MATCH(ROWS($K$1:$K401),$K$1:$K$500,0)),"")</f>
        <v/>
      </c>
      <c r="M401" s="71" t="str">
        <f t="shared" ca="1" si="22"/>
        <v/>
      </c>
      <c r="O401" s="69">
        <f t="shared" ca="1" si="23"/>
        <v>0</v>
      </c>
      <c r="P401" s="70" t="str">
        <f ca="1">IF(O401=1,COUNTIF($O$1:$O401,1),"")</f>
        <v/>
      </c>
      <c r="Q401" s="46" t="str">
        <f ca="1">IFERROR(INDEX($L$1:$L$500,MATCH(ROWS($P$1:$P401),$P$1:$P$500,0)),"")</f>
        <v/>
      </c>
      <c r="R401" s="71" t="str">
        <f t="shared" ca="1" si="24"/>
        <v/>
      </c>
    </row>
    <row r="402" spans="8:18">
      <c r="H402"/>
      <c r="I402"/>
      <c r="J402" s="68"/>
      <c r="L402" s="46" t="str">
        <f ca="1">IFERROR(INDEX($A$1:$A$500,MATCH(ROWS($K$1:$K402),$K$1:$K$500,0)),"")</f>
        <v/>
      </c>
      <c r="M402" s="71" t="str">
        <f t="shared" ca="1" si="22"/>
        <v/>
      </c>
      <c r="O402" s="69">
        <f t="shared" ca="1" si="23"/>
        <v>0</v>
      </c>
      <c r="P402" s="70" t="str">
        <f ca="1">IF(O402=1,COUNTIF($O$1:$O402,1),"")</f>
        <v/>
      </c>
      <c r="Q402" s="46" t="str">
        <f ca="1">IFERROR(INDEX($L$1:$L$500,MATCH(ROWS($P$1:$P402),$P$1:$P$500,0)),"")</f>
        <v/>
      </c>
      <c r="R402" s="71" t="str">
        <f t="shared" ca="1" si="24"/>
        <v/>
      </c>
    </row>
    <row r="403" spans="8:18">
      <c r="H403"/>
      <c r="I403"/>
      <c r="J403" s="68"/>
      <c r="L403" s="46" t="str">
        <f ca="1">IFERROR(INDEX($A$1:$A$500,MATCH(ROWS($K$1:$K403),$K$1:$K$500,0)),"")</f>
        <v/>
      </c>
      <c r="M403" s="71" t="str">
        <f t="shared" ca="1" si="22"/>
        <v/>
      </c>
      <c r="O403" s="69">
        <f t="shared" ca="1" si="23"/>
        <v>0</v>
      </c>
      <c r="P403" s="70" t="str">
        <f ca="1">IF(O403=1,COUNTIF($O$1:$O403,1),"")</f>
        <v/>
      </c>
      <c r="Q403" s="46" t="str">
        <f ca="1">IFERROR(INDEX($L$1:$L$500,MATCH(ROWS($P$1:$P403),$P$1:$P$500,0)),"")</f>
        <v/>
      </c>
      <c r="R403" s="71" t="str">
        <f t="shared" ca="1" si="24"/>
        <v/>
      </c>
    </row>
    <row r="404" spans="8:18">
      <c r="H404"/>
      <c r="I404"/>
      <c r="J404" s="68"/>
      <c r="L404" s="46" t="str">
        <f ca="1">IFERROR(INDEX($A$1:$A$500,MATCH(ROWS($K$1:$K404),$K$1:$K$500,0)),"")</f>
        <v/>
      </c>
      <c r="M404" s="71" t="str">
        <f t="shared" ca="1" si="22"/>
        <v/>
      </c>
      <c r="O404" s="69">
        <f t="shared" ca="1" si="23"/>
        <v>0</v>
      </c>
      <c r="P404" s="70" t="str">
        <f ca="1">IF(O404=1,COUNTIF($O$1:$O404,1),"")</f>
        <v/>
      </c>
      <c r="Q404" s="46" t="str">
        <f ca="1">IFERROR(INDEX($L$1:$L$500,MATCH(ROWS($P$1:$P404),$P$1:$P$500,0)),"")</f>
        <v/>
      </c>
      <c r="R404" s="71" t="str">
        <f t="shared" ca="1" si="24"/>
        <v/>
      </c>
    </row>
    <row r="405" spans="8:18">
      <c r="H405"/>
      <c r="I405"/>
      <c r="J405" s="68"/>
      <c r="L405" s="46" t="str">
        <f ca="1">IFERROR(INDEX($A$1:$A$500,MATCH(ROWS($K$1:$K405),$K$1:$K$500,0)),"")</f>
        <v/>
      </c>
      <c r="M405" s="71" t="str">
        <f t="shared" ca="1" si="22"/>
        <v/>
      </c>
      <c r="O405" s="69">
        <f t="shared" ca="1" si="23"/>
        <v>0</v>
      </c>
      <c r="P405" s="70" t="str">
        <f ca="1">IF(O405=1,COUNTIF($O$1:$O405,1),"")</f>
        <v/>
      </c>
      <c r="Q405" s="46" t="str">
        <f ca="1">IFERROR(INDEX($L$1:$L$500,MATCH(ROWS($P$1:$P405),$P$1:$P$500,0)),"")</f>
        <v/>
      </c>
      <c r="R405" s="71" t="str">
        <f t="shared" ca="1" si="24"/>
        <v/>
      </c>
    </row>
    <row r="406" spans="8:18">
      <c r="H406"/>
      <c r="I406"/>
      <c r="J406" s="68"/>
      <c r="L406" s="46" t="str">
        <f ca="1">IFERROR(INDEX($A$1:$A$500,MATCH(ROWS($K$1:$K406),$K$1:$K$500,0)),"")</f>
        <v/>
      </c>
      <c r="M406" s="71" t="str">
        <f t="shared" ca="1" si="22"/>
        <v/>
      </c>
      <c r="O406" s="69">
        <f t="shared" ca="1" si="23"/>
        <v>0</v>
      </c>
      <c r="P406" s="70" t="str">
        <f ca="1">IF(O406=1,COUNTIF($O$1:$O406,1),"")</f>
        <v/>
      </c>
      <c r="Q406" s="46" t="str">
        <f ca="1">IFERROR(INDEX($L$1:$L$500,MATCH(ROWS($P$1:$P406),$P$1:$P$500,0)),"")</f>
        <v/>
      </c>
      <c r="R406" s="71" t="str">
        <f t="shared" ca="1" si="24"/>
        <v/>
      </c>
    </row>
    <row r="407" spans="8:18">
      <c r="H407"/>
      <c r="I407"/>
      <c r="J407" s="68"/>
      <c r="L407" s="46" t="str">
        <f ca="1">IFERROR(INDEX($A$1:$A$500,MATCH(ROWS($K$1:$K407),$K$1:$K$500,0)),"")</f>
        <v/>
      </c>
      <c r="M407" s="71" t="str">
        <f t="shared" ca="1" si="22"/>
        <v/>
      </c>
      <c r="O407" s="69">
        <f t="shared" ca="1" si="23"/>
        <v>0</v>
      </c>
      <c r="P407" s="70" t="str">
        <f ca="1">IF(O407=1,COUNTIF($O$1:$O407,1),"")</f>
        <v/>
      </c>
      <c r="Q407" s="46" t="str">
        <f ca="1">IFERROR(INDEX($L$1:$L$500,MATCH(ROWS($P$1:$P407),$P$1:$P$500,0)),"")</f>
        <v/>
      </c>
      <c r="R407" s="71" t="str">
        <f t="shared" ca="1" si="24"/>
        <v/>
      </c>
    </row>
    <row r="408" spans="8:18">
      <c r="H408"/>
      <c r="I408"/>
      <c r="J408" s="68"/>
      <c r="L408" s="46" t="str">
        <f ca="1">IFERROR(INDEX($A$1:$A$500,MATCH(ROWS($K$1:$K408),$K$1:$K$500,0)),"")</f>
        <v/>
      </c>
      <c r="M408" s="71" t="str">
        <f t="shared" ca="1" si="22"/>
        <v/>
      </c>
      <c r="O408" s="69">
        <f t="shared" ca="1" si="23"/>
        <v>0</v>
      </c>
      <c r="P408" s="70" t="str">
        <f ca="1">IF(O408=1,COUNTIF($O$1:$O408,1),"")</f>
        <v/>
      </c>
      <c r="Q408" s="46" t="str">
        <f ca="1">IFERROR(INDEX($L$1:$L$500,MATCH(ROWS($P$1:$P408),$P$1:$P$500,0)),"")</f>
        <v/>
      </c>
      <c r="R408" s="71" t="str">
        <f t="shared" ca="1" si="24"/>
        <v/>
      </c>
    </row>
    <row r="409" spans="8:18">
      <c r="H409"/>
      <c r="I409"/>
      <c r="J409" s="68"/>
      <c r="L409" s="46" t="str">
        <f ca="1">IFERROR(INDEX($A$1:$A$500,MATCH(ROWS($K$1:$K409),$K$1:$K$500,0)),"")</f>
        <v/>
      </c>
      <c r="M409" s="71" t="str">
        <f t="shared" ca="1" si="22"/>
        <v/>
      </c>
      <c r="O409" s="69">
        <f t="shared" ca="1" si="23"/>
        <v>0</v>
      </c>
      <c r="P409" s="70" t="str">
        <f ca="1">IF(O409=1,COUNTIF($O$1:$O409,1),"")</f>
        <v/>
      </c>
      <c r="Q409" s="46" t="str">
        <f ca="1">IFERROR(INDEX($L$1:$L$500,MATCH(ROWS($P$1:$P409),$P$1:$P$500,0)),"")</f>
        <v/>
      </c>
      <c r="R409" s="71" t="str">
        <f t="shared" ca="1" si="24"/>
        <v/>
      </c>
    </row>
    <row r="410" spans="8:18">
      <c r="H410"/>
      <c r="I410"/>
      <c r="J410" s="68"/>
      <c r="L410" s="46" t="str">
        <f ca="1">IFERROR(INDEX($A$1:$A$500,MATCH(ROWS($K$1:$K410),$K$1:$K$500,0)),"")</f>
        <v/>
      </c>
      <c r="M410" s="71" t="str">
        <f t="shared" ca="1" si="22"/>
        <v/>
      </c>
      <c r="O410" s="69">
        <f t="shared" ca="1" si="23"/>
        <v>0</v>
      </c>
      <c r="P410" s="70" t="str">
        <f ca="1">IF(O410=1,COUNTIF($O$1:$O410,1),"")</f>
        <v/>
      </c>
      <c r="Q410" s="46" t="str">
        <f ca="1">IFERROR(INDEX($L$1:$L$500,MATCH(ROWS($P$1:$P410),$P$1:$P$500,0)),"")</f>
        <v/>
      </c>
      <c r="R410" s="71" t="str">
        <f t="shared" ca="1" si="24"/>
        <v/>
      </c>
    </row>
    <row r="411" spans="8:18">
      <c r="H411"/>
      <c r="I411"/>
      <c r="J411" s="68"/>
      <c r="L411" s="46" t="str">
        <f ca="1">IFERROR(INDEX($A$1:$A$500,MATCH(ROWS($K$1:$K411),$K$1:$K$500,0)),"")</f>
        <v/>
      </c>
      <c r="M411" s="71" t="str">
        <f t="shared" ca="1" si="22"/>
        <v/>
      </c>
      <c r="O411" s="69">
        <f t="shared" ca="1" si="23"/>
        <v>0</v>
      </c>
      <c r="P411" s="70" t="str">
        <f ca="1">IF(O411=1,COUNTIF($O$1:$O411,1),"")</f>
        <v/>
      </c>
      <c r="Q411" s="46" t="str">
        <f ca="1">IFERROR(INDEX($L$1:$L$500,MATCH(ROWS($P$1:$P411),$P$1:$P$500,0)),"")</f>
        <v/>
      </c>
      <c r="R411" s="71" t="str">
        <f t="shared" ca="1" si="24"/>
        <v/>
      </c>
    </row>
    <row r="412" spans="8:18">
      <c r="H412"/>
      <c r="I412"/>
      <c r="J412" s="68"/>
      <c r="L412" s="46" t="str">
        <f ca="1">IFERROR(INDEX($A$1:$A$500,MATCH(ROWS($K$1:$K412),$K$1:$K$500,0)),"")</f>
        <v/>
      </c>
      <c r="M412" s="71" t="str">
        <f t="shared" ca="1" si="22"/>
        <v/>
      </c>
      <c r="O412" s="69">
        <f t="shared" ca="1" si="23"/>
        <v>0</v>
      </c>
      <c r="P412" s="70" t="str">
        <f ca="1">IF(O412=1,COUNTIF($O$1:$O412,1),"")</f>
        <v/>
      </c>
      <c r="Q412" s="46" t="str">
        <f ca="1">IFERROR(INDEX($L$1:$L$500,MATCH(ROWS($P$1:$P412),$P$1:$P$500,0)),"")</f>
        <v/>
      </c>
      <c r="R412" s="71" t="str">
        <f t="shared" ca="1" si="24"/>
        <v/>
      </c>
    </row>
    <row r="413" spans="8:18">
      <c r="H413"/>
      <c r="I413"/>
      <c r="J413" s="68"/>
      <c r="L413" s="46" t="str">
        <f ca="1">IFERROR(INDEX($A$1:$A$500,MATCH(ROWS($K$1:$K413),$K$1:$K$500,0)),"")</f>
        <v/>
      </c>
      <c r="M413" s="71" t="str">
        <f t="shared" ca="1" si="22"/>
        <v/>
      </c>
      <c r="O413" s="69">
        <f t="shared" ca="1" si="23"/>
        <v>0</v>
      </c>
      <c r="P413" s="70" t="str">
        <f ca="1">IF(O413=1,COUNTIF($O$1:$O413,1),"")</f>
        <v/>
      </c>
      <c r="Q413" s="46" t="str">
        <f ca="1">IFERROR(INDEX($L$1:$L$500,MATCH(ROWS($P$1:$P413),$P$1:$P$500,0)),"")</f>
        <v/>
      </c>
      <c r="R413" s="71" t="str">
        <f t="shared" ca="1" si="24"/>
        <v/>
      </c>
    </row>
    <row r="414" spans="8:18">
      <c r="H414"/>
      <c r="I414"/>
      <c r="J414" s="68"/>
      <c r="L414" s="46" t="str">
        <f ca="1">IFERROR(INDEX($A$1:$A$500,MATCH(ROWS($K$1:$K414),$K$1:$K$500,0)),"")</f>
        <v/>
      </c>
      <c r="M414" s="71" t="str">
        <f t="shared" ca="1" si="22"/>
        <v/>
      </c>
      <c r="O414" s="69">
        <f t="shared" ca="1" si="23"/>
        <v>0</v>
      </c>
      <c r="P414" s="70" t="str">
        <f ca="1">IF(O414=1,COUNTIF($O$1:$O414,1),"")</f>
        <v/>
      </c>
      <c r="Q414" s="46" t="str">
        <f ca="1">IFERROR(INDEX($L$1:$L$500,MATCH(ROWS($P$1:$P414),$P$1:$P$500,0)),"")</f>
        <v/>
      </c>
      <c r="R414" s="71" t="str">
        <f t="shared" ca="1" si="24"/>
        <v/>
      </c>
    </row>
    <row r="415" spans="8:18">
      <c r="H415"/>
      <c r="I415"/>
      <c r="J415" s="68"/>
      <c r="L415" s="46" t="str">
        <f ca="1">IFERROR(INDEX($A$1:$A$500,MATCH(ROWS($K$1:$K415),$K$1:$K$500,0)),"")</f>
        <v/>
      </c>
      <c r="M415" s="71" t="str">
        <f t="shared" ca="1" si="22"/>
        <v/>
      </c>
      <c r="O415" s="69">
        <f t="shared" ca="1" si="23"/>
        <v>0</v>
      </c>
      <c r="P415" s="70" t="str">
        <f ca="1">IF(O415=1,COUNTIF($O$1:$O415,1),"")</f>
        <v/>
      </c>
      <c r="Q415" s="46" t="str">
        <f ca="1">IFERROR(INDEX($L$1:$L$500,MATCH(ROWS($P$1:$P415),$P$1:$P$500,0)),"")</f>
        <v/>
      </c>
      <c r="R415" s="71" t="str">
        <f t="shared" ca="1" si="24"/>
        <v/>
      </c>
    </row>
    <row r="416" spans="8:18">
      <c r="H416"/>
      <c r="I416"/>
      <c r="J416" s="68"/>
      <c r="L416" s="46" t="str">
        <f ca="1">IFERROR(INDEX($A$1:$A$500,MATCH(ROWS($K$1:$K416),$K$1:$K$500,0)),"")</f>
        <v/>
      </c>
      <c r="M416" s="71" t="str">
        <f t="shared" ca="1" si="22"/>
        <v/>
      </c>
      <c r="O416" s="69">
        <f t="shared" ca="1" si="23"/>
        <v>0</v>
      </c>
      <c r="P416" s="70" t="str">
        <f ca="1">IF(O416=1,COUNTIF($O$1:$O416,1),"")</f>
        <v/>
      </c>
      <c r="Q416" s="46" t="str">
        <f ca="1">IFERROR(INDEX($L$1:$L$500,MATCH(ROWS($P$1:$P416),$P$1:$P$500,0)),"")</f>
        <v/>
      </c>
      <c r="R416" s="71" t="str">
        <f t="shared" ca="1" si="24"/>
        <v/>
      </c>
    </row>
    <row r="417" spans="8:18">
      <c r="H417"/>
      <c r="I417"/>
      <c r="J417" s="68"/>
      <c r="L417" s="46" t="str">
        <f ca="1">IFERROR(INDEX($A$1:$A$500,MATCH(ROWS($K$1:$K417),$K$1:$K$500,0)),"")</f>
        <v/>
      </c>
      <c r="M417" s="71" t="str">
        <f t="shared" ca="1" si="22"/>
        <v/>
      </c>
      <c r="O417" s="69">
        <f t="shared" ca="1" si="23"/>
        <v>0</v>
      </c>
      <c r="P417" s="70" t="str">
        <f ca="1">IF(O417=1,COUNTIF($O$1:$O417,1),"")</f>
        <v/>
      </c>
      <c r="Q417" s="46" t="str">
        <f ca="1">IFERROR(INDEX($L$1:$L$500,MATCH(ROWS($P$1:$P417),$P$1:$P$500,0)),"")</f>
        <v/>
      </c>
      <c r="R417" s="71" t="str">
        <f t="shared" ca="1" si="24"/>
        <v/>
      </c>
    </row>
    <row r="418" spans="8:18">
      <c r="H418"/>
      <c r="I418"/>
      <c r="J418" s="68"/>
      <c r="L418" s="46" t="str">
        <f ca="1">IFERROR(INDEX($A$1:$A$500,MATCH(ROWS($K$1:$K418),$K$1:$K$500,0)),"")</f>
        <v/>
      </c>
      <c r="M418" s="71" t="str">
        <f t="shared" ca="1" si="22"/>
        <v/>
      </c>
      <c r="O418" s="69">
        <f t="shared" ca="1" si="23"/>
        <v>0</v>
      </c>
      <c r="P418" s="70" t="str">
        <f ca="1">IF(O418=1,COUNTIF($O$1:$O418,1),"")</f>
        <v/>
      </c>
      <c r="Q418" s="46" t="str">
        <f ca="1">IFERROR(INDEX($L$1:$L$500,MATCH(ROWS($P$1:$P418),$P$1:$P$500,0)),"")</f>
        <v/>
      </c>
      <c r="R418" s="71" t="str">
        <f t="shared" ca="1" si="24"/>
        <v/>
      </c>
    </row>
    <row r="419" spans="8:18">
      <c r="H419"/>
      <c r="I419"/>
      <c r="J419" s="68"/>
      <c r="L419" s="46" t="str">
        <f ca="1">IFERROR(INDEX($A$1:$A$500,MATCH(ROWS($K$1:$K419),$K$1:$K$500,0)),"")</f>
        <v/>
      </c>
      <c r="M419" s="71" t="str">
        <f t="shared" ca="1" si="22"/>
        <v/>
      </c>
      <c r="O419" s="69">
        <f t="shared" ca="1" si="23"/>
        <v>0</v>
      </c>
      <c r="P419" s="70" t="str">
        <f ca="1">IF(O419=1,COUNTIF($O$1:$O419,1),"")</f>
        <v/>
      </c>
      <c r="Q419" s="46" t="str">
        <f ca="1">IFERROR(INDEX($L$1:$L$500,MATCH(ROWS($P$1:$P419),$P$1:$P$500,0)),"")</f>
        <v/>
      </c>
      <c r="R419" s="71" t="str">
        <f t="shared" ca="1" si="24"/>
        <v/>
      </c>
    </row>
    <row r="420" spans="8:18">
      <c r="H420"/>
      <c r="I420"/>
      <c r="J420" s="68"/>
      <c r="L420" s="46" t="str">
        <f ca="1">IFERROR(INDEX($A$1:$A$500,MATCH(ROWS($K$1:$K420),$K$1:$K$500,0)),"")</f>
        <v/>
      </c>
      <c r="M420" s="71" t="str">
        <f t="shared" ca="1" si="22"/>
        <v/>
      </c>
      <c r="O420" s="69">
        <f t="shared" ca="1" si="23"/>
        <v>0</v>
      </c>
      <c r="P420" s="70" t="str">
        <f ca="1">IF(O420=1,COUNTIF($O$1:$O420,1),"")</f>
        <v/>
      </c>
      <c r="Q420" s="46" t="str">
        <f ca="1">IFERROR(INDEX($L$1:$L$500,MATCH(ROWS($P$1:$P420),$P$1:$P$500,0)),"")</f>
        <v/>
      </c>
      <c r="R420" s="71" t="str">
        <f t="shared" ca="1" si="24"/>
        <v/>
      </c>
    </row>
    <row r="421" spans="8:18">
      <c r="H421"/>
      <c r="I421"/>
      <c r="J421" s="68"/>
      <c r="L421" s="46" t="str">
        <f ca="1">IFERROR(INDEX($A$1:$A$500,MATCH(ROWS($K$1:$K421),$K$1:$K$500,0)),"")</f>
        <v/>
      </c>
      <c r="M421" s="71" t="str">
        <f t="shared" ca="1" si="22"/>
        <v/>
      </c>
      <c r="O421" s="69">
        <f t="shared" ca="1" si="23"/>
        <v>0</v>
      </c>
      <c r="P421" s="70" t="str">
        <f ca="1">IF(O421=1,COUNTIF($O$1:$O421,1),"")</f>
        <v/>
      </c>
      <c r="Q421" s="46" t="str">
        <f ca="1">IFERROR(INDEX($L$1:$L$500,MATCH(ROWS($P$1:$P421),$P$1:$P$500,0)),"")</f>
        <v/>
      </c>
      <c r="R421" s="71" t="str">
        <f t="shared" ca="1" si="24"/>
        <v/>
      </c>
    </row>
    <row r="422" spans="8:18">
      <c r="H422"/>
      <c r="I422"/>
      <c r="J422" s="68"/>
      <c r="L422" s="46" t="str">
        <f ca="1">IFERROR(INDEX($A$1:$A$500,MATCH(ROWS($K$1:$K422),$K$1:$K$500,0)),"")</f>
        <v/>
      </c>
      <c r="M422" s="71" t="str">
        <f t="shared" ca="1" si="22"/>
        <v/>
      </c>
      <c r="O422" s="69">
        <f t="shared" ca="1" si="23"/>
        <v>0</v>
      </c>
      <c r="P422" s="70" t="str">
        <f ca="1">IF(O422=1,COUNTIF($O$1:$O422,1),"")</f>
        <v/>
      </c>
      <c r="Q422" s="46" t="str">
        <f ca="1">IFERROR(INDEX($L$1:$L$500,MATCH(ROWS($P$1:$P422),$P$1:$P$500,0)),"")</f>
        <v/>
      </c>
      <c r="R422" s="71" t="str">
        <f t="shared" ca="1" si="24"/>
        <v/>
      </c>
    </row>
    <row r="423" spans="8:18">
      <c r="H423"/>
      <c r="I423"/>
      <c r="J423" s="68"/>
      <c r="L423" s="46" t="str">
        <f ca="1">IFERROR(INDEX($A$1:$A$500,MATCH(ROWS($K$1:$K423),$K$1:$K$500,0)),"")</f>
        <v/>
      </c>
      <c r="M423" s="71" t="str">
        <f t="shared" ca="1" si="22"/>
        <v/>
      </c>
      <c r="O423" s="69">
        <f t="shared" ca="1" si="23"/>
        <v>0</v>
      </c>
      <c r="P423" s="70" t="str">
        <f ca="1">IF(O423=1,COUNTIF($O$1:$O423,1),"")</f>
        <v/>
      </c>
      <c r="Q423" s="46" t="str">
        <f ca="1">IFERROR(INDEX($L$1:$L$500,MATCH(ROWS($P$1:$P423),$P$1:$P$500,0)),"")</f>
        <v/>
      </c>
      <c r="R423" s="71" t="str">
        <f t="shared" ca="1" si="24"/>
        <v/>
      </c>
    </row>
    <row r="424" spans="8:18">
      <c r="H424"/>
      <c r="I424"/>
      <c r="J424" s="68"/>
      <c r="L424" s="46" t="str">
        <f ca="1">IFERROR(INDEX($A$1:$A$500,MATCH(ROWS($K$1:$K424),$K$1:$K$500,0)),"")</f>
        <v/>
      </c>
      <c r="M424" s="71" t="str">
        <f t="shared" ca="1" si="22"/>
        <v/>
      </c>
      <c r="O424" s="69">
        <f t="shared" ca="1" si="23"/>
        <v>0</v>
      </c>
      <c r="P424" s="70" t="str">
        <f ca="1">IF(O424=1,COUNTIF($O$1:$O424,1),"")</f>
        <v/>
      </c>
      <c r="Q424" s="46" t="str">
        <f ca="1">IFERROR(INDEX($L$1:$L$500,MATCH(ROWS($P$1:$P424),$P$1:$P$500,0)),"")</f>
        <v/>
      </c>
      <c r="R424" s="71" t="str">
        <f t="shared" ca="1" si="24"/>
        <v/>
      </c>
    </row>
    <row r="425" spans="8:18">
      <c r="H425"/>
      <c r="I425"/>
      <c r="J425" s="68"/>
      <c r="L425" s="46" t="str">
        <f ca="1">IFERROR(INDEX($A$1:$A$500,MATCH(ROWS($K$1:$K425),$K$1:$K$500,0)),"")</f>
        <v/>
      </c>
      <c r="M425" s="71" t="str">
        <f t="shared" ca="1" si="22"/>
        <v/>
      </c>
      <c r="O425" s="69">
        <f t="shared" ca="1" si="23"/>
        <v>0</v>
      </c>
      <c r="P425" s="70" t="str">
        <f ca="1">IF(O425=1,COUNTIF($O$1:$O425,1),"")</f>
        <v/>
      </c>
      <c r="Q425" s="46" t="str">
        <f ca="1">IFERROR(INDEX($L$1:$L$500,MATCH(ROWS($P$1:$P425),$P$1:$P$500,0)),"")</f>
        <v/>
      </c>
      <c r="R425" s="71" t="str">
        <f t="shared" ca="1" si="24"/>
        <v/>
      </c>
    </row>
    <row r="426" spans="8:18">
      <c r="H426"/>
      <c r="I426"/>
      <c r="J426" s="68"/>
      <c r="L426" s="46" t="str">
        <f ca="1">IFERROR(INDEX($A$1:$A$500,MATCH(ROWS($K$1:$K426),$K$1:$K$500,0)),"")</f>
        <v/>
      </c>
      <c r="M426" s="71" t="str">
        <f t="shared" ca="1" si="22"/>
        <v/>
      </c>
      <c r="O426" s="69">
        <f t="shared" ca="1" si="23"/>
        <v>0</v>
      </c>
      <c r="P426" s="70" t="str">
        <f ca="1">IF(O426=1,COUNTIF($O$1:$O426,1),"")</f>
        <v/>
      </c>
      <c r="Q426" s="46" t="str">
        <f ca="1">IFERROR(INDEX($L$1:$L$500,MATCH(ROWS($P$1:$P426),$P$1:$P$500,0)),"")</f>
        <v/>
      </c>
      <c r="R426" s="71" t="str">
        <f t="shared" ca="1" si="24"/>
        <v/>
      </c>
    </row>
    <row r="427" spans="8:18">
      <c r="H427"/>
      <c r="I427"/>
      <c r="J427" s="68"/>
      <c r="L427" s="46" t="str">
        <f ca="1">IFERROR(INDEX($A$1:$A$500,MATCH(ROWS($K$1:$K427),$K$1:$K$500,0)),"")</f>
        <v/>
      </c>
      <c r="M427" s="71" t="str">
        <f t="shared" ca="1" si="22"/>
        <v/>
      </c>
      <c r="O427" s="69">
        <f t="shared" ca="1" si="23"/>
        <v>0</v>
      </c>
      <c r="P427" s="70" t="str">
        <f ca="1">IF(O427=1,COUNTIF($O$1:$O427,1),"")</f>
        <v/>
      </c>
      <c r="Q427" s="46" t="str">
        <f ca="1">IFERROR(INDEX($L$1:$L$500,MATCH(ROWS($P$1:$P427),$P$1:$P$500,0)),"")</f>
        <v/>
      </c>
      <c r="R427" s="71" t="str">
        <f t="shared" ca="1" si="24"/>
        <v/>
      </c>
    </row>
    <row r="428" spans="8:18">
      <c r="H428"/>
      <c r="I428"/>
      <c r="J428" s="68"/>
      <c r="L428" s="46" t="str">
        <f ca="1">IFERROR(INDEX($A$1:$A$500,MATCH(ROWS($K$1:$K428),$K$1:$K$500,0)),"")</f>
        <v/>
      </c>
      <c r="M428" s="71" t="str">
        <f t="shared" ca="1" si="22"/>
        <v/>
      </c>
      <c r="O428" s="69">
        <f t="shared" ca="1" si="23"/>
        <v>0</v>
      </c>
      <c r="P428" s="70" t="str">
        <f ca="1">IF(O428=1,COUNTIF($O$1:$O428,1),"")</f>
        <v/>
      </c>
      <c r="Q428" s="46" t="str">
        <f ca="1">IFERROR(INDEX($L$1:$L$500,MATCH(ROWS($P$1:$P428),$P$1:$P$500,0)),"")</f>
        <v/>
      </c>
      <c r="R428" s="71" t="str">
        <f t="shared" ca="1" si="24"/>
        <v/>
      </c>
    </row>
    <row r="429" spans="8:18">
      <c r="H429"/>
      <c r="I429"/>
      <c r="J429" s="68"/>
      <c r="L429" s="46" t="str">
        <f ca="1">IFERROR(INDEX($A$1:$A$500,MATCH(ROWS($K$1:$K429),$K$1:$K$500,0)),"")</f>
        <v/>
      </c>
      <c r="M429" s="71" t="str">
        <f t="shared" ca="1" si="22"/>
        <v/>
      </c>
      <c r="O429" s="69">
        <f t="shared" ca="1" si="23"/>
        <v>0</v>
      </c>
      <c r="P429" s="70" t="str">
        <f ca="1">IF(O429=1,COUNTIF($O$1:$O429,1),"")</f>
        <v/>
      </c>
      <c r="Q429" s="46" t="str">
        <f ca="1">IFERROR(INDEX($L$1:$L$500,MATCH(ROWS($P$1:$P429),$P$1:$P$500,0)),"")</f>
        <v/>
      </c>
      <c r="R429" s="71" t="str">
        <f t="shared" ca="1" si="24"/>
        <v/>
      </c>
    </row>
    <row r="430" spans="8:18">
      <c r="H430"/>
      <c r="I430"/>
      <c r="J430" s="68"/>
      <c r="L430" s="46" t="str">
        <f ca="1">IFERROR(INDEX($A$1:$A$500,MATCH(ROWS($K$1:$K430),$K$1:$K$500,0)),"")</f>
        <v/>
      </c>
      <c r="M430" s="71" t="str">
        <f t="shared" ca="1" si="22"/>
        <v/>
      </c>
      <c r="O430" s="69">
        <f t="shared" ca="1" si="23"/>
        <v>0</v>
      </c>
      <c r="P430" s="70" t="str">
        <f ca="1">IF(O430=1,COUNTIF($O$1:$O430,1),"")</f>
        <v/>
      </c>
      <c r="Q430" s="46" t="str">
        <f ca="1">IFERROR(INDEX($L$1:$L$500,MATCH(ROWS($P$1:$P430),$P$1:$P$500,0)),"")</f>
        <v/>
      </c>
      <c r="R430" s="71" t="str">
        <f t="shared" ca="1" si="24"/>
        <v/>
      </c>
    </row>
    <row r="431" spans="8:18">
      <c r="H431"/>
      <c r="I431"/>
      <c r="J431" s="68"/>
      <c r="L431" s="46" t="str">
        <f ca="1">IFERROR(INDEX($A$1:$A$500,MATCH(ROWS($K$1:$K431),$K$1:$K$500,0)),"")</f>
        <v/>
      </c>
      <c r="M431" s="71" t="str">
        <f t="shared" ca="1" si="22"/>
        <v/>
      </c>
      <c r="O431" s="69">
        <f t="shared" ca="1" si="23"/>
        <v>0</v>
      </c>
      <c r="P431" s="70" t="str">
        <f ca="1">IF(O431=1,COUNTIF($O$1:$O431,1),"")</f>
        <v/>
      </c>
      <c r="Q431" s="46" t="str">
        <f ca="1">IFERROR(INDEX($L$1:$L$500,MATCH(ROWS($P$1:$P431),$P$1:$P$500,0)),"")</f>
        <v/>
      </c>
      <c r="R431" s="71" t="str">
        <f t="shared" ca="1" si="24"/>
        <v/>
      </c>
    </row>
    <row r="432" spans="8:18">
      <c r="H432"/>
      <c r="I432"/>
      <c r="J432" s="68"/>
      <c r="L432" s="46" t="str">
        <f ca="1">IFERROR(INDEX($A$1:$A$500,MATCH(ROWS($K$1:$K432),$K$1:$K$500,0)),"")</f>
        <v/>
      </c>
      <c r="M432" s="71" t="str">
        <f t="shared" ca="1" si="22"/>
        <v/>
      </c>
      <c r="O432" s="69">
        <f t="shared" ca="1" si="23"/>
        <v>0</v>
      </c>
      <c r="P432" s="70" t="str">
        <f ca="1">IF(O432=1,COUNTIF($O$1:$O432,1),"")</f>
        <v/>
      </c>
      <c r="Q432" s="46" t="str">
        <f ca="1">IFERROR(INDEX($L$1:$L$500,MATCH(ROWS($P$1:$P432),$P$1:$P$500,0)),"")</f>
        <v/>
      </c>
      <c r="R432" s="71" t="str">
        <f t="shared" ca="1" si="24"/>
        <v/>
      </c>
    </row>
    <row r="433" spans="8:18">
      <c r="H433"/>
      <c r="I433"/>
      <c r="J433" s="68"/>
      <c r="L433" s="46" t="str">
        <f ca="1">IFERROR(INDEX($A$1:$A$500,MATCH(ROWS($K$1:$K433),$K$1:$K$500,0)),"")</f>
        <v/>
      </c>
      <c r="M433" s="71" t="str">
        <f t="shared" ca="1" si="22"/>
        <v/>
      </c>
      <c r="O433" s="69">
        <f t="shared" ca="1" si="23"/>
        <v>0</v>
      </c>
      <c r="P433" s="70" t="str">
        <f ca="1">IF(O433=1,COUNTIF($O$1:$O433,1),"")</f>
        <v/>
      </c>
      <c r="Q433" s="46" t="str">
        <f ca="1">IFERROR(INDEX($L$1:$L$500,MATCH(ROWS($P$1:$P433),$P$1:$P$500,0)),"")</f>
        <v/>
      </c>
      <c r="R433" s="71" t="str">
        <f t="shared" ca="1" si="24"/>
        <v/>
      </c>
    </row>
    <row r="434" spans="8:18">
      <c r="H434"/>
      <c r="I434"/>
      <c r="J434" s="68"/>
      <c r="L434" s="46" t="str">
        <f ca="1">IFERROR(INDEX($A$1:$A$500,MATCH(ROWS($K$1:$K434),$K$1:$K$500,0)),"")</f>
        <v/>
      </c>
      <c r="M434" s="71" t="str">
        <f t="shared" ca="1" si="22"/>
        <v/>
      </c>
      <c r="O434" s="69">
        <f t="shared" ca="1" si="23"/>
        <v>0</v>
      </c>
      <c r="P434" s="70" t="str">
        <f ca="1">IF(O434=1,COUNTIF($O$1:$O434,1),"")</f>
        <v/>
      </c>
      <c r="Q434" s="46" t="str">
        <f ca="1">IFERROR(INDEX($L$1:$L$500,MATCH(ROWS($P$1:$P434),$P$1:$P$500,0)),"")</f>
        <v/>
      </c>
      <c r="R434" s="71" t="str">
        <f t="shared" ca="1" si="24"/>
        <v/>
      </c>
    </row>
    <row r="435" spans="8:18">
      <c r="H435"/>
      <c r="I435"/>
      <c r="J435" s="68"/>
      <c r="L435" s="46" t="str">
        <f ca="1">IFERROR(INDEX($A$1:$A$500,MATCH(ROWS($K$1:$K435),$K$1:$K$500,0)),"")</f>
        <v/>
      </c>
      <c r="M435" s="71" t="str">
        <f t="shared" ca="1" si="22"/>
        <v/>
      </c>
      <c r="O435" s="69">
        <f t="shared" ca="1" si="23"/>
        <v>0</v>
      </c>
      <c r="P435" s="70" t="str">
        <f ca="1">IF(O435=1,COUNTIF($O$1:$O435,1),"")</f>
        <v/>
      </c>
      <c r="Q435" s="46" t="str">
        <f ca="1">IFERROR(INDEX($L$1:$L$500,MATCH(ROWS($P$1:$P435),$P$1:$P$500,0)),"")</f>
        <v/>
      </c>
      <c r="R435" s="71" t="str">
        <f t="shared" ca="1" si="24"/>
        <v/>
      </c>
    </row>
    <row r="436" spans="8:18">
      <c r="H436"/>
      <c r="I436"/>
      <c r="J436" s="68"/>
      <c r="L436" s="46" t="str">
        <f ca="1">IFERROR(INDEX($A$1:$A$500,MATCH(ROWS($K$1:$K436),$K$1:$K$500,0)),"")</f>
        <v/>
      </c>
      <c r="M436" s="71" t="str">
        <f t="shared" ca="1" si="22"/>
        <v/>
      </c>
      <c r="O436" s="69">
        <f t="shared" ca="1" si="23"/>
        <v>0</v>
      </c>
      <c r="P436" s="70" t="str">
        <f ca="1">IF(O436=1,COUNTIF($O$1:$O436,1),"")</f>
        <v/>
      </c>
      <c r="Q436" s="46" t="str">
        <f ca="1">IFERROR(INDEX($L$1:$L$500,MATCH(ROWS($P$1:$P436),$P$1:$P$500,0)),"")</f>
        <v/>
      </c>
      <c r="R436" s="71" t="str">
        <f t="shared" ca="1" si="24"/>
        <v/>
      </c>
    </row>
    <row r="437" spans="8:18">
      <c r="H437"/>
      <c r="I437"/>
      <c r="J437" s="68"/>
      <c r="L437" s="46" t="str">
        <f ca="1">IFERROR(INDEX($A$1:$A$500,MATCH(ROWS($K$1:$K437),$K$1:$K$500,0)),"")</f>
        <v/>
      </c>
      <c r="M437" s="71" t="str">
        <f t="shared" ca="1" si="22"/>
        <v/>
      </c>
      <c r="O437" s="69">
        <f t="shared" ca="1" si="23"/>
        <v>0</v>
      </c>
      <c r="P437" s="70" t="str">
        <f ca="1">IF(O437=1,COUNTIF($O$1:$O437,1),"")</f>
        <v/>
      </c>
      <c r="Q437" s="46" t="str">
        <f ca="1">IFERROR(INDEX($L$1:$L$500,MATCH(ROWS($P$1:$P437),$P$1:$P$500,0)),"")</f>
        <v/>
      </c>
      <c r="R437" s="71" t="str">
        <f t="shared" ca="1" si="24"/>
        <v/>
      </c>
    </row>
    <row r="438" spans="8:18">
      <c r="H438"/>
      <c r="I438"/>
      <c r="J438" s="68"/>
      <c r="L438" s="46" t="str">
        <f ca="1">IFERROR(INDEX($A$1:$A$500,MATCH(ROWS($K$1:$K438),$K$1:$K$500,0)),"")</f>
        <v/>
      </c>
      <c r="M438" s="71" t="str">
        <f t="shared" ca="1" si="22"/>
        <v/>
      </c>
      <c r="O438" s="69">
        <f t="shared" ca="1" si="23"/>
        <v>0</v>
      </c>
      <c r="P438" s="70" t="str">
        <f ca="1">IF(O438=1,COUNTIF($O$1:$O438,1),"")</f>
        <v/>
      </c>
      <c r="Q438" s="46" t="str">
        <f ca="1">IFERROR(INDEX($L$1:$L$500,MATCH(ROWS($P$1:$P438),$P$1:$P$500,0)),"")</f>
        <v/>
      </c>
      <c r="R438" s="71" t="str">
        <f t="shared" ca="1" si="24"/>
        <v/>
      </c>
    </row>
    <row r="439" spans="8:18">
      <c r="H439"/>
      <c r="I439"/>
      <c r="J439" s="68"/>
      <c r="L439" s="46" t="str">
        <f ca="1">IFERROR(INDEX($A$1:$A$500,MATCH(ROWS($K$1:$K439),$K$1:$K$500,0)),"")</f>
        <v/>
      </c>
      <c r="M439" s="71" t="str">
        <f t="shared" ca="1" si="22"/>
        <v/>
      </c>
      <c r="O439" s="69">
        <f t="shared" ca="1" si="23"/>
        <v>0</v>
      </c>
      <c r="P439" s="70" t="str">
        <f ca="1">IF(O439=1,COUNTIF($O$1:$O439,1),"")</f>
        <v/>
      </c>
      <c r="Q439" s="46" t="str">
        <f ca="1">IFERROR(INDEX($L$1:$L$500,MATCH(ROWS($P$1:$P439),$P$1:$P$500,0)),"")</f>
        <v/>
      </c>
      <c r="R439" s="71" t="str">
        <f t="shared" ca="1" si="24"/>
        <v/>
      </c>
    </row>
    <row r="440" spans="8:18">
      <c r="H440"/>
      <c r="I440"/>
      <c r="J440" s="68"/>
      <c r="L440" s="46" t="str">
        <f ca="1">IFERROR(INDEX($A$1:$A$500,MATCH(ROWS($K$1:$K440),$K$1:$K$500,0)),"")</f>
        <v/>
      </c>
      <c r="M440" s="71" t="str">
        <f t="shared" ca="1" si="22"/>
        <v/>
      </c>
      <c r="O440" s="69">
        <f t="shared" ca="1" si="23"/>
        <v>0</v>
      </c>
      <c r="P440" s="70" t="str">
        <f ca="1">IF(O440=1,COUNTIF($O$1:$O440,1),"")</f>
        <v/>
      </c>
      <c r="Q440" s="46" t="str">
        <f ca="1">IFERROR(INDEX($L$1:$L$500,MATCH(ROWS($P$1:$P440),$P$1:$P$500,0)),"")</f>
        <v/>
      </c>
      <c r="R440" s="71" t="str">
        <f t="shared" ca="1" si="24"/>
        <v/>
      </c>
    </row>
    <row r="441" spans="8:18">
      <c r="H441"/>
      <c r="I441"/>
      <c r="J441" s="68"/>
      <c r="L441" s="46" t="str">
        <f ca="1">IFERROR(INDEX($A$1:$A$500,MATCH(ROWS($K$1:$K441),$K$1:$K$500,0)),"")</f>
        <v/>
      </c>
      <c r="M441" s="71" t="str">
        <f t="shared" ca="1" si="22"/>
        <v/>
      </c>
      <c r="O441" s="69">
        <f t="shared" ca="1" si="23"/>
        <v>0</v>
      </c>
      <c r="P441" s="70" t="str">
        <f ca="1">IF(O441=1,COUNTIF($O$1:$O441,1),"")</f>
        <v/>
      </c>
      <c r="Q441" s="46" t="str">
        <f ca="1">IFERROR(INDEX($L$1:$L$500,MATCH(ROWS($P$1:$P441),$P$1:$P$500,0)),"")</f>
        <v/>
      </c>
      <c r="R441" s="71" t="str">
        <f t="shared" ca="1" si="24"/>
        <v/>
      </c>
    </row>
    <row r="442" spans="8:18">
      <c r="H442"/>
      <c r="I442"/>
      <c r="J442" s="68"/>
      <c r="L442" s="46" t="str">
        <f ca="1">IFERROR(INDEX($A$1:$A$500,MATCH(ROWS($K$1:$K442),$K$1:$K$500,0)),"")</f>
        <v/>
      </c>
      <c r="M442" s="71" t="str">
        <f t="shared" ca="1" si="22"/>
        <v/>
      </c>
      <c r="O442" s="69">
        <f t="shared" ca="1" si="23"/>
        <v>0</v>
      </c>
      <c r="P442" s="70" t="str">
        <f ca="1">IF(O442=1,COUNTIF($O$1:$O442,1),"")</f>
        <v/>
      </c>
      <c r="Q442" s="46" t="str">
        <f ca="1">IFERROR(INDEX($L$1:$L$500,MATCH(ROWS($P$1:$P442),$P$1:$P$500,0)),"")</f>
        <v/>
      </c>
      <c r="R442" s="71" t="str">
        <f t="shared" ca="1" si="24"/>
        <v/>
      </c>
    </row>
    <row r="443" spans="8:18">
      <c r="H443"/>
      <c r="I443"/>
      <c r="J443" s="68"/>
      <c r="L443" s="46" t="str">
        <f ca="1">IFERROR(INDEX($A$1:$A$500,MATCH(ROWS($K$1:$K443),$K$1:$K$500,0)),"")</f>
        <v/>
      </c>
      <c r="M443" s="71" t="str">
        <f t="shared" ca="1" si="22"/>
        <v/>
      </c>
      <c r="O443" s="69">
        <f t="shared" ca="1" si="23"/>
        <v>0</v>
      </c>
      <c r="P443" s="70" t="str">
        <f ca="1">IF(O443=1,COUNTIF($O$1:$O443,1),"")</f>
        <v/>
      </c>
      <c r="Q443" s="46" t="str">
        <f ca="1">IFERROR(INDEX($L$1:$L$500,MATCH(ROWS($P$1:$P443),$P$1:$P$500,0)),"")</f>
        <v/>
      </c>
      <c r="R443" s="71" t="str">
        <f t="shared" ca="1" si="24"/>
        <v/>
      </c>
    </row>
    <row r="444" spans="8:18">
      <c r="H444"/>
      <c r="I444"/>
      <c r="J444" s="68"/>
      <c r="L444" s="46" t="str">
        <f ca="1">IFERROR(INDEX($A$1:$A$500,MATCH(ROWS($K$1:$K444),$K$1:$K$500,0)),"")</f>
        <v/>
      </c>
      <c r="M444" s="71" t="str">
        <f t="shared" ca="1" si="22"/>
        <v/>
      </c>
      <c r="O444" s="69">
        <f t="shared" ca="1" si="23"/>
        <v>0</v>
      </c>
      <c r="P444" s="70" t="str">
        <f ca="1">IF(O444=1,COUNTIF($O$1:$O444,1),"")</f>
        <v/>
      </c>
      <c r="Q444" s="46" t="str">
        <f ca="1">IFERROR(INDEX($L$1:$L$500,MATCH(ROWS($P$1:$P444),$P$1:$P$500,0)),"")</f>
        <v/>
      </c>
      <c r="R444" s="71" t="str">
        <f t="shared" ca="1" si="24"/>
        <v/>
      </c>
    </row>
    <row r="445" spans="8:18">
      <c r="H445"/>
      <c r="I445"/>
      <c r="J445" s="68"/>
      <c r="L445" s="46" t="str">
        <f ca="1">IFERROR(INDEX($A$1:$A$500,MATCH(ROWS($K$1:$K445),$K$1:$K$500,0)),"")</f>
        <v/>
      </c>
      <c r="M445" s="71" t="str">
        <f t="shared" ca="1" si="22"/>
        <v/>
      </c>
      <c r="O445" s="69">
        <f t="shared" ca="1" si="23"/>
        <v>0</v>
      </c>
      <c r="P445" s="70" t="str">
        <f ca="1">IF(O445=1,COUNTIF($O$1:$O445,1),"")</f>
        <v/>
      </c>
      <c r="Q445" s="46" t="str">
        <f ca="1">IFERROR(INDEX($L$1:$L$500,MATCH(ROWS($P$1:$P445),$P$1:$P$500,0)),"")</f>
        <v/>
      </c>
      <c r="R445" s="71" t="str">
        <f t="shared" ca="1" si="24"/>
        <v/>
      </c>
    </row>
    <row r="446" spans="8:18">
      <c r="H446"/>
      <c r="I446"/>
      <c r="J446" s="68"/>
      <c r="L446" s="46" t="str">
        <f ca="1">IFERROR(INDEX($A$1:$A$500,MATCH(ROWS($K$1:$K446),$K$1:$K$500,0)),"")</f>
        <v/>
      </c>
      <c r="M446" s="71" t="str">
        <f t="shared" ca="1" si="22"/>
        <v/>
      </c>
      <c r="O446" s="69">
        <f t="shared" ca="1" si="23"/>
        <v>0</v>
      </c>
      <c r="P446" s="70" t="str">
        <f ca="1">IF(O446=1,COUNTIF($O$1:$O446,1),"")</f>
        <v/>
      </c>
      <c r="Q446" s="46" t="str">
        <f ca="1">IFERROR(INDEX($L$1:$L$500,MATCH(ROWS($P$1:$P446),$P$1:$P$500,0)),"")</f>
        <v/>
      </c>
      <c r="R446" s="71" t="str">
        <f t="shared" ca="1" si="24"/>
        <v/>
      </c>
    </row>
    <row r="447" spans="8:18">
      <c r="H447"/>
      <c r="I447"/>
      <c r="J447" s="68"/>
      <c r="L447" s="46" t="str">
        <f ca="1">IFERROR(INDEX($A$1:$A$500,MATCH(ROWS($K$1:$K447),$K$1:$K$500,0)),"")</f>
        <v/>
      </c>
      <c r="M447" s="71" t="str">
        <f t="shared" ca="1" si="22"/>
        <v/>
      </c>
      <c r="O447" s="69">
        <f t="shared" ca="1" si="23"/>
        <v>0</v>
      </c>
      <c r="P447" s="70" t="str">
        <f ca="1">IF(O447=1,COUNTIF($O$1:$O447,1),"")</f>
        <v/>
      </c>
      <c r="Q447" s="46" t="str">
        <f ca="1">IFERROR(INDEX($L$1:$L$500,MATCH(ROWS($P$1:$P447),$P$1:$P$500,0)),"")</f>
        <v/>
      </c>
      <c r="R447" s="71" t="str">
        <f t="shared" ca="1" si="24"/>
        <v/>
      </c>
    </row>
    <row r="448" spans="8:18">
      <c r="H448"/>
      <c r="I448"/>
      <c r="J448" s="68"/>
      <c r="L448" s="46" t="str">
        <f ca="1">IFERROR(INDEX($A$1:$A$500,MATCH(ROWS($K$1:$K448),$K$1:$K$500,0)),"")</f>
        <v/>
      </c>
      <c r="M448" s="71" t="str">
        <f t="shared" ca="1" si="22"/>
        <v/>
      </c>
      <c r="O448" s="69">
        <f t="shared" ca="1" si="23"/>
        <v>0</v>
      </c>
      <c r="P448" s="70" t="str">
        <f ca="1">IF(O448=1,COUNTIF($O$1:$O448,1),"")</f>
        <v/>
      </c>
      <c r="Q448" s="46" t="str">
        <f ca="1">IFERROR(INDEX($L$1:$L$500,MATCH(ROWS($P$1:$P448),$P$1:$P$500,0)),"")</f>
        <v/>
      </c>
      <c r="R448" s="71" t="str">
        <f t="shared" ca="1" si="24"/>
        <v/>
      </c>
    </row>
    <row r="449" spans="8:18">
      <c r="H449"/>
      <c r="I449"/>
      <c r="J449" s="68"/>
      <c r="L449" s="46" t="str">
        <f ca="1">IFERROR(INDEX($A$1:$A$500,MATCH(ROWS($K$1:$K449),$K$1:$K$500,0)),"")</f>
        <v/>
      </c>
      <c r="M449" s="71" t="str">
        <f t="shared" ref="M449:M500" ca="1" si="25">+IF(L449="","",RIGHT(L449,LEN(L449)-FIND("@",SUBSTITUTE(L449,"\","@",LEN(L449)-LEN(SUBSTITUTE(L449,"\",""))),1)))</f>
        <v/>
      </c>
      <c r="O449" s="69">
        <f t="shared" ref="O449:O500" ca="1" si="26">--ISNUMBER(SEARCH($N$2,M449))</f>
        <v>0</v>
      </c>
      <c r="P449" s="70" t="str">
        <f ca="1">IF(O449=1,COUNTIF($O$1:$O449,1),"")</f>
        <v/>
      </c>
      <c r="Q449" s="46" t="str">
        <f ca="1">IFERROR(INDEX($L$1:$L$500,MATCH(ROWS($P$1:$P449),$P$1:$P$500,0)),"")</f>
        <v/>
      </c>
      <c r="R449" s="71" t="str">
        <f t="shared" ca="1" si="24"/>
        <v/>
      </c>
    </row>
    <row r="450" spans="8:18">
      <c r="H450"/>
      <c r="I450"/>
      <c r="J450" s="68"/>
      <c r="L450" s="46" t="str">
        <f ca="1">IFERROR(INDEX($A$1:$A$500,MATCH(ROWS($K$1:$K450),$K$1:$K$500,0)),"")</f>
        <v/>
      </c>
      <c r="M450" s="71" t="str">
        <f t="shared" ca="1" si="25"/>
        <v/>
      </c>
      <c r="O450" s="69">
        <f t="shared" ca="1" si="26"/>
        <v>0</v>
      </c>
      <c r="P450" s="70" t="str">
        <f ca="1">IF(O450=1,COUNTIF($O$1:$O450,1),"")</f>
        <v/>
      </c>
      <c r="Q450" s="46" t="str">
        <f ca="1">IFERROR(INDEX($L$1:$L$500,MATCH(ROWS($P$1:$P450),$P$1:$P$500,0)),"")</f>
        <v/>
      </c>
      <c r="R450" s="71" t="str">
        <f t="shared" ref="R450:R500" ca="1" si="27">+IF(Q450="","",RIGHT(Q450,LEN(Q450)-FIND("@",SUBSTITUTE(Q450,"\","@",LEN(Q450)-LEN(SUBSTITUTE(Q450,"\",""))),1)))</f>
        <v/>
      </c>
    </row>
    <row r="451" spans="8:18">
      <c r="H451"/>
      <c r="I451"/>
      <c r="J451" s="68"/>
      <c r="L451" s="46" t="str">
        <f ca="1">IFERROR(INDEX($A$1:$A$500,MATCH(ROWS($K$1:$K451),$K$1:$K$500,0)),"")</f>
        <v/>
      </c>
      <c r="M451" s="71" t="str">
        <f t="shared" ca="1" si="25"/>
        <v/>
      </c>
      <c r="O451" s="69">
        <f t="shared" ca="1" si="26"/>
        <v>0</v>
      </c>
      <c r="P451" s="70" t="str">
        <f ca="1">IF(O451=1,COUNTIF($O$1:$O451,1),"")</f>
        <v/>
      </c>
      <c r="Q451" s="46" t="str">
        <f ca="1">IFERROR(INDEX($L$1:$L$500,MATCH(ROWS($P$1:$P451),$P$1:$P$500,0)),"")</f>
        <v/>
      </c>
      <c r="R451" s="71" t="str">
        <f t="shared" ca="1" si="27"/>
        <v/>
      </c>
    </row>
    <row r="452" spans="8:18">
      <c r="H452"/>
      <c r="I452"/>
      <c r="J452" s="68"/>
      <c r="L452" s="46" t="str">
        <f ca="1">IFERROR(INDEX($A$1:$A$500,MATCH(ROWS($K$1:$K452),$K$1:$K$500,0)),"")</f>
        <v/>
      </c>
      <c r="M452" s="71" t="str">
        <f t="shared" ca="1" si="25"/>
        <v/>
      </c>
      <c r="O452" s="69">
        <f t="shared" ca="1" si="26"/>
        <v>0</v>
      </c>
      <c r="P452" s="70" t="str">
        <f ca="1">IF(O452=1,COUNTIF($O$1:$O452,1),"")</f>
        <v/>
      </c>
      <c r="Q452" s="46" t="str">
        <f ca="1">IFERROR(INDEX($L$1:$L$500,MATCH(ROWS($P$1:$P452),$P$1:$P$500,0)),"")</f>
        <v/>
      </c>
      <c r="R452" s="71" t="str">
        <f t="shared" ca="1" si="27"/>
        <v/>
      </c>
    </row>
    <row r="453" spans="8:18">
      <c r="H453"/>
      <c r="I453"/>
      <c r="J453" s="68"/>
      <c r="L453" s="46" t="str">
        <f ca="1">IFERROR(INDEX($A$1:$A$500,MATCH(ROWS($K$1:$K453),$K$1:$K$500,0)),"")</f>
        <v/>
      </c>
      <c r="M453" s="71" t="str">
        <f t="shared" ca="1" si="25"/>
        <v/>
      </c>
      <c r="O453" s="69">
        <f t="shared" ca="1" si="26"/>
        <v>0</v>
      </c>
      <c r="P453" s="70" t="str">
        <f ca="1">IF(O453=1,COUNTIF($O$1:$O453,1),"")</f>
        <v/>
      </c>
      <c r="Q453" s="46" t="str">
        <f ca="1">IFERROR(INDEX($L$1:$L$500,MATCH(ROWS($P$1:$P453),$P$1:$P$500,0)),"")</f>
        <v/>
      </c>
      <c r="R453" s="71" t="str">
        <f t="shared" ca="1" si="27"/>
        <v/>
      </c>
    </row>
    <row r="454" spans="8:18">
      <c r="H454"/>
      <c r="I454"/>
      <c r="J454" s="68"/>
      <c r="L454" s="46" t="str">
        <f ca="1">IFERROR(INDEX($A$1:$A$500,MATCH(ROWS($K$1:$K454),$K$1:$K$500,0)),"")</f>
        <v/>
      </c>
      <c r="M454" s="71" t="str">
        <f t="shared" ca="1" si="25"/>
        <v/>
      </c>
      <c r="O454" s="69">
        <f t="shared" ca="1" si="26"/>
        <v>0</v>
      </c>
      <c r="P454" s="70" t="str">
        <f ca="1">IF(O454=1,COUNTIF($O$1:$O454,1),"")</f>
        <v/>
      </c>
      <c r="Q454" s="46" t="str">
        <f ca="1">IFERROR(INDEX($L$1:$L$500,MATCH(ROWS($P$1:$P454),$P$1:$P$500,0)),"")</f>
        <v/>
      </c>
      <c r="R454" s="71" t="str">
        <f t="shared" ca="1" si="27"/>
        <v/>
      </c>
    </row>
    <row r="455" spans="8:18">
      <c r="H455"/>
      <c r="I455"/>
      <c r="J455" s="68"/>
      <c r="L455" s="46" t="str">
        <f ca="1">IFERROR(INDEX($A$1:$A$500,MATCH(ROWS($K$1:$K455),$K$1:$K$500,0)),"")</f>
        <v/>
      </c>
      <c r="M455" s="71" t="str">
        <f t="shared" ca="1" si="25"/>
        <v/>
      </c>
      <c r="O455" s="69">
        <f t="shared" ca="1" si="26"/>
        <v>0</v>
      </c>
      <c r="P455" s="70" t="str">
        <f ca="1">IF(O455=1,COUNTIF($O$1:$O455,1),"")</f>
        <v/>
      </c>
      <c r="Q455" s="46" t="str">
        <f ca="1">IFERROR(INDEX($L$1:$L$500,MATCH(ROWS($P$1:$P455),$P$1:$P$500,0)),"")</f>
        <v/>
      </c>
      <c r="R455" s="71" t="str">
        <f t="shared" ca="1" si="27"/>
        <v/>
      </c>
    </row>
    <row r="456" spans="8:18">
      <c r="H456"/>
      <c r="I456"/>
      <c r="J456" s="68"/>
      <c r="L456" s="46" t="str">
        <f ca="1">IFERROR(INDEX($A$1:$A$500,MATCH(ROWS($K$1:$K456),$K$1:$K$500,0)),"")</f>
        <v/>
      </c>
      <c r="M456" s="71" t="str">
        <f t="shared" ca="1" si="25"/>
        <v/>
      </c>
      <c r="O456" s="69">
        <f t="shared" ca="1" si="26"/>
        <v>0</v>
      </c>
      <c r="P456" s="70" t="str">
        <f ca="1">IF(O456=1,COUNTIF($O$1:$O456,1),"")</f>
        <v/>
      </c>
      <c r="Q456" s="46" t="str">
        <f ca="1">IFERROR(INDEX($L$1:$L$500,MATCH(ROWS($P$1:$P456),$P$1:$P$500,0)),"")</f>
        <v/>
      </c>
      <c r="R456" s="71" t="str">
        <f t="shared" ca="1" si="27"/>
        <v/>
      </c>
    </row>
    <row r="457" spans="8:18">
      <c r="H457"/>
      <c r="I457"/>
      <c r="J457" s="68"/>
      <c r="L457" s="46" t="str">
        <f ca="1">IFERROR(INDEX($A$1:$A$500,MATCH(ROWS($K$1:$K457),$K$1:$K$500,0)),"")</f>
        <v/>
      </c>
      <c r="M457" s="71" t="str">
        <f t="shared" ca="1" si="25"/>
        <v/>
      </c>
      <c r="O457" s="69">
        <f t="shared" ca="1" si="26"/>
        <v>0</v>
      </c>
      <c r="P457" s="70" t="str">
        <f ca="1">IF(O457=1,COUNTIF($O$1:$O457,1),"")</f>
        <v/>
      </c>
      <c r="Q457" s="46" t="str">
        <f ca="1">IFERROR(INDEX($L$1:$L$500,MATCH(ROWS($P$1:$P457),$P$1:$P$500,0)),"")</f>
        <v/>
      </c>
      <c r="R457" s="71" t="str">
        <f t="shared" ca="1" si="27"/>
        <v/>
      </c>
    </row>
    <row r="458" spans="8:18">
      <c r="H458"/>
      <c r="I458"/>
      <c r="J458" s="68"/>
      <c r="L458" s="46" t="str">
        <f ca="1">IFERROR(INDEX($A$1:$A$500,MATCH(ROWS($K$1:$K458),$K$1:$K$500,0)),"")</f>
        <v/>
      </c>
      <c r="M458" s="71" t="str">
        <f t="shared" ca="1" si="25"/>
        <v/>
      </c>
      <c r="O458" s="69">
        <f t="shared" ca="1" si="26"/>
        <v>0</v>
      </c>
      <c r="P458" s="70" t="str">
        <f ca="1">IF(O458=1,COUNTIF($O$1:$O458,1),"")</f>
        <v/>
      </c>
      <c r="Q458" s="46" t="str">
        <f ca="1">IFERROR(INDEX($L$1:$L$500,MATCH(ROWS($P$1:$P458),$P$1:$P$500,0)),"")</f>
        <v/>
      </c>
      <c r="R458" s="71" t="str">
        <f t="shared" ca="1" si="27"/>
        <v/>
      </c>
    </row>
    <row r="459" spans="8:18">
      <c r="H459"/>
      <c r="I459"/>
      <c r="J459" s="68"/>
      <c r="L459" s="46" t="str">
        <f ca="1">IFERROR(INDEX($A$1:$A$500,MATCH(ROWS($K$1:$K459),$K$1:$K$500,0)),"")</f>
        <v/>
      </c>
      <c r="M459" s="71" t="str">
        <f t="shared" ca="1" si="25"/>
        <v/>
      </c>
      <c r="O459" s="69">
        <f t="shared" ca="1" si="26"/>
        <v>0</v>
      </c>
      <c r="P459" s="70" t="str">
        <f ca="1">IF(O459=1,COUNTIF($O$1:$O459,1),"")</f>
        <v/>
      </c>
      <c r="Q459" s="46" t="str">
        <f ca="1">IFERROR(INDEX($L$1:$L$500,MATCH(ROWS($P$1:$P459),$P$1:$P$500,0)),"")</f>
        <v/>
      </c>
      <c r="R459" s="71" t="str">
        <f t="shared" ca="1" si="27"/>
        <v/>
      </c>
    </row>
    <row r="460" spans="8:18">
      <c r="H460"/>
      <c r="I460"/>
      <c r="J460" s="68"/>
      <c r="L460" s="46" t="str">
        <f ca="1">IFERROR(INDEX($A$1:$A$500,MATCH(ROWS($K$1:$K460),$K$1:$K$500,0)),"")</f>
        <v/>
      </c>
      <c r="M460" s="71" t="str">
        <f t="shared" ca="1" si="25"/>
        <v/>
      </c>
      <c r="O460" s="69">
        <f t="shared" ca="1" si="26"/>
        <v>0</v>
      </c>
      <c r="P460" s="70" t="str">
        <f ca="1">IF(O460=1,COUNTIF($O$1:$O460,1),"")</f>
        <v/>
      </c>
      <c r="Q460" s="46" t="str">
        <f ca="1">IFERROR(INDEX($L$1:$L$500,MATCH(ROWS($P$1:$P460),$P$1:$P$500,0)),"")</f>
        <v/>
      </c>
      <c r="R460" s="71" t="str">
        <f t="shared" ca="1" si="27"/>
        <v/>
      </c>
    </row>
    <row r="461" spans="8:18">
      <c r="H461"/>
      <c r="I461"/>
      <c r="J461" s="68"/>
      <c r="L461" s="46" t="str">
        <f ca="1">IFERROR(INDEX($A$1:$A$500,MATCH(ROWS($K$1:$K461),$K$1:$K$500,0)),"")</f>
        <v/>
      </c>
      <c r="M461" s="71" t="str">
        <f t="shared" ca="1" si="25"/>
        <v/>
      </c>
      <c r="O461" s="69">
        <f t="shared" ca="1" si="26"/>
        <v>0</v>
      </c>
      <c r="P461" s="70" t="str">
        <f ca="1">IF(O461=1,COUNTIF($O$1:$O461,1),"")</f>
        <v/>
      </c>
      <c r="Q461" s="46" t="str">
        <f ca="1">IFERROR(INDEX($L$1:$L$500,MATCH(ROWS($P$1:$P461),$P$1:$P$500,0)),"")</f>
        <v/>
      </c>
      <c r="R461" s="71" t="str">
        <f t="shared" ca="1" si="27"/>
        <v/>
      </c>
    </row>
    <row r="462" spans="8:18">
      <c r="H462"/>
      <c r="I462"/>
      <c r="J462" s="68"/>
      <c r="L462" s="46" t="str">
        <f ca="1">IFERROR(INDEX($A$1:$A$500,MATCH(ROWS($K$1:$K462),$K$1:$K$500,0)),"")</f>
        <v/>
      </c>
      <c r="M462" s="71" t="str">
        <f t="shared" ca="1" si="25"/>
        <v/>
      </c>
      <c r="O462" s="69">
        <f t="shared" ca="1" si="26"/>
        <v>0</v>
      </c>
      <c r="P462" s="70" t="str">
        <f ca="1">IF(O462=1,COUNTIF($O$1:$O462,1),"")</f>
        <v/>
      </c>
      <c r="Q462" s="46" t="str">
        <f ca="1">IFERROR(INDEX($L$1:$L$500,MATCH(ROWS($P$1:$P462),$P$1:$P$500,0)),"")</f>
        <v/>
      </c>
      <c r="R462" s="71" t="str">
        <f t="shared" ca="1" si="27"/>
        <v/>
      </c>
    </row>
    <row r="463" spans="8:18">
      <c r="H463"/>
      <c r="I463"/>
      <c r="J463" s="68"/>
      <c r="L463" s="46" t="str">
        <f ca="1">IFERROR(INDEX($A$1:$A$500,MATCH(ROWS($K$1:$K463),$K$1:$K$500,0)),"")</f>
        <v/>
      </c>
      <c r="M463" s="71" t="str">
        <f t="shared" ca="1" si="25"/>
        <v/>
      </c>
      <c r="O463" s="69">
        <f t="shared" ca="1" si="26"/>
        <v>0</v>
      </c>
      <c r="P463" s="70" t="str">
        <f ca="1">IF(O463=1,COUNTIF($O$1:$O463,1),"")</f>
        <v/>
      </c>
      <c r="Q463" s="46" t="str">
        <f ca="1">IFERROR(INDEX($L$1:$L$500,MATCH(ROWS($P$1:$P463),$P$1:$P$500,0)),"")</f>
        <v/>
      </c>
      <c r="R463" s="71" t="str">
        <f t="shared" ca="1" si="27"/>
        <v/>
      </c>
    </row>
    <row r="464" spans="8:18">
      <c r="H464"/>
      <c r="I464"/>
      <c r="J464" s="68"/>
      <c r="L464" s="46" t="str">
        <f ca="1">IFERROR(INDEX($A$1:$A$500,MATCH(ROWS($K$1:$K464),$K$1:$K$500,0)),"")</f>
        <v/>
      </c>
      <c r="M464" s="71" t="str">
        <f t="shared" ca="1" si="25"/>
        <v/>
      </c>
      <c r="O464" s="69">
        <f t="shared" ca="1" si="26"/>
        <v>0</v>
      </c>
      <c r="P464" s="70" t="str">
        <f ca="1">IF(O464=1,COUNTIF($O$1:$O464,1),"")</f>
        <v/>
      </c>
      <c r="Q464" s="46" t="str">
        <f ca="1">IFERROR(INDEX($L$1:$L$500,MATCH(ROWS($P$1:$P464),$P$1:$P$500,0)),"")</f>
        <v/>
      </c>
      <c r="R464" s="71" t="str">
        <f t="shared" ca="1" si="27"/>
        <v/>
      </c>
    </row>
    <row r="465" spans="8:18">
      <c r="H465"/>
      <c r="I465"/>
      <c r="J465" s="68"/>
      <c r="L465" s="46" t="str">
        <f ca="1">IFERROR(INDEX($A$1:$A$500,MATCH(ROWS($K$1:$K465),$K$1:$K$500,0)),"")</f>
        <v/>
      </c>
      <c r="M465" s="71" t="str">
        <f t="shared" ca="1" si="25"/>
        <v/>
      </c>
      <c r="O465" s="69">
        <f t="shared" ca="1" si="26"/>
        <v>0</v>
      </c>
      <c r="P465" s="70" t="str">
        <f ca="1">IF(O465=1,COUNTIF($O$1:$O465,1),"")</f>
        <v/>
      </c>
      <c r="Q465" s="46" t="str">
        <f ca="1">IFERROR(INDEX($L$1:$L$500,MATCH(ROWS($P$1:$P465),$P$1:$P$500,0)),"")</f>
        <v/>
      </c>
      <c r="R465" s="71" t="str">
        <f t="shared" ca="1" si="27"/>
        <v/>
      </c>
    </row>
    <row r="466" spans="8:18">
      <c r="H466"/>
      <c r="I466"/>
      <c r="J466" s="68"/>
      <c r="L466" s="46" t="str">
        <f ca="1">IFERROR(INDEX($A$1:$A$500,MATCH(ROWS($K$1:$K466),$K$1:$K$500,0)),"")</f>
        <v/>
      </c>
      <c r="M466" s="71" t="str">
        <f t="shared" ca="1" si="25"/>
        <v/>
      </c>
      <c r="O466" s="69">
        <f t="shared" ca="1" si="26"/>
        <v>0</v>
      </c>
      <c r="P466" s="70" t="str">
        <f ca="1">IF(O466=1,COUNTIF($O$1:$O466,1),"")</f>
        <v/>
      </c>
      <c r="Q466" s="46" t="str">
        <f ca="1">IFERROR(INDEX($L$1:$L$500,MATCH(ROWS($P$1:$P466),$P$1:$P$500,0)),"")</f>
        <v/>
      </c>
      <c r="R466" s="71" t="str">
        <f t="shared" ca="1" si="27"/>
        <v/>
      </c>
    </row>
    <row r="467" spans="8:18">
      <c r="H467"/>
      <c r="I467"/>
      <c r="J467" s="68"/>
      <c r="L467" s="46" t="str">
        <f ca="1">IFERROR(INDEX($A$1:$A$500,MATCH(ROWS($K$1:$K467),$K$1:$K$500,0)),"")</f>
        <v/>
      </c>
      <c r="M467" s="71" t="str">
        <f t="shared" ca="1" si="25"/>
        <v/>
      </c>
      <c r="O467" s="69">
        <f t="shared" ca="1" si="26"/>
        <v>0</v>
      </c>
      <c r="P467" s="70" t="str">
        <f ca="1">IF(O467=1,COUNTIF($O$1:$O467,1),"")</f>
        <v/>
      </c>
      <c r="Q467" s="46" t="str">
        <f ca="1">IFERROR(INDEX($L$1:$L$500,MATCH(ROWS($P$1:$P467),$P$1:$P$500,0)),"")</f>
        <v/>
      </c>
      <c r="R467" s="71" t="str">
        <f t="shared" ca="1" si="27"/>
        <v/>
      </c>
    </row>
    <row r="468" spans="8:18">
      <c r="H468"/>
      <c r="I468"/>
      <c r="J468" s="68"/>
      <c r="L468" s="46" t="str">
        <f ca="1">IFERROR(INDEX($A$1:$A$500,MATCH(ROWS($K$1:$K468),$K$1:$K$500,0)),"")</f>
        <v/>
      </c>
      <c r="M468" s="71" t="str">
        <f t="shared" ca="1" si="25"/>
        <v/>
      </c>
      <c r="O468" s="69">
        <f t="shared" ca="1" si="26"/>
        <v>0</v>
      </c>
      <c r="P468" s="70" t="str">
        <f ca="1">IF(O468=1,COUNTIF($O$1:$O468,1),"")</f>
        <v/>
      </c>
      <c r="Q468" s="46" t="str">
        <f ca="1">IFERROR(INDEX($L$1:$L$500,MATCH(ROWS($P$1:$P468),$P$1:$P$500,0)),"")</f>
        <v/>
      </c>
      <c r="R468" s="71" t="str">
        <f t="shared" ca="1" si="27"/>
        <v/>
      </c>
    </row>
    <row r="469" spans="8:18">
      <c r="H469"/>
      <c r="I469"/>
      <c r="J469" s="68"/>
      <c r="L469" s="46" t="str">
        <f ca="1">IFERROR(INDEX($A$1:$A$500,MATCH(ROWS($K$1:$K469),$K$1:$K$500,0)),"")</f>
        <v/>
      </c>
      <c r="M469" s="71" t="str">
        <f t="shared" ca="1" si="25"/>
        <v/>
      </c>
      <c r="O469" s="69">
        <f t="shared" ca="1" si="26"/>
        <v>0</v>
      </c>
      <c r="P469" s="70" t="str">
        <f ca="1">IF(O469=1,COUNTIF($O$1:$O469,1),"")</f>
        <v/>
      </c>
      <c r="Q469" s="46" t="str">
        <f ca="1">IFERROR(INDEX($L$1:$L$500,MATCH(ROWS($P$1:$P469),$P$1:$P$500,0)),"")</f>
        <v/>
      </c>
      <c r="R469" s="71" t="str">
        <f t="shared" ca="1" si="27"/>
        <v/>
      </c>
    </row>
    <row r="470" spans="8:18">
      <c r="H470"/>
      <c r="I470"/>
      <c r="J470" s="68"/>
      <c r="L470" s="46" t="str">
        <f ca="1">IFERROR(INDEX($A$1:$A$500,MATCH(ROWS($K$1:$K470),$K$1:$K$500,0)),"")</f>
        <v/>
      </c>
      <c r="M470" s="71" t="str">
        <f t="shared" ca="1" si="25"/>
        <v/>
      </c>
      <c r="O470" s="69">
        <f t="shared" ca="1" si="26"/>
        <v>0</v>
      </c>
      <c r="P470" s="70" t="str">
        <f ca="1">IF(O470=1,COUNTIF($O$1:$O470,1),"")</f>
        <v/>
      </c>
      <c r="Q470" s="46" t="str">
        <f ca="1">IFERROR(INDEX($L$1:$L$500,MATCH(ROWS($P$1:$P470),$P$1:$P$500,0)),"")</f>
        <v/>
      </c>
      <c r="R470" s="71" t="str">
        <f t="shared" ca="1" si="27"/>
        <v/>
      </c>
    </row>
    <row r="471" spans="8:18">
      <c r="H471"/>
      <c r="I471"/>
      <c r="J471" s="68"/>
      <c r="L471" s="46" t="str">
        <f ca="1">IFERROR(INDEX($A$1:$A$500,MATCH(ROWS($K$1:$K471),$K$1:$K$500,0)),"")</f>
        <v/>
      </c>
      <c r="M471" s="71" t="str">
        <f t="shared" ca="1" si="25"/>
        <v/>
      </c>
      <c r="O471" s="69">
        <f t="shared" ca="1" si="26"/>
        <v>0</v>
      </c>
      <c r="P471" s="70" t="str">
        <f ca="1">IF(O471=1,COUNTIF($O$1:$O471,1),"")</f>
        <v/>
      </c>
      <c r="Q471" s="46" t="str">
        <f ca="1">IFERROR(INDEX($L$1:$L$500,MATCH(ROWS($P$1:$P471),$P$1:$P$500,0)),"")</f>
        <v/>
      </c>
      <c r="R471" s="71" t="str">
        <f t="shared" ca="1" si="27"/>
        <v/>
      </c>
    </row>
    <row r="472" spans="8:18">
      <c r="H472"/>
      <c r="I472"/>
      <c r="J472" s="68"/>
      <c r="L472" s="46" t="str">
        <f ca="1">IFERROR(INDEX($A$1:$A$500,MATCH(ROWS($K$1:$K472),$K$1:$K$500,0)),"")</f>
        <v/>
      </c>
      <c r="M472" s="71" t="str">
        <f t="shared" ca="1" si="25"/>
        <v/>
      </c>
      <c r="O472" s="69">
        <f t="shared" ca="1" si="26"/>
        <v>0</v>
      </c>
      <c r="P472" s="70" t="str">
        <f ca="1">IF(O472=1,COUNTIF($O$1:$O472,1),"")</f>
        <v/>
      </c>
      <c r="Q472" s="46" t="str">
        <f ca="1">IFERROR(INDEX($L$1:$L$500,MATCH(ROWS($P$1:$P472),$P$1:$P$500,0)),"")</f>
        <v/>
      </c>
      <c r="R472" s="71" t="str">
        <f t="shared" ca="1" si="27"/>
        <v/>
      </c>
    </row>
    <row r="473" spans="8:18">
      <c r="H473"/>
      <c r="I473"/>
      <c r="J473" s="68"/>
      <c r="L473" s="46" t="str">
        <f ca="1">IFERROR(INDEX($A$1:$A$500,MATCH(ROWS($K$1:$K473),$K$1:$K$500,0)),"")</f>
        <v/>
      </c>
      <c r="M473" s="71" t="str">
        <f t="shared" ca="1" si="25"/>
        <v/>
      </c>
      <c r="O473" s="69">
        <f t="shared" ca="1" si="26"/>
        <v>0</v>
      </c>
      <c r="P473" s="70" t="str">
        <f ca="1">IF(O473=1,COUNTIF($O$1:$O473,1),"")</f>
        <v/>
      </c>
      <c r="Q473" s="46" t="str">
        <f ca="1">IFERROR(INDEX($L$1:$L$500,MATCH(ROWS($P$1:$P473),$P$1:$P$500,0)),"")</f>
        <v/>
      </c>
      <c r="R473" s="71" t="str">
        <f t="shared" ca="1" si="27"/>
        <v/>
      </c>
    </row>
    <row r="474" spans="8:18">
      <c r="H474"/>
      <c r="I474"/>
      <c r="J474" s="68"/>
      <c r="L474" s="46" t="str">
        <f ca="1">IFERROR(INDEX($A$1:$A$500,MATCH(ROWS($K$1:$K474),$K$1:$K$500,0)),"")</f>
        <v/>
      </c>
      <c r="M474" s="71" t="str">
        <f t="shared" ca="1" si="25"/>
        <v/>
      </c>
      <c r="O474" s="69">
        <f t="shared" ca="1" si="26"/>
        <v>0</v>
      </c>
      <c r="P474" s="70" t="str">
        <f ca="1">IF(O474=1,COUNTIF($O$1:$O474,1),"")</f>
        <v/>
      </c>
      <c r="Q474" s="46" t="str">
        <f ca="1">IFERROR(INDEX($L$1:$L$500,MATCH(ROWS($P$1:$P474),$P$1:$P$500,0)),"")</f>
        <v/>
      </c>
      <c r="R474" s="71" t="str">
        <f t="shared" ca="1" si="27"/>
        <v/>
      </c>
    </row>
    <row r="475" spans="8:18">
      <c r="H475"/>
      <c r="I475"/>
      <c r="J475" s="68"/>
      <c r="L475" s="46" t="str">
        <f ca="1">IFERROR(INDEX($A$1:$A$500,MATCH(ROWS($K$1:$K475),$K$1:$K$500,0)),"")</f>
        <v/>
      </c>
      <c r="M475" s="71" t="str">
        <f t="shared" ca="1" si="25"/>
        <v/>
      </c>
      <c r="O475" s="69">
        <f t="shared" ca="1" si="26"/>
        <v>0</v>
      </c>
      <c r="P475" s="70" t="str">
        <f ca="1">IF(O475=1,COUNTIF($O$1:$O475,1),"")</f>
        <v/>
      </c>
      <c r="Q475" s="46" t="str">
        <f ca="1">IFERROR(INDEX($L$1:$L$500,MATCH(ROWS($P$1:$P475),$P$1:$P$500,0)),"")</f>
        <v/>
      </c>
      <c r="R475" s="71" t="str">
        <f t="shared" ca="1" si="27"/>
        <v/>
      </c>
    </row>
    <row r="476" spans="8:18">
      <c r="H476"/>
      <c r="I476"/>
      <c r="J476" s="68"/>
      <c r="L476" s="46" t="str">
        <f ca="1">IFERROR(INDEX($A$1:$A$500,MATCH(ROWS($K$1:$K476),$K$1:$K$500,0)),"")</f>
        <v/>
      </c>
      <c r="M476" s="71" t="str">
        <f t="shared" ca="1" si="25"/>
        <v/>
      </c>
      <c r="O476" s="69">
        <f t="shared" ca="1" si="26"/>
        <v>0</v>
      </c>
      <c r="P476" s="70" t="str">
        <f ca="1">IF(O476=1,COUNTIF($O$1:$O476,1),"")</f>
        <v/>
      </c>
      <c r="Q476" s="46" t="str">
        <f ca="1">IFERROR(INDEX($L$1:$L$500,MATCH(ROWS($P$1:$P476),$P$1:$P$500,0)),"")</f>
        <v/>
      </c>
      <c r="R476" s="71" t="str">
        <f t="shared" ca="1" si="27"/>
        <v/>
      </c>
    </row>
    <row r="477" spans="8:18">
      <c r="H477"/>
      <c r="I477"/>
      <c r="J477" s="68"/>
      <c r="L477" s="46" t="str">
        <f ca="1">IFERROR(INDEX($A$1:$A$500,MATCH(ROWS($K$1:$K477),$K$1:$K$500,0)),"")</f>
        <v/>
      </c>
      <c r="M477" s="71" t="str">
        <f t="shared" ca="1" si="25"/>
        <v/>
      </c>
      <c r="O477" s="69">
        <f t="shared" ca="1" si="26"/>
        <v>0</v>
      </c>
      <c r="P477" s="70" t="str">
        <f ca="1">IF(O477=1,COUNTIF($O$1:$O477,1),"")</f>
        <v/>
      </c>
      <c r="Q477" s="46" t="str">
        <f ca="1">IFERROR(INDEX($L$1:$L$500,MATCH(ROWS($P$1:$P477),$P$1:$P$500,0)),"")</f>
        <v/>
      </c>
      <c r="R477" s="71" t="str">
        <f t="shared" ca="1" si="27"/>
        <v/>
      </c>
    </row>
    <row r="478" spans="8:18">
      <c r="H478"/>
      <c r="I478"/>
      <c r="J478" s="68"/>
      <c r="L478" s="46" t="str">
        <f ca="1">IFERROR(INDEX($A$1:$A$500,MATCH(ROWS($K$1:$K478),$K$1:$K$500,0)),"")</f>
        <v/>
      </c>
      <c r="M478" s="71" t="str">
        <f t="shared" ca="1" si="25"/>
        <v/>
      </c>
      <c r="O478" s="69">
        <f t="shared" ca="1" si="26"/>
        <v>0</v>
      </c>
      <c r="P478" s="70" t="str">
        <f ca="1">IF(O478=1,COUNTIF($O$1:$O478,1),"")</f>
        <v/>
      </c>
      <c r="Q478" s="46" t="str">
        <f ca="1">IFERROR(INDEX($L$1:$L$500,MATCH(ROWS($P$1:$P478),$P$1:$P$500,0)),"")</f>
        <v/>
      </c>
      <c r="R478" s="71" t="str">
        <f t="shared" ca="1" si="27"/>
        <v/>
      </c>
    </row>
    <row r="479" spans="8:18">
      <c r="H479"/>
      <c r="I479"/>
      <c r="J479" s="68"/>
      <c r="L479" s="46" t="str">
        <f ca="1">IFERROR(INDEX($A$1:$A$500,MATCH(ROWS($K$1:$K479),$K$1:$K$500,0)),"")</f>
        <v/>
      </c>
      <c r="M479" s="71" t="str">
        <f t="shared" ca="1" si="25"/>
        <v/>
      </c>
      <c r="O479" s="69">
        <f t="shared" ca="1" si="26"/>
        <v>0</v>
      </c>
      <c r="P479" s="70" t="str">
        <f ca="1">IF(O479=1,COUNTIF($O$1:$O479,1),"")</f>
        <v/>
      </c>
      <c r="Q479" s="46" t="str">
        <f ca="1">IFERROR(INDEX($L$1:$L$500,MATCH(ROWS($P$1:$P479),$P$1:$P$500,0)),"")</f>
        <v/>
      </c>
      <c r="R479" s="71" t="str">
        <f t="shared" ca="1" si="27"/>
        <v/>
      </c>
    </row>
    <row r="480" spans="8:18">
      <c r="H480"/>
      <c r="I480"/>
      <c r="J480" s="68"/>
      <c r="L480" s="46" t="str">
        <f ca="1">IFERROR(INDEX($A$1:$A$500,MATCH(ROWS($K$1:$K480),$K$1:$K$500,0)),"")</f>
        <v/>
      </c>
      <c r="M480" s="71" t="str">
        <f t="shared" ca="1" si="25"/>
        <v/>
      </c>
      <c r="O480" s="69">
        <f t="shared" ca="1" si="26"/>
        <v>0</v>
      </c>
      <c r="P480" s="70" t="str">
        <f ca="1">IF(O480=1,COUNTIF($O$1:$O480,1),"")</f>
        <v/>
      </c>
      <c r="Q480" s="46" t="str">
        <f ca="1">IFERROR(INDEX($L$1:$L$500,MATCH(ROWS($P$1:$P480),$P$1:$P$500,0)),"")</f>
        <v/>
      </c>
      <c r="R480" s="71" t="str">
        <f t="shared" ca="1" si="27"/>
        <v/>
      </c>
    </row>
    <row r="481" spans="8:18">
      <c r="H481"/>
      <c r="I481"/>
      <c r="J481" s="68"/>
      <c r="L481" s="46" t="str">
        <f ca="1">IFERROR(INDEX($A$1:$A$500,MATCH(ROWS($K$1:$K481),$K$1:$K$500,0)),"")</f>
        <v/>
      </c>
      <c r="M481" s="71" t="str">
        <f t="shared" ca="1" si="25"/>
        <v/>
      </c>
      <c r="O481" s="69">
        <f t="shared" ca="1" si="26"/>
        <v>0</v>
      </c>
      <c r="P481" s="70" t="str">
        <f ca="1">IF(O481=1,COUNTIF($O$1:$O481,1),"")</f>
        <v/>
      </c>
      <c r="Q481" s="46" t="str">
        <f ca="1">IFERROR(INDEX($L$1:$L$500,MATCH(ROWS($P$1:$P481),$P$1:$P$500,0)),"")</f>
        <v/>
      </c>
      <c r="R481" s="71" t="str">
        <f t="shared" ca="1" si="27"/>
        <v/>
      </c>
    </row>
    <row r="482" spans="8:18">
      <c r="H482"/>
      <c r="I482"/>
      <c r="J482" s="68"/>
      <c r="L482" s="46" t="str">
        <f ca="1">IFERROR(INDEX($A$1:$A$500,MATCH(ROWS($K$1:$K482),$K$1:$K$500,0)),"")</f>
        <v/>
      </c>
      <c r="M482" s="71" t="str">
        <f t="shared" ca="1" si="25"/>
        <v/>
      </c>
      <c r="O482" s="69">
        <f t="shared" ca="1" si="26"/>
        <v>0</v>
      </c>
      <c r="P482" s="70" t="str">
        <f ca="1">IF(O482=1,COUNTIF($O$1:$O482,1),"")</f>
        <v/>
      </c>
      <c r="Q482" s="46" t="str">
        <f ca="1">IFERROR(INDEX($L$1:$L$500,MATCH(ROWS($P$1:$P482),$P$1:$P$500,0)),"")</f>
        <v/>
      </c>
      <c r="R482" s="71" t="str">
        <f t="shared" ca="1" si="27"/>
        <v/>
      </c>
    </row>
    <row r="483" spans="8:18">
      <c r="H483"/>
      <c r="I483"/>
      <c r="J483" s="68"/>
      <c r="L483" s="46" t="str">
        <f ca="1">IFERROR(INDEX($A$1:$A$500,MATCH(ROWS($K$1:$K483),$K$1:$K$500,0)),"")</f>
        <v/>
      </c>
      <c r="M483" s="71" t="str">
        <f t="shared" ca="1" si="25"/>
        <v/>
      </c>
      <c r="O483" s="69">
        <f t="shared" ca="1" si="26"/>
        <v>0</v>
      </c>
      <c r="P483" s="70" t="str">
        <f ca="1">IF(O483=1,COUNTIF($O$1:$O483,1),"")</f>
        <v/>
      </c>
      <c r="Q483" s="46" t="str">
        <f ca="1">IFERROR(INDEX($L$1:$L$500,MATCH(ROWS($P$1:$P483),$P$1:$P$500,0)),"")</f>
        <v/>
      </c>
      <c r="R483" s="71" t="str">
        <f t="shared" ca="1" si="27"/>
        <v/>
      </c>
    </row>
    <row r="484" spans="8:18">
      <c r="H484"/>
      <c r="I484"/>
      <c r="J484" s="68"/>
      <c r="L484" s="46" t="str">
        <f ca="1">IFERROR(INDEX($A$1:$A$500,MATCH(ROWS($K$1:$K484),$K$1:$K$500,0)),"")</f>
        <v/>
      </c>
      <c r="M484" s="71" t="str">
        <f t="shared" ca="1" si="25"/>
        <v/>
      </c>
      <c r="O484" s="69">
        <f t="shared" ca="1" si="26"/>
        <v>0</v>
      </c>
      <c r="P484" s="70" t="str">
        <f ca="1">IF(O484=1,COUNTIF($O$1:$O484,1),"")</f>
        <v/>
      </c>
      <c r="Q484" s="46" t="str">
        <f ca="1">IFERROR(INDEX($L$1:$L$500,MATCH(ROWS($P$1:$P484),$P$1:$P$500,0)),"")</f>
        <v/>
      </c>
      <c r="R484" s="71" t="str">
        <f t="shared" ca="1" si="27"/>
        <v/>
      </c>
    </row>
    <row r="485" spans="8:18">
      <c r="H485"/>
      <c r="I485"/>
      <c r="J485" s="68"/>
      <c r="L485" s="46" t="str">
        <f ca="1">IFERROR(INDEX($A$1:$A$500,MATCH(ROWS($K$1:$K485),$K$1:$K$500,0)),"")</f>
        <v/>
      </c>
      <c r="M485" s="71" t="str">
        <f t="shared" ca="1" si="25"/>
        <v/>
      </c>
      <c r="O485" s="69">
        <f t="shared" ca="1" si="26"/>
        <v>0</v>
      </c>
      <c r="P485" s="70" t="str">
        <f ca="1">IF(O485=1,COUNTIF($O$1:$O485,1),"")</f>
        <v/>
      </c>
      <c r="Q485" s="46" t="str">
        <f ca="1">IFERROR(INDEX($L$1:$L$500,MATCH(ROWS($P$1:$P485),$P$1:$P$500,0)),"")</f>
        <v/>
      </c>
      <c r="R485" s="71" t="str">
        <f t="shared" ca="1" si="27"/>
        <v/>
      </c>
    </row>
    <row r="486" spans="8:18">
      <c r="H486"/>
      <c r="I486"/>
      <c r="J486" s="68"/>
      <c r="L486" s="46" t="str">
        <f ca="1">IFERROR(INDEX($A$1:$A$500,MATCH(ROWS($K$1:$K486),$K$1:$K$500,0)),"")</f>
        <v/>
      </c>
      <c r="M486" s="71" t="str">
        <f t="shared" ca="1" si="25"/>
        <v/>
      </c>
      <c r="O486" s="69">
        <f t="shared" ca="1" si="26"/>
        <v>0</v>
      </c>
      <c r="P486" s="70" t="str">
        <f ca="1">IF(O486=1,COUNTIF($O$1:$O486,1),"")</f>
        <v/>
      </c>
      <c r="Q486" s="46" t="str">
        <f ca="1">IFERROR(INDEX($L$1:$L$500,MATCH(ROWS($P$1:$P486),$P$1:$P$500,0)),"")</f>
        <v/>
      </c>
      <c r="R486" s="71" t="str">
        <f t="shared" ca="1" si="27"/>
        <v/>
      </c>
    </row>
    <row r="487" spans="8:18">
      <c r="H487"/>
      <c r="I487"/>
      <c r="J487" s="68"/>
      <c r="L487" s="46" t="str">
        <f ca="1">IFERROR(INDEX($A$1:$A$500,MATCH(ROWS($K$1:$K487),$K$1:$K$500,0)),"")</f>
        <v/>
      </c>
      <c r="M487" s="71" t="str">
        <f t="shared" ca="1" si="25"/>
        <v/>
      </c>
      <c r="O487" s="69">
        <f t="shared" ca="1" si="26"/>
        <v>0</v>
      </c>
      <c r="P487" s="70" t="str">
        <f ca="1">IF(O487=1,COUNTIF($O$1:$O487,1),"")</f>
        <v/>
      </c>
      <c r="Q487" s="46" t="str">
        <f ca="1">IFERROR(INDEX($L$1:$L$500,MATCH(ROWS($P$1:$P487),$P$1:$P$500,0)),"")</f>
        <v/>
      </c>
      <c r="R487" s="71" t="str">
        <f t="shared" ca="1" si="27"/>
        <v/>
      </c>
    </row>
    <row r="488" spans="8:18">
      <c r="H488"/>
      <c r="I488"/>
      <c r="J488" s="68"/>
      <c r="L488" s="46" t="str">
        <f ca="1">IFERROR(INDEX($A$1:$A$500,MATCH(ROWS($K$1:$K488),$K$1:$K$500,0)),"")</f>
        <v/>
      </c>
      <c r="M488" s="71" t="str">
        <f t="shared" ca="1" si="25"/>
        <v/>
      </c>
      <c r="O488" s="69">
        <f t="shared" ca="1" si="26"/>
        <v>0</v>
      </c>
      <c r="P488" s="70" t="str">
        <f ca="1">IF(O488=1,COUNTIF($O$1:$O488,1),"")</f>
        <v/>
      </c>
      <c r="Q488" s="46" t="str">
        <f ca="1">IFERROR(INDEX($L$1:$L$500,MATCH(ROWS($P$1:$P488),$P$1:$P$500,0)),"")</f>
        <v/>
      </c>
      <c r="R488" s="71" t="str">
        <f t="shared" ca="1" si="27"/>
        <v/>
      </c>
    </row>
    <row r="489" spans="8:18">
      <c r="H489"/>
      <c r="I489"/>
      <c r="J489" s="68"/>
      <c r="L489" s="46" t="str">
        <f ca="1">IFERROR(INDEX($A$1:$A$500,MATCH(ROWS($K$1:$K489),$K$1:$K$500,0)),"")</f>
        <v/>
      </c>
      <c r="M489" s="71" t="str">
        <f t="shared" ca="1" si="25"/>
        <v/>
      </c>
      <c r="O489" s="69">
        <f t="shared" ca="1" si="26"/>
        <v>0</v>
      </c>
      <c r="P489" s="70" t="str">
        <f ca="1">IF(O489=1,COUNTIF($O$1:$O489,1),"")</f>
        <v/>
      </c>
      <c r="Q489" s="46" t="str">
        <f ca="1">IFERROR(INDEX($L$1:$L$500,MATCH(ROWS($P$1:$P489),$P$1:$P$500,0)),"")</f>
        <v/>
      </c>
      <c r="R489" s="71" t="str">
        <f t="shared" ca="1" si="27"/>
        <v/>
      </c>
    </row>
    <row r="490" spans="8:18">
      <c r="H490"/>
      <c r="I490"/>
      <c r="J490" s="68"/>
      <c r="L490" s="46" t="str">
        <f ca="1">IFERROR(INDEX($A$1:$A$500,MATCH(ROWS($K$1:$K490),$K$1:$K$500,0)),"")</f>
        <v/>
      </c>
      <c r="M490" s="71" t="str">
        <f t="shared" ca="1" si="25"/>
        <v/>
      </c>
      <c r="O490" s="69">
        <f t="shared" ca="1" si="26"/>
        <v>0</v>
      </c>
      <c r="P490" s="70" t="str">
        <f ca="1">IF(O490=1,COUNTIF($O$1:$O490,1),"")</f>
        <v/>
      </c>
      <c r="Q490" s="46" t="str">
        <f ca="1">IFERROR(INDEX($L$1:$L$500,MATCH(ROWS($P$1:$P490),$P$1:$P$500,0)),"")</f>
        <v/>
      </c>
      <c r="R490" s="71" t="str">
        <f t="shared" ca="1" si="27"/>
        <v/>
      </c>
    </row>
    <row r="491" spans="8:18">
      <c r="H491"/>
      <c r="I491"/>
      <c r="J491" s="68"/>
      <c r="L491" s="46" t="str">
        <f ca="1">IFERROR(INDEX($A$1:$A$500,MATCH(ROWS($K$1:$K491),$K$1:$K$500,0)),"")</f>
        <v/>
      </c>
      <c r="M491" s="71" t="str">
        <f t="shared" ca="1" si="25"/>
        <v/>
      </c>
      <c r="O491" s="69">
        <f t="shared" ca="1" si="26"/>
        <v>0</v>
      </c>
      <c r="P491" s="70" t="str">
        <f ca="1">IF(O491=1,COUNTIF($O$1:$O491,1),"")</f>
        <v/>
      </c>
      <c r="Q491" s="46" t="str">
        <f ca="1">IFERROR(INDEX($L$1:$L$500,MATCH(ROWS($P$1:$P491),$P$1:$P$500,0)),"")</f>
        <v/>
      </c>
      <c r="R491" s="71" t="str">
        <f t="shared" ca="1" si="27"/>
        <v/>
      </c>
    </row>
    <row r="492" spans="8:18">
      <c r="H492"/>
      <c r="I492"/>
      <c r="J492" s="68"/>
      <c r="L492" s="46" t="str">
        <f ca="1">IFERROR(INDEX($A$1:$A$500,MATCH(ROWS($K$1:$K492),$K$1:$K$500,0)),"")</f>
        <v/>
      </c>
      <c r="M492" s="71" t="str">
        <f t="shared" ca="1" si="25"/>
        <v/>
      </c>
      <c r="O492" s="69">
        <f t="shared" ca="1" si="26"/>
        <v>0</v>
      </c>
      <c r="P492" s="70" t="str">
        <f ca="1">IF(O492=1,COUNTIF($O$1:$O492,1),"")</f>
        <v/>
      </c>
      <c r="Q492" s="46" t="str">
        <f ca="1">IFERROR(INDEX($L$1:$L$500,MATCH(ROWS($P$1:$P492),$P$1:$P$500,0)),"")</f>
        <v/>
      </c>
      <c r="R492" s="71" t="str">
        <f t="shared" ca="1" si="27"/>
        <v/>
      </c>
    </row>
    <row r="493" spans="8:18">
      <c r="H493"/>
      <c r="I493"/>
      <c r="J493" s="68"/>
      <c r="L493" s="46" t="str">
        <f ca="1">IFERROR(INDEX($A$1:$A$500,MATCH(ROWS($K$1:$K493),$K$1:$K$500,0)),"")</f>
        <v/>
      </c>
      <c r="M493" s="71" t="str">
        <f t="shared" ca="1" si="25"/>
        <v/>
      </c>
      <c r="O493" s="69">
        <f t="shared" ca="1" si="26"/>
        <v>0</v>
      </c>
      <c r="P493" s="70" t="str">
        <f ca="1">IF(O493=1,COUNTIF($O$1:$O493,1),"")</f>
        <v/>
      </c>
      <c r="Q493" s="46" t="str">
        <f ca="1">IFERROR(INDEX($L$1:$L$500,MATCH(ROWS($P$1:$P493),$P$1:$P$500,0)),"")</f>
        <v/>
      </c>
      <c r="R493" s="71" t="str">
        <f t="shared" ca="1" si="27"/>
        <v/>
      </c>
    </row>
    <row r="494" spans="8:18">
      <c r="H494"/>
      <c r="I494"/>
      <c r="J494" s="68"/>
      <c r="L494" s="46" t="str">
        <f ca="1">IFERROR(INDEX($A$1:$A$500,MATCH(ROWS($K$1:$K494),$K$1:$K$500,0)),"")</f>
        <v/>
      </c>
      <c r="M494" s="71" t="str">
        <f t="shared" ca="1" si="25"/>
        <v/>
      </c>
      <c r="O494" s="69">
        <f t="shared" ca="1" si="26"/>
        <v>0</v>
      </c>
      <c r="P494" s="70" t="str">
        <f ca="1">IF(O494=1,COUNTIF($O$1:$O494,1),"")</f>
        <v/>
      </c>
      <c r="Q494" s="46" t="str">
        <f ca="1">IFERROR(INDEX($L$1:$L$500,MATCH(ROWS($P$1:$P494),$P$1:$P$500,0)),"")</f>
        <v/>
      </c>
      <c r="R494" s="71" t="str">
        <f t="shared" ca="1" si="27"/>
        <v/>
      </c>
    </row>
    <row r="495" spans="8:18">
      <c r="H495"/>
      <c r="I495"/>
      <c r="J495" s="68"/>
      <c r="L495" s="46" t="str">
        <f ca="1">IFERROR(INDEX($A$1:$A$500,MATCH(ROWS($K$1:$K495),$K$1:$K$500,0)),"")</f>
        <v/>
      </c>
      <c r="M495" s="71" t="str">
        <f t="shared" ca="1" si="25"/>
        <v/>
      </c>
      <c r="O495" s="69">
        <f t="shared" ca="1" si="26"/>
        <v>0</v>
      </c>
      <c r="P495" s="70" t="str">
        <f ca="1">IF(O495=1,COUNTIF($O$1:$O495,1),"")</f>
        <v/>
      </c>
      <c r="Q495" s="46" t="str">
        <f ca="1">IFERROR(INDEX($L$1:$L$500,MATCH(ROWS($P$1:$P495),$P$1:$P$500,0)),"")</f>
        <v/>
      </c>
      <c r="R495" s="71" t="str">
        <f t="shared" ca="1" si="27"/>
        <v/>
      </c>
    </row>
    <row r="496" spans="8:18">
      <c r="H496"/>
      <c r="I496"/>
      <c r="J496" s="68"/>
      <c r="L496" s="46" t="str">
        <f ca="1">IFERROR(INDEX($A$1:$A$500,MATCH(ROWS($K$1:$K496),$K$1:$K$500,0)),"")</f>
        <v/>
      </c>
      <c r="M496" s="71" t="str">
        <f t="shared" ca="1" si="25"/>
        <v/>
      </c>
      <c r="O496" s="69">
        <f t="shared" ca="1" si="26"/>
        <v>0</v>
      </c>
      <c r="P496" s="70" t="str">
        <f ca="1">IF(O496=1,COUNTIF($O$1:$O496,1),"")</f>
        <v/>
      </c>
      <c r="Q496" s="46" t="str">
        <f ca="1">IFERROR(INDEX($L$1:$L$500,MATCH(ROWS($P$1:$P496),$P$1:$P$500,0)),"")</f>
        <v/>
      </c>
      <c r="R496" s="71" t="str">
        <f t="shared" ca="1" si="27"/>
        <v/>
      </c>
    </row>
    <row r="497" spans="8:18">
      <c r="H497"/>
      <c r="I497"/>
      <c r="J497" s="68"/>
      <c r="L497" s="46" t="str">
        <f ca="1">IFERROR(INDEX($A$1:$A$500,MATCH(ROWS($K$1:$K497),$K$1:$K$500,0)),"")</f>
        <v/>
      </c>
      <c r="M497" s="71" t="str">
        <f t="shared" ca="1" si="25"/>
        <v/>
      </c>
      <c r="O497" s="69">
        <f t="shared" ca="1" si="26"/>
        <v>0</v>
      </c>
      <c r="P497" s="70" t="str">
        <f ca="1">IF(O497=1,COUNTIF($O$1:$O497,1),"")</f>
        <v/>
      </c>
      <c r="Q497" s="46" t="str">
        <f ca="1">IFERROR(INDEX($L$1:$L$500,MATCH(ROWS($P$1:$P497),$P$1:$P$500,0)),"")</f>
        <v/>
      </c>
      <c r="R497" s="71" t="str">
        <f t="shared" ca="1" si="27"/>
        <v/>
      </c>
    </row>
    <row r="498" spans="8:18">
      <c r="H498"/>
      <c r="I498"/>
      <c r="J498" s="68"/>
      <c r="L498" s="46" t="str">
        <f ca="1">IFERROR(INDEX($A$1:$A$500,MATCH(ROWS($K$1:$K498),$K$1:$K$500,0)),"")</f>
        <v/>
      </c>
      <c r="M498" s="71" t="str">
        <f t="shared" ca="1" si="25"/>
        <v/>
      </c>
      <c r="O498" s="69">
        <f t="shared" ca="1" si="26"/>
        <v>0</v>
      </c>
      <c r="P498" s="70" t="str">
        <f ca="1">IF(O498=1,COUNTIF($O$1:$O498,1),"")</f>
        <v/>
      </c>
      <c r="Q498" s="46" t="str">
        <f ca="1">IFERROR(INDEX($L$1:$L$500,MATCH(ROWS($P$1:$P498),$P$1:$P$500,0)),"")</f>
        <v/>
      </c>
      <c r="R498" s="71" t="str">
        <f t="shared" ca="1" si="27"/>
        <v/>
      </c>
    </row>
    <row r="499" spans="8:18">
      <c r="H499"/>
      <c r="I499"/>
      <c r="J499" s="68"/>
      <c r="L499" s="46" t="str">
        <f ca="1">IFERROR(INDEX($A$1:$A$500,MATCH(ROWS($K$1:$K499),$K$1:$K$500,0)),"")</f>
        <v/>
      </c>
      <c r="M499" s="71" t="str">
        <f t="shared" ca="1" si="25"/>
        <v/>
      </c>
      <c r="O499" s="69">
        <f t="shared" ca="1" si="26"/>
        <v>0</v>
      </c>
      <c r="P499" s="70" t="str">
        <f ca="1">IF(O499=1,COUNTIF($O$1:$O499,1),"")</f>
        <v/>
      </c>
      <c r="Q499" s="46" t="str">
        <f ca="1">IFERROR(INDEX($L$1:$L$500,MATCH(ROWS($P$1:$P499),$P$1:$P$500,0)),"")</f>
        <v/>
      </c>
      <c r="R499" s="71" t="str">
        <f t="shared" ca="1" si="27"/>
        <v/>
      </c>
    </row>
    <row r="500" spans="8:18">
      <c r="H500"/>
      <c r="I500"/>
      <c r="J500" s="68"/>
      <c r="L500" s="46" t="str">
        <f ca="1">IFERROR(INDEX($A$1:$A$500,MATCH(ROWS($K$1:$K500),$K$1:$K$500,0)),"")</f>
        <v/>
      </c>
      <c r="M500" s="71" t="str">
        <f t="shared" ca="1" si="25"/>
        <v/>
      </c>
      <c r="O500" s="69">
        <f t="shared" ca="1" si="26"/>
        <v>0</v>
      </c>
      <c r="P500" s="70" t="str">
        <f ca="1">IF(O500=1,COUNTIF($O$1:$O500,1),"")</f>
        <v/>
      </c>
      <c r="Q500" s="46" t="str">
        <f ca="1">IFERROR(INDEX($L$1:$L$500,MATCH(ROWS($P$1:$P500),$P$1:$P$500,0)),"")</f>
        <v/>
      </c>
      <c r="R500" s="71" t="str">
        <f t="shared" ca="1" si="27"/>
        <v/>
      </c>
    </row>
    <row r="501" spans="8:18">
      <c r="H501"/>
      <c r="I501"/>
      <c r="J501" s="68"/>
    </row>
    <row r="502" spans="8:18">
      <c r="H502"/>
      <c r="I502"/>
      <c r="J502" s="68"/>
    </row>
    <row r="503" spans="8:18">
      <c r="H503"/>
      <c r="I503"/>
      <c r="J503" s="68"/>
    </row>
    <row r="504" spans="8:18">
      <c r="H504"/>
      <c r="I504"/>
      <c r="J504" s="68"/>
    </row>
    <row r="505" spans="8:18">
      <c r="H505"/>
      <c r="I505"/>
      <c r="J505" s="68"/>
    </row>
    <row r="506" spans="8:18">
      <c r="H506"/>
      <c r="I506"/>
      <c r="J506" s="68"/>
    </row>
    <row r="507" spans="8:18">
      <c r="H507"/>
      <c r="I507"/>
      <c r="J507" s="68"/>
    </row>
    <row r="508" spans="8:18">
      <c r="H508"/>
      <c r="I508"/>
      <c r="J508" s="68"/>
    </row>
    <row r="509" spans="8:18">
      <c r="H509"/>
      <c r="I509"/>
      <c r="J509" s="68"/>
    </row>
    <row r="510" spans="8:18">
      <c r="H510"/>
      <c r="I510"/>
      <c r="J510" s="68"/>
    </row>
    <row r="511" spans="8:18">
      <c r="H511"/>
      <c r="I511"/>
      <c r="J511" s="68"/>
    </row>
    <row r="512" spans="8:18">
      <c r="H512"/>
      <c r="I512"/>
      <c r="J512" s="68"/>
    </row>
    <row r="513" spans="8:10">
      <c r="H513"/>
      <c r="I513"/>
      <c r="J513" s="68"/>
    </row>
    <row r="514" spans="8:10">
      <c r="H514"/>
      <c r="I514"/>
      <c r="J514" s="68"/>
    </row>
    <row r="515" spans="8:10">
      <c r="H515"/>
      <c r="I515"/>
      <c r="J515" s="68"/>
    </row>
    <row r="516" spans="8:10">
      <c r="H516"/>
      <c r="I516"/>
      <c r="J516" s="68"/>
    </row>
    <row r="517" spans="8:10">
      <c r="H517"/>
      <c r="I517"/>
      <c r="J517" s="68"/>
    </row>
    <row r="518" spans="8:10">
      <c r="H518"/>
      <c r="I518"/>
      <c r="J518" s="68"/>
    </row>
    <row r="519" spans="8:10">
      <c r="H519"/>
      <c r="I519"/>
      <c r="J519" s="68"/>
    </row>
    <row r="520" spans="8:10">
      <c r="H520"/>
      <c r="I520"/>
      <c r="J520" s="68"/>
    </row>
    <row r="521" spans="8:10">
      <c r="H521"/>
      <c r="I521"/>
      <c r="J521" s="68"/>
    </row>
    <row r="522" spans="8:10">
      <c r="H522"/>
      <c r="I522"/>
      <c r="J522" s="68"/>
    </row>
    <row r="523" spans="8:10">
      <c r="H523"/>
      <c r="I523"/>
      <c r="J523" s="68"/>
    </row>
    <row r="524" spans="8:10">
      <c r="H524"/>
      <c r="I524"/>
      <c r="J524" s="68"/>
    </row>
    <row r="525" spans="8:10">
      <c r="H525"/>
      <c r="I525"/>
      <c r="J525" s="68"/>
    </row>
    <row r="526" spans="8:10">
      <c r="H526"/>
      <c r="I526"/>
      <c r="J526" s="68"/>
    </row>
    <row r="527" spans="8:10">
      <c r="H527"/>
      <c r="I527"/>
      <c r="J527" s="68"/>
    </row>
    <row r="528" spans="8:10">
      <c r="H528"/>
      <c r="I528"/>
      <c r="J528" s="68"/>
    </row>
    <row r="529" spans="8:10">
      <c r="H529"/>
      <c r="I529"/>
      <c r="J529" s="68"/>
    </row>
    <row r="530" spans="8:10">
      <c r="H530"/>
      <c r="I530"/>
      <c r="J530" s="68"/>
    </row>
    <row r="531" spans="8:10">
      <c r="H531"/>
      <c r="I531"/>
      <c r="J531" s="68"/>
    </row>
    <row r="532" spans="8:10">
      <c r="H532"/>
      <c r="I532"/>
      <c r="J532" s="68"/>
    </row>
    <row r="533" spans="8:10">
      <c r="H533"/>
      <c r="I533"/>
      <c r="J533" s="68"/>
    </row>
    <row r="534" spans="8:10">
      <c r="H534"/>
      <c r="I534"/>
      <c r="J534" s="68"/>
    </row>
    <row r="535" spans="8:10">
      <c r="H535"/>
      <c r="I535"/>
      <c r="J535" s="68"/>
    </row>
    <row r="536" spans="8:10">
      <c r="H536"/>
      <c r="I536"/>
      <c r="J536" s="68"/>
    </row>
    <row r="537" spans="8:10">
      <c r="H537"/>
      <c r="I537"/>
      <c r="J537" s="68"/>
    </row>
    <row r="538" spans="8:10">
      <c r="H538"/>
      <c r="I538"/>
      <c r="J538" s="68"/>
    </row>
    <row r="539" spans="8:10">
      <c r="H539"/>
      <c r="I539"/>
      <c r="J539" s="68"/>
    </row>
    <row r="540" spans="8:10">
      <c r="H540"/>
      <c r="I540"/>
      <c r="J540" s="68"/>
    </row>
    <row r="541" spans="8:10">
      <c r="H541"/>
      <c r="I541"/>
      <c r="J541" s="68"/>
    </row>
    <row r="542" spans="8:10">
      <c r="H542"/>
      <c r="I542"/>
      <c r="J542" s="68"/>
    </row>
    <row r="543" spans="8:10">
      <c r="H543"/>
      <c r="I543"/>
      <c r="J543" s="68"/>
    </row>
    <row r="544" spans="8:10">
      <c r="H544"/>
      <c r="I544"/>
      <c r="J544" s="68"/>
    </row>
    <row r="545" spans="8:10">
      <c r="H545"/>
      <c r="I545"/>
      <c r="J545" s="68"/>
    </row>
    <row r="546" spans="8:10">
      <c r="H546"/>
      <c r="I546"/>
      <c r="J546" s="68"/>
    </row>
    <row r="547" spans="8:10">
      <c r="H547"/>
      <c r="I547"/>
      <c r="J547" s="68"/>
    </row>
    <row r="548" spans="8:10">
      <c r="H548"/>
      <c r="I548"/>
      <c r="J548" s="68"/>
    </row>
    <row r="549" spans="8:10">
      <c r="H549"/>
      <c r="I549"/>
      <c r="J549" s="68"/>
    </row>
    <row r="550" spans="8:10">
      <c r="H550"/>
      <c r="I550"/>
      <c r="J550" s="68"/>
    </row>
    <row r="551" spans="8:10">
      <c r="H551"/>
      <c r="I551"/>
      <c r="J551" s="68"/>
    </row>
    <row r="552" spans="8:10">
      <c r="H552"/>
      <c r="I552"/>
      <c r="J552" s="68"/>
    </row>
    <row r="553" spans="8:10">
      <c r="H553"/>
      <c r="I553"/>
      <c r="J553" s="68"/>
    </row>
    <row r="554" spans="8:10">
      <c r="H554"/>
      <c r="I554"/>
      <c r="J554" s="68"/>
    </row>
    <row r="555" spans="8:10">
      <c r="H555"/>
      <c r="I555"/>
      <c r="J555" s="68"/>
    </row>
    <row r="556" spans="8:10">
      <c r="H556"/>
      <c r="I556"/>
      <c r="J556" s="68"/>
    </row>
    <row r="557" spans="8:10">
      <c r="H557"/>
      <c r="I557"/>
      <c r="J557" s="68"/>
    </row>
    <row r="558" spans="8:10">
      <c r="H558"/>
      <c r="I558"/>
      <c r="J558" s="68"/>
    </row>
    <row r="559" spans="8:10">
      <c r="H559"/>
      <c r="I559"/>
      <c r="J559" s="68"/>
    </row>
    <row r="560" spans="8:10">
      <c r="H560"/>
      <c r="I560"/>
      <c r="J560" s="68"/>
    </row>
    <row r="561" spans="8:10">
      <c r="H561"/>
      <c r="I561"/>
      <c r="J561" s="68"/>
    </row>
    <row r="562" spans="8:10">
      <c r="H562"/>
      <c r="I562"/>
      <c r="J562" s="68"/>
    </row>
    <row r="563" spans="8:10">
      <c r="H563"/>
      <c r="I563"/>
      <c r="J563" s="68"/>
    </row>
    <row r="564" spans="8:10">
      <c r="H564"/>
      <c r="I564"/>
      <c r="J564" s="68"/>
    </row>
    <row r="565" spans="8:10">
      <c r="H565"/>
      <c r="I565"/>
      <c r="J565" s="68"/>
    </row>
    <row r="566" spans="8:10">
      <c r="H566"/>
      <c r="I566"/>
      <c r="J566" s="68"/>
    </row>
    <row r="567" spans="8:10">
      <c r="H567"/>
      <c r="I567"/>
      <c r="J567" s="68"/>
    </row>
    <row r="568" spans="8:10">
      <c r="H568"/>
      <c r="I568"/>
      <c r="J568" s="68"/>
    </row>
    <row r="569" spans="8:10">
      <c r="H569"/>
      <c r="I569"/>
      <c r="J569" s="68"/>
    </row>
    <row r="570" spans="8:10">
      <c r="H570"/>
      <c r="I570"/>
      <c r="J570" s="68"/>
    </row>
    <row r="571" spans="8:10">
      <c r="H571"/>
      <c r="I571"/>
      <c r="J571" s="68"/>
    </row>
    <row r="572" spans="8:10">
      <c r="H572"/>
      <c r="I572"/>
      <c r="J572" s="68"/>
    </row>
    <row r="573" spans="8:10">
      <c r="H573"/>
      <c r="I573"/>
      <c r="J573" s="68"/>
    </row>
    <row r="574" spans="8:10">
      <c r="H574"/>
      <c r="I574"/>
      <c r="J574" s="68"/>
    </row>
    <row r="575" spans="8:10">
      <c r="H575"/>
      <c r="I575"/>
      <c r="J575" s="68"/>
    </row>
    <row r="576" spans="8:10">
      <c r="H576"/>
      <c r="I576"/>
      <c r="J576" s="68"/>
    </row>
    <row r="577" spans="8:10">
      <c r="H577"/>
      <c r="I577"/>
      <c r="J577" s="68"/>
    </row>
    <row r="578" spans="8:10">
      <c r="H578"/>
      <c r="I578"/>
      <c r="J578" s="68"/>
    </row>
    <row r="579" spans="8:10">
      <c r="H579"/>
      <c r="I579"/>
      <c r="J579" s="68"/>
    </row>
    <row r="580" spans="8:10">
      <c r="H580"/>
      <c r="I580"/>
      <c r="J580" s="68"/>
    </row>
    <row r="581" spans="8:10">
      <c r="H581"/>
      <c r="I581"/>
      <c r="J581" s="68"/>
    </row>
    <row r="582" spans="8:10">
      <c r="H582"/>
      <c r="I582"/>
      <c r="J582" s="68"/>
    </row>
    <row r="583" spans="8:10">
      <c r="H583"/>
      <c r="I583"/>
      <c r="J583" s="68"/>
    </row>
    <row r="584" spans="8:10">
      <c r="H584"/>
      <c r="I584"/>
      <c r="J584" s="68"/>
    </row>
    <row r="585" spans="8:10">
      <c r="H585"/>
      <c r="I585"/>
      <c r="J585" s="68"/>
    </row>
    <row r="586" spans="8:10">
      <c r="H586"/>
      <c r="I586"/>
      <c r="J586" s="68"/>
    </row>
    <row r="587" spans="8:10">
      <c r="H587"/>
      <c r="I587"/>
      <c r="J587" s="68"/>
    </row>
    <row r="588" spans="8:10">
      <c r="H588"/>
      <c r="I588"/>
      <c r="J588" s="68"/>
    </row>
    <row r="589" spans="8:10">
      <c r="H589"/>
      <c r="I589"/>
      <c r="J589" s="68"/>
    </row>
    <row r="590" spans="8:10">
      <c r="H590"/>
      <c r="I590"/>
      <c r="J590" s="68"/>
    </row>
    <row r="591" spans="8:10">
      <c r="H591"/>
      <c r="I591"/>
      <c r="J591" s="68"/>
    </row>
    <row r="592" spans="8:10">
      <c r="H592"/>
      <c r="I592"/>
      <c r="J592" s="68"/>
    </row>
    <row r="593" spans="8:10">
      <c r="H593"/>
      <c r="I593"/>
      <c r="J593" s="68"/>
    </row>
    <row r="594" spans="8:10">
      <c r="H594"/>
      <c r="I594"/>
      <c r="J594" s="68"/>
    </row>
    <row r="595" spans="8:10">
      <c r="H595"/>
      <c r="I595"/>
      <c r="J595" s="68"/>
    </row>
    <row r="596" spans="8:10">
      <c r="H596"/>
      <c r="I596"/>
      <c r="J596" s="68"/>
    </row>
    <row r="597" spans="8:10">
      <c r="H597"/>
      <c r="I597"/>
      <c r="J597" s="68"/>
    </row>
    <row r="598" spans="8:10">
      <c r="H598"/>
      <c r="I598"/>
      <c r="J598" s="68"/>
    </row>
    <row r="599" spans="8:10">
      <c r="H599"/>
      <c r="I599"/>
      <c r="J599" s="68"/>
    </row>
    <row r="600" spans="8:10">
      <c r="H600"/>
      <c r="I600"/>
      <c r="J600" s="68"/>
    </row>
    <row r="601" spans="8:10">
      <c r="H601"/>
      <c r="I601"/>
      <c r="J601" s="68"/>
    </row>
    <row r="602" spans="8:10">
      <c r="H602"/>
      <c r="I602"/>
      <c r="J602" s="68"/>
    </row>
    <row r="603" spans="8:10">
      <c r="H603"/>
      <c r="I603"/>
      <c r="J603" s="68"/>
    </row>
    <row r="604" spans="8:10">
      <c r="H604"/>
      <c r="I604"/>
      <c r="J604" s="68"/>
    </row>
    <row r="605" spans="8:10">
      <c r="H605"/>
      <c r="I605"/>
      <c r="J605" s="68"/>
    </row>
    <row r="606" spans="8:10">
      <c r="H606"/>
      <c r="I606"/>
      <c r="J606" s="68"/>
    </row>
    <row r="607" spans="8:10">
      <c r="H607"/>
      <c r="I607"/>
      <c r="J607" s="68"/>
    </row>
    <row r="608" spans="8:10">
      <c r="H608"/>
      <c r="I608"/>
      <c r="J608" s="68"/>
    </row>
    <row r="609" spans="8:10">
      <c r="H609"/>
      <c r="I609"/>
      <c r="J609" s="68"/>
    </row>
    <row r="610" spans="8:10">
      <c r="H610"/>
      <c r="I610"/>
      <c r="J610" s="68"/>
    </row>
    <row r="611" spans="8:10">
      <c r="H611"/>
      <c r="I611"/>
      <c r="J611" s="68"/>
    </row>
    <row r="612" spans="8:10">
      <c r="H612"/>
      <c r="I612"/>
      <c r="J612" s="68"/>
    </row>
    <row r="613" spans="8:10">
      <c r="H613"/>
      <c r="I613"/>
      <c r="J613" s="68"/>
    </row>
    <row r="614" spans="8:10">
      <c r="H614"/>
      <c r="I614"/>
      <c r="J614" s="68"/>
    </row>
    <row r="615" spans="8:10">
      <c r="H615"/>
      <c r="I615"/>
      <c r="J615" s="68"/>
    </row>
    <row r="616" spans="8:10">
      <c r="H616"/>
      <c r="I616"/>
      <c r="J616" s="68"/>
    </row>
    <row r="617" spans="8:10">
      <c r="H617"/>
      <c r="I617"/>
      <c r="J617" s="68"/>
    </row>
    <row r="618" spans="8:10">
      <c r="H618"/>
      <c r="I618"/>
      <c r="J618" s="68"/>
    </row>
    <row r="619" spans="8:10">
      <c r="H619"/>
      <c r="I619"/>
      <c r="J619" s="68"/>
    </row>
    <row r="620" spans="8:10">
      <c r="H620"/>
      <c r="I620"/>
      <c r="J620" s="68"/>
    </row>
    <row r="621" spans="8:10">
      <c r="H621"/>
      <c r="I621"/>
      <c r="J621" s="68"/>
    </row>
    <row r="622" spans="8:10">
      <c r="H622"/>
      <c r="I622"/>
      <c r="J622" s="68"/>
    </row>
    <row r="623" spans="8:10">
      <c r="H623"/>
      <c r="I623"/>
      <c r="J623" s="68"/>
    </row>
    <row r="624" spans="8:10">
      <c r="H624"/>
      <c r="I624"/>
      <c r="J624" s="68"/>
    </row>
    <row r="625" spans="8:10">
      <c r="H625"/>
      <c r="I625"/>
      <c r="J625" s="68"/>
    </row>
    <row r="626" spans="8:10">
      <c r="H626"/>
      <c r="I626"/>
      <c r="J626" s="68"/>
    </row>
    <row r="627" spans="8:10">
      <c r="H627"/>
      <c r="I627"/>
      <c r="J627" s="68"/>
    </row>
    <row r="628" spans="8:10">
      <c r="H628"/>
      <c r="I628"/>
      <c r="J628" s="68"/>
    </row>
    <row r="629" spans="8:10">
      <c r="H629"/>
      <c r="I629"/>
      <c r="J629" s="68"/>
    </row>
    <row r="630" spans="8:10">
      <c r="H630"/>
      <c r="I630"/>
      <c r="J630" s="68"/>
    </row>
    <row r="631" spans="8:10">
      <c r="H631"/>
      <c r="I631"/>
      <c r="J631" s="68"/>
    </row>
    <row r="632" spans="8:10">
      <c r="H632"/>
      <c r="I632"/>
      <c r="J632" s="68"/>
    </row>
    <row r="633" spans="8:10">
      <c r="H633"/>
      <c r="I633"/>
      <c r="J633" s="68"/>
    </row>
    <row r="634" spans="8:10">
      <c r="H634"/>
      <c r="I634"/>
      <c r="J634" s="68"/>
    </row>
    <row r="635" spans="8:10">
      <c r="H635"/>
      <c r="I635"/>
      <c r="J635" s="68"/>
    </row>
    <row r="636" spans="8:10">
      <c r="H636"/>
      <c r="I636"/>
      <c r="J636" s="68"/>
    </row>
    <row r="637" spans="8:10">
      <c r="H637"/>
      <c r="I637"/>
      <c r="J637" s="68"/>
    </row>
    <row r="638" spans="8:10">
      <c r="H638"/>
      <c r="I638"/>
      <c r="J638" s="68"/>
    </row>
    <row r="639" spans="8:10">
      <c r="H639"/>
      <c r="I639"/>
      <c r="J639" s="68"/>
    </row>
    <row r="640" spans="8:10">
      <c r="H640"/>
      <c r="I640"/>
      <c r="J640" s="68"/>
    </row>
    <row r="641" spans="8:10">
      <c r="H641"/>
      <c r="I641"/>
      <c r="J641" s="68"/>
    </row>
    <row r="642" spans="8:10">
      <c r="H642"/>
      <c r="I642"/>
      <c r="J642" s="68"/>
    </row>
    <row r="643" spans="8:10">
      <c r="H643"/>
      <c r="I643"/>
      <c r="J643" s="68"/>
    </row>
    <row r="644" spans="8:10">
      <c r="H644"/>
      <c r="I644"/>
      <c r="J644" s="68"/>
    </row>
    <row r="645" spans="8:10">
      <c r="H645"/>
      <c r="I645"/>
      <c r="J645" s="68"/>
    </row>
    <row r="646" spans="8:10">
      <c r="H646"/>
      <c r="I646"/>
      <c r="J646" s="68"/>
    </row>
    <row r="647" spans="8:10">
      <c r="H647"/>
      <c r="I647"/>
      <c r="J647" s="68"/>
    </row>
    <row r="648" spans="8:10">
      <c r="H648"/>
      <c r="I648"/>
      <c r="J648" s="68"/>
    </row>
    <row r="649" spans="8:10">
      <c r="H649"/>
      <c r="I649"/>
      <c r="J649" s="68"/>
    </row>
    <row r="650" spans="8:10">
      <c r="H650"/>
      <c r="I650"/>
      <c r="J650" s="68"/>
    </row>
    <row r="651" spans="8:10">
      <c r="H651"/>
      <c r="I651"/>
      <c r="J651" s="68"/>
    </row>
    <row r="652" spans="8:10">
      <c r="H652"/>
      <c r="I652"/>
      <c r="J652" s="68"/>
    </row>
    <row r="653" spans="8:10">
      <c r="H653"/>
      <c r="I653"/>
      <c r="J653" s="68"/>
    </row>
    <row r="654" spans="8:10">
      <c r="H654"/>
      <c r="I654"/>
      <c r="J654" s="68"/>
    </row>
    <row r="655" spans="8:10">
      <c r="H655"/>
      <c r="I655"/>
      <c r="J655" s="68"/>
    </row>
    <row r="656" spans="8:10">
      <c r="H656"/>
      <c r="I656"/>
      <c r="J656" s="68"/>
    </row>
    <row r="657" spans="8:10">
      <c r="H657"/>
      <c r="I657"/>
      <c r="J657" s="68"/>
    </row>
    <row r="658" spans="8:10">
      <c r="H658"/>
      <c r="I658"/>
      <c r="J658" s="68"/>
    </row>
    <row r="659" spans="8:10">
      <c r="H659"/>
      <c r="I659"/>
      <c r="J659" s="68"/>
    </row>
    <row r="660" spans="8:10">
      <c r="H660"/>
      <c r="I660"/>
      <c r="J660" s="68"/>
    </row>
    <row r="661" spans="8:10">
      <c r="H661"/>
      <c r="I661"/>
      <c r="J661" s="68"/>
    </row>
    <row r="662" spans="8:10">
      <c r="H662"/>
      <c r="I662"/>
      <c r="J662" s="68"/>
    </row>
    <row r="663" spans="8:10">
      <c r="H663"/>
      <c r="I663"/>
      <c r="J663" s="68"/>
    </row>
    <row r="664" spans="8:10">
      <c r="H664"/>
      <c r="I664"/>
      <c r="J664" s="68"/>
    </row>
    <row r="665" spans="8:10">
      <c r="H665"/>
      <c r="I665"/>
      <c r="J665" s="68"/>
    </row>
    <row r="666" spans="8:10">
      <c r="H666"/>
      <c r="I666"/>
      <c r="J666" s="68"/>
    </row>
    <row r="667" spans="8:10">
      <c r="H667"/>
      <c r="I667"/>
      <c r="J667" s="68"/>
    </row>
    <row r="668" spans="8:10">
      <c r="H668"/>
      <c r="I668"/>
      <c r="J668" s="68"/>
    </row>
    <row r="669" spans="8:10">
      <c r="H669"/>
      <c r="I669"/>
      <c r="J669" s="68"/>
    </row>
    <row r="670" spans="8:10">
      <c r="H670"/>
      <c r="I670"/>
      <c r="J670" s="68"/>
    </row>
    <row r="671" spans="8:10">
      <c r="H671"/>
      <c r="I671"/>
      <c r="J671" s="68"/>
    </row>
    <row r="672" spans="8:10">
      <c r="H672"/>
      <c r="I672"/>
      <c r="J672" s="68"/>
    </row>
    <row r="673" spans="8:10">
      <c r="H673"/>
      <c r="I673"/>
      <c r="J673" s="68"/>
    </row>
    <row r="674" spans="8:10">
      <c r="H674"/>
      <c r="I674"/>
      <c r="J674" s="68"/>
    </row>
    <row r="675" spans="8:10">
      <c r="H675"/>
      <c r="I675"/>
      <c r="J675" s="68"/>
    </row>
    <row r="676" spans="8:10">
      <c r="H676"/>
      <c r="I676"/>
      <c r="J676" s="68"/>
    </row>
    <row r="677" spans="8:10">
      <c r="H677"/>
      <c r="I677"/>
      <c r="J677" s="68"/>
    </row>
    <row r="678" spans="8:10">
      <c r="H678"/>
      <c r="I678"/>
      <c r="J678" s="68"/>
    </row>
    <row r="679" spans="8:10">
      <c r="H679"/>
      <c r="I679"/>
      <c r="J679" s="68"/>
    </row>
    <row r="680" spans="8:10">
      <c r="H680"/>
      <c r="I680"/>
      <c r="J680" s="68"/>
    </row>
    <row r="681" spans="8:10">
      <c r="H681"/>
      <c r="I681"/>
      <c r="J681" s="68"/>
    </row>
    <row r="682" spans="8:10">
      <c r="H682"/>
      <c r="I682"/>
      <c r="J682" s="68"/>
    </row>
    <row r="683" spans="8:10">
      <c r="H683"/>
      <c r="I683"/>
      <c r="J683" s="68"/>
    </row>
    <row r="684" spans="8:10">
      <c r="H684"/>
      <c r="I684"/>
      <c r="J684" s="68"/>
    </row>
    <row r="685" spans="8:10">
      <c r="H685"/>
      <c r="I685"/>
      <c r="J685" s="68"/>
    </row>
    <row r="686" spans="8:10">
      <c r="H686"/>
      <c r="I686"/>
      <c r="J686" s="68"/>
    </row>
    <row r="687" spans="8:10">
      <c r="H687"/>
      <c r="I687"/>
      <c r="J687" s="68"/>
    </row>
    <row r="688" spans="8:10">
      <c r="H688"/>
      <c r="I688"/>
      <c r="J688" s="68"/>
    </row>
    <row r="689" spans="8:10">
      <c r="H689"/>
      <c r="I689"/>
      <c r="J689" s="68"/>
    </row>
    <row r="690" spans="8:10">
      <c r="H690"/>
      <c r="I690"/>
      <c r="J690" s="68"/>
    </row>
    <row r="691" spans="8:10">
      <c r="H691"/>
      <c r="I691"/>
      <c r="J691" s="68"/>
    </row>
    <row r="692" spans="8:10">
      <c r="H692"/>
      <c r="I692"/>
      <c r="J692" s="68"/>
    </row>
    <row r="693" spans="8:10">
      <c r="H693"/>
      <c r="I693"/>
      <c r="J693" s="68"/>
    </row>
    <row r="694" spans="8:10">
      <c r="H694"/>
      <c r="I694"/>
      <c r="J694" s="68"/>
    </row>
    <row r="695" spans="8:10">
      <c r="H695"/>
      <c r="I695"/>
      <c r="J695" s="68"/>
    </row>
    <row r="696" spans="8:10">
      <c r="H696"/>
      <c r="I696"/>
      <c r="J696" s="68"/>
    </row>
    <row r="697" spans="8:10">
      <c r="H697"/>
      <c r="I697"/>
      <c r="J697" s="68"/>
    </row>
    <row r="698" spans="8:10">
      <c r="H698"/>
      <c r="I698"/>
      <c r="J698" s="68"/>
    </row>
    <row r="699" spans="8:10">
      <c r="H699"/>
      <c r="I699"/>
      <c r="J699" s="68"/>
    </row>
    <row r="700" spans="8:10">
      <c r="H700"/>
      <c r="I700"/>
      <c r="J700" s="68"/>
    </row>
    <row r="701" spans="8:10">
      <c r="H701"/>
      <c r="I701"/>
      <c r="J701" s="68"/>
    </row>
    <row r="702" spans="8:10">
      <c r="H702"/>
      <c r="I702"/>
      <c r="J702" s="68"/>
    </row>
    <row r="703" spans="8:10">
      <c r="H703"/>
      <c r="I703"/>
      <c r="J703" s="68"/>
    </row>
    <row r="704" spans="8:10">
      <c r="H704"/>
      <c r="I704"/>
      <c r="J704" s="68"/>
    </row>
    <row r="705" spans="8:10">
      <c r="H705"/>
      <c r="I705"/>
      <c r="J705" s="68"/>
    </row>
    <row r="706" spans="8:10">
      <c r="H706"/>
      <c r="I706"/>
      <c r="J706" s="68"/>
    </row>
    <row r="707" spans="8:10">
      <c r="H707"/>
      <c r="I707"/>
      <c r="J707" s="68"/>
    </row>
    <row r="708" spans="8:10">
      <c r="H708"/>
      <c r="I708"/>
      <c r="J708" s="68"/>
    </row>
    <row r="709" spans="8:10">
      <c r="H709"/>
      <c r="I709"/>
      <c r="J709" s="68"/>
    </row>
    <row r="710" spans="8:10">
      <c r="H710"/>
      <c r="I710"/>
      <c r="J710" s="68"/>
    </row>
    <row r="711" spans="8:10">
      <c r="H711"/>
      <c r="I711"/>
      <c r="J711" s="68"/>
    </row>
    <row r="712" spans="8:10">
      <c r="H712"/>
      <c r="I712"/>
      <c r="J712" s="68"/>
    </row>
    <row r="713" spans="8:10">
      <c r="H713"/>
      <c r="I713"/>
      <c r="J713" s="68"/>
    </row>
    <row r="714" spans="8:10">
      <c r="H714"/>
      <c r="I714"/>
      <c r="J714" s="68"/>
    </row>
    <row r="715" spans="8:10">
      <c r="H715"/>
      <c r="I715"/>
      <c r="J715" s="68"/>
    </row>
    <row r="716" spans="8:10">
      <c r="H716"/>
      <c r="I716"/>
      <c r="J716" s="68"/>
    </row>
    <row r="717" spans="8:10">
      <c r="H717"/>
      <c r="I717"/>
      <c r="J717" s="68"/>
    </row>
    <row r="718" spans="8:10">
      <c r="H718"/>
      <c r="I718"/>
      <c r="J718" s="68"/>
    </row>
    <row r="719" spans="8:10">
      <c r="H719"/>
      <c r="I719"/>
      <c r="J719" s="68"/>
    </row>
    <row r="720" spans="8:10">
      <c r="H720"/>
      <c r="I720"/>
      <c r="J720" s="68"/>
    </row>
    <row r="721" spans="8:10">
      <c r="H721"/>
      <c r="I721"/>
      <c r="J721" s="68"/>
    </row>
    <row r="722" spans="8:10">
      <c r="H722"/>
      <c r="I722"/>
      <c r="J722" s="68"/>
    </row>
    <row r="723" spans="8:10">
      <c r="H723"/>
      <c r="I723"/>
      <c r="J723" s="68"/>
    </row>
    <row r="724" spans="8:10">
      <c r="H724"/>
      <c r="I724"/>
      <c r="J724" s="68"/>
    </row>
    <row r="725" spans="8:10">
      <c r="H725"/>
      <c r="I725"/>
      <c r="J725" s="68"/>
    </row>
    <row r="726" spans="8:10">
      <c r="H726"/>
      <c r="I726"/>
      <c r="J726" s="68"/>
    </row>
    <row r="727" spans="8:10">
      <c r="H727"/>
      <c r="I727"/>
      <c r="J727" s="68"/>
    </row>
    <row r="728" spans="8:10">
      <c r="H728"/>
      <c r="I728"/>
      <c r="J728" s="68"/>
    </row>
    <row r="729" spans="8:10">
      <c r="H729"/>
      <c r="I729"/>
      <c r="J729" s="68"/>
    </row>
    <row r="730" spans="8:10">
      <c r="H730"/>
      <c r="I730"/>
      <c r="J730" s="68"/>
    </row>
    <row r="731" spans="8:10">
      <c r="H731"/>
      <c r="I731"/>
      <c r="J731" s="68"/>
    </row>
    <row r="732" spans="8:10">
      <c r="H732"/>
      <c r="I732"/>
      <c r="J732" s="68"/>
    </row>
    <row r="733" spans="8:10">
      <c r="H733"/>
      <c r="I733"/>
      <c r="J733" s="68"/>
    </row>
    <row r="734" spans="8:10">
      <c r="H734"/>
      <c r="I734"/>
      <c r="J734" s="68"/>
    </row>
    <row r="735" spans="8:10">
      <c r="H735"/>
      <c r="I735"/>
      <c r="J735" s="68"/>
    </row>
    <row r="736" spans="8:10">
      <c r="H736"/>
      <c r="I736"/>
      <c r="J736" s="68"/>
    </row>
    <row r="737" spans="8:10">
      <c r="H737"/>
      <c r="I737"/>
      <c r="J737" s="68"/>
    </row>
    <row r="738" spans="8:10">
      <c r="H738"/>
      <c r="I738"/>
      <c r="J738" s="68"/>
    </row>
    <row r="739" spans="8:10">
      <c r="H739"/>
      <c r="I739"/>
      <c r="J739" s="68"/>
    </row>
    <row r="740" spans="8:10">
      <c r="H740"/>
      <c r="I740"/>
      <c r="J740" s="68"/>
    </row>
    <row r="741" spans="8:10">
      <c r="H741"/>
      <c r="I741"/>
      <c r="J741" s="68"/>
    </row>
    <row r="742" spans="8:10">
      <c r="H742"/>
      <c r="I742"/>
      <c r="J742" s="68"/>
    </row>
    <row r="743" spans="8:10">
      <c r="H743"/>
      <c r="I743"/>
      <c r="J743" s="68"/>
    </row>
    <row r="744" spans="8:10">
      <c r="H744"/>
      <c r="I744"/>
      <c r="J744" s="68"/>
    </row>
    <row r="745" spans="8:10">
      <c r="H745"/>
      <c r="I745"/>
      <c r="J745" s="68"/>
    </row>
    <row r="746" spans="8:10">
      <c r="H746"/>
      <c r="I746"/>
      <c r="J746" s="68"/>
    </row>
    <row r="747" spans="8:10">
      <c r="H747"/>
      <c r="I747"/>
      <c r="J747" s="68"/>
    </row>
    <row r="748" spans="8:10">
      <c r="H748"/>
      <c r="I748"/>
      <c r="J748" s="68"/>
    </row>
    <row r="749" spans="8:10">
      <c r="H749"/>
      <c r="I749"/>
      <c r="J749" s="68"/>
    </row>
    <row r="750" spans="8:10">
      <c r="H750"/>
      <c r="I750"/>
      <c r="J750" s="68"/>
    </row>
    <row r="751" spans="8:10">
      <c r="H751"/>
      <c r="I751"/>
      <c r="J751" s="68"/>
    </row>
    <row r="752" spans="8:10">
      <c r="H752"/>
      <c r="I752"/>
      <c r="J752" s="68"/>
    </row>
    <row r="753" spans="8:10">
      <c r="H753"/>
      <c r="I753"/>
      <c r="J753" s="68"/>
    </row>
    <row r="754" spans="8:10">
      <c r="H754"/>
      <c r="I754"/>
      <c r="J754" s="68"/>
    </row>
    <row r="755" spans="8:10">
      <c r="H755"/>
      <c r="I755"/>
      <c r="J755" s="68"/>
    </row>
    <row r="756" spans="8:10">
      <c r="H756"/>
      <c r="I756"/>
      <c r="J756" s="68"/>
    </row>
    <row r="757" spans="8:10">
      <c r="H757"/>
      <c r="I757"/>
      <c r="J757" s="68"/>
    </row>
    <row r="758" spans="8:10">
      <c r="H758"/>
      <c r="I758"/>
      <c r="J758" s="68"/>
    </row>
    <row r="759" spans="8:10">
      <c r="H759"/>
      <c r="I759"/>
      <c r="J759" s="68"/>
    </row>
    <row r="760" spans="8:10">
      <c r="H760"/>
      <c r="I760"/>
      <c r="J760" s="68"/>
    </row>
    <row r="761" spans="8:10">
      <c r="H761"/>
      <c r="I761"/>
      <c r="J761" s="68"/>
    </row>
    <row r="762" spans="8:10">
      <c r="H762"/>
      <c r="I762"/>
      <c r="J762" s="68"/>
    </row>
    <row r="763" spans="8:10">
      <c r="H763"/>
      <c r="I763"/>
      <c r="J763" s="68"/>
    </row>
    <row r="764" spans="8:10">
      <c r="H764"/>
      <c r="I764"/>
      <c r="J764" s="68"/>
    </row>
    <row r="765" spans="8:10">
      <c r="H765"/>
      <c r="I765"/>
      <c r="J765" s="68"/>
    </row>
    <row r="766" spans="8:10">
      <c r="H766"/>
      <c r="I766"/>
      <c r="J766" s="68"/>
    </row>
    <row r="767" spans="8:10">
      <c r="H767"/>
      <c r="I767"/>
      <c r="J767" s="68"/>
    </row>
    <row r="768" spans="8:10">
      <c r="H768"/>
      <c r="I768"/>
      <c r="J768" s="68"/>
    </row>
    <row r="769" spans="8:10">
      <c r="H769"/>
      <c r="I769"/>
      <c r="J769" s="68"/>
    </row>
    <row r="770" spans="8:10">
      <c r="H770"/>
      <c r="I770"/>
      <c r="J770" s="68"/>
    </row>
    <row r="771" spans="8:10">
      <c r="H771"/>
      <c r="I771"/>
      <c r="J771" s="68"/>
    </row>
    <row r="772" spans="8:10">
      <c r="H772"/>
      <c r="I772"/>
      <c r="J772" s="68"/>
    </row>
    <row r="773" spans="8:10">
      <c r="H773"/>
      <c r="I773"/>
      <c r="J773" s="68"/>
    </row>
    <row r="774" spans="8:10">
      <c r="H774"/>
      <c r="I774"/>
      <c r="J774" s="68"/>
    </row>
    <row r="775" spans="8:10">
      <c r="H775"/>
      <c r="I775"/>
      <c r="J775" s="68"/>
    </row>
    <row r="776" spans="8:10">
      <c r="H776"/>
      <c r="I776"/>
      <c r="J776" s="68"/>
    </row>
    <row r="777" spans="8:10">
      <c r="H777"/>
      <c r="I777"/>
      <c r="J777" s="68"/>
    </row>
    <row r="778" spans="8:10">
      <c r="H778"/>
      <c r="I778"/>
      <c r="J778" s="68"/>
    </row>
    <row r="779" spans="8:10">
      <c r="H779"/>
      <c r="I779"/>
      <c r="J779" s="68"/>
    </row>
    <row r="780" spans="8:10">
      <c r="H780"/>
      <c r="I780"/>
      <c r="J780" s="68"/>
    </row>
    <row r="781" spans="8:10">
      <c r="H781"/>
      <c r="I781"/>
      <c r="J781" s="68"/>
    </row>
    <row r="782" spans="8:10">
      <c r="H782"/>
      <c r="I782"/>
      <c r="J782" s="68"/>
    </row>
    <row r="783" spans="8:10">
      <c r="H783"/>
      <c r="I783"/>
      <c r="J783" s="68"/>
    </row>
    <row r="784" spans="8:10">
      <c r="H784"/>
      <c r="I784"/>
      <c r="J784" s="68"/>
    </row>
    <row r="785" spans="8:10">
      <c r="H785"/>
      <c r="I785"/>
      <c r="J785" s="68"/>
    </row>
    <row r="786" spans="8:10">
      <c r="H786"/>
      <c r="I786"/>
      <c r="J786" s="68"/>
    </row>
    <row r="787" spans="8:10">
      <c r="H787"/>
      <c r="I787"/>
      <c r="J787" s="68"/>
    </row>
    <row r="788" spans="8:10">
      <c r="H788"/>
      <c r="I788"/>
      <c r="J788" s="68"/>
    </row>
    <row r="789" spans="8:10">
      <c r="H789"/>
      <c r="I789"/>
      <c r="J789" s="68"/>
    </row>
    <row r="790" spans="8:10">
      <c r="H790"/>
      <c r="I790"/>
      <c r="J790" s="68"/>
    </row>
    <row r="791" spans="8:10">
      <c r="H791"/>
      <c r="I791"/>
      <c r="J791" s="68"/>
    </row>
    <row r="792" spans="8:10">
      <c r="H792"/>
      <c r="I792"/>
      <c r="J792" s="68"/>
    </row>
    <row r="793" spans="8:10">
      <c r="H793"/>
      <c r="I793"/>
      <c r="J793" s="68"/>
    </row>
    <row r="794" spans="8:10">
      <c r="H794"/>
      <c r="I794"/>
      <c r="J794" s="68"/>
    </row>
    <row r="795" spans="8:10">
      <c r="H795"/>
      <c r="I795"/>
      <c r="J795" s="68"/>
    </row>
    <row r="796" spans="8:10">
      <c r="H796"/>
      <c r="I796"/>
      <c r="J796" s="68"/>
    </row>
    <row r="797" spans="8:10">
      <c r="H797"/>
      <c r="I797"/>
      <c r="J797" s="68"/>
    </row>
    <row r="798" spans="8:10">
      <c r="H798"/>
      <c r="I798"/>
      <c r="J798" s="68"/>
    </row>
    <row r="799" spans="8:10">
      <c r="H799"/>
      <c r="I799"/>
      <c r="J799" s="68"/>
    </row>
    <row r="800" spans="8:10">
      <c r="H800"/>
      <c r="I800"/>
      <c r="J800" s="68"/>
    </row>
    <row r="801" spans="8:10">
      <c r="H801"/>
      <c r="I801"/>
      <c r="J801" s="68"/>
    </row>
    <row r="802" spans="8:10">
      <c r="H802"/>
      <c r="I802"/>
      <c r="J802" s="68"/>
    </row>
    <row r="803" spans="8:10">
      <c r="H803"/>
      <c r="I803"/>
      <c r="J803" s="68"/>
    </row>
    <row r="804" spans="8:10">
      <c r="H804"/>
      <c r="I804"/>
      <c r="J804" s="68"/>
    </row>
    <row r="805" spans="8:10">
      <c r="H805"/>
      <c r="I805"/>
      <c r="J805" s="68"/>
    </row>
    <row r="806" spans="8:10">
      <c r="H806"/>
      <c r="I806"/>
      <c r="J806" s="68"/>
    </row>
    <row r="807" spans="8:10">
      <c r="H807"/>
      <c r="I807"/>
      <c r="J807" s="68"/>
    </row>
    <row r="808" spans="8:10">
      <c r="H808"/>
      <c r="I808"/>
      <c r="J808" s="68"/>
    </row>
    <row r="809" spans="8:10">
      <c r="H809"/>
      <c r="I809"/>
      <c r="J809" s="68"/>
    </row>
    <row r="810" spans="8:10">
      <c r="H810"/>
      <c r="I810"/>
      <c r="J810" s="68"/>
    </row>
    <row r="811" spans="8:10">
      <c r="H811"/>
      <c r="I811"/>
      <c r="J811" s="68"/>
    </row>
    <row r="812" spans="8:10">
      <c r="H812"/>
      <c r="I812"/>
      <c r="J812" s="68"/>
    </row>
    <row r="813" spans="8:10">
      <c r="H813"/>
      <c r="I813"/>
      <c r="J813" s="68"/>
    </row>
    <row r="814" spans="8:10">
      <c r="H814"/>
      <c r="I814"/>
      <c r="J814" s="68"/>
    </row>
    <row r="815" spans="8:10">
      <c r="H815"/>
      <c r="I815"/>
      <c r="J815" s="68"/>
    </row>
    <row r="816" spans="8:10">
      <c r="H816"/>
      <c r="I816"/>
      <c r="J816" s="68"/>
    </row>
    <row r="817" spans="8:10">
      <c r="H817"/>
      <c r="I817"/>
      <c r="J817" s="68"/>
    </row>
    <row r="818" spans="8:10">
      <c r="H818"/>
      <c r="I818"/>
      <c r="J818" s="68"/>
    </row>
    <row r="819" spans="8:10">
      <c r="H819"/>
      <c r="I819"/>
      <c r="J819" s="68"/>
    </row>
    <row r="820" spans="8:10">
      <c r="H820"/>
      <c r="I820"/>
      <c r="J820" s="68"/>
    </row>
    <row r="821" spans="8:10">
      <c r="H821"/>
      <c r="I821"/>
      <c r="J821" s="68"/>
    </row>
    <row r="822" spans="8:10">
      <c r="H822"/>
      <c r="I822"/>
      <c r="J822" s="68"/>
    </row>
    <row r="823" spans="8:10">
      <c r="H823"/>
      <c r="I823"/>
      <c r="J823" s="68"/>
    </row>
    <row r="824" spans="8:10">
      <c r="H824"/>
      <c r="I824"/>
      <c r="J824" s="68"/>
    </row>
    <row r="825" spans="8:10">
      <c r="H825"/>
      <c r="I825"/>
      <c r="J825" s="68"/>
    </row>
    <row r="826" spans="8:10">
      <c r="H826"/>
      <c r="I826"/>
      <c r="J826" s="68"/>
    </row>
    <row r="827" spans="8:10">
      <c r="H827"/>
      <c r="I827"/>
      <c r="J827" s="68"/>
    </row>
    <row r="828" spans="8:10">
      <c r="H828"/>
      <c r="I828"/>
      <c r="J828" s="68"/>
    </row>
    <row r="829" spans="8:10">
      <c r="H829"/>
      <c r="I829"/>
      <c r="J829" s="68"/>
    </row>
    <row r="830" spans="8:10">
      <c r="H830"/>
      <c r="I830"/>
      <c r="J830" s="68"/>
    </row>
    <row r="831" spans="8:10">
      <c r="H831"/>
      <c r="I831"/>
      <c r="J831" s="68"/>
    </row>
    <row r="832" spans="8:10">
      <c r="H832"/>
      <c r="I832"/>
      <c r="J832" s="68"/>
    </row>
    <row r="833" spans="8:10">
      <c r="H833"/>
      <c r="I833"/>
      <c r="J833" s="68"/>
    </row>
    <row r="834" spans="8:10">
      <c r="H834"/>
      <c r="I834"/>
      <c r="J834" s="68"/>
    </row>
    <row r="835" spans="8:10">
      <c r="H835"/>
      <c r="I835"/>
      <c r="J835" s="68"/>
    </row>
    <row r="836" spans="8:10">
      <c r="H836"/>
      <c r="I836"/>
      <c r="J836" s="68"/>
    </row>
    <row r="837" spans="8:10">
      <c r="H837"/>
      <c r="I837"/>
      <c r="J837" s="68"/>
    </row>
    <row r="838" spans="8:10">
      <c r="H838"/>
      <c r="I838"/>
      <c r="J838" s="68"/>
    </row>
    <row r="839" spans="8:10">
      <c r="H839"/>
      <c r="I839"/>
      <c r="J839" s="68"/>
    </row>
    <row r="840" spans="8:10">
      <c r="H840"/>
      <c r="I840"/>
      <c r="J840" s="68"/>
    </row>
    <row r="841" spans="8:10">
      <c r="H841"/>
      <c r="I841"/>
      <c r="J841" s="68"/>
    </row>
    <row r="842" spans="8:10">
      <c r="H842"/>
      <c r="I842"/>
      <c r="J842" s="68"/>
    </row>
    <row r="843" spans="8:10">
      <c r="H843"/>
      <c r="I843"/>
      <c r="J843" s="68"/>
    </row>
    <row r="844" spans="8:10">
      <c r="H844"/>
      <c r="I844"/>
      <c r="J844" s="68"/>
    </row>
    <row r="845" spans="8:10">
      <c r="H845"/>
      <c r="I845"/>
      <c r="J845" s="68"/>
    </row>
    <row r="846" spans="8:10">
      <c r="H846"/>
      <c r="I846"/>
      <c r="J846" s="68"/>
    </row>
    <row r="847" spans="8:10">
      <c r="H847"/>
      <c r="I847"/>
      <c r="J847" s="68"/>
    </row>
    <row r="848" spans="8:10">
      <c r="H848"/>
      <c r="I848"/>
      <c r="J848" s="68"/>
    </row>
    <row r="849" spans="8:10">
      <c r="H849"/>
      <c r="I849"/>
      <c r="J849" s="68"/>
    </row>
    <row r="850" spans="8:10">
      <c r="H850"/>
      <c r="I850"/>
      <c r="J850" s="68"/>
    </row>
    <row r="851" spans="8:10">
      <c r="H851"/>
      <c r="I851"/>
      <c r="J851" s="68"/>
    </row>
    <row r="852" spans="8:10">
      <c r="H852"/>
      <c r="I852"/>
      <c r="J852" s="68"/>
    </row>
    <row r="853" spans="8:10">
      <c r="H853"/>
      <c r="I853"/>
      <c r="J853" s="68"/>
    </row>
    <row r="854" spans="8:10">
      <c r="H854"/>
      <c r="I854"/>
      <c r="J854" s="68"/>
    </row>
    <row r="855" spans="8:10">
      <c r="H855"/>
      <c r="I855"/>
      <c r="J855" s="68"/>
    </row>
    <row r="856" spans="8:10">
      <c r="H856"/>
      <c r="I856"/>
      <c r="J856" s="68"/>
    </row>
    <row r="857" spans="8:10">
      <c r="H857"/>
      <c r="I857"/>
      <c r="J857" s="68"/>
    </row>
    <row r="858" spans="8:10">
      <c r="H858"/>
      <c r="I858"/>
      <c r="J858" s="68"/>
    </row>
    <row r="859" spans="8:10">
      <c r="H859"/>
      <c r="I859"/>
      <c r="J859" s="68"/>
    </row>
    <row r="860" spans="8:10">
      <c r="H860"/>
      <c r="I860"/>
      <c r="J860" s="68"/>
    </row>
    <row r="861" spans="8:10">
      <c r="H861"/>
      <c r="I861"/>
      <c r="J861" s="68"/>
    </row>
    <row r="862" spans="8:10">
      <c r="H862"/>
      <c r="I862"/>
      <c r="J862" s="68"/>
    </row>
    <row r="863" spans="8:10">
      <c r="H863"/>
      <c r="I863"/>
      <c r="J863" s="68"/>
    </row>
    <row r="864" spans="8:10">
      <c r="H864"/>
      <c r="I864"/>
      <c r="J864" s="68"/>
    </row>
    <row r="865" spans="8:10">
      <c r="H865"/>
      <c r="I865"/>
      <c r="J865" s="68"/>
    </row>
    <row r="866" spans="8:10">
      <c r="H866"/>
      <c r="I866"/>
      <c r="J866" s="68"/>
    </row>
    <row r="867" spans="8:10">
      <c r="H867"/>
      <c r="I867"/>
      <c r="J867" s="68"/>
    </row>
    <row r="868" spans="8:10">
      <c r="H868"/>
      <c r="I868"/>
      <c r="J868" s="68"/>
    </row>
    <row r="869" spans="8:10">
      <c r="H869"/>
      <c r="I869"/>
      <c r="J869" s="68"/>
    </row>
    <row r="870" spans="8:10">
      <c r="H870"/>
      <c r="I870"/>
      <c r="J870" s="68"/>
    </row>
    <row r="871" spans="8:10">
      <c r="H871"/>
      <c r="I871"/>
      <c r="J871" s="68"/>
    </row>
    <row r="872" spans="8:10">
      <c r="H872"/>
      <c r="I872"/>
      <c r="J872" s="68"/>
    </row>
    <row r="873" spans="8:10">
      <c r="H873"/>
      <c r="I873"/>
      <c r="J873" s="68"/>
    </row>
    <row r="874" spans="8:10">
      <c r="H874"/>
      <c r="I874"/>
      <c r="J874" s="68"/>
    </row>
    <row r="875" spans="8:10">
      <c r="H875"/>
      <c r="I875"/>
      <c r="J875" s="68"/>
    </row>
    <row r="876" spans="8:10">
      <c r="H876"/>
      <c r="I876"/>
      <c r="J876" s="68"/>
    </row>
    <row r="877" spans="8:10">
      <c r="H877"/>
      <c r="I877"/>
      <c r="J877" s="68"/>
    </row>
    <row r="878" spans="8:10">
      <c r="H878"/>
      <c r="I878"/>
      <c r="J878" s="68"/>
    </row>
    <row r="879" spans="8:10">
      <c r="H879"/>
      <c r="I879"/>
      <c r="J879" s="68"/>
    </row>
    <row r="880" spans="8:10">
      <c r="H880"/>
      <c r="I880"/>
      <c r="J880" s="68"/>
    </row>
    <row r="881" spans="8:10">
      <c r="H881"/>
      <c r="I881"/>
      <c r="J881" s="68"/>
    </row>
    <row r="882" spans="8:10">
      <c r="H882"/>
      <c r="I882"/>
      <c r="J882" s="68"/>
    </row>
    <row r="883" spans="8:10">
      <c r="H883"/>
      <c r="I883"/>
      <c r="J883" s="68"/>
    </row>
    <row r="884" spans="8:10">
      <c r="H884"/>
      <c r="I884"/>
      <c r="J884" s="68"/>
    </row>
    <row r="885" spans="8:10">
      <c r="H885"/>
      <c r="I885"/>
      <c r="J885" s="68"/>
    </row>
    <row r="886" spans="8:10">
      <c r="H886"/>
      <c r="I886"/>
      <c r="J886" s="68"/>
    </row>
    <row r="887" spans="8:10">
      <c r="H887"/>
      <c r="I887"/>
      <c r="J887" s="68"/>
    </row>
    <row r="888" spans="8:10">
      <c r="H888"/>
      <c r="I888"/>
      <c r="J888" s="68"/>
    </row>
    <row r="889" spans="8:10">
      <c r="H889"/>
      <c r="I889"/>
      <c r="J889" s="68"/>
    </row>
    <row r="890" spans="8:10">
      <c r="H890"/>
      <c r="I890"/>
      <c r="J890" s="68"/>
    </row>
    <row r="891" spans="8:10">
      <c r="H891"/>
      <c r="I891"/>
      <c r="J891" s="68"/>
    </row>
    <row r="892" spans="8:10">
      <c r="H892"/>
      <c r="I892"/>
      <c r="J892" s="68"/>
    </row>
    <row r="893" spans="8:10">
      <c r="H893"/>
      <c r="I893"/>
      <c r="J893" s="68"/>
    </row>
    <row r="894" spans="8:10">
      <c r="H894"/>
      <c r="I894"/>
      <c r="J894" s="68"/>
    </row>
    <row r="895" spans="8:10">
      <c r="H895"/>
      <c r="I895"/>
      <c r="J895" s="68"/>
    </row>
    <row r="896" spans="8:10">
      <c r="H896"/>
      <c r="I896"/>
      <c r="J896" s="68"/>
    </row>
    <row r="897" spans="8:10">
      <c r="H897"/>
      <c r="I897"/>
      <c r="J897" s="68"/>
    </row>
    <row r="898" spans="8:10">
      <c r="H898"/>
      <c r="I898"/>
      <c r="J898" s="68"/>
    </row>
    <row r="899" spans="8:10">
      <c r="H899"/>
      <c r="I899"/>
      <c r="J899" s="68"/>
    </row>
    <row r="900" spans="8:10">
      <c r="H900"/>
      <c r="I900"/>
      <c r="J900" s="68"/>
    </row>
    <row r="901" spans="8:10">
      <c r="H901"/>
      <c r="I901"/>
      <c r="J901" s="68"/>
    </row>
    <row r="902" spans="8:10">
      <c r="H902"/>
      <c r="I902"/>
      <c r="J902" s="68"/>
    </row>
    <row r="903" spans="8:10">
      <c r="H903"/>
      <c r="I903"/>
      <c r="J903" s="68"/>
    </row>
    <row r="904" spans="8:10">
      <c r="H904"/>
      <c r="I904"/>
      <c r="J904" s="68"/>
    </row>
    <row r="905" spans="8:10">
      <c r="H905"/>
      <c r="I905"/>
      <c r="J905" s="68"/>
    </row>
    <row r="906" spans="8:10">
      <c r="H906"/>
      <c r="I906"/>
      <c r="J906" s="68"/>
    </row>
    <row r="907" spans="8:10">
      <c r="H907"/>
      <c r="I907"/>
      <c r="J907" s="68"/>
    </row>
    <row r="908" spans="8:10">
      <c r="H908"/>
      <c r="I908"/>
      <c r="J908" s="68"/>
    </row>
    <row r="909" spans="8:10">
      <c r="H909"/>
      <c r="I909"/>
      <c r="J909" s="68"/>
    </row>
    <row r="910" spans="8:10">
      <c r="H910"/>
      <c r="I910"/>
      <c r="J910" s="68"/>
    </row>
    <row r="911" spans="8:10">
      <c r="H911"/>
      <c r="I911"/>
      <c r="J911" s="68"/>
    </row>
    <row r="912" spans="8:10">
      <c r="H912"/>
      <c r="I912"/>
      <c r="J912" s="68"/>
    </row>
    <row r="913" spans="8:10">
      <c r="H913"/>
      <c r="I913"/>
      <c r="J913" s="68"/>
    </row>
    <row r="914" spans="8:10">
      <c r="H914"/>
      <c r="I914"/>
      <c r="J914" s="68"/>
    </row>
    <row r="915" spans="8:10">
      <c r="H915"/>
      <c r="I915"/>
      <c r="J915" s="68"/>
    </row>
    <row r="916" spans="8:10">
      <c r="H916"/>
      <c r="I916"/>
      <c r="J916" s="68"/>
    </row>
    <row r="917" spans="8:10">
      <c r="H917"/>
      <c r="I917"/>
      <c r="J917" s="68"/>
    </row>
    <row r="918" spans="8:10">
      <c r="H918"/>
      <c r="I918"/>
      <c r="J918" s="68"/>
    </row>
    <row r="919" spans="8:10">
      <c r="H919"/>
      <c r="I919"/>
      <c r="J919" s="68"/>
    </row>
    <row r="920" spans="8:10">
      <c r="H920"/>
      <c r="I920"/>
      <c r="J920" s="68"/>
    </row>
    <row r="921" spans="8:10">
      <c r="H921"/>
      <c r="I921"/>
      <c r="J921" s="68"/>
    </row>
    <row r="922" spans="8:10">
      <c r="H922"/>
      <c r="I922"/>
      <c r="J922" s="68"/>
    </row>
    <row r="923" spans="8:10">
      <c r="H923"/>
      <c r="I923"/>
      <c r="J923" s="68"/>
    </row>
    <row r="924" spans="8:10">
      <c r="H924"/>
      <c r="I924"/>
      <c r="J924" s="68"/>
    </row>
    <row r="925" spans="8:10">
      <c r="H925"/>
      <c r="I925"/>
      <c r="J925" s="68"/>
    </row>
    <row r="926" spans="8:10">
      <c r="H926"/>
      <c r="I926"/>
      <c r="J926" s="68"/>
    </row>
    <row r="927" spans="8:10">
      <c r="H927"/>
      <c r="I927"/>
      <c r="J927" s="68"/>
    </row>
    <row r="928" spans="8:10">
      <c r="H928"/>
      <c r="I928"/>
      <c r="J928" s="68"/>
    </row>
    <row r="929" spans="8:10">
      <c r="H929"/>
      <c r="I929"/>
      <c r="J929" s="68"/>
    </row>
    <row r="930" spans="8:10">
      <c r="H930"/>
      <c r="I930"/>
      <c r="J930" s="68"/>
    </row>
    <row r="931" spans="8:10">
      <c r="H931"/>
      <c r="I931"/>
      <c r="J931" s="68"/>
    </row>
    <row r="932" spans="8:10">
      <c r="H932"/>
      <c r="I932"/>
      <c r="J932" s="68"/>
    </row>
    <row r="933" spans="8:10">
      <c r="H933"/>
      <c r="I933"/>
      <c r="J933" s="68"/>
    </row>
    <row r="934" spans="8:10">
      <c r="H934"/>
      <c r="I934"/>
      <c r="J934" s="68"/>
    </row>
    <row r="935" spans="8:10">
      <c r="H935"/>
      <c r="I935"/>
      <c r="J935" s="68"/>
    </row>
    <row r="936" spans="8:10">
      <c r="H936"/>
      <c r="I936"/>
      <c r="J936" s="68"/>
    </row>
    <row r="937" spans="8:10">
      <c r="H937"/>
      <c r="I937"/>
      <c r="J937" s="68"/>
    </row>
    <row r="938" spans="8:10">
      <c r="H938"/>
      <c r="I938"/>
      <c r="J938" s="68"/>
    </row>
    <row r="939" spans="8:10">
      <c r="H939"/>
      <c r="I939"/>
      <c r="J939" s="68"/>
    </row>
    <row r="940" spans="8:10">
      <c r="H940"/>
      <c r="I940"/>
      <c r="J940" s="68"/>
    </row>
    <row r="941" spans="8:10">
      <c r="H941"/>
      <c r="I941"/>
      <c r="J941" s="68"/>
    </row>
    <row r="942" spans="8:10">
      <c r="H942"/>
      <c r="I942"/>
      <c r="J942" s="68"/>
    </row>
    <row r="943" spans="8:10">
      <c r="H943"/>
      <c r="I943"/>
      <c r="J943" s="68"/>
    </row>
    <row r="944" spans="8:10">
      <c r="H944"/>
      <c r="I944"/>
      <c r="J944" s="68"/>
    </row>
    <row r="945" spans="8:10">
      <c r="H945"/>
      <c r="I945"/>
      <c r="J945" s="68"/>
    </row>
    <row r="946" spans="8:10">
      <c r="H946"/>
      <c r="I946"/>
      <c r="J946" s="68"/>
    </row>
    <row r="947" spans="8:10">
      <c r="H947"/>
      <c r="I947"/>
      <c r="J947" s="68"/>
    </row>
    <row r="948" spans="8:10">
      <c r="H948"/>
      <c r="I948"/>
      <c r="J948" s="68"/>
    </row>
    <row r="949" spans="8:10">
      <c r="H949"/>
      <c r="I949"/>
      <c r="J949" s="68"/>
    </row>
    <row r="950" spans="8:10">
      <c r="H950"/>
      <c r="I950"/>
      <c r="J950" s="68"/>
    </row>
    <row r="951" spans="8:10">
      <c r="H951"/>
      <c r="I951"/>
      <c r="J951" s="68"/>
    </row>
    <row r="952" spans="8:10">
      <c r="H952"/>
      <c r="I952"/>
      <c r="J952" s="68"/>
    </row>
    <row r="953" spans="8:10">
      <c r="H953"/>
      <c r="I953"/>
      <c r="J953" s="68"/>
    </row>
    <row r="954" spans="8:10">
      <c r="H954"/>
      <c r="I954"/>
      <c r="J954" s="68"/>
    </row>
    <row r="955" spans="8:10">
      <c r="H955"/>
      <c r="I955"/>
      <c r="J955" s="68"/>
    </row>
    <row r="956" spans="8:10">
      <c r="H956"/>
      <c r="I956"/>
      <c r="J956" s="68"/>
    </row>
    <row r="957" spans="8:10">
      <c r="H957"/>
      <c r="I957"/>
      <c r="J957" s="68"/>
    </row>
    <row r="958" spans="8:10">
      <c r="H958"/>
      <c r="I958"/>
      <c r="J958" s="68"/>
    </row>
    <row r="959" spans="8:10">
      <c r="H959"/>
      <c r="I959"/>
      <c r="J959" s="68"/>
    </row>
    <row r="960" spans="8:10">
      <c r="H960"/>
      <c r="I960"/>
      <c r="J960" s="68"/>
    </row>
    <row r="961" spans="8:10">
      <c r="H961"/>
      <c r="I961"/>
      <c r="J961" s="68"/>
    </row>
    <row r="962" spans="8:10">
      <c r="H962"/>
      <c r="I962"/>
      <c r="J962" s="68"/>
    </row>
    <row r="963" spans="8:10">
      <c r="H963"/>
      <c r="I963"/>
      <c r="J963" s="68"/>
    </row>
    <row r="964" spans="8:10">
      <c r="H964"/>
      <c r="I964"/>
      <c r="J964" s="68"/>
    </row>
    <row r="965" spans="8:10">
      <c r="H965"/>
      <c r="I965"/>
      <c r="J965" s="68"/>
    </row>
    <row r="966" spans="8:10">
      <c r="H966"/>
      <c r="I966"/>
      <c r="J966" s="68"/>
    </row>
    <row r="967" spans="8:10">
      <c r="H967"/>
      <c r="I967"/>
      <c r="J967" s="68"/>
    </row>
    <row r="968" spans="8:10">
      <c r="H968"/>
      <c r="I968"/>
      <c r="J968" s="68"/>
    </row>
    <row r="969" spans="8:10">
      <c r="H969"/>
      <c r="I969"/>
      <c r="J969" s="68"/>
    </row>
    <row r="970" spans="8:10">
      <c r="H970"/>
      <c r="I970"/>
      <c r="J970" s="68"/>
    </row>
    <row r="971" spans="8:10">
      <c r="H971"/>
      <c r="I971"/>
      <c r="J971" s="68"/>
    </row>
    <row r="972" spans="8:10">
      <c r="H972"/>
      <c r="I972"/>
      <c r="J972" s="68"/>
    </row>
    <row r="973" spans="8:10">
      <c r="H973"/>
      <c r="I973"/>
      <c r="J973" s="68"/>
    </row>
    <row r="974" spans="8:10">
      <c r="H974"/>
      <c r="I974"/>
      <c r="J974" s="68"/>
    </row>
    <row r="975" spans="8:10">
      <c r="H975"/>
      <c r="I975"/>
      <c r="J975" s="68"/>
    </row>
    <row r="976" spans="8:10">
      <c r="H976"/>
      <c r="I976"/>
      <c r="J976" s="68"/>
    </row>
    <row r="977" spans="8:10">
      <c r="H977"/>
      <c r="I977"/>
      <c r="J977" s="68"/>
    </row>
    <row r="978" spans="8:10">
      <c r="H978"/>
      <c r="I978"/>
      <c r="J978" s="68"/>
    </row>
    <row r="979" spans="8:10">
      <c r="H979"/>
      <c r="I979"/>
      <c r="J979" s="68"/>
    </row>
    <row r="980" spans="8:10">
      <c r="H980"/>
      <c r="I980"/>
      <c r="J980" s="68"/>
    </row>
    <row r="981" spans="8:10">
      <c r="H981"/>
      <c r="I981"/>
      <c r="J981" s="68"/>
    </row>
    <row r="982" spans="8:10">
      <c r="H982"/>
      <c r="I982"/>
      <c r="J982" s="68"/>
    </row>
    <row r="983" spans="8:10">
      <c r="H983"/>
      <c r="I983"/>
      <c r="J983" s="68"/>
    </row>
    <row r="984" spans="8:10">
      <c r="H984"/>
      <c r="I984"/>
      <c r="J984" s="68"/>
    </row>
    <row r="985" spans="8:10">
      <c r="H985"/>
      <c r="I985"/>
      <c r="J985" s="68"/>
    </row>
    <row r="986" spans="8:10">
      <c r="H986"/>
      <c r="I986"/>
      <c r="J986" s="68"/>
    </row>
    <row r="987" spans="8:10">
      <c r="H987"/>
      <c r="I987"/>
      <c r="J987" s="68"/>
    </row>
    <row r="988" spans="8:10">
      <c r="H988"/>
      <c r="I988"/>
      <c r="J988" s="68"/>
    </row>
    <row r="989" spans="8:10">
      <c r="H989"/>
      <c r="I989"/>
      <c r="J989" s="68"/>
    </row>
    <row r="990" spans="8:10">
      <c r="H990"/>
      <c r="I990"/>
      <c r="J990" s="68"/>
    </row>
    <row r="991" spans="8:10">
      <c r="H991"/>
      <c r="I991"/>
      <c r="J991" s="68"/>
    </row>
    <row r="992" spans="8:10">
      <c r="H992"/>
      <c r="I992"/>
      <c r="J992" s="68"/>
    </row>
    <row r="993" spans="8:10">
      <c r="H993"/>
      <c r="I993"/>
      <c r="J993" s="68"/>
    </row>
    <row r="994" spans="8:10">
      <c r="H994"/>
      <c r="I994"/>
      <c r="J994" s="68"/>
    </row>
    <row r="995" spans="8:10">
      <c r="H995"/>
      <c r="I995"/>
      <c r="J995" s="68"/>
    </row>
    <row r="996" spans="8:10">
      <c r="H996"/>
      <c r="I996"/>
      <c r="J996" s="68"/>
    </row>
    <row r="997" spans="8:10">
      <c r="H997"/>
      <c r="I997"/>
      <c r="J997" s="68"/>
    </row>
    <row r="998" spans="8:10">
      <c r="H998"/>
      <c r="I998"/>
      <c r="J998" s="68"/>
    </row>
    <row r="999" spans="8:10">
      <c r="H999"/>
      <c r="I999"/>
      <c r="J999" s="68"/>
    </row>
    <row r="1000" spans="8:10">
      <c r="H1000"/>
      <c r="I1000"/>
      <c r="J1000" s="68"/>
    </row>
    <row r="1001" spans="8:10">
      <c r="H1001"/>
      <c r="I1001"/>
      <c r="J1001" s="68"/>
    </row>
    <row r="1002" spans="8:10">
      <c r="H1002"/>
      <c r="I1002"/>
      <c r="J1002" s="68"/>
    </row>
    <row r="1003" spans="8:10">
      <c r="H1003"/>
      <c r="I1003"/>
      <c r="J1003" s="68"/>
    </row>
    <row r="1004" spans="8:10">
      <c r="H1004"/>
      <c r="I1004"/>
      <c r="J1004" s="68"/>
    </row>
    <row r="1005" spans="8:10">
      <c r="H1005"/>
      <c r="I1005"/>
      <c r="J1005" s="68"/>
    </row>
    <row r="1006" spans="8:10">
      <c r="H1006"/>
      <c r="I1006"/>
      <c r="J1006" s="68"/>
    </row>
    <row r="1007" spans="8:10">
      <c r="H1007"/>
      <c r="I1007"/>
      <c r="J1007" s="68"/>
    </row>
    <row r="1008" spans="8:10">
      <c r="H1008"/>
      <c r="I1008"/>
      <c r="J1008" s="68"/>
    </row>
    <row r="1009" spans="8:10">
      <c r="H1009"/>
      <c r="I1009"/>
      <c r="J1009" s="68"/>
    </row>
    <row r="1010" spans="8:10">
      <c r="H1010"/>
      <c r="I1010"/>
      <c r="J1010" s="68"/>
    </row>
    <row r="1011" spans="8:10">
      <c r="H1011"/>
      <c r="I1011"/>
      <c r="J1011" s="68"/>
    </row>
    <row r="1012" spans="8:10">
      <c r="H1012"/>
      <c r="I1012"/>
      <c r="J1012" s="68"/>
    </row>
    <row r="1013" spans="8:10">
      <c r="H1013"/>
      <c r="I1013"/>
      <c r="J1013" s="68"/>
    </row>
    <row r="1014" spans="8:10">
      <c r="H1014"/>
      <c r="I1014"/>
      <c r="J1014" s="68"/>
    </row>
    <row r="1015" spans="8:10">
      <c r="H1015"/>
      <c r="I1015"/>
      <c r="J1015" s="68"/>
    </row>
    <row r="1016" spans="8:10">
      <c r="H1016"/>
      <c r="I1016"/>
      <c r="J1016" s="68"/>
    </row>
    <row r="1017" spans="8:10">
      <c r="H1017"/>
      <c r="I1017"/>
      <c r="J1017" s="68"/>
    </row>
    <row r="1018" spans="8:10">
      <c r="H1018"/>
      <c r="I1018"/>
      <c r="J1018" s="68"/>
    </row>
    <row r="1019" spans="8:10">
      <c r="H1019"/>
      <c r="I1019"/>
      <c r="J1019" s="68"/>
    </row>
    <row r="1020" spans="8:10">
      <c r="H1020"/>
      <c r="I1020"/>
      <c r="J1020" s="68"/>
    </row>
    <row r="1021" spans="8:10">
      <c r="H1021"/>
      <c r="I1021"/>
      <c r="J1021" s="68"/>
    </row>
    <row r="1022" spans="8:10">
      <c r="H1022"/>
      <c r="I1022"/>
      <c r="J1022" s="68"/>
    </row>
    <row r="1023" spans="8:10">
      <c r="H1023"/>
      <c r="I1023"/>
      <c r="J1023" s="68"/>
    </row>
    <row r="1024" spans="8:10">
      <c r="H1024"/>
      <c r="I1024"/>
      <c r="J1024" s="68"/>
    </row>
    <row r="1025" spans="8:10">
      <c r="H1025"/>
      <c r="I1025"/>
      <c r="J1025" s="68"/>
    </row>
    <row r="1026" spans="8:10">
      <c r="H1026"/>
      <c r="I1026"/>
      <c r="J1026" s="68"/>
    </row>
    <row r="1027" spans="8:10">
      <c r="H1027"/>
      <c r="I1027"/>
      <c r="J1027" s="68"/>
    </row>
    <row r="1028" spans="8:10">
      <c r="H1028"/>
      <c r="I1028"/>
      <c r="J1028" s="68"/>
    </row>
    <row r="1029" spans="8:10">
      <c r="H1029"/>
      <c r="I1029"/>
      <c r="J1029" s="68"/>
    </row>
    <row r="1030" spans="8:10">
      <c r="H1030"/>
      <c r="I1030"/>
      <c r="J1030" s="68"/>
    </row>
    <row r="1031" spans="8:10">
      <c r="H1031"/>
      <c r="I1031"/>
      <c r="J1031" s="68"/>
    </row>
    <row r="1032" spans="8:10">
      <c r="H1032"/>
      <c r="I1032"/>
      <c r="J1032" s="68"/>
    </row>
    <row r="1033" spans="8:10">
      <c r="H1033"/>
      <c r="I1033"/>
      <c r="J1033" s="68"/>
    </row>
    <row r="1034" spans="8:10">
      <c r="H1034"/>
      <c r="I1034"/>
      <c r="J1034" s="68"/>
    </row>
    <row r="1035" spans="8:10">
      <c r="H1035"/>
      <c r="I1035"/>
      <c r="J1035" s="68"/>
    </row>
    <row r="1036" spans="8:10">
      <c r="H1036"/>
      <c r="I1036"/>
      <c r="J1036" s="68"/>
    </row>
    <row r="1037" spans="8:10">
      <c r="H1037"/>
      <c r="I1037"/>
      <c r="J1037" s="68"/>
    </row>
    <row r="1038" spans="8:10">
      <c r="H1038"/>
      <c r="I1038"/>
      <c r="J1038" s="68"/>
    </row>
    <row r="1039" spans="8:10">
      <c r="H1039"/>
      <c r="I1039"/>
      <c r="J1039" s="68"/>
    </row>
    <row r="1040" spans="8:10">
      <c r="H1040"/>
      <c r="I1040"/>
      <c r="J1040" s="68"/>
    </row>
    <row r="1041" spans="8:10">
      <c r="H1041"/>
      <c r="I1041"/>
      <c r="J1041" s="68"/>
    </row>
    <row r="1042" spans="8:10">
      <c r="H1042"/>
      <c r="I1042"/>
      <c r="J1042" s="68"/>
    </row>
    <row r="1043" spans="8:10">
      <c r="H1043"/>
      <c r="I1043"/>
      <c r="J1043" s="68"/>
    </row>
    <row r="1044" spans="8:10">
      <c r="H1044"/>
      <c r="I1044"/>
      <c r="J1044" s="68"/>
    </row>
    <row r="1045" spans="8:10">
      <c r="H1045"/>
      <c r="I1045"/>
      <c r="J1045" s="68"/>
    </row>
    <row r="1046" spans="8:10">
      <c r="H1046"/>
      <c r="I1046"/>
      <c r="J1046" s="68"/>
    </row>
    <row r="1047" spans="8:10">
      <c r="H1047"/>
      <c r="I1047"/>
      <c r="J1047" s="68"/>
    </row>
    <row r="1048" spans="8:10">
      <c r="H1048"/>
      <c r="I1048"/>
      <c r="J1048" s="68"/>
    </row>
    <row r="1049" spans="8:10">
      <c r="H1049"/>
      <c r="I1049"/>
      <c r="J1049" s="68"/>
    </row>
    <row r="1050" spans="8:10">
      <c r="H1050"/>
      <c r="I1050"/>
      <c r="J1050" s="68"/>
    </row>
    <row r="1051" spans="8:10">
      <c r="H1051"/>
      <c r="I1051"/>
      <c r="J1051" s="68"/>
    </row>
    <row r="1052" spans="8:10">
      <c r="H1052"/>
      <c r="I1052"/>
      <c r="J1052" s="68"/>
    </row>
    <row r="1053" spans="8:10">
      <c r="H1053"/>
      <c r="I1053"/>
      <c r="J1053" s="68"/>
    </row>
    <row r="1054" spans="8:10">
      <c r="H1054"/>
      <c r="I1054"/>
      <c r="J1054" s="68"/>
    </row>
    <row r="1055" spans="8:10">
      <c r="H1055"/>
      <c r="I1055"/>
      <c r="J1055" s="68"/>
    </row>
    <row r="1056" spans="8:10">
      <c r="H1056"/>
      <c r="I1056"/>
      <c r="J1056" s="68"/>
    </row>
    <row r="1057" spans="8:10">
      <c r="H1057"/>
      <c r="I1057"/>
      <c r="J1057" s="68"/>
    </row>
    <row r="1058" spans="8:10">
      <c r="H1058"/>
      <c r="I1058"/>
      <c r="J1058" s="68"/>
    </row>
    <row r="1059" spans="8:10">
      <c r="H1059"/>
      <c r="I1059"/>
      <c r="J1059" s="68"/>
    </row>
    <row r="1060" spans="8:10">
      <c r="H1060"/>
      <c r="I1060"/>
      <c r="J1060" s="68"/>
    </row>
    <row r="1061" spans="8:10">
      <c r="H1061"/>
      <c r="I1061"/>
      <c r="J1061" s="68"/>
    </row>
    <row r="1062" spans="8:10">
      <c r="H1062"/>
      <c r="I1062"/>
      <c r="J1062" s="68"/>
    </row>
    <row r="1063" spans="8:10">
      <c r="H1063"/>
      <c r="I1063"/>
      <c r="J1063" s="68"/>
    </row>
    <row r="1064" spans="8:10">
      <c r="H1064"/>
      <c r="I1064"/>
      <c r="J1064" s="68"/>
    </row>
    <row r="1065" spans="8:10">
      <c r="H1065"/>
      <c r="I1065"/>
      <c r="J1065" s="68"/>
    </row>
    <row r="1066" spans="8:10">
      <c r="H1066"/>
      <c r="I1066"/>
      <c r="J1066" s="68"/>
    </row>
    <row r="1067" spans="8:10">
      <c r="H1067"/>
      <c r="I1067"/>
      <c r="J1067" s="68"/>
    </row>
    <row r="1068" spans="8:10">
      <c r="H1068"/>
      <c r="I1068"/>
      <c r="J1068" s="68"/>
    </row>
    <row r="1069" spans="8:10">
      <c r="H1069"/>
      <c r="I1069"/>
      <c r="J1069" s="68"/>
    </row>
    <row r="1070" spans="8:10">
      <c r="H1070"/>
      <c r="I1070"/>
      <c r="J1070" s="68"/>
    </row>
    <row r="1071" spans="8:10">
      <c r="H1071"/>
      <c r="I1071"/>
      <c r="J1071" s="68"/>
    </row>
    <row r="1072" spans="8:10">
      <c r="H1072"/>
      <c r="I1072"/>
      <c r="J1072" s="68"/>
    </row>
    <row r="1073" spans="8:10">
      <c r="H1073"/>
      <c r="I1073"/>
      <c r="J1073" s="68"/>
    </row>
    <row r="1074" spans="8:10">
      <c r="H1074"/>
      <c r="I1074"/>
      <c r="J1074" s="68"/>
    </row>
    <row r="1075" spans="8:10">
      <c r="H1075"/>
      <c r="I1075"/>
      <c r="J1075" s="68"/>
    </row>
    <row r="1076" spans="8:10">
      <c r="H1076"/>
      <c r="I1076"/>
      <c r="J1076" s="68"/>
    </row>
    <row r="1077" spans="8:10">
      <c r="H1077"/>
      <c r="I1077"/>
      <c r="J1077" s="68"/>
    </row>
    <row r="1078" spans="8:10">
      <c r="H1078"/>
      <c r="I1078"/>
      <c r="J1078" s="68"/>
    </row>
    <row r="1079" spans="8:10">
      <c r="H1079"/>
      <c r="I1079"/>
      <c r="J1079" s="68"/>
    </row>
    <row r="1080" spans="8:10">
      <c r="H1080"/>
      <c r="I1080"/>
      <c r="J1080" s="68"/>
    </row>
    <row r="1081" spans="8:10">
      <c r="H1081"/>
      <c r="I1081"/>
      <c r="J1081" s="68"/>
    </row>
    <row r="1082" spans="8:10">
      <c r="H1082"/>
      <c r="I1082"/>
      <c r="J1082" s="68"/>
    </row>
    <row r="1083" spans="8:10">
      <c r="H1083"/>
      <c r="I1083"/>
      <c r="J1083" s="68"/>
    </row>
    <row r="1084" spans="8:10">
      <c r="H1084"/>
      <c r="I1084"/>
      <c r="J1084" s="68"/>
    </row>
    <row r="1085" spans="8:10">
      <c r="H1085"/>
      <c r="I1085"/>
      <c r="J1085" s="68"/>
    </row>
    <row r="1086" spans="8:10">
      <c r="H1086"/>
      <c r="I1086"/>
      <c r="J1086" s="68"/>
    </row>
    <row r="1087" spans="8:10">
      <c r="H1087"/>
      <c r="I1087"/>
      <c r="J1087" s="68"/>
    </row>
    <row r="1088" spans="8:10">
      <c r="H1088"/>
      <c r="I1088"/>
      <c r="J1088" s="68"/>
    </row>
    <row r="1089" spans="8:10">
      <c r="H1089"/>
      <c r="I1089"/>
      <c r="J1089" s="68"/>
    </row>
    <row r="1090" spans="8:10">
      <c r="H1090"/>
      <c r="I1090"/>
      <c r="J1090" s="68"/>
    </row>
    <row r="1091" spans="8:10">
      <c r="H1091"/>
      <c r="I1091"/>
      <c r="J1091" s="68"/>
    </row>
    <row r="1092" spans="8:10">
      <c r="H1092"/>
      <c r="I1092"/>
      <c r="J1092" s="68"/>
    </row>
    <row r="1093" spans="8:10">
      <c r="H1093"/>
      <c r="I1093"/>
      <c r="J1093" s="68"/>
    </row>
    <row r="1094" spans="8:10">
      <c r="H1094"/>
      <c r="I1094"/>
      <c r="J1094" s="68"/>
    </row>
    <row r="1095" spans="8:10">
      <c r="H1095"/>
      <c r="I1095"/>
      <c r="J1095" s="68"/>
    </row>
    <row r="1096" spans="8:10">
      <c r="H1096"/>
      <c r="I1096"/>
      <c r="J1096" s="68"/>
    </row>
    <row r="1097" spans="8:10">
      <c r="H1097"/>
      <c r="I1097"/>
      <c r="J1097" s="68"/>
    </row>
    <row r="1098" spans="8:10">
      <c r="H1098"/>
      <c r="I1098"/>
      <c r="J1098" s="68"/>
    </row>
    <row r="1099" spans="8:10">
      <c r="H1099"/>
      <c r="I1099"/>
      <c r="J1099" s="68"/>
    </row>
    <row r="1100" spans="8:10">
      <c r="H1100"/>
      <c r="I1100"/>
      <c r="J1100" s="68"/>
    </row>
    <row r="1101" spans="8:10">
      <c r="H1101"/>
      <c r="I1101"/>
      <c r="J1101" s="68"/>
    </row>
    <row r="1102" spans="8:10">
      <c r="H1102"/>
      <c r="I1102"/>
      <c r="J1102" s="68"/>
    </row>
    <row r="1103" spans="8:10">
      <c r="H1103"/>
      <c r="I1103"/>
      <c r="J1103" s="68"/>
    </row>
    <row r="1104" spans="8:10">
      <c r="H1104"/>
      <c r="I1104"/>
      <c r="J1104" s="68"/>
    </row>
    <row r="1105" spans="8:10">
      <c r="H1105"/>
      <c r="I1105"/>
      <c r="J1105" s="68"/>
    </row>
    <row r="1106" spans="8:10">
      <c r="H1106"/>
      <c r="I1106"/>
      <c r="J1106" s="68"/>
    </row>
    <row r="1107" spans="8:10">
      <c r="H1107"/>
      <c r="I1107"/>
      <c r="J1107" s="68"/>
    </row>
    <row r="1108" spans="8:10">
      <c r="H1108"/>
      <c r="I1108"/>
      <c r="J1108" s="68"/>
    </row>
    <row r="1109" spans="8:10">
      <c r="H1109"/>
      <c r="I1109"/>
      <c r="J1109" s="68"/>
    </row>
    <row r="1110" spans="8:10">
      <c r="H1110"/>
      <c r="I1110"/>
      <c r="J1110" s="68"/>
    </row>
    <row r="1111" spans="8:10">
      <c r="H1111"/>
      <c r="I1111"/>
      <c r="J1111" s="68"/>
    </row>
    <row r="1112" spans="8:10">
      <c r="H1112"/>
      <c r="I1112"/>
      <c r="J1112" s="68"/>
    </row>
    <row r="1113" spans="8:10">
      <c r="H1113"/>
      <c r="I1113"/>
      <c r="J1113" s="68"/>
    </row>
    <row r="1114" spans="8:10">
      <c r="H1114"/>
      <c r="I1114"/>
      <c r="J1114" s="68"/>
    </row>
    <row r="1115" spans="8:10">
      <c r="H1115"/>
      <c r="I1115"/>
      <c r="J1115" s="68"/>
    </row>
    <row r="1116" spans="8:10">
      <c r="H1116"/>
      <c r="I1116"/>
      <c r="J1116" s="68"/>
    </row>
    <row r="1117" spans="8:10">
      <c r="H1117"/>
      <c r="I1117"/>
      <c r="J1117" s="68"/>
    </row>
    <row r="1118" spans="8:10">
      <c r="H1118"/>
      <c r="I1118"/>
      <c r="J1118" s="68"/>
    </row>
    <row r="1119" spans="8:10">
      <c r="H1119"/>
      <c r="I1119"/>
      <c r="J1119" s="68"/>
    </row>
    <row r="1120" spans="8:10">
      <c r="H1120"/>
      <c r="I1120"/>
      <c r="J1120" s="68"/>
    </row>
    <row r="1121" spans="8:10">
      <c r="H1121"/>
      <c r="I1121"/>
      <c r="J1121" s="68"/>
    </row>
    <row r="1122" spans="8:10">
      <c r="H1122"/>
      <c r="I1122"/>
      <c r="J1122" s="68"/>
    </row>
    <row r="1123" spans="8:10">
      <c r="H1123"/>
      <c r="I1123"/>
      <c r="J1123" s="68"/>
    </row>
    <row r="1124" spans="8:10">
      <c r="H1124"/>
      <c r="I1124"/>
      <c r="J1124" s="68"/>
    </row>
    <row r="1125" spans="8:10">
      <c r="H1125"/>
      <c r="I1125"/>
      <c r="J1125" s="68"/>
    </row>
    <row r="1126" spans="8:10">
      <c r="H1126"/>
      <c r="I1126"/>
      <c r="J1126" s="68"/>
    </row>
    <row r="1127" spans="8:10">
      <c r="H1127"/>
      <c r="I1127"/>
      <c r="J1127" s="68"/>
    </row>
    <row r="1128" spans="8:10">
      <c r="H1128"/>
      <c r="I1128"/>
      <c r="J1128" s="68"/>
    </row>
    <row r="1129" spans="8:10">
      <c r="H1129"/>
      <c r="I1129"/>
      <c r="J1129" s="68"/>
    </row>
    <row r="1130" spans="8:10">
      <c r="H1130"/>
      <c r="I1130"/>
      <c r="J1130" s="68"/>
    </row>
    <row r="1131" spans="8:10">
      <c r="H1131"/>
      <c r="I1131"/>
      <c r="J1131" s="68"/>
    </row>
    <row r="1132" spans="8:10">
      <c r="H1132"/>
      <c r="I1132"/>
      <c r="J1132" s="68"/>
    </row>
    <row r="1133" spans="8:10">
      <c r="H1133"/>
      <c r="I1133"/>
      <c r="J1133" s="68"/>
    </row>
    <row r="1134" spans="8:10">
      <c r="H1134"/>
      <c r="I1134"/>
      <c r="J1134" s="68"/>
    </row>
    <row r="1135" spans="8:10">
      <c r="H1135"/>
      <c r="I1135"/>
      <c r="J1135" s="68"/>
    </row>
    <row r="1136" spans="8:10">
      <c r="H1136"/>
      <c r="I1136"/>
      <c r="J1136" s="68"/>
    </row>
    <row r="1137" spans="8:10">
      <c r="H1137"/>
      <c r="I1137"/>
      <c r="J1137" s="68"/>
    </row>
    <row r="1138" spans="8:10">
      <c r="H1138"/>
      <c r="I1138"/>
      <c r="J1138" s="68"/>
    </row>
    <row r="1139" spans="8:10">
      <c r="H1139"/>
      <c r="I1139"/>
      <c r="J1139" s="68"/>
    </row>
    <row r="1140" spans="8:10">
      <c r="H1140"/>
      <c r="I1140"/>
      <c r="J1140" s="68"/>
    </row>
    <row r="1141" spans="8:10">
      <c r="H1141"/>
      <c r="I1141"/>
      <c r="J1141" s="68"/>
    </row>
    <row r="1142" spans="8:10">
      <c r="H1142"/>
      <c r="I1142"/>
      <c r="J1142" s="68"/>
    </row>
    <row r="1143" spans="8:10">
      <c r="H1143"/>
      <c r="I1143"/>
      <c r="J1143" s="68"/>
    </row>
    <row r="1144" spans="8:10">
      <c r="H1144"/>
      <c r="I1144"/>
      <c r="J1144" s="68"/>
    </row>
    <row r="1145" spans="8:10">
      <c r="H1145"/>
      <c r="I1145"/>
      <c r="J1145" s="68"/>
    </row>
    <row r="1146" spans="8:10">
      <c r="H1146"/>
      <c r="I1146"/>
      <c r="J1146" s="68"/>
    </row>
    <row r="1147" spans="8:10">
      <c r="H1147"/>
      <c r="I1147"/>
      <c r="J1147" s="68"/>
    </row>
    <row r="1148" spans="8:10">
      <c r="H1148"/>
      <c r="I1148"/>
      <c r="J1148" s="68"/>
    </row>
    <row r="1149" spans="8:10">
      <c r="H1149"/>
      <c r="I1149"/>
      <c r="J1149" s="68"/>
    </row>
    <row r="1150" spans="8:10">
      <c r="H1150"/>
      <c r="I1150"/>
      <c r="J1150" s="68"/>
    </row>
    <row r="1151" spans="8:10">
      <c r="H1151"/>
      <c r="I1151"/>
      <c r="J1151" s="68"/>
    </row>
    <row r="1152" spans="8:10">
      <c r="H1152"/>
      <c r="I1152"/>
      <c r="J1152" s="68"/>
    </row>
    <row r="1153" spans="8:10">
      <c r="H1153"/>
      <c r="I1153"/>
      <c r="J1153" s="68"/>
    </row>
    <row r="1154" spans="8:10">
      <c r="H1154"/>
      <c r="I1154"/>
      <c r="J1154" s="68"/>
    </row>
    <row r="1155" spans="8:10">
      <c r="H1155"/>
      <c r="I1155"/>
      <c r="J1155" s="68"/>
    </row>
    <row r="1156" spans="8:10">
      <c r="H1156"/>
      <c r="I1156"/>
      <c r="J1156" s="68"/>
    </row>
    <row r="1157" spans="8:10">
      <c r="H1157"/>
      <c r="I1157"/>
      <c r="J1157" s="68"/>
    </row>
    <row r="1158" spans="8:10">
      <c r="H1158"/>
      <c r="I1158"/>
      <c r="J1158" s="68"/>
    </row>
    <row r="1159" spans="8:10">
      <c r="H1159"/>
      <c r="I1159"/>
      <c r="J1159" s="68"/>
    </row>
    <row r="1160" spans="8:10">
      <c r="H1160"/>
      <c r="I1160"/>
      <c r="J1160" s="68"/>
    </row>
    <row r="1161" spans="8:10">
      <c r="H1161"/>
      <c r="I1161"/>
      <c r="J1161" s="68"/>
    </row>
    <row r="1162" spans="8:10">
      <c r="H1162"/>
      <c r="I1162"/>
      <c r="J1162" s="68"/>
    </row>
    <row r="1163" spans="8:10">
      <c r="H1163"/>
      <c r="I1163"/>
      <c r="J1163" s="68"/>
    </row>
    <row r="1164" spans="8:10">
      <c r="H1164"/>
      <c r="I1164"/>
      <c r="J1164" s="68"/>
    </row>
    <row r="1165" spans="8:10">
      <c r="H1165"/>
      <c r="I1165"/>
      <c r="J1165" s="68"/>
    </row>
    <row r="1166" spans="8:10">
      <c r="H1166"/>
      <c r="I1166"/>
      <c r="J1166" s="68"/>
    </row>
    <row r="1167" spans="8:10">
      <c r="H1167"/>
      <c r="I1167"/>
      <c r="J1167" s="68"/>
    </row>
    <row r="1168" spans="8:10">
      <c r="H1168"/>
      <c r="I1168"/>
      <c r="J1168" s="68"/>
    </row>
    <row r="1169" spans="8:10">
      <c r="H1169"/>
      <c r="I1169"/>
      <c r="J1169" s="68"/>
    </row>
    <row r="1170" spans="8:10">
      <c r="H1170"/>
      <c r="I1170"/>
      <c r="J1170" s="68"/>
    </row>
    <row r="1171" spans="8:10">
      <c r="H1171"/>
      <c r="I1171"/>
      <c r="J1171" s="68"/>
    </row>
    <row r="1172" spans="8:10">
      <c r="H1172"/>
      <c r="I1172"/>
      <c r="J1172" s="68"/>
    </row>
    <row r="1173" spans="8:10">
      <c r="H1173"/>
      <c r="I1173"/>
      <c r="J1173" s="68"/>
    </row>
    <row r="1174" spans="8:10">
      <c r="H1174"/>
      <c r="I1174"/>
      <c r="J1174" s="68"/>
    </row>
    <row r="1175" spans="8:10">
      <c r="H1175"/>
      <c r="I1175"/>
      <c r="J1175" s="68"/>
    </row>
    <row r="1176" spans="8:10">
      <c r="H1176"/>
      <c r="I1176"/>
      <c r="J1176" s="68"/>
    </row>
    <row r="1177" spans="8:10">
      <c r="H1177"/>
      <c r="I1177"/>
      <c r="J1177" s="68"/>
    </row>
    <row r="1178" spans="8:10">
      <c r="H1178"/>
      <c r="I1178"/>
      <c r="J1178" s="68"/>
    </row>
    <row r="1179" spans="8:10">
      <c r="H1179"/>
      <c r="I1179"/>
      <c r="J1179" s="68"/>
    </row>
    <row r="1180" spans="8:10">
      <c r="H1180"/>
      <c r="I1180"/>
      <c r="J1180" s="68"/>
    </row>
    <row r="1181" spans="8:10">
      <c r="H1181"/>
      <c r="I1181"/>
      <c r="J1181" s="68"/>
    </row>
    <row r="1182" spans="8:10">
      <c r="H1182"/>
      <c r="I1182"/>
      <c r="J1182" s="68"/>
    </row>
    <row r="1183" spans="8:10">
      <c r="H1183"/>
      <c r="I1183"/>
      <c r="J1183" s="68"/>
    </row>
    <row r="1184" spans="8:10">
      <c r="H1184"/>
      <c r="I1184"/>
      <c r="J1184" s="68"/>
    </row>
    <row r="1185" spans="8:10">
      <c r="H1185"/>
      <c r="I1185"/>
      <c r="J1185" s="68"/>
    </row>
    <row r="1186" spans="8:10">
      <c r="H1186"/>
      <c r="I1186"/>
      <c r="J1186" s="68"/>
    </row>
    <row r="1187" spans="8:10">
      <c r="H1187"/>
      <c r="I1187"/>
      <c r="J1187" s="68"/>
    </row>
    <row r="1188" spans="8:10">
      <c r="H1188"/>
      <c r="I1188"/>
      <c r="J1188" s="68"/>
    </row>
    <row r="1189" spans="8:10">
      <c r="H1189"/>
      <c r="I1189"/>
      <c r="J1189" s="68"/>
    </row>
    <row r="1190" spans="8:10">
      <c r="H1190"/>
      <c r="I1190"/>
      <c r="J1190" s="68"/>
    </row>
    <row r="1191" spans="8:10">
      <c r="H1191"/>
      <c r="I1191"/>
      <c r="J1191" s="68"/>
    </row>
    <row r="1192" spans="8:10">
      <c r="H1192"/>
      <c r="I1192"/>
      <c r="J1192" s="68"/>
    </row>
    <row r="1193" spans="8:10">
      <c r="H1193"/>
      <c r="I1193"/>
      <c r="J1193" s="68"/>
    </row>
    <row r="1194" spans="8:10">
      <c r="H1194"/>
      <c r="I1194"/>
      <c r="J1194" s="68"/>
    </row>
    <row r="1195" spans="8:10">
      <c r="H1195"/>
      <c r="I1195"/>
      <c r="J1195" s="68"/>
    </row>
    <row r="1196" spans="8:10">
      <c r="H1196"/>
      <c r="I1196"/>
      <c r="J1196" s="68"/>
    </row>
    <row r="1197" spans="8:10">
      <c r="H1197"/>
      <c r="I1197"/>
      <c r="J1197" s="68"/>
    </row>
    <row r="1198" spans="8:10">
      <c r="H1198"/>
      <c r="I1198"/>
      <c r="J1198" s="68"/>
    </row>
    <row r="1199" spans="8:10">
      <c r="H1199"/>
      <c r="I1199"/>
      <c r="J1199" s="68"/>
    </row>
    <row r="1200" spans="8:10">
      <c r="H1200"/>
      <c r="I1200"/>
      <c r="J1200" s="68"/>
    </row>
    <row r="1201" spans="8:10">
      <c r="H1201"/>
      <c r="I1201"/>
      <c r="J1201" s="68"/>
    </row>
    <row r="1202" spans="8:10">
      <c r="H1202"/>
      <c r="I1202"/>
      <c r="J1202" s="68"/>
    </row>
    <row r="1203" spans="8:10">
      <c r="H1203"/>
      <c r="I1203"/>
      <c r="J1203" s="68"/>
    </row>
    <row r="1204" spans="8:10">
      <c r="H1204"/>
      <c r="I1204"/>
      <c r="J1204" s="68"/>
    </row>
    <row r="1205" spans="8:10">
      <c r="H1205"/>
      <c r="I1205"/>
      <c r="J1205" s="68"/>
    </row>
    <row r="1206" spans="8:10">
      <c r="H1206"/>
      <c r="I1206"/>
      <c r="J1206" s="68"/>
    </row>
    <row r="1207" spans="8:10">
      <c r="H1207"/>
      <c r="I1207"/>
      <c r="J1207" s="68"/>
    </row>
    <row r="1208" spans="8:10">
      <c r="H1208"/>
      <c r="I1208"/>
      <c r="J1208" s="68"/>
    </row>
    <row r="1209" spans="8:10">
      <c r="H1209"/>
      <c r="I1209"/>
      <c r="J1209" s="68"/>
    </row>
    <row r="1210" spans="8:10">
      <c r="H1210"/>
      <c r="I1210"/>
      <c r="J1210" s="68"/>
    </row>
    <row r="1211" spans="8:10">
      <c r="H1211"/>
      <c r="I1211"/>
      <c r="J1211" s="68"/>
    </row>
    <row r="1212" spans="8:10">
      <c r="H1212"/>
      <c r="I1212"/>
      <c r="J1212" s="68"/>
    </row>
    <row r="1213" spans="8:10">
      <c r="H1213"/>
      <c r="I1213"/>
      <c r="J1213" s="68"/>
    </row>
    <row r="1214" spans="8:10">
      <c r="H1214"/>
      <c r="I1214"/>
      <c r="J1214" s="68"/>
    </row>
    <row r="1215" spans="8:10">
      <c r="H1215"/>
      <c r="I1215"/>
      <c r="J1215" s="68"/>
    </row>
    <row r="1216" spans="8:10">
      <c r="H1216"/>
      <c r="I1216"/>
      <c r="J1216" s="68"/>
    </row>
    <row r="1217" spans="8:10">
      <c r="H1217"/>
      <c r="I1217"/>
      <c r="J1217" s="68"/>
    </row>
    <row r="1218" spans="8:10">
      <c r="H1218"/>
      <c r="I1218"/>
      <c r="J1218" s="68"/>
    </row>
    <row r="1219" spans="8:10">
      <c r="H1219"/>
      <c r="I1219"/>
      <c r="J1219" s="68"/>
    </row>
    <row r="1220" spans="8:10">
      <c r="H1220"/>
      <c r="I1220"/>
      <c r="J1220" s="68"/>
    </row>
    <row r="1221" spans="8:10">
      <c r="H1221"/>
      <c r="I1221"/>
      <c r="J1221" s="68"/>
    </row>
    <row r="1222" spans="8:10">
      <c r="H1222"/>
      <c r="I1222"/>
      <c r="J1222" s="68"/>
    </row>
    <row r="1223" spans="8:10">
      <c r="H1223"/>
      <c r="I1223"/>
      <c r="J1223" s="68"/>
    </row>
    <row r="1224" spans="8:10">
      <c r="H1224"/>
      <c r="I1224"/>
      <c r="J1224" s="68"/>
    </row>
    <row r="1225" spans="8:10">
      <c r="H1225"/>
      <c r="I1225"/>
      <c r="J1225" s="68"/>
    </row>
    <row r="1226" spans="8:10">
      <c r="H1226"/>
      <c r="I1226"/>
      <c r="J1226" s="68"/>
    </row>
    <row r="1227" spans="8:10">
      <c r="H1227"/>
      <c r="I1227"/>
      <c r="J1227" s="68"/>
    </row>
    <row r="1228" spans="8:10">
      <c r="H1228"/>
      <c r="I1228"/>
      <c r="J1228" s="68"/>
    </row>
    <row r="1229" spans="8:10">
      <c r="H1229"/>
      <c r="I1229"/>
      <c r="J1229" s="68"/>
    </row>
    <row r="1230" spans="8:10">
      <c r="H1230"/>
      <c r="I1230"/>
      <c r="J1230" s="68"/>
    </row>
    <row r="1231" spans="8:10">
      <c r="H1231"/>
      <c r="I1231"/>
      <c r="J1231" s="68"/>
    </row>
    <row r="1232" spans="8:10">
      <c r="H1232"/>
      <c r="I1232"/>
      <c r="J1232" s="68"/>
    </row>
    <row r="1233" spans="8:10">
      <c r="H1233"/>
      <c r="I1233"/>
      <c r="J1233" s="68"/>
    </row>
    <row r="1234" spans="8:10">
      <c r="H1234"/>
      <c r="I1234"/>
      <c r="J1234" s="68"/>
    </row>
    <row r="1235" spans="8:10">
      <c r="H1235"/>
      <c r="I1235"/>
      <c r="J1235" s="68"/>
    </row>
    <row r="1236" spans="8:10">
      <c r="H1236"/>
      <c r="I1236"/>
      <c r="J1236" s="68"/>
    </row>
    <row r="1237" spans="8:10">
      <c r="H1237"/>
      <c r="I1237"/>
      <c r="J1237" s="68"/>
    </row>
    <row r="1238" spans="8:10">
      <c r="H1238"/>
      <c r="I1238"/>
      <c r="J1238" s="68"/>
    </row>
    <row r="1239" spans="8:10">
      <c r="H1239"/>
      <c r="I1239"/>
      <c r="J1239" s="68"/>
    </row>
    <row r="1240" spans="8:10">
      <c r="H1240"/>
      <c r="I1240"/>
      <c r="J1240" s="68"/>
    </row>
    <row r="1241" spans="8:10">
      <c r="H1241"/>
      <c r="I1241"/>
      <c r="J1241" s="68"/>
    </row>
    <row r="1242" spans="8:10">
      <c r="H1242"/>
      <c r="I1242"/>
      <c r="J1242" s="68"/>
    </row>
    <row r="1243" spans="8:10">
      <c r="H1243"/>
      <c r="I1243"/>
      <c r="J1243" s="68"/>
    </row>
    <row r="1244" spans="8:10">
      <c r="H1244"/>
      <c r="I1244"/>
      <c r="J1244" s="68"/>
    </row>
    <row r="1245" spans="8:10">
      <c r="H1245"/>
      <c r="I1245"/>
      <c r="J1245" s="68"/>
    </row>
    <row r="1246" spans="8:10">
      <c r="H1246"/>
      <c r="I1246"/>
      <c r="J1246" s="68"/>
    </row>
    <row r="1247" spans="8:10">
      <c r="H1247"/>
      <c r="I1247"/>
      <c r="J1247" s="68"/>
    </row>
    <row r="1248" spans="8:10">
      <c r="H1248"/>
      <c r="I1248"/>
      <c r="J1248" s="68"/>
    </row>
    <row r="1249" spans="8:10">
      <c r="H1249"/>
      <c r="I1249"/>
      <c r="J1249" s="68"/>
    </row>
    <row r="1250" spans="8:10">
      <c r="H1250"/>
      <c r="I1250"/>
      <c r="J1250" s="68"/>
    </row>
    <row r="1251" spans="8:10">
      <c r="H1251"/>
      <c r="I1251"/>
      <c r="J1251" s="68"/>
    </row>
    <row r="1252" spans="8:10">
      <c r="H1252"/>
      <c r="I1252"/>
      <c r="J1252" s="68"/>
    </row>
    <row r="1253" spans="8:10">
      <c r="H1253"/>
      <c r="I1253"/>
      <c r="J1253" s="68"/>
    </row>
    <row r="1254" spans="8:10">
      <c r="H1254"/>
      <c r="I1254"/>
      <c r="J1254" s="68"/>
    </row>
    <row r="1255" spans="8:10">
      <c r="H1255"/>
      <c r="I1255"/>
      <c r="J1255" s="68"/>
    </row>
    <row r="1256" spans="8:10">
      <c r="H1256"/>
      <c r="I1256"/>
      <c r="J1256" s="68"/>
    </row>
    <row r="1257" spans="8:10">
      <c r="H1257"/>
      <c r="I1257"/>
      <c r="J1257" s="68"/>
    </row>
    <row r="1258" spans="8:10">
      <c r="H1258"/>
      <c r="I1258"/>
      <c r="J1258" s="68"/>
    </row>
    <row r="1259" spans="8:10">
      <c r="H1259"/>
      <c r="I1259"/>
      <c r="J1259" s="68"/>
    </row>
    <row r="1260" spans="8:10">
      <c r="H1260"/>
      <c r="I1260"/>
      <c r="J1260" s="68"/>
    </row>
    <row r="1261" spans="8:10">
      <c r="H1261"/>
      <c r="I1261"/>
      <c r="J1261" s="68"/>
    </row>
    <row r="1262" spans="8:10">
      <c r="H1262"/>
      <c r="I1262"/>
      <c r="J1262" s="68"/>
    </row>
    <row r="1263" spans="8:10">
      <c r="H1263"/>
      <c r="I1263"/>
      <c r="J1263" s="68"/>
    </row>
    <row r="1264" spans="8:10">
      <c r="H1264"/>
      <c r="I1264"/>
      <c r="J1264" s="68"/>
    </row>
    <row r="1265" spans="8:10">
      <c r="H1265"/>
      <c r="I1265"/>
      <c r="J1265" s="68"/>
    </row>
    <row r="1266" spans="8:10">
      <c r="H1266"/>
      <c r="I1266"/>
      <c r="J1266" s="68"/>
    </row>
    <row r="1267" spans="8:10">
      <c r="H1267"/>
      <c r="I1267"/>
      <c r="J1267" s="68"/>
    </row>
    <row r="1268" spans="8:10">
      <c r="H1268"/>
      <c r="I1268"/>
      <c r="J1268" s="68"/>
    </row>
    <row r="1269" spans="8:10">
      <c r="H1269"/>
      <c r="I1269"/>
      <c r="J1269" s="68"/>
    </row>
    <row r="1270" spans="8:10">
      <c r="H1270"/>
      <c r="I1270"/>
      <c r="J1270" s="68"/>
    </row>
    <row r="1271" spans="8:10">
      <c r="H1271"/>
      <c r="I1271"/>
      <c r="J1271" s="68"/>
    </row>
    <row r="1272" spans="8:10">
      <c r="H1272"/>
      <c r="I1272"/>
      <c r="J1272" s="68"/>
    </row>
    <row r="1273" spans="8:10">
      <c r="H1273"/>
      <c r="I1273"/>
      <c r="J1273" s="68"/>
    </row>
    <row r="1274" spans="8:10">
      <c r="H1274"/>
      <c r="I1274"/>
      <c r="J1274" s="68"/>
    </row>
    <row r="1275" spans="8:10">
      <c r="H1275"/>
      <c r="I1275"/>
      <c r="J1275" s="68"/>
    </row>
    <row r="1276" spans="8:10">
      <c r="H1276"/>
      <c r="I1276"/>
      <c r="J1276" s="68"/>
    </row>
    <row r="1277" spans="8:10">
      <c r="H1277"/>
      <c r="I1277"/>
      <c r="J1277" s="68"/>
    </row>
    <row r="1278" spans="8:10">
      <c r="H1278"/>
      <c r="I1278"/>
      <c r="J1278" s="68"/>
    </row>
    <row r="1279" spans="8:10">
      <c r="H1279"/>
      <c r="I1279"/>
      <c r="J1279" s="68"/>
    </row>
    <row r="1280" spans="8:10">
      <c r="H1280"/>
      <c r="I1280"/>
      <c r="J1280" s="68"/>
    </row>
    <row r="1281" spans="8:10">
      <c r="H1281"/>
      <c r="I1281"/>
      <c r="J1281" s="68"/>
    </row>
    <row r="1282" spans="8:10">
      <c r="H1282"/>
      <c r="I1282"/>
      <c r="J1282" s="68"/>
    </row>
    <row r="1283" spans="8:10">
      <c r="H1283"/>
      <c r="I1283"/>
      <c r="J1283" s="68"/>
    </row>
    <row r="1284" spans="8:10">
      <c r="H1284"/>
      <c r="I1284"/>
      <c r="J1284" s="68"/>
    </row>
    <row r="1285" spans="8:10">
      <c r="H1285"/>
      <c r="I1285"/>
      <c r="J1285" s="68"/>
    </row>
    <row r="1286" spans="8:10">
      <c r="H1286"/>
      <c r="I1286"/>
      <c r="J1286" s="68"/>
    </row>
    <row r="1287" spans="8:10">
      <c r="H1287"/>
      <c r="I1287"/>
      <c r="J1287" s="68"/>
    </row>
    <row r="1288" spans="8:10">
      <c r="H1288"/>
      <c r="I1288"/>
      <c r="J1288" s="68"/>
    </row>
    <row r="1289" spans="8:10">
      <c r="H1289"/>
      <c r="I1289"/>
      <c r="J1289" s="68"/>
    </row>
    <row r="1290" spans="8:10">
      <c r="H1290"/>
      <c r="I1290"/>
      <c r="J1290" s="68"/>
    </row>
    <row r="1291" spans="8:10">
      <c r="H1291"/>
      <c r="I1291"/>
      <c r="J1291" s="68"/>
    </row>
    <row r="1292" spans="8:10">
      <c r="H1292"/>
      <c r="I1292"/>
      <c r="J1292" s="68"/>
    </row>
    <row r="1293" spans="8:10">
      <c r="H1293"/>
      <c r="I1293"/>
      <c r="J1293" s="68"/>
    </row>
    <row r="1294" spans="8:10">
      <c r="H1294"/>
      <c r="I1294"/>
      <c r="J1294" s="68"/>
    </row>
    <row r="1295" spans="8:10">
      <c r="H1295"/>
      <c r="I1295"/>
      <c r="J1295" s="68"/>
    </row>
    <row r="1296" spans="8:10">
      <c r="H1296"/>
      <c r="I1296"/>
      <c r="J1296" s="68"/>
    </row>
    <row r="1297" spans="8:10">
      <c r="H1297"/>
      <c r="I1297"/>
      <c r="J1297" s="68"/>
    </row>
    <row r="1298" spans="8:10">
      <c r="H1298"/>
      <c r="I1298"/>
      <c r="J1298" s="68"/>
    </row>
    <row r="1299" spans="8:10">
      <c r="H1299"/>
      <c r="I1299"/>
      <c r="J1299" s="68"/>
    </row>
    <row r="1300" spans="8:10">
      <c r="H1300"/>
      <c r="I1300"/>
      <c r="J1300" s="68"/>
    </row>
    <row r="1301" spans="8:10">
      <c r="H1301"/>
      <c r="I1301"/>
      <c r="J1301" s="68"/>
    </row>
    <row r="1302" spans="8:10">
      <c r="H1302"/>
      <c r="I1302"/>
      <c r="J1302" s="68"/>
    </row>
    <row r="1303" spans="8:10">
      <c r="H1303"/>
      <c r="I1303"/>
      <c r="J1303" s="68"/>
    </row>
    <row r="1304" spans="8:10">
      <c r="H1304"/>
      <c r="I1304"/>
      <c r="J1304" s="68"/>
    </row>
    <row r="1305" spans="8:10">
      <c r="H1305"/>
      <c r="I1305"/>
      <c r="J1305" s="68"/>
    </row>
    <row r="1306" spans="8:10">
      <c r="H1306"/>
      <c r="I1306"/>
      <c r="J1306" s="68"/>
    </row>
    <row r="1307" spans="8:10">
      <c r="H1307"/>
      <c r="I1307"/>
      <c r="J1307" s="68"/>
    </row>
    <row r="1308" spans="8:10">
      <c r="H1308"/>
      <c r="I1308"/>
      <c r="J1308" s="68"/>
    </row>
    <row r="1309" spans="8:10">
      <c r="H1309"/>
      <c r="I1309"/>
      <c r="J1309" s="68"/>
    </row>
    <row r="1310" spans="8:10">
      <c r="H1310"/>
      <c r="I1310"/>
      <c r="J1310" s="68"/>
    </row>
    <row r="1311" spans="8:10">
      <c r="H1311"/>
      <c r="I1311"/>
      <c r="J1311" s="68"/>
    </row>
    <row r="1312" spans="8:10">
      <c r="H1312"/>
      <c r="I1312"/>
      <c r="J1312" s="68"/>
    </row>
    <row r="1313" spans="8:10">
      <c r="H1313"/>
      <c r="I1313"/>
      <c r="J1313" s="68"/>
    </row>
    <row r="1314" spans="8:10">
      <c r="H1314"/>
      <c r="I1314"/>
      <c r="J1314" s="68"/>
    </row>
    <row r="1315" spans="8:10">
      <c r="H1315"/>
      <c r="I1315"/>
      <c r="J1315" s="68"/>
    </row>
    <row r="1316" spans="8:10">
      <c r="H1316"/>
      <c r="I1316"/>
      <c r="J1316" s="68"/>
    </row>
    <row r="1317" spans="8:10">
      <c r="H1317"/>
      <c r="I1317"/>
      <c r="J1317" s="68"/>
    </row>
    <row r="1318" spans="8:10">
      <c r="H1318"/>
      <c r="I1318"/>
      <c r="J1318" s="68"/>
    </row>
    <row r="1319" spans="8:10">
      <c r="H1319"/>
      <c r="I1319"/>
      <c r="J1319" s="68"/>
    </row>
    <row r="1320" spans="8:10">
      <c r="H1320"/>
      <c r="I1320"/>
      <c r="J1320" s="68"/>
    </row>
    <row r="1321" spans="8:10">
      <c r="H1321"/>
      <c r="I1321"/>
      <c r="J1321" s="68"/>
    </row>
    <row r="1322" spans="8:10">
      <c r="H1322"/>
      <c r="I1322"/>
      <c r="J1322" s="68"/>
    </row>
    <row r="1323" spans="8:10">
      <c r="H1323"/>
      <c r="I1323"/>
      <c r="J1323" s="68"/>
    </row>
    <row r="1324" spans="8:10">
      <c r="H1324"/>
      <c r="I1324"/>
      <c r="J1324" s="68"/>
    </row>
    <row r="1325" spans="8:10">
      <c r="H1325"/>
      <c r="I1325"/>
      <c r="J1325" s="68"/>
    </row>
    <row r="1326" spans="8:10">
      <c r="H1326"/>
      <c r="I1326"/>
      <c r="J1326" s="68"/>
    </row>
    <row r="1327" spans="8:10">
      <c r="H1327"/>
      <c r="I1327"/>
      <c r="J1327" s="68"/>
    </row>
    <row r="1328" spans="8:10">
      <c r="H1328"/>
      <c r="I1328"/>
      <c r="J1328" s="68"/>
    </row>
    <row r="1329" spans="8:10">
      <c r="H1329"/>
      <c r="I1329"/>
      <c r="J1329" s="68"/>
    </row>
    <row r="1330" spans="8:10">
      <c r="H1330"/>
      <c r="I1330"/>
      <c r="J1330" s="68"/>
    </row>
    <row r="1331" spans="8:10">
      <c r="H1331"/>
      <c r="I1331"/>
      <c r="J1331" s="68"/>
    </row>
    <row r="1332" spans="8:10">
      <c r="H1332"/>
      <c r="I1332"/>
      <c r="J1332" s="68"/>
    </row>
    <row r="1333" spans="8:10">
      <c r="H1333"/>
      <c r="I1333"/>
      <c r="J1333" s="68"/>
    </row>
    <row r="1334" spans="8:10">
      <c r="H1334"/>
      <c r="I1334"/>
      <c r="J1334" s="68"/>
    </row>
    <row r="1335" spans="8:10">
      <c r="H1335"/>
      <c r="I1335"/>
      <c r="J1335" s="68"/>
    </row>
    <row r="1336" spans="8:10">
      <c r="H1336"/>
      <c r="I1336"/>
      <c r="J1336" s="68"/>
    </row>
    <row r="1337" spans="8:10">
      <c r="H1337"/>
      <c r="I1337"/>
      <c r="J1337" s="68"/>
    </row>
    <row r="1338" spans="8:10">
      <c r="H1338"/>
      <c r="I1338"/>
      <c r="J1338" s="68"/>
    </row>
    <row r="1339" spans="8:10">
      <c r="H1339"/>
      <c r="I1339"/>
      <c r="J1339" s="68"/>
    </row>
    <row r="1340" spans="8:10">
      <c r="H1340"/>
      <c r="I1340"/>
      <c r="J1340" s="68"/>
    </row>
    <row r="1341" spans="8:10">
      <c r="H1341"/>
      <c r="I1341"/>
      <c r="J1341" s="68"/>
    </row>
    <row r="1342" spans="8:10">
      <c r="H1342"/>
      <c r="I1342"/>
      <c r="J1342" s="68"/>
    </row>
    <row r="1343" spans="8:10">
      <c r="H1343"/>
      <c r="I1343"/>
      <c r="J1343" s="68"/>
    </row>
    <row r="1344" spans="8:10">
      <c r="H1344"/>
      <c r="I1344"/>
      <c r="J1344" s="68"/>
    </row>
    <row r="1345" spans="8:10">
      <c r="H1345"/>
      <c r="I1345"/>
      <c r="J1345" s="68"/>
    </row>
    <row r="1346" spans="8:10">
      <c r="H1346"/>
      <c r="I1346"/>
      <c r="J1346" s="68"/>
    </row>
    <row r="1347" spans="8:10">
      <c r="H1347"/>
      <c r="I1347"/>
      <c r="J1347" s="68"/>
    </row>
    <row r="1348" spans="8:10">
      <c r="H1348"/>
      <c r="I1348"/>
      <c r="J1348" s="68"/>
    </row>
    <row r="1349" spans="8:10">
      <c r="H1349"/>
      <c r="I1349"/>
      <c r="J1349" s="68"/>
    </row>
    <row r="1350" spans="8:10">
      <c r="H1350"/>
      <c r="I1350"/>
      <c r="J1350" s="68"/>
    </row>
    <row r="1351" spans="8:10">
      <c r="H1351"/>
      <c r="I1351"/>
      <c r="J1351" s="68"/>
    </row>
    <row r="1352" spans="8:10">
      <c r="H1352"/>
      <c r="I1352"/>
      <c r="J1352" s="68"/>
    </row>
    <row r="1353" spans="8:10">
      <c r="H1353"/>
      <c r="I1353"/>
      <c r="J1353" s="68"/>
    </row>
    <row r="1354" spans="8:10">
      <c r="H1354"/>
      <c r="I1354"/>
      <c r="J1354" s="68"/>
    </row>
    <row r="1355" spans="8:10">
      <c r="H1355"/>
      <c r="I1355"/>
      <c r="J1355" s="68"/>
    </row>
    <row r="1356" spans="8:10">
      <c r="H1356"/>
      <c r="I1356"/>
      <c r="J1356" s="68"/>
    </row>
    <row r="1357" spans="8:10">
      <c r="H1357"/>
      <c r="I1357"/>
      <c r="J1357" s="68"/>
    </row>
    <row r="1358" spans="8:10">
      <c r="H1358"/>
      <c r="I1358"/>
      <c r="J1358" s="68"/>
    </row>
    <row r="1359" spans="8:10">
      <c r="H1359"/>
      <c r="I1359"/>
      <c r="J1359" s="68"/>
    </row>
    <row r="1360" spans="8:10">
      <c r="H1360"/>
      <c r="I1360"/>
      <c r="J1360" s="68"/>
    </row>
    <row r="1361" spans="8:10">
      <c r="H1361"/>
      <c r="I1361"/>
      <c r="J1361" s="68"/>
    </row>
    <row r="1362" spans="8:10">
      <c r="H1362"/>
      <c r="I1362"/>
      <c r="J1362" s="68"/>
    </row>
    <row r="1363" spans="8:10">
      <c r="H1363"/>
      <c r="I1363"/>
      <c r="J1363" s="68"/>
    </row>
    <row r="1364" spans="8:10">
      <c r="H1364"/>
      <c r="I1364"/>
      <c r="J1364" s="68"/>
    </row>
    <row r="1365" spans="8:10">
      <c r="H1365"/>
      <c r="I1365"/>
      <c r="J1365" s="68"/>
    </row>
    <row r="1366" spans="8:10">
      <c r="H1366"/>
      <c r="I1366"/>
      <c r="J1366" s="68"/>
    </row>
    <row r="1367" spans="8:10">
      <c r="H1367"/>
      <c r="I1367"/>
      <c r="J1367" s="68"/>
    </row>
    <row r="1368" spans="8:10">
      <c r="H1368"/>
      <c r="I1368"/>
      <c r="J1368" s="68"/>
    </row>
    <row r="1369" spans="8:10">
      <c r="H1369"/>
      <c r="I1369"/>
      <c r="J1369" s="68"/>
    </row>
    <row r="1370" spans="8:10">
      <c r="H1370"/>
      <c r="I1370"/>
      <c r="J1370" s="68"/>
    </row>
    <row r="1371" spans="8:10">
      <c r="H1371"/>
      <c r="I1371"/>
      <c r="J1371" s="68"/>
    </row>
    <row r="1372" spans="8:10">
      <c r="H1372"/>
      <c r="I1372"/>
      <c r="J1372" s="68"/>
    </row>
    <row r="1373" spans="8:10">
      <c r="H1373"/>
      <c r="I1373"/>
      <c r="J1373" s="68"/>
    </row>
    <row r="1374" spans="8:10">
      <c r="H1374"/>
      <c r="I1374"/>
      <c r="J1374" s="68"/>
    </row>
    <row r="1375" spans="8:10">
      <c r="H1375"/>
      <c r="I1375"/>
      <c r="J1375" s="68"/>
    </row>
    <row r="1376" spans="8:10">
      <c r="H1376"/>
      <c r="I1376"/>
      <c r="J1376" s="68"/>
    </row>
    <row r="1377" spans="8:10">
      <c r="H1377"/>
      <c r="I1377"/>
      <c r="J1377" s="68"/>
    </row>
    <row r="1378" spans="8:10">
      <c r="H1378"/>
      <c r="I1378"/>
      <c r="J1378" s="68"/>
    </row>
    <row r="1379" spans="8:10">
      <c r="H1379"/>
      <c r="I1379"/>
      <c r="J1379" s="68"/>
    </row>
    <row r="1380" spans="8:10">
      <c r="H1380"/>
      <c r="I1380"/>
      <c r="J1380" s="68"/>
    </row>
    <row r="1381" spans="8:10">
      <c r="H1381"/>
      <c r="I1381"/>
      <c r="J1381" s="68"/>
    </row>
    <row r="1382" spans="8:10">
      <c r="H1382"/>
      <c r="I1382"/>
      <c r="J1382" s="68"/>
    </row>
    <row r="1383" spans="8:10">
      <c r="H1383"/>
      <c r="I1383"/>
      <c r="J1383" s="68"/>
    </row>
    <row r="1384" spans="8:10">
      <c r="H1384"/>
      <c r="I1384"/>
      <c r="J1384" s="68"/>
    </row>
    <row r="1385" spans="8:10">
      <c r="H1385"/>
      <c r="I1385"/>
      <c r="J1385" s="68"/>
    </row>
    <row r="1386" spans="8:10">
      <c r="H1386"/>
      <c r="I1386"/>
      <c r="J1386" s="68"/>
    </row>
    <row r="1387" spans="8:10">
      <c r="H1387"/>
      <c r="I1387"/>
      <c r="J1387" s="68"/>
    </row>
    <row r="1388" spans="8:10">
      <c r="H1388"/>
      <c r="I1388"/>
      <c r="J1388" s="68"/>
    </row>
    <row r="1389" spans="8:10">
      <c r="H1389"/>
      <c r="I1389"/>
      <c r="J1389" s="68"/>
    </row>
    <row r="1390" spans="8:10">
      <c r="H1390"/>
      <c r="I1390"/>
      <c r="J1390" s="68"/>
    </row>
    <row r="1391" spans="8:10">
      <c r="H1391"/>
      <c r="I1391"/>
      <c r="J1391" s="68"/>
    </row>
    <row r="1392" spans="8:10">
      <c r="H1392"/>
      <c r="I1392"/>
      <c r="J1392" s="68"/>
    </row>
    <row r="1393" spans="8:10">
      <c r="H1393"/>
      <c r="I1393"/>
      <c r="J1393" s="68"/>
    </row>
    <row r="1394" spans="8:10">
      <c r="H1394"/>
      <c r="I1394"/>
      <c r="J1394" s="68"/>
    </row>
    <row r="1395" spans="8:10">
      <c r="H1395"/>
      <c r="I1395"/>
      <c r="J1395" s="68"/>
    </row>
    <row r="1396" spans="8:10">
      <c r="H1396"/>
      <c r="I1396"/>
      <c r="J1396" s="68"/>
    </row>
    <row r="1397" spans="8:10">
      <c r="H1397"/>
      <c r="I1397"/>
      <c r="J1397" s="68"/>
    </row>
    <row r="1398" spans="8:10">
      <c r="H1398"/>
      <c r="I1398"/>
      <c r="J1398" s="68"/>
    </row>
    <row r="1399" spans="8:10">
      <c r="H1399"/>
      <c r="I1399"/>
      <c r="J1399" s="68"/>
    </row>
    <row r="1400" spans="8:10">
      <c r="H1400"/>
      <c r="I1400"/>
      <c r="J1400" s="68"/>
    </row>
    <row r="1401" spans="8:10">
      <c r="H1401"/>
      <c r="I1401"/>
      <c r="J1401" s="68"/>
    </row>
    <row r="1402" spans="8:10">
      <c r="H1402"/>
      <c r="I1402"/>
      <c r="J1402" s="68"/>
    </row>
    <row r="1403" spans="8:10">
      <c r="H1403"/>
      <c r="I1403"/>
      <c r="J1403" s="68"/>
    </row>
    <row r="1404" spans="8:10">
      <c r="H1404"/>
      <c r="I1404"/>
      <c r="J1404" s="68"/>
    </row>
    <row r="1405" spans="8:10">
      <c r="H1405"/>
      <c r="I1405"/>
      <c r="J1405" s="68"/>
    </row>
    <row r="1406" spans="8:10">
      <c r="H1406"/>
      <c r="I1406"/>
      <c r="J1406" s="68"/>
    </row>
    <row r="1407" spans="8:10">
      <c r="H1407"/>
      <c r="I1407"/>
      <c r="J1407" s="68"/>
    </row>
    <row r="1408" spans="8:10">
      <c r="H1408"/>
      <c r="I1408"/>
      <c r="J1408" s="68"/>
    </row>
    <row r="1409" spans="8:10">
      <c r="H1409"/>
      <c r="I1409"/>
      <c r="J1409" s="68"/>
    </row>
    <row r="1410" spans="8:10">
      <c r="H1410"/>
      <c r="I1410"/>
      <c r="J1410" s="68"/>
    </row>
    <row r="1411" spans="8:10">
      <c r="H1411"/>
      <c r="I1411"/>
      <c r="J1411" s="68"/>
    </row>
    <row r="1412" spans="8:10">
      <c r="H1412"/>
      <c r="I1412"/>
      <c r="J1412" s="68"/>
    </row>
    <row r="1413" spans="8:10">
      <c r="H1413"/>
      <c r="I1413"/>
      <c r="J1413" s="68"/>
    </row>
    <row r="1414" spans="8:10">
      <c r="H1414"/>
      <c r="I1414"/>
      <c r="J1414" s="68"/>
    </row>
    <row r="1415" spans="8:10">
      <c r="H1415"/>
      <c r="I1415"/>
      <c r="J1415" s="68"/>
    </row>
    <row r="1416" spans="8:10">
      <c r="H1416"/>
      <c r="I1416"/>
      <c r="J1416" s="68"/>
    </row>
    <row r="1417" spans="8:10">
      <c r="H1417"/>
      <c r="I1417"/>
      <c r="J1417" s="68"/>
    </row>
    <row r="1418" spans="8:10">
      <c r="H1418"/>
      <c r="I1418"/>
      <c r="J1418" s="68"/>
    </row>
    <row r="1419" spans="8:10">
      <c r="H1419"/>
      <c r="I1419"/>
      <c r="J1419" s="68"/>
    </row>
    <row r="1420" spans="8:10">
      <c r="H1420"/>
      <c r="I1420"/>
      <c r="J1420" s="68"/>
    </row>
    <row r="1421" spans="8:10">
      <c r="H1421"/>
      <c r="I1421"/>
      <c r="J1421" s="68"/>
    </row>
    <row r="1422" spans="8:10">
      <c r="H1422"/>
      <c r="I1422"/>
      <c r="J1422" s="68"/>
    </row>
    <row r="1423" spans="8:10">
      <c r="H1423"/>
      <c r="I1423"/>
      <c r="J1423" s="68"/>
    </row>
    <row r="1424" spans="8:10">
      <c r="H1424"/>
      <c r="I1424"/>
      <c r="J1424" s="68"/>
    </row>
    <row r="1425" spans="8:10">
      <c r="H1425"/>
      <c r="I1425"/>
      <c r="J1425" s="68"/>
    </row>
    <row r="1426" spans="8:10">
      <c r="H1426"/>
      <c r="I1426"/>
      <c r="J1426" s="68"/>
    </row>
    <row r="1427" spans="8:10">
      <c r="H1427"/>
      <c r="I1427"/>
      <c r="J1427" s="68"/>
    </row>
    <row r="1428" spans="8:10">
      <c r="H1428"/>
      <c r="I1428"/>
      <c r="J1428" s="68"/>
    </row>
    <row r="1429" spans="8:10">
      <c r="H1429"/>
      <c r="I1429"/>
      <c r="J1429" s="68"/>
    </row>
    <row r="1430" spans="8:10">
      <c r="H1430"/>
      <c r="I1430"/>
      <c r="J1430" s="68"/>
    </row>
    <row r="1431" spans="8:10">
      <c r="H1431"/>
      <c r="I1431"/>
      <c r="J1431" s="68"/>
    </row>
    <row r="1432" spans="8:10">
      <c r="H1432"/>
      <c r="I1432"/>
      <c r="J1432" s="68"/>
    </row>
    <row r="1433" spans="8:10">
      <c r="H1433"/>
      <c r="I1433"/>
      <c r="J1433" s="68"/>
    </row>
    <row r="1434" spans="8:10">
      <c r="H1434"/>
      <c r="I1434"/>
      <c r="J1434" s="68"/>
    </row>
    <row r="1435" spans="8:10">
      <c r="H1435"/>
      <c r="I1435"/>
      <c r="J1435" s="68"/>
    </row>
    <row r="1436" spans="8:10">
      <c r="H1436"/>
      <c r="I1436"/>
      <c r="J1436" s="68"/>
    </row>
    <row r="1437" spans="8:10">
      <c r="H1437"/>
      <c r="I1437"/>
      <c r="J1437" s="68"/>
    </row>
    <row r="1438" spans="8:10">
      <c r="H1438"/>
      <c r="I1438"/>
      <c r="J1438" s="68"/>
    </row>
    <row r="1439" spans="8:10">
      <c r="H1439"/>
      <c r="I1439"/>
      <c r="J1439" s="68"/>
    </row>
    <row r="1440" spans="8:10">
      <c r="H1440"/>
      <c r="I1440"/>
      <c r="J1440" s="68"/>
    </row>
    <row r="1441" spans="8:10">
      <c r="H1441"/>
      <c r="I1441"/>
      <c r="J1441" s="68"/>
    </row>
    <row r="1442" spans="8:10">
      <c r="H1442"/>
      <c r="I1442"/>
      <c r="J1442" s="68"/>
    </row>
    <row r="1443" spans="8:10">
      <c r="H1443"/>
      <c r="I1443"/>
      <c r="J1443" s="68"/>
    </row>
    <row r="1444" spans="8:10">
      <c r="H1444"/>
      <c r="I1444"/>
      <c r="J1444" s="68"/>
    </row>
    <row r="1445" spans="8:10">
      <c r="H1445"/>
      <c r="I1445"/>
      <c r="J1445" s="68"/>
    </row>
    <row r="1446" spans="8:10">
      <c r="H1446"/>
      <c r="I1446"/>
      <c r="J1446" s="68"/>
    </row>
    <row r="1447" spans="8:10">
      <c r="H1447"/>
      <c r="I1447"/>
      <c r="J1447" s="68"/>
    </row>
    <row r="1448" spans="8:10">
      <c r="H1448"/>
      <c r="I1448"/>
      <c r="J1448" s="68"/>
    </row>
    <row r="1449" spans="8:10">
      <c r="H1449"/>
      <c r="I1449"/>
      <c r="J1449" s="68"/>
    </row>
    <row r="1450" spans="8:10">
      <c r="H1450"/>
      <c r="I1450"/>
      <c r="J1450" s="68"/>
    </row>
    <row r="1451" spans="8:10">
      <c r="H1451"/>
      <c r="I1451"/>
      <c r="J1451" s="68"/>
    </row>
    <row r="1452" spans="8:10">
      <c r="H1452"/>
      <c r="I1452"/>
      <c r="J1452" s="68"/>
    </row>
    <row r="1453" spans="8:10">
      <c r="H1453"/>
      <c r="I1453"/>
      <c r="J1453" s="68"/>
    </row>
    <row r="1454" spans="8:10">
      <c r="H1454"/>
      <c r="I1454"/>
      <c r="J1454" s="68"/>
    </row>
    <row r="1455" spans="8:10">
      <c r="H1455"/>
      <c r="I1455"/>
      <c r="J1455" s="68"/>
    </row>
    <row r="1456" spans="8:10">
      <c r="H1456"/>
      <c r="I1456"/>
      <c r="J1456" s="68"/>
    </row>
    <row r="1457" spans="8:10">
      <c r="H1457"/>
      <c r="I1457"/>
      <c r="J1457" s="68"/>
    </row>
    <row r="1458" spans="8:10">
      <c r="H1458"/>
      <c r="I1458"/>
      <c r="J1458" s="68"/>
    </row>
    <row r="1459" spans="8:10">
      <c r="H1459"/>
      <c r="I1459"/>
      <c r="J1459" s="68"/>
    </row>
    <row r="1460" spans="8:10">
      <c r="H1460"/>
      <c r="I1460"/>
      <c r="J1460" s="68"/>
    </row>
    <row r="1461" spans="8:10">
      <c r="H1461"/>
      <c r="I1461"/>
      <c r="J1461" s="68"/>
    </row>
    <row r="1462" spans="8:10">
      <c r="H1462"/>
      <c r="I1462"/>
      <c r="J1462" s="68"/>
    </row>
    <row r="1463" spans="8:10">
      <c r="H1463"/>
      <c r="I1463"/>
      <c r="J1463" s="68"/>
    </row>
    <row r="1464" spans="8:10">
      <c r="H1464"/>
      <c r="I1464"/>
      <c r="J1464" s="68"/>
    </row>
    <row r="1465" spans="8:10">
      <c r="H1465"/>
      <c r="I1465"/>
      <c r="J1465" s="68"/>
    </row>
    <row r="1466" spans="8:10">
      <c r="H1466"/>
      <c r="I1466"/>
      <c r="J1466" s="68"/>
    </row>
    <row r="1467" spans="8:10">
      <c r="H1467"/>
      <c r="I1467"/>
      <c r="J1467" s="68"/>
    </row>
    <row r="1468" spans="8:10">
      <c r="H1468"/>
      <c r="I1468"/>
      <c r="J1468" s="68"/>
    </row>
    <row r="1469" spans="8:10">
      <c r="H1469"/>
      <c r="I1469"/>
      <c r="J1469" s="68"/>
    </row>
    <row r="1470" spans="8:10">
      <c r="H1470"/>
      <c r="I1470"/>
      <c r="J1470" s="68"/>
    </row>
    <row r="1471" spans="8:10">
      <c r="H1471"/>
      <c r="I1471"/>
      <c r="J1471" s="68"/>
    </row>
    <row r="1472" spans="8:10">
      <c r="H1472"/>
      <c r="I1472"/>
      <c r="J1472" s="68"/>
    </row>
    <row r="1473" spans="8:10">
      <c r="H1473"/>
      <c r="I1473"/>
      <c r="J1473" s="68"/>
    </row>
    <row r="1474" spans="8:10">
      <c r="H1474"/>
      <c r="I1474"/>
      <c r="J1474" s="68"/>
    </row>
    <row r="1475" spans="8:10">
      <c r="H1475"/>
      <c r="I1475"/>
      <c r="J1475" s="68"/>
    </row>
    <row r="1476" spans="8:10">
      <c r="H1476"/>
      <c r="I1476"/>
      <c r="J1476" s="68"/>
    </row>
    <row r="1477" spans="8:10">
      <c r="H1477"/>
      <c r="I1477"/>
      <c r="J1477" s="68"/>
    </row>
    <row r="1478" spans="8:10">
      <c r="H1478"/>
      <c r="I1478"/>
      <c r="J1478" s="68"/>
    </row>
    <row r="1479" spans="8:10">
      <c r="H1479"/>
      <c r="I1479"/>
      <c r="J1479" s="68"/>
    </row>
    <row r="1480" spans="8:10">
      <c r="H1480"/>
      <c r="I1480"/>
      <c r="J1480" s="68"/>
    </row>
    <row r="1481" spans="8:10">
      <c r="H1481"/>
      <c r="I1481"/>
      <c r="J1481" s="68"/>
    </row>
    <row r="1482" spans="8:10">
      <c r="H1482"/>
      <c r="I1482"/>
      <c r="J1482" s="68"/>
    </row>
    <row r="1483" spans="8:10">
      <c r="H1483"/>
      <c r="I1483"/>
      <c r="J1483" s="68"/>
    </row>
    <row r="1484" spans="8:10">
      <c r="H1484"/>
      <c r="I1484"/>
      <c r="J1484" s="68"/>
    </row>
    <row r="1485" spans="8:10">
      <c r="H1485"/>
      <c r="I1485"/>
      <c r="J1485" s="68"/>
    </row>
    <row r="1486" spans="8:10">
      <c r="H1486"/>
      <c r="I1486"/>
      <c r="J1486" s="68"/>
    </row>
    <row r="1487" spans="8:10">
      <c r="H1487"/>
      <c r="I1487"/>
      <c r="J1487" s="68"/>
    </row>
    <row r="1488" spans="8:10">
      <c r="H1488"/>
      <c r="I1488"/>
      <c r="J1488" s="68"/>
    </row>
    <row r="1489" spans="8:10">
      <c r="H1489"/>
      <c r="I1489"/>
      <c r="J1489" s="68"/>
    </row>
    <row r="1490" spans="8:10">
      <c r="H1490"/>
      <c r="I1490"/>
      <c r="J1490" s="68"/>
    </row>
    <row r="1491" spans="8:10">
      <c r="H1491"/>
      <c r="I1491"/>
      <c r="J1491" s="68"/>
    </row>
    <row r="1492" spans="8:10">
      <c r="H1492"/>
      <c r="I1492"/>
      <c r="J1492" s="68"/>
    </row>
    <row r="1493" spans="8:10">
      <c r="H1493"/>
      <c r="I1493"/>
      <c r="J1493" s="68"/>
    </row>
    <row r="1494" spans="8:10">
      <c r="H1494"/>
      <c r="I1494"/>
      <c r="J1494" s="68"/>
    </row>
    <row r="1495" spans="8:10">
      <c r="H1495"/>
      <c r="I1495"/>
      <c r="J1495" s="68"/>
    </row>
    <row r="1496" spans="8:10">
      <c r="H1496"/>
      <c r="I1496"/>
      <c r="J1496" s="68"/>
    </row>
    <row r="1497" spans="8:10">
      <c r="H1497"/>
      <c r="I1497"/>
      <c r="J1497" s="68"/>
    </row>
    <row r="1498" spans="8:10">
      <c r="H1498"/>
      <c r="I1498"/>
      <c r="J1498" s="68"/>
    </row>
    <row r="1499" spans="8:10">
      <c r="H1499"/>
      <c r="I1499"/>
      <c r="J1499" s="68"/>
    </row>
    <row r="1500" spans="8:10">
      <c r="H1500"/>
      <c r="I1500"/>
      <c r="J1500" s="68"/>
    </row>
    <row r="1501" spans="8:10">
      <c r="H1501"/>
      <c r="I1501"/>
      <c r="J1501" s="68"/>
    </row>
    <row r="1502" spans="8:10">
      <c r="H1502"/>
      <c r="I1502"/>
      <c r="J1502" s="68"/>
    </row>
    <row r="1503" spans="8:10">
      <c r="H1503"/>
      <c r="I1503"/>
      <c r="J1503" s="68"/>
    </row>
    <row r="1504" spans="8:10">
      <c r="H1504"/>
      <c r="I1504"/>
      <c r="J1504" s="68"/>
    </row>
    <row r="1505" spans="8:10">
      <c r="H1505"/>
      <c r="I1505"/>
      <c r="J1505" s="68"/>
    </row>
    <row r="1506" spans="8:10">
      <c r="H1506"/>
      <c r="I1506"/>
      <c r="J1506" s="68"/>
    </row>
    <row r="1507" spans="8:10">
      <c r="H1507"/>
      <c r="I1507"/>
      <c r="J1507" s="68"/>
    </row>
    <row r="1508" spans="8:10">
      <c r="H1508"/>
      <c r="I1508"/>
      <c r="J1508" s="68"/>
    </row>
    <row r="1509" spans="8:10">
      <c r="H1509"/>
      <c r="I1509"/>
      <c r="J1509" s="68"/>
    </row>
    <row r="1510" spans="8:10">
      <c r="H1510"/>
      <c r="I1510"/>
      <c r="J1510" s="68"/>
    </row>
    <row r="1511" spans="8:10">
      <c r="H1511"/>
      <c r="I1511"/>
      <c r="J1511" s="68"/>
    </row>
    <row r="1512" spans="8:10">
      <c r="H1512"/>
      <c r="I1512"/>
      <c r="J1512" s="68"/>
    </row>
    <row r="1513" spans="8:10">
      <c r="H1513"/>
      <c r="I1513"/>
      <c r="J1513" s="68"/>
    </row>
    <row r="1514" spans="8:10">
      <c r="H1514"/>
      <c r="I1514"/>
      <c r="J1514" s="68"/>
    </row>
    <row r="1515" spans="8:10">
      <c r="H1515"/>
      <c r="I1515"/>
      <c r="J1515" s="68"/>
    </row>
    <row r="1516" spans="8:10">
      <c r="H1516"/>
      <c r="I1516"/>
      <c r="J1516" s="68"/>
    </row>
    <row r="1517" spans="8:10">
      <c r="H1517"/>
      <c r="I1517"/>
      <c r="J1517" s="68"/>
    </row>
    <row r="1518" spans="8:10">
      <c r="H1518"/>
      <c r="I1518"/>
      <c r="J1518" s="68"/>
    </row>
    <row r="1519" spans="8:10">
      <c r="H1519"/>
      <c r="I1519"/>
      <c r="J1519" s="68"/>
    </row>
    <row r="1520" spans="8:10">
      <c r="H1520"/>
      <c r="I1520"/>
      <c r="J1520" s="68"/>
    </row>
    <row r="1521" spans="8:10">
      <c r="H1521"/>
      <c r="I1521"/>
      <c r="J1521" s="68"/>
    </row>
    <row r="1522" spans="8:10">
      <c r="H1522"/>
      <c r="I1522"/>
      <c r="J1522" s="68"/>
    </row>
    <row r="1523" spans="8:10">
      <c r="H1523"/>
      <c r="I1523"/>
      <c r="J1523" s="68"/>
    </row>
    <row r="1524" spans="8:10">
      <c r="H1524"/>
      <c r="I1524"/>
      <c r="J1524" s="68"/>
    </row>
    <row r="1525" spans="8:10">
      <c r="H1525"/>
      <c r="I1525"/>
      <c r="J1525" s="68"/>
    </row>
    <row r="1526" spans="8:10">
      <c r="H1526"/>
      <c r="I1526"/>
      <c r="J1526" s="68"/>
    </row>
    <row r="1527" spans="8:10">
      <c r="H1527"/>
      <c r="I1527"/>
      <c r="J1527" s="68"/>
    </row>
    <row r="1528" spans="8:10">
      <c r="H1528"/>
      <c r="I1528"/>
      <c r="J1528" s="68"/>
    </row>
    <row r="1529" spans="8:10">
      <c r="H1529"/>
      <c r="I1529"/>
      <c r="J1529" s="68"/>
    </row>
    <row r="1530" spans="8:10">
      <c r="H1530"/>
      <c r="I1530"/>
      <c r="J1530" s="68"/>
    </row>
    <row r="1531" spans="8:10">
      <c r="H1531"/>
      <c r="I1531"/>
      <c r="J1531" s="68"/>
    </row>
    <row r="1532" spans="8:10">
      <c r="H1532"/>
      <c r="I1532"/>
      <c r="J1532" s="68"/>
    </row>
    <row r="1533" spans="8:10">
      <c r="H1533"/>
      <c r="I1533"/>
      <c r="J1533" s="68"/>
    </row>
    <row r="1534" spans="8:10">
      <c r="H1534"/>
      <c r="I1534"/>
      <c r="J1534" s="68"/>
    </row>
    <row r="1535" spans="8:10">
      <c r="H1535"/>
      <c r="I1535"/>
      <c r="J1535" s="68"/>
    </row>
    <row r="1536" spans="8:10">
      <c r="H1536"/>
      <c r="I1536"/>
      <c r="J1536" s="68"/>
    </row>
    <row r="1537" spans="8:10">
      <c r="H1537"/>
      <c r="I1537"/>
      <c r="J1537" s="68"/>
    </row>
    <row r="1538" spans="8:10">
      <c r="H1538"/>
      <c r="I1538"/>
      <c r="J1538" s="68"/>
    </row>
    <row r="1539" spans="8:10">
      <c r="H1539"/>
      <c r="I1539"/>
      <c r="J1539" s="68"/>
    </row>
    <row r="1540" spans="8:10">
      <c r="H1540"/>
      <c r="I1540"/>
      <c r="J1540" s="68"/>
    </row>
    <row r="1541" spans="8:10">
      <c r="H1541"/>
      <c r="I1541"/>
      <c r="J1541" s="68"/>
    </row>
    <row r="1542" spans="8:10">
      <c r="H1542"/>
      <c r="I1542"/>
      <c r="J1542" s="68"/>
    </row>
    <row r="1543" spans="8:10">
      <c r="H1543"/>
      <c r="I1543"/>
      <c r="J1543" s="68"/>
    </row>
    <row r="1544" spans="8:10">
      <c r="H1544"/>
      <c r="I1544"/>
      <c r="J1544" s="68"/>
    </row>
    <row r="1545" spans="8:10">
      <c r="H1545"/>
      <c r="I1545"/>
      <c r="J1545" s="68"/>
    </row>
    <row r="1546" spans="8:10">
      <c r="H1546"/>
      <c r="I1546"/>
      <c r="J1546" s="68"/>
    </row>
    <row r="1547" spans="8:10">
      <c r="H1547"/>
      <c r="I1547"/>
      <c r="J1547" s="68"/>
    </row>
    <row r="1548" spans="8:10">
      <c r="H1548"/>
      <c r="I1548"/>
      <c r="J1548" s="68"/>
    </row>
    <row r="1549" spans="8:10">
      <c r="H1549"/>
      <c r="I1549"/>
      <c r="J1549" s="68"/>
    </row>
    <row r="1550" spans="8:10">
      <c r="H1550"/>
      <c r="I1550"/>
      <c r="J1550" s="68"/>
    </row>
    <row r="1551" spans="8:10">
      <c r="H1551"/>
      <c r="I1551"/>
      <c r="J1551" s="68"/>
    </row>
    <row r="1552" spans="8:10">
      <c r="H1552"/>
      <c r="I1552"/>
      <c r="J1552" s="68"/>
    </row>
    <row r="1553" spans="8:10">
      <c r="H1553"/>
      <c r="I1553"/>
      <c r="J1553" s="68"/>
    </row>
    <row r="1554" spans="8:10">
      <c r="H1554"/>
      <c r="I1554"/>
      <c r="J1554" s="68"/>
    </row>
    <row r="1555" spans="8:10">
      <c r="H1555"/>
      <c r="I1555"/>
      <c r="J1555" s="68"/>
    </row>
    <row r="1556" spans="8:10">
      <c r="H1556"/>
      <c r="I1556"/>
      <c r="J1556" s="68"/>
    </row>
    <row r="1557" spans="8:10">
      <c r="H1557"/>
      <c r="I1557"/>
      <c r="J1557" s="68"/>
    </row>
    <row r="1558" spans="8:10">
      <c r="H1558"/>
      <c r="I1558"/>
      <c r="J1558" s="68"/>
    </row>
    <row r="1559" spans="8:10">
      <c r="H1559"/>
      <c r="I1559"/>
      <c r="J1559" s="68"/>
    </row>
    <row r="1560" spans="8:10">
      <c r="H1560"/>
      <c r="I1560"/>
      <c r="J1560" s="68"/>
    </row>
    <row r="1561" spans="8:10">
      <c r="H1561"/>
      <c r="I1561"/>
      <c r="J1561" s="68"/>
    </row>
    <row r="1562" spans="8:10">
      <c r="H1562"/>
      <c r="I1562"/>
      <c r="J1562" s="68"/>
    </row>
    <row r="1563" spans="8:10">
      <c r="H1563"/>
      <c r="I1563"/>
      <c r="J1563" s="68"/>
    </row>
    <row r="1564" spans="8:10">
      <c r="H1564"/>
      <c r="I1564"/>
      <c r="J1564" s="68"/>
    </row>
    <row r="1565" spans="8:10">
      <c r="H1565"/>
      <c r="I1565"/>
      <c r="J1565" s="68"/>
    </row>
    <row r="1566" spans="8:10">
      <c r="H1566"/>
      <c r="I1566"/>
      <c r="J1566" s="68"/>
    </row>
    <row r="1567" spans="8:10">
      <c r="H1567"/>
      <c r="I1567"/>
      <c r="J1567" s="68"/>
    </row>
    <row r="1568" spans="8:10">
      <c r="H1568"/>
      <c r="I1568"/>
      <c r="J1568" s="68"/>
    </row>
    <row r="1569" spans="8:10">
      <c r="H1569"/>
      <c r="I1569"/>
      <c r="J1569" s="68"/>
    </row>
    <row r="1570" spans="8:10">
      <c r="H1570"/>
      <c r="I1570"/>
      <c r="J1570" s="68"/>
    </row>
    <row r="1571" spans="8:10">
      <c r="H1571"/>
      <c r="I1571"/>
      <c r="J1571" s="68"/>
    </row>
    <row r="1572" spans="8:10">
      <c r="H1572"/>
      <c r="I1572"/>
      <c r="J1572" s="68"/>
    </row>
    <row r="1573" spans="8:10">
      <c r="H1573"/>
      <c r="I1573"/>
      <c r="J1573" s="68"/>
    </row>
    <row r="1574" spans="8:10">
      <c r="H1574"/>
      <c r="I1574"/>
      <c r="J1574" s="68"/>
    </row>
    <row r="1575" spans="8:10">
      <c r="H1575"/>
      <c r="I1575"/>
      <c r="J1575" s="68"/>
    </row>
    <row r="1576" spans="8:10">
      <c r="H1576"/>
      <c r="I1576"/>
      <c r="J1576" s="68"/>
    </row>
    <row r="1577" spans="8:10">
      <c r="H1577"/>
      <c r="I1577"/>
      <c r="J1577" s="68"/>
    </row>
    <row r="1578" spans="8:10">
      <c r="H1578"/>
      <c r="I1578"/>
      <c r="J1578" s="68"/>
    </row>
    <row r="1579" spans="8:10">
      <c r="H1579"/>
      <c r="I1579"/>
      <c r="J1579" s="68"/>
    </row>
    <row r="1580" spans="8:10">
      <c r="H1580"/>
      <c r="I1580"/>
      <c r="J1580" s="68"/>
    </row>
    <row r="1581" spans="8:10">
      <c r="H1581"/>
      <c r="I1581"/>
      <c r="J1581" s="68"/>
    </row>
    <row r="1582" spans="8:10">
      <c r="H1582"/>
      <c r="I1582"/>
      <c r="J1582" s="68"/>
    </row>
    <row r="1583" spans="8:10">
      <c r="H1583"/>
      <c r="I1583"/>
      <c r="J1583" s="68"/>
    </row>
    <row r="1584" spans="8:10">
      <c r="H1584"/>
      <c r="I1584"/>
      <c r="J1584" s="68"/>
    </row>
    <row r="1585" spans="8:10">
      <c r="H1585"/>
      <c r="I1585"/>
      <c r="J1585" s="68"/>
    </row>
    <row r="1586" spans="8:10">
      <c r="H1586"/>
      <c r="I1586"/>
      <c r="J1586" s="68"/>
    </row>
    <row r="1587" spans="8:10">
      <c r="H1587"/>
      <c r="I1587"/>
      <c r="J1587" s="68"/>
    </row>
    <row r="1588" spans="8:10">
      <c r="H1588"/>
      <c r="I1588"/>
      <c r="J1588" s="68"/>
    </row>
    <row r="1589" spans="8:10">
      <c r="H1589"/>
      <c r="I1589"/>
      <c r="J1589" s="68"/>
    </row>
    <row r="1590" spans="8:10">
      <c r="H1590"/>
      <c r="I1590"/>
      <c r="J1590" s="68"/>
    </row>
    <row r="1591" spans="8:10">
      <c r="H1591"/>
      <c r="I1591"/>
      <c r="J1591" s="68"/>
    </row>
    <row r="1592" spans="8:10">
      <c r="H1592"/>
      <c r="I1592"/>
      <c r="J1592" s="68"/>
    </row>
    <row r="1593" spans="8:10">
      <c r="H1593"/>
      <c r="I1593"/>
      <c r="J1593" s="68"/>
    </row>
    <row r="1594" spans="8:10">
      <c r="H1594"/>
      <c r="I1594"/>
      <c r="J1594" s="68"/>
    </row>
    <row r="1595" spans="8:10">
      <c r="H1595"/>
      <c r="I1595"/>
      <c r="J1595" s="68"/>
    </row>
    <row r="1596" spans="8:10">
      <c r="H1596"/>
      <c r="I1596"/>
      <c r="J1596" s="68"/>
    </row>
    <row r="1597" spans="8:10">
      <c r="H1597"/>
      <c r="I1597"/>
      <c r="J1597" s="68"/>
    </row>
    <row r="1598" spans="8:10">
      <c r="H1598"/>
      <c r="I1598"/>
      <c r="J1598" s="68"/>
    </row>
    <row r="1599" spans="8:10">
      <c r="H1599"/>
      <c r="I1599"/>
      <c r="J1599" s="68"/>
    </row>
    <row r="1600" spans="8:10">
      <c r="H1600"/>
      <c r="I1600"/>
      <c r="J1600" s="68"/>
    </row>
    <row r="1601" spans="8:10">
      <c r="H1601"/>
      <c r="I1601"/>
      <c r="J1601" s="68"/>
    </row>
    <row r="1602" spans="8:10">
      <c r="H1602"/>
      <c r="I1602"/>
      <c r="J1602" s="68"/>
    </row>
    <row r="1603" spans="8:10">
      <c r="H1603"/>
      <c r="I1603"/>
      <c r="J1603" s="68"/>
    </row>
    <row r="1604" spans="8:10">
      <c r="H1604"/>
      <c r="I1604"/>
      <c r="J1604" s="68"/>
    </row>
    <row r="1605" spans="8:10">
      <c r="H1605"/>
      <c r="I1605"/>
      <c r="J1605" s="68"/>
    </row>
    <row r="1606" spans="8:10">
      <c r="H1606"/>
      <c r="I1606"/>
      <c r="J1606" s="68"/>
    </row>
    <row r="1607" spans="8:10">
      <c r="H1607"/>
      <c r="I1607"/>
      <c r="J1607" s="68"/>
    </row>
    <row r="1608" spans="8:10">
      <c r="H1608"/>
      <c r="I1608"/>
      <c r="J1608" s="68"/>
    </row>
    <row r="1609" spans="8:10">
      <c r="H1609"/>
      <c r="I1609"/>
      <c r="J1609" s="68"/>
    </row>
    <row r="1610" spans="8:10">
      <c r="H1610"/>
      <c r="I1610"/>
      <c r="J1610" s="68"/>
    </row>
    <row r="1611" spans="8:10">
      <c r="H1611"/>
      <c r="I1611"/>
      <c r="J1611" s="68"/>
    </row>
    <row r="1612" spans="8:10">
      <c r="H1612"/>
      <c r="I1612"/>
      <c r="J1612" s="68"/>
    </row>
    <row r="1613" spans="8:10">
      <c r="H1613"/>
      <c r="I1613"/>
      <c r="J1613" s="68"/>
    </row>
    <row r="1614" spans="8:10">
      <c r="H1614"/>
      <c r="I1614"/>
      <c r="J1614" s="68"/>
    </row>
    <row r="1615" spans="8:10">
      <c r="H1615"/>
      <c r="I1615"/>
      <c r="J1615" s="68"/>
    </row>
    <row r="1616" spans="8:10">
      <c r="H1616"/>
      <c r="I1616"/>
      <c r="J1616" s="68"/>
    </row>
    <row r="1617" spans="8:10">
      <c r="H1617"/>
      <c r="I1617"/>
      <c r="J1617" s="68"/>
    </row>
    <row r="1618" spans="8:10">
      <c r="H1618"/>
      <c r="I1618"/>
      <c r="J1618" s="68"/>
    </row>
    <row r="1619" spans="8:10">
      <c r="H1619"/>
      <c r="I1619"/>
      <c r="J1619" s="68"/>
    </row>
    <row r="1620" spans="8:10">
      <c r="H1620"/>
      <c r="I1620"/>
      <c r="J1620" s="68"/>
    </row>
    <row r="1621" spans="8:10">
      <c r="H1621"/>
      <c r="I1621"/>
      <c r="J1621" s="68"/>
    </row>
    <row r="1622" spans="8:10">
      <c r="H1622"/>
      <c r="I1622"/>
      <c r="J1622" s="68"/>
    </row>
    <row r="1623" spans="8:10">
      <c r="H1623"/>
      <c r="I1623"/>
      <c r="J1623" s="68"/>
    </row>
    <row r="1624" spans="8:10">
      <c r="H1624"/>
      <c r="I1624"/>
      <c r="J1624" s="68"/>
    </row>
    <row r="1625" spans="8:10">
      <c r="H1625"/>
      <c r="I1625"/>
      <c r="J1625" s="68"/>
    </row>
    <row r="1626" spans="8:10">
      <c r="H1626"/>
      <c r="I1626"/>
      <c r="J1626" s="68"/>
    </row>
    <row r="1627" spans="8:10">
      <c r="H1627"/>
      <c r="I1627"/>
      <c r="J1627" s="68"/>
    </row>
    <row r="1628" spans="8:10">
      <c r="H1628"/>
      <c r="I1628"/>
      <c r="J1628" s="68"/>
    </row>
    <row r="1629" spans="8:10">
      <c r="H1629"/>
      <c r="I1629"/>
      <c r="J1629" s="68"/>
    </row>
    <row r="1630" spans="8:10">
      <c r="H1630"/>
      <c r="I1630"/>
      <c r="J1630" s="68"/>
    </row>
    <row r="1631" spans="8:10">
      <c r="H1631"/>
      <c r="I1631"/>
      <c r="J1631" s="68"/>
    </row>
    <row r="1632" spans="8:10">
      <c r="H1632"/>
      <c r="I1632"/>
      <c r="J1632" s="68"/>
    </row>
    <row r="1633" spans="8:10">
      <c r="H1633"/>
      <c r="I1633"/>
      <c r="J1633" s="68"/>
    </row>
    <row r="1634" spans="8:10">
      <c r="H1634"/>
      <c r="I1634"/>
      <c r="J1634" s="68"/>
    </row>
    <row r="1635" spans="8:10">
      <c r="H1635"/>
      <c r="I1635"/>
      <c r="J1635" s="68"/>
    </row>
    <row r="1636" spans="8:10">
      <c r="H1636"/>
      <c r="I1636"/>
      <c r="J1636" s="68"/>
    </row>
    <row r="1637" spans="8:10">
      <c r="H1637"/>
      <c r="I1637"/>
      <c r="J1637" s="68"/>
    </row>
    <row r="1638" spans="8:10">
      <c r="H1638"/>
      <c r="I1638"/>
      <c r="J1638" s="68"/>
    </row>
    <row r="1639" spans="8:10">
      <c r="H1639"/>
      <c r="I1639"/>
      <c r="J1639" s="68"/>
    </row>
    <row r="1640" spans="8:10">
      <c r="H1640"/>
      <c r="I1640"/>
      <c r="J1640" s="68"/>
    </row>
    <row r="1641" spans="8:10">
      <c r="H1641"/>
      <c r="I1641"/>
      <c r="J1641" s="68"/>
    </row>
    <row r="1642" spans="8:10">
      <c r="H1642"/>
      <c r="I1642"/>
      <c r="J1642" s="68"/>
    </row>
    <row r="1643" spans="8:10">
      <c r="H1643"/>
      <c r="I1643"/>
      <c r="J1643" s="68"/>
    </row>
    <row r="1644" spans="8:10">
      <c r="H1644"/>
      <c r="I1644"/>
      <c r="J1644" s="68"/>
    </row>
    <row r="1645" spans="8:10">
      <c r="H1645"/>
      <c r="I1645"/>
      <c r="J1645" s="68"/>
    </row>
    <row r="1646" spans="8:10">
      <c r="H1646"/>
      <c r="I1646"/>
      <c r="J1646" s="68"/>
    </row>
    <row r="1647" spans="8:10">
      <c r="H1647"/>
      <c r="I1647"/>
      <c r="J1647" s="68"/>
    </row>
    <row r="1648" spans="8:10">
      <c r="H1648"/>
      <c r="I1648"/>
      <c r="J1648" s="68"/>
    </row>
    <row r="1649" spans="8:10">
      <c r="H1649"/>
      <c r="I1649"/>
      <c r="J1649" s="68"/>
    </row>
    <row r="1650" spans="8:10">
      <c r="H1650"/>
      <c r="I1650"/>
      <c r="J1650" s="68"/>
    </row>
    <row r="1651" spans="8:10">
      <c r="H1651"/>
      <c r="I1651"/>
      <c r="J1651" s="68"/>
    </row>
    <row r="1652" spans="8:10">
      <c r="H1652"/>
      <c r="I1652"/>
      <c r="J1652" s="68"/>
    </row>
    <row r="1653" spans="8:10">
      <c r="H1653"/>
      <c r="I1653"/>
      <c r="J1653" s="68"/>
    </row>
    <row r="1654" spans="8:10">
      <c r="H1654"/>
      <c r="I1654"/>
      <c r="J1654" s="68"/>
    </row>
    <row r="1655" spans="8:10">
      <c r="H1655"/>
      <c r="I1655"/>
      <c r="J1655" s="68"/>
    </row>
    <row r="1656" spans="8:10">
      <c r="H1656"/>
      <c r="I1656"/>
      <c r="J1656" s="68"/>
    </row>
    <row r="1657" spans="8:10">
      <c r="H1657"/>
      <c r="I1657"/>
      <c r="J1657" s="68"/>
    </row>
    <row r="1658" spans="8:10">
      <c r="H1658"/>
      <c r="I1658"/>
      <c r="J1658" s="68"/>
    </row>
    <row r="1659" spans="8:10">
      <c r="H1659"/>
      <c r="I1659"/>
      <c r="J1659" s="68"/>
    </row>
    <row r="1660" spans="8:10">
      <c r="H1660"/>
      <c r="I1660"/>
      <c r="J1660" s="68"/>
    </row>
    <row r="1661" spans="8:10">
      <c r="H1661"/>
      <c r="I1661"/>
      <c r="J1661" s="68"/>
    </row>
    <row r="1662" spans="8:10">
      <c r="H1662"/>
      <c r="I1662"/>
      <c r="J1662" s="68"/>
    </row>
    <row r="1663" spans="8:10">
      <c r="H1663"/>
      <c r="I1663"/>
      <c r="J1663" s="68"/>
    </row>
    <row r="1664" spans="8:10">
      <c r="H1664"/>
      <c r="I1664"/>
      <c r="J1664" s="68"/>
    </row>
    <row r="1665" spans="8:10">
      <c r="H1665"/>
      <c r="I1665"/>
      <c r="J1665" s="68"/>
    </row>
    <row r="1666" spans="8:10">
      <c r="H1666"/>
      <c r="I1666"/>
      <c r="J1666" s="68"/>
    </row>
    <row r="1667" spans="8:10">
      <c r="H1667"/>
      <c r="I1667"/>
      <c r="J1667" s="68"/>
    </row>
    <row r="1668" spans="8:10">
      <c r="H1668"/>
      <c r="I1668"/>
      <c r="J1668" s="68"/>
    </row>
    <row r="1669" spans="8:10">
      <c r="H1669"/>
      <c r="I1669"/>
      <c r="J1669" s="68"/>
    </row>
    <row r="1670" spans="8:10">
      <c r="H1670"/>
      <c r="I1670"/>
      <c r="J1670" s="68"/>
    </row>
    <row r="1671" spans="8:10">
      <c r="H1671"/>
      <c r="I1671"/>
      <c r="J1671" s="68"/>
    </row>
    <row r="1672" spans="8:10">
      <c r="H1672"/>
      <c r="I1672"/>
      <c r="J1672" s="68"/>
    </row>
    <row r="1673" spans="8:10">
      <c r="H1673"/>
      <c r="I1673"/>
      <c r="J1673" s="68"/>
    </row>
    <row r="1674" spans="8:10">
      <c r="H1674"/>
      <c r="I1674"/>
      <c r="J1674" s="68"/>
    </row>
    <row r="1675" spans="8:10">
      <c r="H1675"/>
      <c r="I1675"/>
      <c r="J1675" s="68"/>
    </row>
    <row r="1676" spans="8:10">
      <c r="H1676"/>
      <c r="I1676"/>
      <c r="J1676" s="68"/>
    </row>
    <row r="1677" spans="8:10">
      <c r="H1677"/>
      <c r="I1677"/>
      <c r="J1677" s="68"/>
    </row>
    <row r="1678" spans="8:10">
      <c r="H1678"/>
      <c r="I1678"/>
      <c r="J1678" s="68"/>
    </row>
    <row r="1679" spans="8:10">
      <c r="H1679"/>
      <c r="I1679"/>
      <c r="J1679" s="68"/>
    </row>
    <row r="1680" spans="8:10">
      <c r="H1680"/>
      <c r="I1680"/>
      <c r="J1680" s="68"/>
    </row>
    <row r="1681" spans="8:10">
      <c r="H1681"/>
      <c r="I1681"/>
      <c r="J1681" s="68"/>
    </row>
    <row r="1682" spans="8:10">
      <c r="H1682"/>
      <c r="I1682"/>
      <c r="J1682" s="68"/>
    </row>
    <row r="1683" spans="8:10">
      <c r="H1683"/>
      <c r="I1683"/>
      <c r="J1683" s="68"/>
    </row>
    <row r="1684" spans="8:10">
      <c r="H1684"/>
      <c r="I1684"/>
      <c r="J1684" s="68"/>
    </row>
    <row r="1685" spans="8:10">
      <c r="H1685"/>
      <c r="I1685"/>
      <c r="J1685" s="68"/>
    </row>
    <row r="1686" spans="8:10">
      <c r="H1686"/>
      <c r="I1686"/>
      <c r="J1686" s="68"/>
    </row>
    <row r="1687" spans="8:10">
      <c r="H1687"/>
      <c r="I1687"/>
      <c r="J1687" s="68"/>
    </row>
    <row r="1688" spans="8:10">
      <c r="H1688"/>
      <c r="I1688"/>
      <c r="J1688" s="68"/>
    </row>
    <row r="1689" spans="8:10">
      <c r="H1689"/>
      <c r="I1689"/>
      <c r="J1689" s="68"/>
    </row>
    <row r="1690" spans="8:10">
      <c r="H1690"/>
      <c r="I1690"/>
      <c r="J1690" s="68"/>
    </row>
    <row r="1691" spans="8:10">
      <c r="H1691"/>
      <c r="I1691"/>
      <c r="J1691" s="68"/>
    </row>
    <row r="1692" spans="8:10">
      <c r="H1692"/>
      <c r="I1692"/>
      <c r="J1692" s="68"/>
    </row>
    <row r="1693" spans="8:10">
      <c r="H1693"/>
      <c r="I1693"/>
      <c r="J1693" s="68"/>
    </row>
    <row r="1694" spans="8:10">
      <c r="H1694"/>
      <c r="I1694"/>
      <c r="J1694" s="68"/>
    </row>
    <row r="1695" spans="8:10">
      <c r="H1695"/>
      <c r="I1695"/>
      <c r="J1695" s="68"/>
    </row>
    <row r="1696" spans="8:10">
      <c r="H1696"/>
      <c r="I1696"/>
      <c r="J1696" s="68"/>
    </row>
    <row r="1697" spans="8:10">
      <c r="H1697"/>
      <c r="I1697"/>
      <c r="J1697" s="68"/>
    </row>
    <row r="1698" spans="8:10">
      <c r="H1698"/>
      <c r="I1698"/>
      <c r="J1698" s="68"/>
    </row>
    <row r="1699" spans="8:10">
      <c r="H1699"/>
      <c r="I1699"/>
      <c r="J1699" s="68"/>
    </row>
    <row r="1700" spans="8:10">
      <c r="H1700"/>
      <c r="I1700"/>
      <c r="J1700" s="68"/>
    </row>
    <row r="1701" spans="8:10">
      <c r="H1701"/>
      <c r="I1701"/>
      <c r="J1701" s="68"/>
    </row>
    <row r="1702" spans="8:10">
      <c r="H1702"/>
      <c r="I1702"/>
      <c r="J1702" s="68"/>
    </row>
    <row r="1703" spans="8:10">
      <c r="H1703"/>
      <c r="I1703"/>
      <c r="J1703" s="68"/>
    </row>
    <row r="1704" spans="8:10">
      <c r="H1704"/>
      <c r="I1704"/>
      <c r="J1704" s="68"/>
    </row>
    <row r="1705" spans="8:10">
      <c r="H1705"/>
      <c r="I1705"/>
      <c r="J1705" s="68"/>
    </row>
    <row r="1706" spans="8:10">
      <c r="H1706"/>
      <c r="I1706"/>
      <c r="J1706" s="68"/>
    </row>
    <row r="1707" spans="8:10">
      <c r="H1707"/>
      <c r="I1707"/>
      <c r="J1707" s="68"/>
    </row>
    <row r="1708" spans="8:10">
      <c r="H1708"/>
      <c r="I1708"/>
      <c r="J1708" s="68"/>
    </row>
    <row r="1709" spans="8:10">
      <c r="H1709"/>
      <c r="I1709"/>
      <c r="J1709" s="68"/>
    </row>
    <row r="1710" spans="8:10">
      <c r="H1710"/>
      <c r="I1710"/>
      <c r="J1710" s="68"/>
    </row>
    <row r="1711" spans="8:10">
      <c r="H1711"/>
      <c r="I1711"/>
      <c r="J1711" s="68"/>
    </row>
    <row r="1712" spans="8:10">
      <c r="H1712"/>
      <c r="I1712"/>
      <c r="J1712" s="68"/>
    </row>
    <row r="1713" spans="8:10">
      <c r="H1713"/>
      <c r="I1713"/>
      <c r="J1713" s="68"/>
    </row>
    <row r="1714" spans="8:10">
      <c r="H1714"/>
      <c r="I1714"/>
      <c r="J1714" s="68"/>
    </row>
    <row r="1715" spans="8:10">
      <c r="H1715"/>
      <c r="I1715"/>
      <c r="J1715" s="68"/>
    </row>
    <row r="1716" spans="8:10">
      <c r="H1716"/>
      <c r="I1716"/>
      <c r="J1716" s="68"/>
    </row>
    <row r="1717" spans="8:10">
      <c r="H1717"/>
      <c r="I1717"/>
      <c r="J1717" s="68"/>
    </row>
    <row r="1718" spans="8:10">
      <c r="H1718"/>
      <c r="I1718"/>
      <c r="J1718" s="68"/>
    </row>
    <row r="1719" spans="8:10">
      <c r="H1719"/>
      <c r="I1719"/>
      <c r="J1719" s="68"/>
    </row>
    <row r="1720" spans="8:10">
      <c r="H1720"/>
      <c r="I1720"/>
      <c r="J1720" s="68"/>
    </row>
    <row r="1721" spans="8:10">
      <c r="H1721"/>
      <c r="I1721"/>
      <c r="J1721" s="68"/>
    </row>
    <row r="1722" spans="8:10">
      <c r="H1722"/>
      <c r="I1722"/>
      <c r="J1722" s="68"/>
    </row>
    <row r="1723" spans="8:10">
      <c r="H1723"/>
      <c r="I1723"/>
      <c r="J1723" s="68"/>
    </row>
    <row r="1724" spans="8:10">
      <c r="H1724"/>
      <c r="I1724"/>
      <c r="J1724" s="68"/>
    </row>
    <row r="1725" spans="8:10">
      <c r="H1725"/>
      <c r="I1725"/>
      <c r="J1725" s="68"/>
    </row>
    <row r="1726" spans="8:10">
      <c r="H1726"/>
      <c r="I1726"/>
      <c r="J1726" s="68"/>
    </row>
    <row r="1727" spans="8:10">
      <c r="H1727"/>
      <c r="I1727"/>
      <c r="J1727" s="68"/>
    </row>
    <row r="1728" spans="8:10">
      <c r="H1728"/>
      <c r="I1728"/>
      <c r="J1728" s="68"/>
    </row>
    <row r="1729" spans="8:10">
      <c r="H1729"/>
      <c r="I1729"/>
      <c r="J1729" s="68"/>
    </row>
    <row r="1730" spans="8:10">
      <c r="H1730"/>
      <c r="I1730"/>
      <c r="J1730" s="68"/>
    </row>
    <row r="1731" spans="8:10">
      <c r="H1731"/>
      <c r="I1731"/>
      <c r="J1731" s="68"/>
    </row>
    <row r="1732" spans="8:10">
      <c r="H1732"/>
      <c r="I1732"/>
      <c r="J1732" s="68"/>
    </row>
    <row r="1733" spans="8:10">
      <c r="H1733"/>
      <c r="I1733"/>
      <c r="J1733" s="68"/>
    </row>
    <row r="1734" spans="8:10">
      <c r="H1734"/>
      <c r="I1734"/>
      <c r="J1734" s="68"/>
    </row>
    <row r="1735" spans="8:10">
      <c r="H1735"/>
      <c r="I1735"/>
      <c r="J1735" s="68"/>
    </row>
    <row r="1736" spans="8:10">
      <c r="H1736"/>
      <c r="I1736"/>
      <c r="J1736" s="68"/>
    </row>
    <row r="1737" spans="8:10">
      <c r="H1737"/>
      <c r="I1737"/>
      <c r="J1737" s="68"/>
    </row>
    <row r="1738" spans="8:10">
      <c r="H1738"/>
      <c r="I1738"/>
      <c r="J1738" s="68"/>
    </row>
    <row r="1739" spans="8:10">
      <c r="H1739"/>
      <c r="I1739"/>
      <c r="J1739" s="68"/>
    </row>
    <row r="1740" spans="8:10">
      <c r="H1740"/>
      <c r="I1740"/>
      <c r="J1740" s="68"/>
    </row>
    <row r="1741" spans="8:10">
      <c r="H1741"/>
      <c r="I1741"/>
      <c r="J1741" s="68"/>
    </row>
    <row r="1742" spans="8:10">
      <c r="H1742"/>
      <c r="I1742"/>
      <c r="J1742" s="68"/>
    </row>
    <row r="1743" spans="8:10">
      <c r="H1743"/>
      <c r="I1743"/>
      <c r="J1743" s="68"/>
    </row>
    <row r="1744" spans="8:10">
      <c r="H1744"/>
      <c r="I1744"/>
      <c r="J1744" s="68"/>
    </row>
    <row r="1745" spans="8:10">
      <c r="H1745"/>
      <c r="I1745"/>
      <c r="J1745" s="68"/>
    </row>
    <row r="1746" spans="8:10">
      <c r="H1746"/>
      <c r="I1746"/>
      <c r="J1746" s="68"/>
    </row>
    <row r="1747" spans="8:10">
      <c r="H1747"/>
      <c r="I1747"/>
      <c r="J1747" s="68"/>
    </row>
    <row r="1748" spans="8:10">
      <c r="H1748"/>
      <c r="I1748"/>
      <c r="J1748" s="68"/>
    </row>
    <row r="1749" spans="8:10">
      <c r="H1749"/>
      <c r="I1749"/>
      <c r="J1749" s="68"/>
    </row>
    <row r="1750" spans="8:10">
      <c r="H1750"/>
      <c r="I1750"/>
      <c r="J1750" s="68"/>
    </row>
    <row r="1751" spans="8:10">
      <c r="H1751"/>
      <c r="I1751"/>
      <c r="J1751" s="68"/>
    </row>
    <row r="1752" spans="8:10">
      <c r="H1752"/>
      <c r="I1752"/>
      <c r="J1752" s="68"/>
    </row>
    <row r="1753" spans="8:10">
      <c r="H1753"/>
      <c r="I1753"/>
      <c r="J1753" s="68"/>
    </row>
    <row r="1754" spans="8:10">
      <c r="H1754"/>
      <c r="I1754"/>
      <c r="J1754" s="68"/>
    </row>
    <row r="1755" spans="8:10">
      <c r="H1755"/>
      <c r="I1755"/>
      <c r="J1755" s="68"/>
    </row>
    <row r="1756" spans="8:10">
      <c r="H1756"/>
      <c r="I1756"/>
      <c r="J1756" s="68"/>
    </row>
    <row r="1757" spans="8:10">
      <c r="H1757"/>
      <c r="I1757"/>
      <c r="J1757" s="68"/>
    </row>
    <row r="1758" spans="8:10">
      <c r="H1758"/>
      <c r="I1758"/>
      <c r="J1758" s="68"/>
    </row>
    <row r="1759" spans="8:10">
      <c r="H1759"/>
      <c r="I1759"/>
      <c r="J1759" s="68"/>
    </row>
    <row r="1760" spans="8:10">
      <c r="H1760"/>
      <c r="I1760"/>
      <c r="J1760" s="68"/>
    </row>
    <row r="1761" spans="8:10">
      <c r="H1761"/>
      <c r="I1761"/>
      <c r="J1761" s="68"/>
    </row>
    <row r="1762" spans="8:10">
      <c r="H1762"/>
      <c r="I1762"/>
      <c r="J1762" s="68"/>
    </row>
    <row r="1763" spans="8:10">
      <c r="H1763"/>
      <c r="I1763"/>
      <c r="J1763" s="68"/>
    </row>
    <row r="1764" spans="8:10">
      <c r="H1764"/>
      <c r="I1764"/>
      <c r="J1764" s="68"/>
    </row>
    <row r="1765" spans="8:10">
      <c r="H1765"/>
      <c r="I1765"/>
      <c r="J1765" s="68"/>
    </row>
    <row r="1766" spans="8:10">
      <c r="H1766"/>
      <c r="I1766"/>
      <c r="J1766" s="68"/>
    </row>
    <row r="1767" spans="8:10">
      <c r="H1767"/>
      <c r="I1767"/>
      <c r="J1767" s="68"/>
    </row>
    <row r="1768" spans="8:10">
      <c r="H1768"/>
      <c r="I1768"/>
      <c r="J1768" s="68"/>
    </row>
    <row r="1769" spans="8:10">
      <c r="H1769"/>
      <c r="I1769"/>
      <c r="J1769" s="68"/>
    </row>
    <row r="1770" spans="8:10">
      <c r="H1770"/>
      <c r="I1770"/>
      <c r="J1770" s="68"/>
    </row>
    <row r="1771" spans="8:10">
      <c r="H1771"/>
      <c r="I1771"/>
      <c r="J1771" s="68"/>
    </row>
    <row r="1772" spans="8:10">
      <c r="H1772"/>
      <c r="I1772"/>
      <c r="J1772" s="68"/>
    </row>
    <row r="1773" spans="8:10">
      <c r="H1773"/>
      <c r="I1773"/>
      <c r="J1773" s="68"/>
    </row>
    <row r="1774" spans="8:10">
      <c r="H1774"/>
      <c r="I1774"/>
      <c r="J1774" s="68"/>
    </row>
    <row r="1775" spans="8:10">
      <c r="H1775"/>
      <c r="I1775"/>
      <c r="J1775" s="68"/>
    </row>
    <row r="1776" spans="8:10">
      <c r="H1776"/>
      <c r="I1776"/>
      <c r="J1776" s="68"/>
    </row>
    <row r="1777" spans="8:10">
      <c r="H1777"/>
      <c r="I1777"/>
      <c r="J1777" s="68"/>
    </row>
    <row r="1778" spans="8:10">
      <c r="H1778"/>
      <c r="I1778"/>
      <c r="J1778" s="68"/>
    </row>
    <row r="1779" spans="8:10">
      <c r="H1779"/>
      <c r="I1779"/>
      <c r="J1779" s="68"/>
    </row>
    <row r="1780" spans="8:10">
      <c r="H1780"/>
      <c r="I1780"/>
      <c r="J1780" s="68"/>
    </row>
    <row r="1781" spans="8:10">
      <c r="H1781"/>
      <c r="I1781"/>
      <c r="J1781" s="68"/>
    </row>
    <row r="1782" spans="8:10">
      <c r="H1782"/>
      <c r="I1782"/>
      <c r="J1782" s="68"/>
    </row>
    <row r="1783" spans="8:10">
      <c r="H1783"/>
      <c r="I1783"/>
      <c r="J1783" s="68"/>
    </row>
    <row r="1784" spans="8:10">
      <c r="H1784"/>
      <c r="I1784"/>
      <c r="J1784" s="68"/>
    </row>
    <row r="1785" spans="8:10">
      <c r="H1785"/>
      <c r="I1785"/>
      <c r="J1785" s="68"/>
    </row>
    <row r="1786" spans="8:10">
      <c r="H1786"/>
      <c r="I1786"/>
      <c r="J1786" s="68"/>
    </row>
    <row r="1787" spans="8:10">
      <c r="H1787"/>
      <c r="I1787"/>
      <c r="J1787" s="68"/>
    </row>
    <row r="1788" spans="8:10">
      <c r="H1788"/>
      <c r="I1788"/>
      <c r="J1788" s="68"/>
    </row>
    <row r="1789" spans="8:10">
      <c r="H1789"/>
      <c r="I1789"/>
      <c r="J1789" s="68"/>
    </row>
    <row r="1790" spans="8:10">
      <c r="H1790"/>
      <c r="I1790"/>
      <c r="J1790" s="68"/>
    </row>
    <row r="1791" spans="8:10">
      <c r="H1791"/>
      <c r="I1791"/>
      <c r="J1791" s="68"/>
    </row>
    <row r="1792" spans="8:10">
      <c r="H1792"/>
      <c r="I1792"/>
      <c r="J1792" s="68"/>
    </row>
    <row r="1793" spans="8:10">
      <c r="H1793"/>
      <c r="I1793"/>
      <c r="J1793" s="68"/>
    </row>
    <row r="1794" spans="8:10">
      <c r="H1794"/>
      <c r="I1794"/>
      <c r="J1794" s="68"/>
    </row>
    <row r="1795" spans="8:10">
      <c r="H1795"/>
      <c r="I1795"/>
      <c r="J1795" s="68"/>
    </row>
    <row r="1796" spans="8:10">
      <c r="H1796"/>
      <c r="I1796"/>
      <c r="J1796" s="68"/>
    </row>
    <row r="1797" spans="8:10">
      <c r="H1797"/>
      <c r="I1797"/>
      <c r="J1797" s="68"/>
    </row>
    <row r="1798" spans="8:10">
      <c r="H1798"/>
      <c r="I1798"/>
      <c r="J1798" s="68"/>
    </row>
    <row r="1799" spans="8:10">
      <c r="H1799"/>
      <c r="I1799"/>
      <c r="J1799" s="68"/>
    </row>
    <row r="1800" spans="8:10">
      <c r="H1800"/>
      <c r="I1800"/>
      <c r="J1800" s="68"/>
    </row>
    <row r="1801" spans="8:10">
      <c r="H1801"/>
      <c r="I1801"/>
      <c r="J1801" s="68"/>
    </row>
    <row r="1802" spans="8:10">
      <c r="H1802"/>
      <c r="I1802"/>
      <c r="J1802" s="68"/>
    </row>
    <row r="1803" spans="8:10">
      <c r="H1803"/>
      <c r="I1803"/>
      <c r="J1803" s="68"/>
    </row>
    <row r="1804" spans="8:10">
      <c r="H1804"/>
      <c r="I1804"/>
      <c r="J1804" s="68"/>
    </row>
    <row r="1805" spans="8:10">
      <c r="H1805"/>
      <c r="I1805"/>
      <c r="J1805" s="68"/>
    </row>
    <row r="1806" spans="8:10">
      <c r="H1806"/>
      <c r="I1806"/>
      <c r="J1806" s="68"/>
    </row>
    <row r="1807" spans="8:10">
      <c r="H1807"/>
      <c r="I1807"/>
      <c r="J1807" s="68"/>
    </row>
    <row r="1808" spans="8:10">
      <c r="H1808"/>
      <c r="I1808"/>
      <c r="J1808" s="68"/>
    </row>
    <row r="1809" spans="8:10">
      <c r="H1809"/>
      <c r="I1809"/>
      <c r="J1809" s="68"/>
    </row>
    <row r="1810" spans="8:10">
      <c r="H1810"/>
      <c r="I1810"/>
      <c r="J1810" s="68"/>
    </row>
    <row r="1811" spans="8:10">
      <c r="H1811"/>
      <c r="I1811"/>
      <c r="J1811" s="68"/>
    </row>
    <row r="1812" spans="8:10">
      <c r="H1812"/>
      <c r="I1812"/>
      <c r="J1812" s="68"/>
    </row>
    <row r="1813" spans="8:10">
      <c r="H1813"/>
      <c r="I1813"/>
      <c r="J1813" s="68"/>
    </row>
    <row r="1814" spans="8:10">
      <c r="H1814"/>
      <c r="I1814"/>
      <c r="J1814" s="68"/>
    </row>
    <row r="1815" spans="8:10">
      <c r="H1815"/>
      <c r="I1815"/>
      <c r="J1815" s="68"/>
    </row>
    <row r="1816" spans="8:10">
      <c r="H1816"/>
      <c r="I1816"/>
      <c r="J1816" s="68"/>
    </row>
    <row r="1817" spans="8:10">
      <c r="H1817"/>
      <c r="I1817"/>
      <c r="J1817" s="68"/>
    </row>
    <row r="1818" spans="8:10">
      <c r="H1818"/>
      <c r="I1818"/>
      <c r="J1818" s="68"/>
    </row>
    <row r="1819" spans="8:10">
      <c r="H1819"/>
      <c r="I1819"/>
      <c r="J1819" s="68"/>
    </row>
    <row r="1820" spans="8:10">
      <c r="H1820"/>
      <c r="I1820"/>
      <c r="J1820" s="68"/>
    </row>
    <row r="1821" spans="8:10">
      <c r="H1821"/>
      <c r="I1821"/>
      <c r="J1821" s="68"/>
    </row>
    <row r="1822" spans="8:10">
      <c r="H1822"/>
      <c r="I1822"/>
      <c r="J1822" s="68"/>
    </row>
    <row r="1823" spans="8:10">
      <c r="H1823"/>
      <c r="I1823"/>
      <c r="J1823" s="68"/>
    </row>
    <row r="1824" spans="8:10">
      <c r="H1824"/>
      <c r="I1824"/>
      <c r="J1824" s="68"/>
    </row>
    <row r="1825" spans="8:10">
      <c r="H1825"/>
      <c r="I1825"/>
      <c r="J1825" s="68"/>
    </row>
    <row r="1826" spans="8:10">
      <c r="H1826"/>
      <c r="I1826"/>
      <c r="J1826" s="68"/>
    </row>
    <row r="1827" spans="8:10">
      <c r="H1827"/>
      <c r="I1827"/>
      <c r="J1827" s="68"/>
    </row>
    <row r="1828" spans="8:10">
      <c r="H1828"/>
      <c r="I1828"/>
      <c r="J1828" s="68"/>
    </row>
    <row r="1829" spans="8:10">
      <c r="H1829"/>
      <c r="I1829"/>
      <c r="J1829" s="68"/>
    </row>
    <row r="1830" spans="8:10">
      <c r="H1830"/>
      <c r="I1830"/>
      <c r="J1830" s="68"/>
    </row>
    <row r="1831" spans="8:10">
      <c r="H1831"/>
      <c r="I1831"/>
      <c r="J1831" s="68"/>
    </row>
    <row r="1832" spans="8:10">
      <c r="H1832"/>
      <c r="I1832"/>
      <c r="J1832" s="68"/>
    </row>
    <row r="1833" spans="8:10">
      <c r="H1833"/>
      <c r="I1833"/>
      <c r="J1833" s="68"/>
    </row>
    <row r="1834" spans="8:10">
      <c r="H1834"/>
      <c r="I1834"/>
      <c r="J1834" s="68"/>
    </row>
    <row r="1835" spans="8:10">
      <c r="H1835"/>
      <c r="I1835"/>
      <c r="J1835" s="68"/>
    </row>
    <row r="1836" spans="8:10">
      <c r="H1836"/>
      <c r="I1836"/>
      <c r="J1836" s="68"/>
    </row>
    <row r="1837" spans="8:10">
      <c r="H1837"/>
      <c r="I1837"/>
      <c r="J1837" s="68"/>
    </row>
    <row r="1838" spans="8:10">
      <c r="H1838"/>
      <c r="I1838"/>
      <c r="J1838" s="68"/>
    </row>
    <row r="1839" spans="8:10">
      <c r="H1839"/>
      <c r="I1839"/>
      <c r="J1839" s="68"/>
    </row>
    <row r="1840" spans="8:10">
      <c r="H1840"/>
      <c r="I1840"/>
      <c r="J1840" s="68"/>
    </row>
    <row r="1841" spans="8:10">
      <c r="H1841"/>
      <c r="I1841"/>
      <c r="J1841" s="68"/>
    </row>
    <row r="1842" spans="8:10">
      <c r="H1842"/>
      <c r="I1842"/>
      <c r="J1842" s="68"/>
    </row>
    <row r="1843" spans="8:10">
      <c r="H1843"/>
      <c r="I1843"/>
      <c r="J1843" s="68"/>
    </row>
    <row r="1844" spans="8:10">
      <c r="H1844"/>
      <c r="I1844"/>
      <c r="J1844" s="68"/>
    </row>
    <row r="1845" spans="8:10">
      <c r="H1845"/>
      <c r="I1845"/>
      <c r="J1845" s="68"/>
    </row>
    <row r="1846" spans="8:10">
      <c r="H1846"/>
      <c r="I1846"/>
      <c r="J1846" s="68"/>
    </row>
    <row r="1847" spans="8:10">
      <c r="H1847"/>
      <c r="I1847"/>
      <c r="J1847" s="68"/>
    </row>
    <row r="1848" spans="8:10">
      <c r="H1848"/>
      <c r="I1848"/>
      <c r="J1848" s="68"/>
    </row>
    <row r="1849" spans="8:10">
      <c r="H1849"/>
      <c r="I1849"/>
      <c r="J1849" s="68"/>
    </row>
    <row r="1850" spans="8:10">
      <c r="H1850"/>
      <c r="I1850"/>
      <c r="J1850" s="68"/>
    </row>
    <row r="1851" spans="8:10">
      <c r="H1851"/>
      <c r="I1851"/>
      <c r="J1851" s="68"/>
    </row>
    <row r="1852" spans="8:10">
      <c r="H1852"/>
      <c r="I1852"/>
      <c r="J1852" s="68"/>
    </row>
    <row r="1853" spans="8:10">
      <c r="H1853"/>
      <c r="I1853"/>
      <c r="J1853" s="68"/>
    </row>
    <row r="1854" spans="8:10">
      <c r="H1854"/>
      <c r="I1854"/>
      <c r="J1854" s="68"/>
    </row>
    <row r="1855" spans="8:10">
      <c r="H1855"/>
      <c r="I1855"/>
      <c r="J1855" s="68"/>
    </row>
    <row r="1856" spans="8:10">
      <c r="H1856"/>
      <c r="I1856"/>
      <c r="J1856" s="68"/>
    </row>
    <row r="1857" spans="8:10">
      <c r="H1857"/>
      <c r="I1857"/>
      <c r="J1857" s="68"/>
    </row>
    <row r="1858" spans="8:10">
      <c r="H1858"/>
      <c r="I1858"/>
      <c r="J1858" s="68"/>
    </row>
    <row r="1859" spans="8:10">
      <c r="H1859"/>
      <c r="I1859"/>
      <c r="J1859" s="68"/>
    </row>
    <row r="1860" spans="8:10">
      <c r="H1860"/>
      <c r="I1860"/>
      <c r="J1860" s="68"/>
    </row>
    <row r="1861" spans="8:10">
      <c r="H1861"/>
      <c r="I1861"/>
      <c r="J1861" s="68"/>
    </row>
    <row r="1862" spans="8:10">
      <c r="H1862"/>
      <c r="I1862"/>
      <c r="J1862" s="68"/>
    </row>
    <row r="1863" spans="8:10">
      <c r="H1863"/>
      <c r="I1863"/>
      <c r="J1863" s="68"/>
    </row>
    <row r="1864" spans="8:10">
      <c r="H1864"/>
      <c r="I1864"/>
      <c r="J1864" s="68"/>
    </row>
    <row r="1865" spans="8:10">
      <c r="H1865"/>
      <c r="I1865"/>
      <c r="J1865" s="68"/>
    </row>
    <row r="1866" spans="8:10">
      <c r="H1866"/>
      <c r="I1866"/>
      <c r="J1866" s="68"/>
    </row>
    <row r="1867" spans="8:10">
      <c r="H1867"/>
      <c r="I1867"/>
      <c r="J1867" s="68"/>
    </row>
    <row r="1868" spans="8:10">
      <c r="H1868"/>
      <c r="I1868"/>
      <c r="J1868" s="68"/>
    </row>
    <row r="1869" spans="8:10">
      <c r="H1869"/>
      <c r="I1869"/>
      <c r="J1869" s="68"/>
    </row>
    <row r="1870" spans="8:10">
      <c r="H1870"/>
      <c r="I1870"/>
      <c r="J1870" s="68"/>
    </row>
    <row r="1871" spans="8:10">
      <c r="H1871"/>
      <c r="I1871"/>
      <c r="J1871" s="68"/>
    </row>
    <row r="1872" spans="8:10">
      <c r="H1872"/>
      <c r="I1872"/>
      <c r="J1872" s="68"/>
    </row>
    <row r="1873" spans="8:10">
      <c r="H1873"/>
      <c r="I1873"/>
      <c r="J1873" s="68"/>
    </row>
    <row r="1874" spans="8:10">
      <c r="H1874"/>
      <c r="I1874"/>
      <c r="J1874" s="68"/>
    </row>
    <row r="1875" spans="8:10">
      <c r="H1875"/>
      <c r="I1875"/>
      <c r="J1875" s="68"/>
    </row>
    <row r="1876" spans="8:10">
      <c r="H1876"/>
      <c r="I1876"/>
      <c r="J1876" s="68"/>
    </row>
    <row r="1877" spans="8:10">
      <c r="H1877"/>
      <c r="I1877"/>
      <c r="J1877" s="68"/>
    </row>
    <row r="1878" spans="8:10">
      <c r="H1878"/>
      <c r="I1878"/>
      <c r="J1878" s="68"/>
    </row>
    <row r="1879" spans="8:10">
      <c r="H1879"/>
      <c r="I1879"/>
      <c r="J1879" s="68"/>
    </row>
    <row r="1880" spans="8:10">
      <c r="H1880"/>
      <c r="I1880"/>
      <c r="J1880" s="68"/>
    </row>
    <row r="1881" spans="8:10">
      <c r="H1881"/>
      <c r="I1881"/>
      <c r="J1881" s="68"/>
    </row>
    <row r="1882" spans="8:10">
      <c r="H1882"/>
      <c r="I1882"/>
      <c r="J1882" s="68"/>
    </row>
    <row r="1883" spans="8:10">
      <c r="H1883"/>
      <c r="I1883"/>
      <c r="J1883" s="68"/>
    </row>
    <row r="1884" spans="8:10">
      <c r="H1884"/>
      <c r="I1884"/>
      <c r="J1884" s="68"/>
    </row>
    <row r="1885" spans="8:10">
      <c r="H1885"/>
      <c r="I1885"/>
      <c r="J1885" s="68"/>
    </row>
    <row r="1886" spans="8:10">
      <c r="H1886"/>
      <c r="I1886"/>
      <c r="J1886" s="68"/>
    </row>
    <row r="1887" spans="8:10">
      <c r="H1887"/>
      <c r="I1887"/>
      <c r="J1887" s="68"/>
    </row>
    <row r="1888" spans="8:10">
      <c r="H1888"/>
      <c r="I1888"/>
      <c r="J1888" s="68"/>
    </row>
    <row r="1889" spans="8:10">
      <c r="H1889"/>
      <c r="I1889"/>
      <c r="J1889" s="68"/>
    </row>
    <row r="1890" spans="8:10">
      <c r="H1890"/>
      <c r="I1890"/>
      <c r="J1890" s="68"/>
    </row>
    <row r="1891" spans="8:10">
      <c r="H1891"/>
      <c r="I1891"/>
      <c r="J1891" s="68"/>
    </row>
    <row r="1892" spans="8:10">
      <c r="H1892"/>
      <c r="I1892"/>
      <c r="J1892" s="68"/>
    </row>
    <row r="1893" spans="8:10">
      <c r="H1893"/>
      <c r="I1893"/>
      <c r="J1893" s="68"/>
    </row>
    <row r="1894" spans="8:10">
      <c r="H1894"/>
      <c r="I1894"/>
      <c r="J1894" s="68"/>
    </row>
    <row r="1895" spans="8:10">
      <c r="H1895"/>
      <c r="I1895"/>
      <c r="J1895" s="68"/>
    </row>
    <row r="1896" spans="8:10">
      <c r="H1896"/>
      <c r="I1896"/>
      <c r="J1896" s="68"/>
    </row>
    <row r="1897" spans="8:10">
      <c r="H1897"/>
      <c r="I1897"/>
      <c r="J1897" s="68"/>
    </row>
    <row r="1898" spans="8:10">
      <c r="H1898"/>
      <c r="I1898"/>
      <c r="J1898" s="68"/>
    </row>
    <row r="1899" spans="8:10">
      <c r="H1899"/>
      <c r="I1899"/>
      <c r="J1899" s="68"/>
    </row>
    <row r="1900" spans="8:10">
      <c r="H1900"/>
      <c r="I1900"/>
      <c r="J1900" s="68"/>
    </row>
    <row r="1901" spans="8:10">
      <c r="H1901"/>
      <c r="I1901"/>
      <c r="J1901" s="68"/>
    </row>
    <row r="1902" spans="8:10">
      <c r="H1902"/>
      <c r="I1902"/>
      <c r="J1902" s="68"/>
    </row>
    <row r="1903" spans="8:10">
      <c r="H1903"/>
      <c r="I1903"/>
      <c r="J1903" s="68"/>
    </row>
    <row r="1904" spans="8:10">
      <c r="H1904"/>
      <c r="I1904"/>
      <c r="J1904" s="68"/>
    </row>
    <row r="1905" spans="8:10">
      <c r="H1905"/>
      <c r="I1905"/>
      <c r="J1905" s="68"/>
    </row>
    <row r="1906" spans="8:10">
      <c r="H1906"/>
      <c r="I1906"/>
      <c r="J1906" s="68"/>
    </row>
    <row r="1907" spans="8:10">
      <c r="H1907"/>
      <c r="I1907"/>
      <c r="J1907" s="68"/>
    </row>
    <row r="1908" spans="8:10">
      <c r="H1908"/>
      <c r="I1908"/>
      <c r="J1908" s="68"/>
    </row>
    <row r="1909" spans="8:10">
      <c r="H1909"/>
      <c r="I1909"/>
      <c r="J1909" s="68"/>
    </row>
    <row r="1910" spans="8:10">
      <c r="H1910"/>
      <c r="I1910"/>
      <c r="J1910" s="68"/>
    </row>
    <row r="1911" spans="8:10">
      <c r="H1911"/>
      <c r="I1911"/>
      <c r="J1911" s="68"/>
    </row>
    <row r="1912" spans="8:10">
      <c r="H1912"/>
      <c r="I1912"/>
      <c r="J1912" s="68"/>
    </row>
    <row r="1913" spans="8:10">
      <c r="H1913"/>
      <c r="I1913"/>
      <c r="J1913" s="68"/>
    </row>
    <row r="1914" spans="8:10">
      <c r="H1914"/>
      <c r="I1914"/>
      <c r="J1914" s="68"/>
    </row>
    <row r="1915" spans="8:10">
      <c r="H1915"/>
      <c r="I1915"/>
      <c r="J1915" s="68"/>
    </row>
    <row r="1916" spans="8:10">
      <c r="H1916"/>
      <c r="I1916"/>
      <c r="J1916" s="68"/>
    </row>
    <row r="1917" spans="8:10">
      <c r="H1917"/>
      <c r="I1917"/>
      <c r="J1917" s="68"/>
    </row>
    <row r="1918" spans="8:10">
      <c r="H1918"/>
      <c r="I1918"/>
      <c r="J1918" s="68"/>
    </row>
    <row r="1919" spans="8:10">
      <c r="H1919"/>
      <c r="I1919"/>
      <c r="J1919" s="68"/>
    </row>
    <row r="1920" spans="8:10">
      <c r="H1920"/>
      <c r="I1920"/>
      <c r="J1920" s="68"/>
    </row>
    <row r="1921" spans="8:10">
      <c r="H1921"/>
      <c r="I1921"/>
      <c r="J1921" s="68"/>
    </row>
    <row r="1922" spans="8:10">
      <c r="H1922"/>
      <c r="I1922"/>
      <c r="J1922" s="68"/>
    </row>
    <row r="1923" spans="8:10">
      <c r="H1923"/>
      <c r="I1923"/>
      <c r="J1923" s="68"/>
    </row>
    <row r="1924" spans="8:10">
      <c r="H1924"/>
      <c r="I1924"/>
      <c r="J1924" s="68"/>
    </row>
    <row r="1925" spans="8:10">
      <c r="H1925"/>
      <c r="I1925"/>
      <c r="J1925" s="68"/>
    </row>
    <row r="1926" spans="8:10">
      <c r="H1926"/>
      <c r="I1926"/>
      <c r="J1926" s="68"/>
    </row>
    <row r="1927" spans="8:10">
      <c r="H1927"/>
      <c r="I1927"/>
      <c r="J1927" s="68"/>
    </row>
    <row r="1928" spans="8:10">
      <c r="H1928"/>
      <c r="I1928"/>
      <c r="J1928" s="68"/>
    </row>
    <row r="1929" spans="8:10">
      <c r="H1929"/>
      <c r="I1929"/>
      <c r="J1929" s="68"/>
    </row>
    <row r="1930" spans="8:10">
      <c r="H1930"/>
      <c r="I1930"/>
      <c r="J1930" s="68"/>
    </row>
    <row r="1931" spans="8:10">
      <c r="H1931"/>
      <c r="I1931"/>
      <c r="J1931" s="68"/>
    </row>
    <row r="1932" spans="8:10">
      <c r="H1932"/>
      <c r="I1932"/>
      <c r="J1932" s="68"/>
    </row>
    <row r="1933" spans="8:10">
      <c r="H1933"/>
      <c r="I1933"/>
      <c r="J1933" s="68"/>
    </row>
    <row r="1934" spans="8:10">
      <c r="H1934"/>
      <c r="I1934"/>
      <c r="J1934" s="68"/>
    </row>
    <row r="1935" spans="8:10">
      <c r="H1935"/>
      <c r="I1935"/>
      <c r="J1935" s="68"/>
    </row>
    <row r="1936" spans="8:10">
      <c r="H1936"/>
      <c r="I1936"/>
      <c r="J1936" s="68"/>
    </row>
    <row r="1937" spans="8:10">
      <c r="H1937"/>
      <c r="I1937"/>
      <c r="J1937" s="68"/>
    </row>
    <row r="1938" spans="8:10">
      <c r="H1938"/>
      <c r="I1938"/>
      <c r="J1938" s="68"/>
    </row>
    <row r="1939" spans="8:10">
      <c r="H1939"/>
      <c r="I1939"/>
      <c r="J1939" s="68"/>
    </row>
    <row r="1940" spans="8:10">
      <c r="H1940"/>
      <c r="I1940"/>
      <c r="J1940" s="68"/>
    </row>
    <row r="1941" spans="8:10">
      <c r="H1941"/>
      <c r="I1941"/>
      <c r="J1941" s="68"/>
    </row>
    <row r="1942" spans="8:10">
      <c r="H1942"/>
      <c r="I1942"/>
      <c r="J1942" s="68"/>
    </row>
    <row r="1943" spans="8:10">
      <c r="H1943"/>
      <c r="I1943"/>
      <c r="J1943" s="68"/>
    </row>
    <row r="1944" spans="8:10">
      <c r="H1944"/>
      <c r="I1944"/>
      <c r="J1944" s="68"/>
    </row>
    <row r="1945" spans="8:10">
      <c r="H1945"/>
      <c r="I1945"/>
      <c r="J1945" s="68"/>
    </row>
    <row r="1946" spans="8:10">
      <c r="H1946"/>
      <c r="I1946"/>
      <c r="J1946" s="68"/>
    </row>
    <row r="1947" spans="8:10">
      <c r="H1947"/>
      <c r="I1947"/>
      <c r="J1947" s="68"/>
    </row>
    <row r="1948" spans="8:10">
      <c r="H1948"/>
      <c r="I1948"/>
      <c r="J1948" s="68"/>
    </row>
    <row r="1949" spans="8:10">
      <c r="H1949"/>
      <c r="I1949"/>
      <c r="J1949" s="68"/>
    </row>
    <row r="1950" spans="8:10">
      <c r="H1950"/>
      <c r="I1950"/>
      <c r="J1950" s="68"/>
    </row>
    <row r="1951" spans="8:10">
      <c r="H1951"/>
      <c r="I1951"/>
      <c r="J1951" s="68"/>
    </row>
    <row r="1952" spans="8:10">
      <c r="H1952"/>
      <c r="I1952"/>
      <c r="J1952" s="68"/>
    </row>
    <row r="1953" spans="8:10">
      <c r="H1953"/>
      <c r="I1953"/>
      <c r="J1953" s="68"/>
    </row>
    <row r="1954" spans="8:10">
      <c r="H1954"/>
      <c r="I1954"/>
      <c r="J1954" s="68"/>
    </row>
    <row r="1955" spans="8:10">
      <c r="H1955"/>
      <c r="I1955"/>
      <c r="J1955" s="68"/>
    </row>
    <row r="1956" spans="8:10">
      <c r="H1956"/>
      <c r="I1956"/>
      <c r="J1956" s="68"/>
    </row>
    <row r="1957" spans="8:10">
      <c r="H1957"/>
      <c r="I1957"/>
      <c r="J1957" s="68"/>
    </row>
    <row r="1958" spans="8:10">
      <c r="H1958"/>
      <c r="I1958"/>
      <c r="J1958" s="68"/>
    </row>
    <row r="1959" spans="8:10">
      <c r="H1959"/>
      <c r="I1959"/>
      <c r="J1959" s="68"/>
    </row>
    <row r="1960" spans="8:10">
      <c r="H1960"/>
      <c r="I1960"/>
      <c r="J1960" s="68"/>
    </row>
    <row r="1961" spans="8:10">
      <c r="H1961"/>
      <c r="I1961"/>
      <c r="J1961" s="68"/>
    </row>
    <row r="1962" spans="8:10">
      <c r="H1962"/>
      <c r="I1962"/>
      <c r="J1962" s="68"/>
    </row>
    <row r="1963" spans="8:10">
      <c r="H1963"/>
      <c r="I1963"/>
      <c r="J1963" s="68"/>
    </row>
    <row r="1964" spans="8:10">
      <c r="H1964"/>
      <c r="I1964"/>
      <c r="J1964" s="68"/>
    </row>
    <row r="1965" spans="8:10">
      <c r="H1965"/>
      <c r="I1965"/>
      <c r="J1965" s="68"/>
    </row>
    <row r="1966" spans="8:10">
      <c r="H1966"/>
      <c r="I1966"/>
      <c r="J1966" s="68"/>
    </row>
    <row r="1967" spans="8:10">
      <c r="H1967"/>
      <c r="I1967"/>
      <c r="J1967" s="68"/>
    </row>
    <row r="1968" spans="8:10">
      <c r="H1968"/>
      <c r="I1968"/>
      <c r="J1968" s="68"/>
    </row>
    <row r="1969" spans="8:10">
      <c r="H1969"/>
      <c r="I1969"/>
      <c r="J1969" s="68"/>
    </row>
    <row r="1970" spans="8:10">
      <c r="H1970"/>
      <c r="I1970"/>
      <c r="J1970" s="68"/>
    </row>
    <row r="1971" spans="8:10">
      <c r="H1971"/>
      <c r="I1971"/>
      <c r="J1971" s="68"/>
    </row>
    <row r="1972" spans="8:10">
      <c r="H1972"/>
      <c r="I1972"/>
      <c r="J1972" s="68"/>
    </row>
    <row r="1973" spans="8:10">
      <c r="H1973"/>
      <c r="I1973"/>
      <c r="J1973" s="68"/>
    </row>
    <row r="1974" spans="8:10">
      <c r="H1974"/>
      <c r="I1974"/>
      <c r="J1974" s="68"/>
    </row>
    <row r="1975" spans="8:10">
      <c r="H1975"/>
      <c r="I1975"/>
      <c r="J1975" s="68"/>
    </row>
    <row r="1976" spans="8:10">
      <c r="H1976"/>
      <c r="I1976"/>
      <c r="J1976" s="68"/>
    </row>
    <row r="1977" spans="8:10">
      <c r="H1977"/>
      <c r="I1977"/>
      <c r="J1977" s="68"/>
    </row>
    <row r="1978" spans="8:10">
      <c r="H1978"/>
      <c r="I1978"/>
      <c r="J1978" s="68"/>
    </row>
    <row r="1979" spans="8:10">
      <c r="H1979"/>
      <c r="I1979"/>
      <c r="J1979" s="68"/>
    </row>
    <row r="1980" spans="8:10">
      <c r="H1980"/>
      <c r="I1980"/>
      <c r="J1980" s="68"/>
    </row>
    <row r="1981" spans="8:10">
      <c r="H1981"/>
      <c r="I1981"/>
      <c r="J1981" s="68"/>
    </row>
    <row r="1982" spans="8:10">
      <c r="H1982"/>
      <c r="I1982"/>
      <c r="J1982" s="68"/>
    </row>
    <row r="1983" spans="8:10">
      <c r="H1983"/>
      <c r="I1983"/>
      <c r="J1983" s="68"/>
    </row>
    <row r="1984" spans="8:10">
      <c r="H1984"/>
      <c r="I1984"/>
      <c r="J1984" s="68"/>
    </row>
    <row r="1985" spans="8:10">
      <c r="H1985"/>
      <c r="I1985"/>
      <c r="J1985" s="68"/>
    </row>
    <row r="1986" spans="8:10">
      <c r="H1986"/>
      <c r="I1986"/>
      <c r="J1986" s="68"/>
    </row>
    <row r="1987" spans="8:10">
      <c r="H1987"/>
      <c r="I1987"/>
      <c r="J1987" s="68"/>
    </row>
    <row r="1988" spans="8:10">
      <c r="H1988"/>
      <c r="I1988"/>
      <c r="J1988" s="68"/>
    </row>
    <row r="1989" spans="8:10">
      <c r="H1989"/>
      <c r="I1989"/>
      <c r="J1989" s="68"/>
    </row>
    <row r="1990" spans="8:10">
      <c r="H1990"/>
      <c r="I1990"/>
      <c r="J1990" s="68"/>
    </row>
    <row r="1991" spans="8:10">
      <c r="H1991"/>
      <c r="I1991"/>
      <c r="J1991" s="68"/>
    </row>
    <row r="1992" spans="8:10">
      <c r="H1992"/>
      <c r="I1992"/>
      <c r="J1992" s="68"/>
    </row>
    <row r="1993" spans="8:10">
      <c r="H1993"/>
      <c r="I1993"/>
      <c r="J1993" s="68"/>
    </row>
    <row r="1994" spans="8:10">
      <c r="H1994"/>
      <c r="I1994"/>
      <c r="J1994" s="68"/>
    </row>
    <row r="1995" spans="8:10">
      <c r="H1995"/>
      <c r="I1995"/>
      <c r="J1995" s="68"/>
    </row>
    <row r="1996" spans="8:10">
      <c r="H1996"/>
      <c r="I1996"/>
      <c r="J1996" s="68"/>
    </row>
    <row r="1997" spans="8:10">
      <c r="H1997"/>
      <c r="I1997"/>
      <c r="J1997" s="68"/>
    </row>
    <row r="1998" spans="8:10">
      <c r="H1998"/>
      <c r="I1998"/>
      <c r="J1998" s="68"/>
    </row>
    <row r="1999" spans="8:10">
      <c r="H1999"/>
      <c r="I1999"/>
      <c r="J1999" s="68"/>
    </row>
    <row r="2000" spans="8:10">
      <c r="H2000"/>
      <c r="I2000"/>
      <c r="J2000" s="68"/>
    </row>
    <row r="2001" spans="8:10">
      <c r="H2001"/>
      <c r="I2001"/>
      <c r="J2001" s="68"/>
    </row>
    <row r="2002" spans="8:10">
      <c r="H2002"/>
      <c r="I2002"/>
      <c r="J2002" s="68"/>
    </row>
    <row r="2003" spans="8:10">
      <c r="H2003"/>
      <c r="I2003"/>
      <c r="J2003" s="68"/>
    </row>
    <row r="2004" spans="8:10">
      <c r="H2004"/>
      <c r="I2004"/>
      <c r="J2004" s="68"/>
    </row>
    <row r="2005" spans="8:10">
      <c r="H2005"/>
      <c r="I2005"/>
      <c r="J2005" s="68"/>
    </row>
    <row r="2006" spans="8:10">
      <c r="H2006"/>
      <c r="I2006"/>
      <c r="J2006" s="68"/>
    </row>
    <row r="2007" spans="8:10">
      <c r="H2007"/>
      <c r="I2007"/>
      <c r="J2007" s="68"/>
    </row>
    <row r="2008" spans="8:10">
      <c r="H2008"/>
      <c r="I2008"/>
      <c r="J2008" s="68"/>
    </row>
    <row r="2009" spans="8:10">
      <c r="H2009"/>
      <c r="I2009"/>
      <c r="J2009" s="68"/>
    </row>
    <row r="2010" spans="8:10">
      <c r="H2010"/>
      <c r="I2010"/>
      <c r="J2010" s="68"/>
    </row>
    <row r="2011" spans="8:10">
      <c r="H2011"/>
      <c r="I2011"/>
      <c r="J2011" s="68"/>
    </row>
    <row r="2012" spans="8:10">
      <c r="H2012"/>
      <c r="I2012"/>
      <c r="J2012" s="68"/>
    </row>
    <row r="2013" spans="8:10">
      <c r="H2013"/>
      <c r="I2013"/>
      <c r="J2013" s="68"/>
    </row>
    <row r="2014" spans="8:10">
      <c r="H2014"/>
      <c r="I2014"/>
      <c r="J2014" s="68"/>
    </row>
    <row r="2015" spans="8:10">
      <c r="H2015"/>
      <c r="I2015"/>
      <c r="J2015" s="68"/>
    </row>
    <row r="2016" spans="8:10">
      <c r="H2016"/>
      <c r="I2016"/>
      <c r="J2016" s="68"/>
    </row>
    <row r="2017" spans="8:10">
      <c r="H2017"/>
      <c r="I2017"/>
      <c r="J2017" s="68"/>
    </row>
    <row r="2018" spans="8:10">
      <c r="H2018"/>
      <c r="I2018"/>
      <c r="J2018" s="68"/>
    </row>
    <row r="2019" spans="8:10">
      <c r="H2019"/>
      <c r="I2019"/>
      <c r="J2019" s="68"/>
    </row>
    <row r="2020" spans="8:10">
      <c r="H2020"/>
      <c r="I2020"/>
      <c r="J2020" s="68"/>
    </row>
    <row r="2021" spans="8:10">
      <c r="H2021"/>
      <c r="I2021"/>
      <c r="J2021" s="68"/>
    </row>
    <row r="2022" spans="8:10">
      <c r="H2022"/>
      <c r="I2022"/>
      <c r="J2022" s="68"/>
    </row>
    <row r="2023" spans="8:10">
      <c r="H2023"/>
      <c r="I2023"/>
      <c r="J2023" s="68"/>
    </row>
    <row r="2024" spans="8:10">
      <c r="H2024"/>
      <c r="I2024"/>
      <c r="J2024" s="68"/>
    </row>
    <row r="2025" spans="8:10">
      <c r="H2025"/>
      <c r="I2025"/>
      <c r="J2025" s="68"/>
    </row>
    <row r="2026" spans="8:10">
      <c r="H2026"/>
      <c r="I2026"/>
      <c r="J2026" s="68"/>
    </row>
    <row r="2027" spans="8:10">
      <c r="H2027"/>
      <c r="I2027"/>
      <c r="J2027" s="68"/>
    </row>
    <row r="2028" spans="8:10">
      <c r="H2028"/>
      <c r="I2028"/>
      <c r="J2028" s="68"/>
    </row>
    <row r="2029" spans="8:10">
      <c r="H2029"/>
      <c r="I2029"/>
      <c r="J2029" s="68"/>
    </row>
    <row r="2030" spans="8:10">
      <c r="H2030"/>
      <c r="I2030"/>
      <c r="J2030" s="68"/>
    </row>
    <row r="2031" spans="8:10">
      <c r="H2031"/>
      <c r="I2031"/>
      <c r="J2031" s="68"/>
    </row>
    <row r="2032" spans="8:10">
      <c r="H2032"/>
      <c r="I2032"/>
      <c r="J2032" s="68"/>
    </row>
    <row r="2033" spans="8:10">
      <c r="H2033"/>
      <c r="I2033"/>
      <c r="J2033" s="68"/>
    </row>
    <row r="2034" spans="8:10">
      <c r="H2034"/>
      <c r="I2034"/>
      <c r="J2034" s="68"/>
    </row>
    <row r="2035" spans="8:10">
      <c r="H2035"/>
      <c r="I2035"/>
      <c r="J2035" s="68"/>
    </row>
    <row r="2036" spans="8:10">
      <c r="H2036"/>
      <c r="I2036"/>
      <c r="J2036" s="68"/>
    </row>
    <row r="2037" spans="8:10">
      <c r="H2037"/>
      <c r="I2037"/>
      <c r="J2037" s="68"/>
    </row>
    <row r="2038" spans="8:10">
      <c r="H2038"/>
      <c r="I2038"/>
      <c r="J2038" s="68"/>
    </row>
    <row r="2039" spans="8:10">
      <c r="H2039"/>
      <c r="I2039"/>
      <c r="J2039" s="68"/>
    </row>
    <row r="2040" spans="8:10">
      <c r="H2040"/>
      <c r="I2040"/>
      <c r="J2040" s="68"/>
    </row>
    <row r="2041" spans="8:10">
      <c r="H2041"/>
      <c r="I2041"/>
      <c r="J2041" s="68"/>
    </row>
    <row r="2042" spans="8:10">
      <c r="H2042"/>
      <c r="I2042"/>
      <c r="J2042" s="68"/>
    </row>
    <row r="2043" spans="8:10">
      <c r="H2043"/>
      <c r="I2043"/>
      <c r="J2043" s="68"/>
    </row>
    <row r="2044" spans="8:10">
      <c r="H2044"/>
      <c r="I2044"/>
      <c r="J2044" s="68"/>
    </row>
    <row r="2045" spans="8:10">
      <c r="H2045"/>
      <c r="I2045"/>
      <c r="J2045" s="68"/>
    </row>
    <row r="2046" spans="8:10">
      <c r="H2046"/>
      <c r="I2046"/>
      <c r="J2046" s="68"/>
    </row>
    <row r="2047" spans="8:10">
      <c r="H2047"/>
      <c r="I2047"/>
      <c r="J2047" s="68"/>
    </row>
    <row r="2048" spans="8:10">
      <c r="H2048"/>
      <c r="I2048"/>
      <c r="J2048" s="68"/>
    </row>
    <row r="2049" spans="8:10">
      <c r="H2049"/>
      <c r="I2049"/>
      <c r="J2049" s="68"/>
    </row>
    <row r="2050" spans="8:10">
      <c r="H2050"/>
      <c r="I2050"/>
      <c r="J2050" s="68"/>
    </row>
    <row r="2051" spans="8:10">
      <c r="H2051"/>
      <c r="I2051"/>
      <c r="J2051" s="68"/>
    </row>
    <row r="2052" spans="8:10">
      <c r="H2052"/>
      <c r="I2052"/>
      <c r="J2052" s="68"/>
    </row>
    <row r="2053" spans="8:10">
      <c r="H2053"/>
      <c r="I2053"/>
      <c r="J2053" s="68"/>
    </row>
    <row r="2054" spans="8:10">
      <c r="H2054"/>
      <c r="I2054"/>
      <c r="J2054" s="68"/>
    </row>
    <row r="2055" spans="8:10">
      <c r="H2055"/>
      <c r="I2055"/>
      <c r="J2055" s="68"/>
    </row>
    <row r="2056" spans="8:10">
      <c r="H2056"/>
      <c r="I2056"/>
      <c r="J2056" s="68"/>
    </row>
    <row r="2057" spans="8:10">
      <c r="H2057"/>
      <c r="I2057"/>
      <c r="J2057" s="68"/>
    </row>
    <row r="2058" spans="8:10">
      <c r="H2058"/>
      <c r="I2058"/>
      <c r="J2058" s="68"/>
    </row>
    <row r="2059" spans="8:10">
      <c r="H2059"/>
      <c r="I2059"/>
      <c r="J2059" s="68"/>
    </row>
    <row r="2060" spans="8:10">
      <c r="H2060"/>
      <c r="I2060"/>
      <c r="J2060" s="68"/>
    </row>
    <row r="2061" spans="8:10">
      <c r="H2061"/>
      <c r="I2061"/>
      <c r="J2061" s="68"/>
    </row>
    <row r="2062" spans="8:10">
      <c r="H2062"/>
      <c r="I2062"/>
      <c r="J2062" s="68"/>
    </row>
    <row r="2063" spans="8:10">
      <c r="H2063"/>
      <c r="I2063"/>
      <c r="J2063" s="68"/>
    </row>
    <row r="2064" spans="8:10">
      <c r="H2064"/>
      <c r="I2064"/>
      <c r="J2064" s="68"/>
    </row>
    <row r="2065" spans="8:10">
      <c r="H2065"/>
      <c r="I2065"/>
      <c r="J2065" s="68"/>
    </row>
    <row r="2066" spans="8:10">
      <c r="H2066"/>
      <c r="I2066"/>
      <c r="J2066" s="68"/>
    </row>
    <row r="2067" spans="8:10">
      <c r="H2067"/>
      <c r="I2067"/>
      <c r="J2067" s="68"/>
    </row>
    <row r="2068" spans="8:10">
      <c r="H2068"/>
      <c r="I2068"/>
      <c r="J2068" s="68"/>
    </row>
    <row r="2069" spans="8:10">
      <c r="H2069"/>
      <c r="I2069"/>
      <c r="J2069" s="68"/>
    </row>
    <row r="2070" spans="8:10">
      <c r="H2070"/>
      <c r="I2070"/>
      <c r="J2070" s="68"/>
    </row>
    <row r="2071" spans="8:10">
      <c r="H2071"/>
      <c r="I2071"/>
      <c r="J2071" s="68"/>
    </row>
    <row r="2072" spans="8:10">
      <c r="H2072"/>
      <c r="I2072"/>
      <c r="J2072" s="68"/>
    </row>
    <row r="2073" spans="8:10">
      <c r="H2073"/>
      <c r="I2073"/>
      <c r="J2073" s="68"/>
    </row>
    <row r="2074" spans="8:10">
      <c r="H2074"/>
      <c r="I2074"/>
      <c r="J2074" s="68"/>
    </row>
    <row r="2075" spans="8:10">
      <c r="H2075"/>
      <c r="I2075"/>
      <c r="J2075" s="68"/>
    </row>
    <row r="2076" spans="8:10">
      <c r="H2076"/>
      <c r="I2076"/>
      <c r="J2076" s="68"/>
    </row>
    <row r="2077" spans="8:10">
      <c r="H2077"/>
      <c r="I2077"/>
      <c r="J2077" s="68"/>
    </row>
    <row r="2078" spans="8:10">
      <c r="H2078"/>
      <c r="I2078"/>
      <c r="J2078" s="68"/>
    </row>
    <row r="2079" spans="8:10">
      <c r="H2079"/>
      <c r="I2079"/>
      <c r="J2079" s="68"/>
    </row>
    <row r="2080" spans="8:10">
      <c r="H2080"/>
      <c r="I2080"/>
      <c r="J2080" s="68"/>
    </row>
    <row r="2081" spans="8:10">
      <c r="H2081"/>
      <c r="I2081"/>
      <c r="J2081" s="68"/>
    </row>
    <row r="2082" spans="8:10">
      <c r="H2082"/>
      <c r="I2082"/>
      <c r="J2082" s="68"/>
    </row>
    <row r="2083" spans="8:10">
      <c r="H2083"/>
      <c r="I2083"/>
      <c r="J2083" s="68"/>
    </row>
    <row r="2084" spans="8:10">
      <c r="H2084"/>
      <c r="I2084"/>
      <c r="J2084" s="68"/>
    </row>
    <row r="2085" spans="8:10">
      <c r="H2085"/>
      <c r="I2085"/>
      <c r="J2085" s="68"/>
    </row>
    <row r="2086" spans="8:10">
      <c r="H2086"/>
      <c r="I2086"/>
      <c r="J2086" s="68"/>
    </row>
    <row r="2087" spans="8:10">
      <c r="H2087"/>
      <c r="I2087"/>
      <c r="J2087" s="68"/>
    </row>
    <row r="2088" spans="8:10">
      <c r="H2088"/>
      <c r="I2088"/>
      <c r="J2088" s="68"/>
    </row>
    <row r="2089" spans="8:10">
      <c r="H2089"/>
      <c r="I2089"/>
      <c r="J2089" s="68"/>
    </row>
    <row r="2090" spans="8:10">
      <c r="H2090"/>
      <c r="I2090"/>
      <c r="J2090" s="68"/>
    </row>
    <row r="2091" spans="8:10">
      <c r="H2091"/>
      <c r="I2091"/>
      <c r="J2091" s="68"/>
    </row>
    <row r="2092" spans="8:10">
      <c r="H2092"/>
      <c r="I2092"/>
      <c r="J2092" s="68"/>
    </row>
    <row r="2093" spans="8:10">
      <c r="H2093"/>
      <c r="I2093"/>
      <c r="J2093" s="68"/>
    </row>
    <row r="2094" spans="8:10">
      <c r="H2094"/>
      <c r="I2094"/>
      <c r="J2094" s="68"/>
    </row>
    <row r="2095" spans="8:10">
      <c r="H2095"/>
      <c r="I2095"/>
      <c r="J2095" s="68"/>
    </row>
    <row r="2096" spans="8:10">
      <c r="H2096"/>
      <c r="I2096"/>
      <c r="J2096" s="68"/>
    </row>
    <row r="2097" spans="8:10">
      <c r="H2097"/>
      <c r="I2097"/>
      <c r="J2097" s="68"/>
    </row>
    <row r="2098" spans="8:10">
      <c r="H2098"/>
      <c r="I2098"/>
      <c r="J2098" s="68"/>
    </row>
    <row r="2099" spans="8:10">
      <c r="H2099"/>
      <c r="I2099"/>
      <c r="J2099" s="68"/>
    </row>
    <row r="2100" spans="8:10">
      <c r="H2100"/>
      <c r="I2100"/>
      <c r="J2100" s="68"/>
    </row>
    <row r="2101" spans="8:10">
      <c r="H2101"/>
      <c r="I2101"/>
      <c r="J2101" s="68"/>
    </row>
    <row r="2102" spans="8:10">
      <c r="H2102"/>
      <c r="I2102"/>
      <c r="J2102" s="68"/>
    </row>
    <row r="2103" spans="8:10">
      <c r="H2103"/>
      <c r="I2103"/>
      <c r="J2103" s="68"/>
    </row>
    <row r="2104" spans="8:10">
      <c r="H2104"/>
      <c r="I2104"/>
      <c r="J2104" s="68"/>
    </row>
    <row r="2105" spans="8:10">
      <c r="H2105"/>
      <c r="I2105"/>
      <c r="J2105" s="68"/>
    </row>
    <row r="2106" spans="8:10">
      <c r="H2106"/>
      <c r="I2106"/>
      <c r="J2106" s="68"/>
    </row>
    <row r="2107" spans="8:10">
      <c r="H2107"/>
      <c r="I2107"/>
      <c r="J2107" s="68"/>
    </row>
    <row r="2108" spans="8:10">
      <c r="H2108"/>
      <c r="I2108"/>
      <c r="J2108" s="68"/>
    </row>
    <row r="2109" spans="8:10">
      <c r="H2109"/>
      <c r="I2109"/>
      <c r="J2109" s="68"/>
    </row>
    <row r="2110" spans="8:10">
      <c r="H2110"/>
      <c r="I2110"/>
      <c r="J2110" s="68"/>
    </row>
    <row r="2111" spans="8:10">
      <c r="H2111"/>
      <c r="I2111"/>
      <c r="J2111" s="68"/>
    </row>
    <row r="2112" spans="8:10">
      <c r="H2112"/>
      <c r="I2112"/>
      <c r="J2112" s="68"/>
    </row>
    <row r="2113" spans="8:10">
      <c r="H2113"/>
      <c r="I2113"/>
      <c r="J2113" s="68"/>
    </row>
    <row r="2114" spans="8:10">
      <c r="H2114"/>
      <c r="I2114"/>
      <c r="J2114" s="68"/>
    </row>
    <row r="2115" spans="8:10">
      <c r="H2115"/>
      <c r="I2115"/>
      <c r="J2115" s="68"/>
    </row>
    <row r="2116" spans="8:10">
      <c r="H2116"/>
      <c r="I2116"/>
      <c r="J2116" s="68"/>
    </row>
    <row r="2117" spans="8:10">
      <c r="H2117"/>
      <c r="I2117"/>
      <c r="J2117" s="68"/>
    </row>
    <row r="2118" spans="8:10">
      <c r="H2118"/>
      <c r="I2118"/>
      <c r="J2118" s="68"/>
    </row>
    <row r="2119" spans="8:10">
      <c r="H2119"/>
      <c r="I2119"/>
      <c r="J2119" s="68"/>
    </row>
    <row r="2120" spans="8:10">
      <c r="H2120"/>
      <c r="I2120"/>
      <c r="J2120" s="68"/>
    </row>
    <row r="2121" spans="8:10">
      <c r="H2121"/>
      <c r="I2121"/>
      <c r="J2121" s="68"/>
    </row>
    <row r="2122" spans="8:10">
      <c r="H2122"/>
      <c r="I2122"/>
      <c r="J2122" s="68"/>
    </row>
    <row r="2123" spans="8:10">
      <c r="H2123"/>
      <c r="I2123"/>
      <c r="J2123" s="68"/>
    </row>
    <row r="2124" spans="8:10">
      <c r="H2124"/>
      <c r="I2124"/>
      <c r="J2124" s="68"/>
    </row>
    <row r="2125" spans="8:10">
      <c r="H2125"/>
      <c r="I2125"/>
      <c r="J2125" s="68"/>
    </row>
    <row r="2126" spans="8:10">
      <c r="H2126"/>
      <c r="I2126"/>
      <c r="J2126" s="68"/>
    </row>
    <row r="2127" spans="8:10">
      <c r="H2127"/>
      <c r="I2127"/>
      <c r="J2127" s="68"/>
    </row>
    <row r="2128" spans="8:10">
      <c r="H2128"/>
      <c r="I2128"/>
      <c r="J2128" s="68"/>
    </row>
    <row r="2129" spans="8:10">
      <c r="H2129"/>
      <c r="I2129"/>
      <c r="J2129" s="68"/>
    </row>
    <row r="2130" spans="8:10">
      <c r="H2130"/>
      <c r="I2130"/>
      <c r="J2130" s="68"/>
    </row>
    <row r="2131" spans="8:10">
      <c r="H2131"/>
      <c r="I2131"/>
      <c r="J2131" s="68"/>
    </row>
    <row r="2132" spans="8:10">
      <c r="H2132"/>
      <c r="I2132"/>
      <c r="J2132" s="68"/>
    </row>
    <row r="2133" spans="8:10">
      <c r="H2133"/>
      <c r="I2133"/>
      <c r="J2133" s="68"/>
    </row>
    <row r="2134" spans="8:10">
      <c r="H2134"/>
      <c r="I2134"/>
      <c r="J2134" s="68"/>
    </row>
    <row r="2135" spans="8:10">
      <c r="H2135"/>
      <c r="I2135"/>
      <c r="J2135" s="68"/>
    </row>
    <row r="2136" spans="8:10">
      <c r="H2136"/>
      <c r="I2136"/>
      <c r="J2136" s="68"/>
    </row>
    <row r="2137" spans="8:10">
      <c r="H2137"/>
      <c r="I2137"/>
      <c r="J2137" s="68"/>
    </row>
    <row r="2138" spans="8:10">
      <c r="H2138"/>
      <c r="I2138"/>
      <c r="J2138" s="68"/>
    </row>
    <row r="2139" spans="8:10">
      <c r="H2139"/>
      <c r="I2139"/>
      <c r="J2139" s="68"/>
    </row>
    <row r="2140" spans="8:10">
      <c r="H2140"/>
      <c r="I2140"/>
      <c r="J2140" s="68"/>
    </row>
    <row r="2141" spans="8:10">
      <c r="H2141"/>
      <c r="I2141"/>
      <c r="J2141" s="68"/>
    </row>
    <row r="2142" spans="8:10">
      <c r="H2142"/>
      <c r="I2142"/>
      <c r="J2142" s="68"/>
    </row>
    <row r="2143" spans="8:10">
      <c r="H2143"/>
      <c r="I2143"/>
      <c r="J2143" s="68"/>
    </row>
    <row r="2144" spans="8:10">
      <c r="H2144"/>
      <c r="I2144"/>
      <c r="J2144" s="68"/>
    </row>
    <row r="2145" spans="8:10">
      <c r="H2145"/>
      <c r="I2145"/>
      <c r="J2145" s="68"/>
    </row>
    <row r="2146" spans="8:10">
      <c r="H2146"/>
      <c r="I2146"/>
      <c r="J2146" s="68"/>
    </row>
    <row r="2147" spans="8:10">
      <c r="H2147"/>
      <c r="I2147"/>
      <c r="J2147" s="68"/>
    </row>
    <row r="2148" spans="8:10">
      <c r="H2148"/>
      <c r="I2148"/>
      <c r="J2148" s="68"/>
    </row>
    <row r="2149" spans="8:10">
      <c r="H2149"/>
      <c r="I2149"/>
      <c r="J2149" s="68"/>
    </row>
    <row r="2150" spans="8:10">
      <c r="H2150"/>
      <c r="I2150"/>
      <c r="J2150" s="68"/>
    </row>
    <row r="2151" spans="8:10">
      <c r="H2151"/>
      <c r="I2151"/>
      <c r="J2151" s="68"/>
    </row>
    <row r="2152" spans="8:10">
      <c r="H2152"/>
      <c r="I2152"/>
      <c r="J2152" s="68"/>
    </row>
    <row r="2153" spans="8:10">
      <c r="H2153"/>
      <c r="I2153"/>
      <c r="J2153" s="68"/>
    </row>
    <row r="2154" spans="8:10">
      <c r="H2154"/>
      <c r="I2154"/>
      <c r="J2154" s="68"/>
    </row>
    <row r="2155" spans="8:10">
      <c r="H2155"/>
      <c r="I2155"/>
      <c r="J2155" s="68"/>
    </row>
    <row r="2156" spans="8:10">
      <c r="H2156"/>
      <c r="I2156"/>
      <c r="J2156" s="68"/>
    </row>
    <row r="2157" spans="8:10">
      <c r="H2157"/>
      <c r="I2157"/>
      <c r="J2157" s="68"/>
    </row>
    <row r="2158" spans="8:10">
      <c r="H2158"/>
      <c r="I2158"/>
      <c r="J2158" s="68"/>
    </row>
    <row r="2159" spans="8:10">
      <c r="H2159"/>
      <c r="I2159"/>
      <c r="J2159" s="68"/>
    </row>
    <row r="2160" spans="8:10">
      <c r="H2160"/>
      <c r="I2160"/>
      <c r="J2160" s="68"/>
    </row>
    <row r="2161" spans="8:10">
      <c r="H2161"/>
      <c r="I2161"/>
      <c r="J2161" s="68"/>
    </row>
    <row r="2162" spans="8:10">
      <c r="H2162"/>
      <c r="I2162"/>
      <c r="J2162" s="68"/>
    </row>
    <row r="2163" spans="8:10">
      <c r="H2163"/>
      <c r="I2163"/>
      <c r="J2163" s="68"/>
    </row>
    <row r="2164" spans="8:10">
      <c r="H2164"/>
      <c r="I2164"/>
      <c r="J2164" s="68"/>
    </row>
    <row r="2165" spans="8:10">
      <c r="H2165"/>
      <c r="I2165"/>
      <c r="J2165" s="68"/>
    </row>
    <row r="2166" spans="8:10">
      <c r="H2166"/>
      <c r="I2166"/>
      <c r="J2166" s="68"/>
    </row>
    <row r="2167" spans="8:10">
      <c r="H2167"/>
      <c r="I2167"/>
      <c r="J2167" s="68"/>
    </row>
    <row r="2168" spans="8:10">
      <c r="H2168"/>
      <c r="I2168"/>
      <c r="J2168" s="68"/>
    </row>
    <row r="2169" spans="8:10">
      <c r="H2169"/>
      <c r="I2169"/>
      <c r="J2169" s="68"/>
    </row>
    <row r="2170" spans="8:10">
      <c r="H2170"/>
      <c r="I2170"/>
      <c r="J2170" s="68"/>
    </row>
    <row r="2171" spans="8:10">
      <c r="H2171"/>
      <c r="I2171"/>
      <c r="J2171" s="68"/>
    </row>
    <row r="2172" spans="8:10">
      <c r="H2172"/>
      <c r="I2172"/>
      <c r="J2172" s="68"/>
    </row>
    <row r="2173" spans="8:10">
      <c r="H2173"/>
      <c r="I2173"/>
      <c r="J2173" s="68"/>
    </row>
    <row r="2174" spans="8:10">
      <c r="H2174"/>
      <c r="I2174"/>
      <c r="J2174" s="68"/>
    </row>
    <row r="2175" spans="8:10">
      <c r="H2175"/>
      <c r="I2175"/>
      <c r="J2175" s="68"/>
    </row>
    <row r="2176" spans="8:10">
      <c r="H2176"/>
      <c r="I2176"/>
      <c r="J2176" s="68"/>
    </row>
    <row r="2177" spans="8:10">
      <c r="H2177"/>
      <c r="I2177"/>
      <c r="J2177" s="68"/>
    </row>
    <row r="2178" spans="8:10">
      <c r="H2178"/>
      <c r="I2178"/>
      <c r="J2178" s="68"/>
    </row>
    <row r="2179" spans="8:10">
      <c r="H2179"/>
      <c r="I2179"/>
      <c r="J2179" s="68"/>
    </row>
    <row r="2180" spans="8:10">
      <c r="H2180"/>
      <c r="I2180"/>
      <c r="J2180" s="68"/>
    </row>
    <row r="2181" spans="8:10">
      <c r="H2181"/>
      <c r="I2181"/>
      <c r="J2181" s="68"/>
    </row>
    <row r="2182" spans="8:10">
      <c r="H2182"/>
      <c r="I2182"/>
      <c r="J2182" s="68"/>
    </row>
    <row r="2183" spans="8:10">
      <c r="H2183"/>
      <c r="I2183"/>
      <c r="J2183" s="68"/>
    </row>
    <row r="2184" spans="8:10">
      <c r="H2184"/>
      <c r="I2184"/>
      <c r="J2184" s="68"/>
    </row>
    <row r="2185" spans="8:10">
      <c r="H2185"/>
      <c r="I2185"/>
      <c r="J2185" s="68"/>
    </row>
    <row r="2186" spans="8:10">
      <c r="H2186"/>
      <c r="I2186"/>
      <c r="J2186" s="68"/>
    </row>
    <row r="2187" spans="8:10">
      <c r="H2187"/>
      <c r="I2187"/>
      <c r="J2187" s="68"/>
    </row>
    <row r="2188" spans="8:10">
      <c r="H2188"/>
      <c r="I2188"/>
      <c r="J2188" s="68"/>
    </row>
    <row r="2189" spans="8:10">
      <c r="H2189"/>
      <c r="I2189"/>
      <c r="J2189" s="68"/>
    </row>
    <row r="2190" spans="8:10">
      <c r="H2190"/>
      <c r="I2190"/>
      <c r="J2190" s="68"/>
    </row>
    <row r="2191" spans="8:10">
      <c r="H2191"/>
      <c r="I2191"/>
      <c r="J2191" s="68"/>
    </row>
    <row r="2192" spans="8:10">
      <c r="H2192"/>
      <c r="I2192"/>
      <c r="J2192" s="68"/>
    </row>
    <row r="2193" spans="8:10">
      <c r="H2193"/>
      <c r="I2193"/>
      <c r="J2193" s="68"/>
    </row>
    <row r="2194" spans="8:10">
      <c r="H2194"/>
      <c r="I2194"/>
      <c r="J2194" s="68"/>
    </row>
    <row r="2195" spans="8:10">
      <c r="H2195"/>
      <c r="I2195"/>
      <c r="J2195" s="68"/>
    </row>
    <row r="2196" spans="8:10">
      <c r="H2196"/>
      <c r="I2196"/>
      <c r="J2196" s="68"/>
    </row>
    <row r="2197" spans="8:10">
      <c r="H2197"/>
      <c r="I2197"/>
      <c r="J2197" s="68"/>
    </row>
    <row r="2198" spans="8:10">
      <c r="H2198"/>
      <c r="I2198"/>
      <c r="J2198" s="68"/>
    </row>
    <row r="2199" spans="8:10">
      <c r="H2199"/>
      <c r="I2199"/>
      <c r="J2199" s="68"/>
    </row>
    <row r="2200" spans="8:10">
      <c r="H2200"/>
      <c r="I2200"/>
      <c r="J2200" s="68"/>
    </row>
    <row r="2201" spans="8:10">
      <c r="H2201"/>
      <c r="I2201"/>
      <c r="J2201" s="68"/>
    </row>
    <row r="2202" spans="8:10">
      <c r="H2202"/>
      <c r="I2202"/>
      <c r="J2202" s="68"/>
    </row>
    <row r="2203" spans="8:10">
      <c r="H2203"/>
      <c r="I2203"/>
      <c r="J2203" s="68"/>
    </row>
    <row r="2204" spans="8:10">
      <c r="H2204"/>
      <c r="I2204"/>
      <c r="J2204" s="68"/>
    </row>
    <row r="2205" spans="8:10">
      <c r="H2205"/>
      <c r="I2205"/>
      <c r="J2205" s="68"/>
    </row>
    <row r="2206" spans="8:10">
      <c r="H2206"/>
      <c r="I2206"/>
      <c r="J2206" s="68"/>
    </row>
    <row r="2207" spans="8:10">
      <c r="H2207"/>
      <c r="I2207"/>
      <c r="J2207" s="68"/>
    </row>
    <row r="2208" spans="8:10">
      <c r="H2208"/>
      <c r="I2208"/>
      <c r="J2208" s="68"/>
    </row>
    <row r="2209" spans="8:10">
      <c r="H2209"/>
      <c r="I2209"/>
      <c r="J2209" s="68"/>
    </row>
    <row r="2210" spans="8:10">
      <c r="H2210"/>
      <c r="I2210"/>
      <c r="J2210" s="68"/>
    </row>
    <row r="2211" spans="8:10">
      <c r="H2211"/>
      <c r="I2211"/>
      <c r="J2211" s="68"/>
    </row>
    <row r="2212" spans="8:10">
      <c r="H2212"/>
      <c r="I2212"/>
      <c r="J2212" s="68"/>
    </row>
    <row r="2213" spans="8:10">
      <c r="H2213"/>
      <c r="I2213"/>
      <c r="J2213" s="68"/>
    </row>
    <row r="2214" spans="8:10">
      <c r="H2214"/>
      <c r="I2214"/>
      <c r="J2214" s="68"/>
    </row>
    <row r="2215" spans="8:10">
      <c r="H2215"/>
      <c r="I2215"/>
      <c r="J2215" s="68"/>
    </row>
    <row r="2216" spans="8:10">
      <c r="H2216"/>
      <c r="I2216"/>
      <c r="J2216" s="68"/>
    </row>
    <row r="2217" spans="8:10">
      <c r="H2217"/>
      <c r="I2217"/>
      <c r="J2217" s="68"/>
    </row>
    <row r="2218" spans="8:10">
      <c r="H2218"/>
      <c r="I2218"/>
      <c r="J2218" s="68"/>
    </row>
    <row r="2219" spans="8:10">
      <c r="H2219"/>
      <c r="I2219"/>
      <c r="J2219" s="68"/>
    </row>
    <row r="2220" spans="8:10">
      <c r="H2220"/>
      <c r="I2220"/>
      <c r="J2220" s="68"/>
    </row>
    <row r="2221" spans="8:10">
      <c r="H2221"/>
      <c r="I2221"/>
      <c r="J2221" s="68"/>
    </row>
    <row r="2222" spans="8:10">
      <c r="H2222"/>
      <c r="I2222"/>
      <c r="J2222" s="68"/>
    </row>
    <row r="2223" spans="8:10">
      <c r="H2223"/>
      <c r="I2223"/>
      <c r="J2223" s="68"/>
    </row>
    <row r="2224" spans="8:10">
      <c r="H2224"/>
      <c r="I2224"/>
      <c r="J2224" s="68"/>
    </row>
    <row r="2225" spans="8:10">
      <c r="H2225"/>
      <c r="I2225"/>
      <c r="J2225" s="68"/>
    </row>
    <row r="2226" spans="8:10">
      <c r="H2226"/>
      <c r="I2226"/>
      <c r="J2226" s="68"/>
    </row>
    <row r="2227" spans="8:10">
      <c r="H2227"/>
      <c r="I2227"/>
      <c r="J2227" s="68"/>
    </row>
    <row r="2228" spans="8:10">
      <c r="H2228"/>
      <c r="I2228"/>
      <c r="J2228" s="68"/>
    </row>
    <row r="2229" spans="8:10">
      <c r="H2229"/>
      <c r="I2229"/>
      <c r="J2229" s="68"/>
    </row>
    <row r="2230" spans="8:10">
      <c r="H2230"/>
      <c r="I2230"/>
      <c r="J2230" s="68"/>
    </row>
    <row r="2231" spans="8:10">
      <c r="H2231"/>
      <c r="I2231"/>
      <c r="J2231" s="68"/>
    </row>
    <row r="2232" spans="8:10">
      <c r="H2232"/>
      <c r="I2232"/>
      <c r="J2232" s="68"/>
    </row>
    <row r="2233" spans="8:10">
      <c r="H2233"/>
      <c r="I2233"/>
      <c r="J2233" s="68"/>
    </row>
    <row r="2234" spans="8:10">
      <c r="H2234"/>
      <c r="I2234"/>
      <c r="J2234" s="68"/>
    </row>
    <row r="2235" spans="8:10">
      <c r="H2235"/>
      <c r="I2235"/>
      <c r="J2235" s="68"/>
    </row>
    <row r="2236" spans="8:10">
      <c r="H2236"/>
      <c r="I2236"/>
      <c r="J2236" s="68"/>
    </row>
    <row r="2237" spans="8:10">
      <c r="H2237"/>
      <c r="I2237"/>
      <c r="J2237" s="68"/>
    </row>
    <row r="2238" spans="8:10">
      <c r="H2238"/>
      <c r="I2238"/>
      <c r="J2238" s="68"/>
    </row>
    <row r="2239" spans="8:10">
      <c r="H2239"/>
      <c r="I2239"/>
      <c r="J2239" s="68"/>
    </row>
    <row r="2240" spans="8:10">
      <c r="H2240"/>
      <c r="I2240"/>
      <c r="J2240" s="68"/>
    </row>
    <row r="2241" spans="8:10">
      <c r="H2241"/>
      <c r="I2241"/>
      <c r="J2241" s="68"/>
    </row>
    <row r="2242" spans="8:10">
      <c r="H2242"/>
      <c r="I2242"/>
      <c r="J2242" s="68"/>
    </row>
    <row r="2243" spans="8:10">
      <c r="H2243"/>
      <c r="I2243"/>
      <c r="J2243" s="68"/>
    </row>
    <row r="2244" spans="8:10">
      <c r="H2244"/>
      <c r="I2244"/>
      <c r="J2244" s="68"/>
    </row>
    <row r="2245" spans="8:10">
      <c r="H2245"/>
      <c r="I2245"/>
      <c r="J2245" s="68"/>
    </row>
    <row r="2246" spans="8:10">
      <c r="H2246"/>
      <c r="I2246"/>
      <c r="J2246" s="68"/>
    </row>
    <row r="2247" spans="8:10">
      <c r="H2247"/>
      <c r="I2247"/>
      <c r="J2247" s="68"/>
    </row>
    <row r="2248" spans="8:10">
      <c r="H2248"/>
      <c r="I2248"/>
      <c r="J2248" s="68"/>
    </row>
    <row r="2249" spans="8:10">
      <c r="H2249"/>
      <c r="I2249"/>
      <c r="J2249" s="68"/>
    </row>
    <row r="2250" spans="8:10">
      <c r="H2250"/>
      <c r="I2250"/>
      <c r="J2250" s="68"/>
    </row>
    <row r="2251" spans="8:10">
      <c r="H2251"/>
      <c r="I2251"/>
      <c r="J2251" s="68"/>
    </row>
    <row r="2252" spans="8:10">
      <c r="H2252"/>
      <c r="I2252"/>
      <c r="J2252" s="68"/>
    </row>
    <row r="2253" spans="8:10">
      <c r="H2253"/>
      <c r="I2253"/>
      <c r="J2253" s="68"/>
    </row>
    <row r="2254" spans="8:10">
      <c r="H2254"/>
      <c r="I2254"/>
      <c r="J2254" s="68"/>
    </row>
    <row r="2255" spans="8:10">
      <c r="H2255"/>
      <c r="I2255"/>
      <c r="J2255" s="68"/>
    </row>
    <row r="2256" spans="8:10">
      <c r="H2256"/>
      <c r="I2256"/>
      <c r="J2256" s="68"/>
    </row>
    <row r="2257" spans="8:10">
      <c r="H2257"/>
      <c r="I2257"/>
      <c r="J2257" s="68"/>
    </row>
    <row r="2258" spans="8:10">
      <c r="H2258"/>
      <c r="I2258"/>
      <c r="J2258" s="68"/>
    </row>
    <row r="2259" spans="8:10">
      <c r="H2259"/>
      <c r="I2259"/>
      <c r="J2259" s="68"/>
    </row>
    <row r="2260" spans="8:10">
      <c r="H2260"/>
      <c r="I2260"/>
      <c r="J2260" s="68"/>
    </row>
    <row r="2261" spans="8:10">
      <c r="H2261"/>
      <c r="I2261"/>
      <c r="J2261" s="68"/>
    </row>
    <row r="2262" spans="8:10">
      <c r="H2262"/>
      <c r="I2262"/>
      <c r="J2262" s="68"/>
    </row>
    <row r="2263" spans="8:10">
      <c r="H2263"/>
      <c r="I2263"/>
      <c r="J2263" s="68"/>
    </row>
    <row r="2264" spans="8:10">
      <c r="H2264"/>
      <c r="I2264"/>
      <c r="J2264" s="68"/>
    </row>
    <row r="2265" spans="8:10">
      <c r="H2265"/>
      <c r="I2265"/>
      <c r="J2265" s="68"/>
    </row>
    <row r="2266" spans="8:10">
      <c r="H2266"/>
      <c r="I2266"/>
      <c r="J2266" s="68"/>
    </row>
    <row r="2267" spans="8:10">
      <c r="H2267"/>
      <c r="I2267"/>
      <c r="J2267" s="68"/>
    </row>
    <row r="2268" spans="8:10">
      <c r="H2268"/>
      <c r="I2268"/>
      <c r="J2268" s="68"/>
    </row>
    <row r="2269" spans="8:10">
      <c r="H2269"/>
      <c r="I2269"/>
      <c r="J2269" s="68"/>
    </row>
    <row r="2270" spans="8:10">
      <c r="H2270"/>
      <c r="I2270"/>
      <c r="J2270" s="68"/>
    </row>
    <row r="2271" spans="8:10">
      <c r="H2271"/>
      <c r="I2271"/>
      <c r="J2271" s="68"/>
    </row>
    <row r="2272" spans="8:10">
      <c r="H2272"/>
      <c r="I2272"/>
      <c r="J2272" s="68"/>
    </row>
    <row r="2273" spans="8:10">
      <c r="H2273"/>
      <c r="I2273"/>
      <c r="J2273" s="68"/>
    </row>
    <row r="2274" spans="8:10">
      <c r="H2274"/>
      <c r="I2274"/>
      <c r="J2274" s="68"/>
    </row>
    <row r="2275" spans="8:10">
      <c r="H2275"/>
      <c r="I2275"/>
      <c r="J2275" s="68"/>
    </row>
    <row r="2276" spans="8:10">
      <c r="H2276"/>
      <c r="I2276"/>
      <c r="J2276" s="68"/>
    </row>
    <row r="2277" spans="8:10">
      <c r="H2277"/>
      <c r="I2277"/>
      <c r="J2277" s="68"/>
    </row>
    <row r="2278" spans="8:10">
      <c r="H2278"/>
      <c r="I2278"/>
      <c r="J2278" s="68"/>
    </row>
    <row r="2279" spans="8:10">
      <c r="H2279"/>
      <c r="I2279"/>
      <c r="J2279" s="68"/>
    </row>
    <row r="2280" spans="8:10">
      <c r="H2280"/>
      <c r="I2280"/>
      <c r="J2280" s="68"/>
    </row>
    <row r="2281" spans="8:10">
      <c r="H2281"/>
      <c r="I2281"/>
      <c r="J2281" s="68"/>
    </row>
    <row r="2282" spans="8:10">
      <c r="H2282"/>
      <c r="I2282"/>
      <c r="J2282" s="68"/>
    </row>
    <row r="2283" spans="8:10">
      <c r="H2283"/>
      <c r="I2283"/>
      <c r="J2283" s="68"/>
    </row>
    <row r="2284" spans="8:10">
      <c r="H2284"/>
      <c r="I2284"/>
      <c r="J2284" s="68"/>
    </row>
    <row r="2285" spans="8:10">
      <c r="H2285"/>
      <c r="I2285"/>
      <c r="J2285" s="68"/>
    </row>
    <row r="2286" spans="8:10">
      <c r="H2286"/>
      <c r="I2286"/>
      <c r="J2286" s="68"/>
    </row>
    <row r="2287" spans="8:10">
      <c r="H2287"/>
      <c r="I2287"/>
      <c r="J2287" s="68"/>
    </row>
    <row r="2288" spans="8:10">
      <c r="H2288"/>
      <c r="I2288"/>
      <c r="J2288" s="68"/>
    </row>
    <row r="2289" spans="8:10">
      <c r="H2289"/>
      <c r="I2289"/>
      <c r="J2289" s="68"/>
    </row>
    <row r="2290" spans="8:10">
      <c r="H2290"/>
      <c r="I2290"/>
      <c r="J2290" s="68"/>
    </row>
    <row r="2291" spans="8:10">
      <c r="H2291"/>
      <c r="I2291"/>
      <c r="J2291" s="68"/>
    </row>
    <row r="2292" spans="8:10">
      <c r="H2292"/>
      <c r="I2292"/>
      <c r="J2292" s="68"/>
    </row>
    <row r="2293" spans="8:10">
      <c r="H2293"/>
      <c r="I2293"/>
      <c r="J2293" s="68"/>
    </row>
    <row r="2294" spans="8:10">
      <c r="H2294"/>
      <c r="I2294"/>
      <c r="J2294" s="68"/>
    </row>
    <row r="2295" spans="8:10">
      <c r="H2295"/>
      <c r="I2295"/>
      <c r="J2295" s="68"/>
    </row>
    <row r="2296" spans="8:10">
      <c r="H2296"/>
      <c r="I2296"/>
      <c r="J2296" s="68"/>
    </row>
    <row r="2297" spans="8:10">
      <c r="H2297"/>
      <c r="I2297"/>
      <c r="J2297" s="68"/>
    </row>
    <row r="2298" spans="8:10">
      <c r="H2298"/>
      <c r="I2298"/>
      <c r="J2298" s="68"/>
    </row>
    <row r="2299" spans="8:10">
      <c r="H2299"/>
      <c r="I2299"/>
      <c r="J2299" s="68"/>
    </row>
    <row r="2300" spans="8:10">
      <c r="H2300"/>
      <c r="I2300"/>
      <c r="J2300" s="68"/>
    </row>
    <row r="2301" spans="8:10">
      <c r="H2301"/>
      <c r="I2301"/>
      <c r="J2301" s="68"/>
    </row>
    <row r="2302" spans="8:10">
      <c r="H2302"/>
      <c r="I2302"/>
      <c r="J2302" s="68"/>
    </row>
    <row r="2303" spans="8:10">
      <c r="H2303"/>
      <c r="I2303"/>
      <c r="J2303" s="68"/>
    </row>
    <row r="2304" spans="8:10">
      <c r="H2304"/>
      <c r="I2304"/>
      <c r="J2304" s="68"/>
    </row>
    <row r="2305" spans="8:10">
      <c r="H2305"/>
      <c r="I2305"/>
      <c r="J2305" s="68"/>
    </row>
    <row r="2306" spans="8:10">
      <c r="H2306"/>
      <c r="I2306"/>
      <c r="J2306" s="68"/>
    </row>
    <row r="2307" spans="8:10">
      <c r="H2307"/>
      <c r="I2307"/>
      <c r="J2307" s="68"/>
    </row>
    <row r="2308" spans="8:10">
      <c r="H2308"/>
      <c r="I2308"/>
      <c r="J2308" s="68"/>
    </row>
    <row r="2309" spans="8:10">
      <c r="H2309"/>
      <c r="I2309"/>
      <c r="J2309" s="68"/>
    </row>
    <row r="2310" spans="8:10">
      <c r="H2310"/>
      <c r="I2310"/>
      <c r="J2310" s="68"/>
    </row>
    <row r="2311" spans="8:10">
      <c r="H2311"/>
      <c r="I2311"/>
      <c r="J2311" s="68"/>
    </row>
    <row r="2312" spans="8:10">
      <c r="H2312"/>
      <c r="I2312"/>
      <c r="J2312" s="68"/>
    </row>
    <row r="2313" spans="8:10">
      <c r="H2313"/>
      <c r="I2313"/>
      <c r="J2313" s="68"/>
    </row>
    <row r="2314" spans="8:10">
      <c r="H2314"/>
      <c r="I2314"/>
      <c r="J2314" s="68"/>
    </row>
    <row r="2315" spans="8:10">
      <c r="H2315"/>
      <c r="I2315"/>
      <c r="J2315" s="68"/>
    </row>
    <row r="2316" spans="8:10">
      <c r="H2316"/>
      <c r="I2316"/>
      <c r="J2316" s="68"/>
    </row>
    <row r="2317" spans="8:10">
      <c r="H2317"/>
      <c r="I2317"/>
      <c r="J2317" s="68"/>
    </row>
    <row r="2318" spans="8:10">
      <c r="H2318"/>
      <c r="I2318"/>
      <c r="J2318" s="68"/>
    </row>
    <row r="2319" spans="8:10">
      <c r="H2319"/>
      <c r="I2319"/>
      <c r="J2319" s="68"/>
    </row>
    <row r="2320" spans="8:10">
      <c r="H2320"/>
      <c r="I2320"/>
      <c r="J2320" s="68"/>
    </row>
    <row r="2321" spans="8:10">
      <c r="H2321"/>
      <c r="I2321"/>
      <c r="J2321" s="68"/>
    </row>
    <row r="2322" spans="8:10">
      <c r="H2322"/>
      <c r="I2322"/>
      <c r="J2322" s="68"/>
    </row>
    <row r="2323" spans="8:10">
      <c r="H2323"/>
      <c r="I2323"/>
      <c r="J2323" s="68"/>
    </row>
    <row r="2324" spans="8:10">
      <c r="H2324"/>
      <c r="I2324"/>
      <c r="J2324" s="68"/>
    </row>
    <row r="2325" spans="8:10">
      <c r="H2325"/>
      <c r="I2325"/>
      <c r="J2325" s="68"/>
    </row>
    <row r="2326" spans="8:10">
      <c r="H2326"/>
      <c r="I2326"/>
      <c r="J2326" s="68"/>
    </row>
    <row r="2327" spans="8:10">
      <c r="H2327"/>
      <c r="I2327"/>
      <c r="J2327" s="68"/>
    </row>
    <row r="2328" spans="8:10">
      <c r="H2328"/>
      <c r="I2328"/>
      <c r="J2328" s="68"/>
    </row>
    <row r="2329" spans="8:10">
      <c r="H2329"/>
      <c r="I2329"/>
      <c r="J2329" s="68"/>
    </row>
    <row r="2330" spans="8:10">
      <c r="H2330"/>
      <c r="I2330"/>
      <c r="J2330" s="68"/>
    </row>
    <row r="2331" spans="8:10">
      <c r="H2331"/>
      <c r="I2331"/>
      <c r="J2331" s="68"/>
    </row>
    <row r="2332" spans="8:10">
      <c r="H2332"/>
      <c r="I2332"/>
      <c r="J2332" s="68"/>
    </row>
    <row r="2333" spans="8:10">
      <c r="H2333"/>
      <c r="I2333"/>
      <c r="J2333" s="68"/>
    </row>
    <row r="2334" spans="8:10">
      <c r="H2334"/>
      <c r="I2334"/>
      <c r="J2334" s="68"/>
    </row>
    <row r="2335" spans="8:10">
      <c r="H2335"/>
      <c r="I2335"/>
      <c r="J2335" s="68"/>
    </row>
    <row r="2336" spans="8:10">
      <c r="H2336"/>
      <c r="I2336"/>
      <c r="J2336" s="68"/>
    </row>
    <row r="2337" spans="8:10">
      <c r="H2337"/>
      <c r="I2337"/>
      <c r="J2337" s="68"/>
    </row>
    <row r="2338" spans="8:10">
      <c r="H2338"/>
      <c r="I2338"/>
      <c r="J2338" s="68"/>
    </row>
    <row r="2339" spans="8:10">
      <c r="H2339"/>
      <c r="I2339"/>
      <c r="J2339" s="68"/>
    </row>
    <row r="2340" spans="8:10">
      <c r="H2340"/>
      <c r="I2340"/>
      <c r="J2340" s="68"/>
    </row>
    <row r="2341" spans="8:10">
      <c r="H2341"/>
      <c r="I2341"/>
      <c r="J2341" s="68"/>
    </row>
    <row r="2342" spans="8:10">
      <c r="H2342"/>
      <c r="I2342"/>
      <c r="J2342" s="68"/>
    </row>
    <row r="2343" spans="8:10">
      <c r="H2343"/>
      <c r="I2343"/>
      <c r="J2343" s="68"/>
    </row>
    <row r="2344" spans="8:10">
      <c r="H2344"/>
      <c r="I2344"/>
      <c r="J2344" s="68"/>
    </row>
    <row r="2345" spans="8:10">
      <c r="H2345"/>
      <c r="I2345"/>
      <c r="J2345" s="68"/>
    </row>
    <row r="2346" spans="8:10">
      <c r="H2346"/>
      <c r="I2346"/>
      <c r="J2346" s="68"/>
    </row>
    <row r="2347" spans="8:10">
      <c r="H2347"/>
      <c r="I2347"/>
      <c r="J2347" s="68"/>
    </row>
    <row r="2348" spans="8:10">
      <c r="H2348"/>
      <c r="I2348"/>
      <c r="J2348" s="68"/>
    </row>
    <row r="2349" spans="8:10">
      <c r="H2349"/>
      <c r="I2349"/>
      <c r="J2349" s="68"/>
    </row>
    <row r="2350" spans="8:10">
      <c r="H2350"/>
      <c r="I2350"/>
      <c r="J2350" s="68"/>
    </row>
    <row r="2351" spans="8:10">
      <c r="H2351"/>
      <c r="I2351"/>
      <c r="J2351" s="68"/>
    </row>
    <row r="2352" spans="8:10">
      <c r="H2352"/>
      <c r="I2352"/>
      <c r="J2352" s="68"/>
    </row>
    <row r="2353" spans="8:10">
      <c r="H2353"/>
      <c r="I2353"/>
      <c r="J2353" s="68"/>
    </row>
    <row r="2354" spans="8:10">
      <c r="H2354"/>
      <c r="I2354"/>
      <c r="J2354" s="68"/>
    </row>
    <row r="2355" spans="8:10">
      <c r="H2355"/>
      <c r="I2355"/>
      <c r="J2355" s="68"/>
    </row>
    <row r="2356" spans="8:10">
      <c r="H2356"/>
      <c r="I2356"/>
      <c r="J2356" s="68"/>
    </row>
    <row r="2357" spans="8:10">
      <c r="H2357"/>
      <c r="I2357"/>
      <c r="J2357" s="68"/>
    </row>
    <row r="2358" spans="8:10">
      <c r="H2358"/>
      <c r="I2358"/>
      <c r="J2358" s="68"/>
    </row>
    <row r="2359" spans="8:10">
      <c r="H2359"/>
      <c r="I2359"/>
      <c r="J2359" s="68"/>
    </row>
    <row r="2360" spans="8:10">
      <c r="H2360"/>
      <c r="I2360"/>
      <c r="J2360" s="68"/>
    </row>
    <row r="2361" spans="8:10">
      <c r="H2361"/>
      <c r="I2361"/>
      <c r="J2361" s="68"/>
    </row>
    <row r="2362" spans="8:10">
      <c r="H2362"/>
      <c r="I2362"/>
      <c r="J2362" s="68"/>
    </row>
    <row r="2363" spans="8:10">
      <c r="H2363"/>
      <c r="I2363"/>
      <c r="J2363" s="68"/>
    </row>
    <row r="2364" spans="8:10">
      <c r="H2364"/>
      <c r="I2364"/>
      <c r="J2364" s="68"/>
    </row>
    <row r="2365" spans="8:10">
      <c r="H2365"/>
      <c r="I2365"/>
      <c r="J2365" s="68"/>
    </row>
    <row r="2366" spans="8:10">
      <c r="H2366"/>
      <c r="I2366"/>
      <c r="J2366" s="68"/>
    </row>
    <row r="2367" spans="8:10">
      <c r="H2367"/>
      <c r="I2367"/>
      <c r="J2367" s="68"/>
    </row>
    <row r="2368" spans="8:10">
      <c r="H2368"/>
      <c r="I2368"/>
      <c r="J2368" s="68"/>
    </row>
    <row r="2369" spans="8:10">
      <c r="H2369"/>
      <c r="I2369"/>
      <c r="J2369" s="68"/>
    </row>
    <row r="2370" spans="8:10">
      <c r="H2370"/>
      <c r="I2370"/>
      <c r="J2370" s="68"/>
    </row>
    <row r="2371" spans="8:10">
      <c r="H2371"/>
      <c r="I2371"/>
      <c r="J2371" s="68"/>
    </row>
    <row r="2372" spans="8:10">
      <c r="H2372"/>
      <c r="I2372"/>
      <c r="J2372" s="68"/>
    </row>
    <row r="2373" spans="8:10">
      <c r="H2373"/>
      <c r="I2373"/>
      <c r="J2373" s="68"/>
    </row>
    <row r="2374" spans="8:10">
      <c r="H2374"/>
      <c r="I2374"/>
      <c r="J2374" s="68"/>
    </row>
    <row r="2375" spans="8:10">
      <c r="H2375"/>
      <c r="I2375"/>
      <c r="J2375" s="68"/>
    </row>
    <row r="2376" spans="8:10">
      <c r="H2376"/>
      <c r="I2376"/>
      <c r="J2376" s="68"/>
    </row>
    <row r="2377" spans="8:10">
      <c r="H2377"/>
      <c r="I2377"/>
      <c r="J2377" s="68"/>
    </row>
    <row r="2378" spans="8:10">
      <c r="H2378"/>
      <c r="I2378"/>
      <c r="J2378" s="68"/>
    </row>
    <row r="2379" spans="8:10">
      <c r="H2379"/>
      <c r="I2379"/>
      <c r="J2379" s="68"/>
    </row>
    <row r="2380" spans="8:10">
      <c r="H2380"/>
      <c r="I2380"/>
      <c r="J2380" s="68"/>
    </row>
    <row r="2381" spans="8:10">
      <c r="H2381"/>
      <c r="I2381"/>
      <c r="J2381" s="68"/>
    </row>
    <row r="2382" spans="8:10">
      <c r="H2382"/>
      <c r="I2382"/>
      <c r="J2382" s="68"/>
    </row>
    <row r="2383" spans="8:10">
      <c r="H2383"/>
      <c r="I2383"/>
      <c r="J2383" s="68"/>
    </row>
    <row r="2384" spans="8:10">
      <c r="H2384"/>
      <c r="I2384"/>
      <c r="J2384" s="68"/>
    </row>
    <row r="2385" spans="8:10">
      <c r="H2385"/>
      <c r="I2385"/>
      <c r="J2385" s="68"/>
    </row>
    <row r="2386" spans="8:10">
      <c r="H2386"/>
      <c r="I2386"/>
      <c r="J2386" s="68"/>
    </row>
    <row r="2387" spans="8:10">
      <c r="H2387"/>
      <c r="I2387"/>
      <c r="J2387" s="68"/>
    </row>
    <row r="2388" spans="8:10">
      <c r="H2388"/>
      <c r="I2388"/>
      <c r="J2388" s="68"/>
    </row>
    <row r="2389" spans="8:10">
      <c r="H2389"/>
      <c r="I2389"/>
      <c r="J2389" s="68"/>
    </row>
    <row r="2390" spans="8:10">
      <c r="H2390"/>
      <c r="I2390"/>
      <c r="J2390" s="68"/>
    </row>
    <row r="2391" spans="8:10">
      <c r="H2391"/>
      <c r="I2391"/>
      <c r="J2391" s="68"/>
    </row>
    <row r="2392" spans="8:10">
      <c r="H2392"/>
      <c r="I2392"/>
      <c r="J2392" s="68"/>
    </row>
    <row r="2393" spans="8:10">
      <c r="H2393"/>
      <c r="I2393"/>
      <c r="J2393" s="68"/>
    </row>
    <row r="2394" spans="8:10">
      <c r="H2394"/>
      <c r="I2394"/>
      <c r="J2394" s="68"/>
    </row>
    <row r="2395" spans="8:10">
      <c r="H2395"/>
      <c r="I2395"/>
      <c r="J2395" s="68"/>
    </row>
    <row r="2396" spans="8:10">
      <c r="H2396"/>
      <c r="I2396"/>
      <c r="J2396" s="68"/>
    </row>
    <row r="2397" spans="8:10">
      <c r="H2397"/>
      <c r="I2397"/>
      <c r="J2397" s="68"/>
    </row>
    <row r="2398" spans="8:10">
      <c r="H2398"/>
      <c r="I2398"/>
      <c r="J2398" s="68"/>
    </row>
    <row r="2399" spans="8:10">
      <c r="H2399"/>
      <c r="I2399"/>
      <c r="J2399" s="68"/>
    </row>
    <row r="2400" spans="8:10">
      <c r="H2400"/>
      <c r="I2400"/>
      <c r="J2400" s="68"/>
    </row>
    <row r="2401" spans="8:10">
      <c r="H2401"/>
      <c r="I2401"/>
      <c r="J2401" s="68"/>
    </row>
    <row r="2402" spans="8:10">
      <c r="H2402"/>
      <c r="I2402"/>
      <c r="J2402" s="68"/>
    </row>
    <row r="2403" spans="8:10">
      <c r="H2403"/>
      <c r="I2403"/>
      <c r="J2403" s="68"/>
    </row>
    <row r="2404" spans="8:10">
      <c r="H2404"/>
      <c r="I2404"/>
      <c r="J2404" s="68"/>
    </row>
    <row r="2405" spans="8:10">
      <c r="H2405"/>
      <c r="I2405"/>
      <c r="J2405" s="68"/>
    </row>
    <row r="2406" spans="8:10">
      <c r="H2406"/>
      <c r="I2406"/>
      <c r="J2406" s="68"/>
    </row>
    <row r="2407" spans="8:10">
      <c r="H2407"/>
      <c r="I2407"/>
      <c r="J2407" s="68"/>
    </row>
    <row r="2408" spans="8:10">
      <c r="H2408"/>
      <c r="I2408"/>
      <c r="J2408" s="68"/>
    </row>
    <row r="2409" spans="8:10">
      <c r="H2409"/>
      <c r="I2409"/>
      <c r="J2409" s="68"/>
    </row>
    <row r="2410" spans="8:10">
      <c r="H2410"/>
      <c r="I2410"/>
      <c r="J2410" s="68"/>
    </row>
    <row r="2411" spans="8:10">
      <c r="H2411"/>
      <c r="I2411"/>
      <c r="J2411" s="68"/>
    </row>
    <row r="2412" spans="8:10">
      <c r="H2412"/>
      <c r="I2412"/>
      <c r="J2412" s="68"/>
    </row>
    <row r="2413" spans="8:10">
      <c r="H2413"/>
      <c r="I2413"/>
      <c r="J2413" s="68"/>
    </row>
    <row r="2414" spans="8:10">
      <c r="H2414"/>
      <c r="I2414"/>
      <c r="J2414" s="68"/>
    </row>
    <row r="2415" spans="8:10">
      <c r="H2415"/>
      <c r="I2415"/>
      <c r="J2415" s="68"/>
    </row>
    <row r="2416" spans="8:10">
      <c r="H2416"/>
      <c r="I2416"/>
      <c r="J2416" s="68"/>
    </row>
    <row r="2417" spans="8:10">
      <c r="H2417"/>
      <c r="I2417"/>
      <c r="J2417" s="68"/>
    </row>
    <row r="2418" spans="8:10">
      <c r="H2418"/>
      <c r="I2418"/>
      <c r="J2418" s="68"/>
    </row>
    <row r="2419" spans="8:10">
      <c r="H2419"/>
      <c r="I2419"/>
      <c r="J2419" s="68"/>
    </row>
    <row r="2420" spans="8:10">
      <c r="H2420"/>
      <c r="I2420"/>
      <c r="J2420" s="68"/>
    </row>
    <row r="2421" spans="8:10">
      <c r="H2421"/>
      <c r="I2421"/>
      <c r="J2421" s="68"/>
    </row>
    <row r="2422" spans="8:10">
      <c r="H2422"/>
      <c r="I2422"/>
      <c r="J2422" s="68"/>
    </row>
    <row r="2423" spans="8:10">
      <c r="H2423"/>
      <c r="I2423"/>
      <c r="J2423" s="68"/>
    </row>
    <row r="2424" spans="8:10">
      <c r="H2424"/>
      <c r="I2424"/>
      <c r="J2424" s="68"/>
    </row>
    <row r="2425" spans="8:10">
      <c r="H2425"/>
      <c r="I2425"/>
      <c r="J2425" s="68"/>
    </row>
    <row r="2426" spans="8:10">
      <c r="H2426"/>
      <c r="I2426"/>
      <c r="J2426" s="68"/>
    </row>
    <row r="2427" spans="8:10">
      <c r="H2427"/>
      <c r="I2427"/>
      <c r="J2427" s="68"/>
    </row>
    <row r="2428" spans="8:10">
      <c r="H2428"/>
      <c r="I2428"/>
      <c r="J2428" s="68"/>
    </row>
    <row r="2429" spans="8:10">
      <c r="H2429"/>
      <c r="I2429"/>
      <c r="J2429" s="68"/>
    </row>
    <row r="2430" spans="8:10">
      <c r="H2430"/>
      <c r="I2430"/>
      <c r="J2430" s="68"/>
    </row>
    <row r="2431" spans="8:10">
      <c r="H2431"/>
      <c r="I2431"/>
      <c r="J2431" s="68"/>
    </row>
    <row r="2432" spans="8:10">
      <c r="H2432"/>
      <c r="I2432"/>
      <c r="J2432" s="68"/>
    </row>
    <row r="2433" spans="8:10">
      <c r="H2433"/>
      <c r="I2433"/>
      <c r="J2433" s="68"/>
    </row>
    <row r="2434" spans="8:10">
      <c r="H2434"/>
      <c r="I2434"/>
      <c r="J2434" s="68"/>
    </row>
    <row r="2435" spans="8:10">
      <c r="H2435"/>
      <c r="I2435"/>
      <c r="J2435" s="68"/>
    </row>
    <row r="2436" spans="8:10">
      <c r="H2436"/>
      <c r="I2436"/>
      <c r="J2436" s="68"/>
    </row>
    <row r="2437" spans="8:10">
      <c r="H2437"/>
      <c r="I2437"/>
      <c r="J2437" s="68"/>
    </row>
    <row r="2438" spans="8:10">
      <c r="H2438"/>
      <c r="I2438"/>
      <c r="J2438" s="68"/>
    </row>
    <row r="2439" spans="8:10">
      <c r="H2439"/>
      <c r="I2439"/>
      <c r="J2439" s="68"/>
    </row>
    <row r="2440" spans="8:10">
      <c r="H2440"/>
      <c r="I2440"/>
      <c r="J2440" s="68"/>
    </row>
    <row r="2441" spans="8:10">
      <c r="H2441"/>
      <c r="I2441"/>
      <c r="J2441" s="68"/>
    </row>
    <row r="2442" spans="8:10">
      <c r="H2442"/>
      <c r="I2442"/>
      <c r="J2442" s="68"/>
    </row>
    <row r="2443" spans="8:10">
      <c r="H2443"/>
      <c r="I2443"/>
      <c r="J2443" s="68"/>
    </row>
    <row r="2444" spans="8:10">
      <c r="H2444"/>
      <c r="I2444"/>
      <c r="J2444" s="68"/>
    </row>
    <row r="2445" spans="8:10">
      <c r="H2445"/>
      <c r="I2445"/>
      <c r="J2445" s="68"/>
    </row>
    <row r="2446" spans="8:10">
      <c r="H2446"/>
      <c r="I2446"/>
      <c r="J2446" s="68"/>
    </row>
    <row r="2447" spans="8:10">
      <c r="H2447"/>
      <c r="I2447"/>
      <c r="J2447" s="68"/>
    </row>
    <row r="2448" spans="8:10">
      <c r="H2448"/>
      <c r="I2448"/>
      <c r="J2448" s="68"/>
    </row>
    <row r="2449" spans="8:10">
      <c r="H2449"/>
      <c r="I2449"/>
      <c r="J2449" s="68"/>
    </row>
    <row r="2450" spans="8:10">
      <c r="H2450"/>
      <c r="I2450"/>
      <c r="J2450" s="68"/>
    </row>
    <row r="2451" spans="8:10">
      <c r="H2451"/>
      <c r="I2451"/>
      <c r="J2451" s="68"/>
    </row>
    <row r="2452" spans="8:10">
      <c r="H2452"/>
      <c r="I2452"/>
      <c r="J2452" s="68"/>
    </row>
    <row r="2453" spans="8:10">
      <c r="H2453"/>
      <c r="I2453"/>
      <c r="J2453" s="68"/>
    </row>
    <row r="2454" spans="8:10">
      <c r="H2454"/>
      <c r="I2454"/>
      <c r="J2454" s="68"/>
    </row>
    <row r="2455" spans="8:10">
      <c r="H2455"/>
      <c r="I2455"/>
      <c r="J2455" s="68"/>
    </row>
    <row r="2456" spans="8:10">
      <c r="H2456"/>
      <c r="I2456"/>
      <c r="J2456" s="68"/>
    </row>
    <row r="2457" spans="8:10">
      <c r="H2457"/>
      <c r="I2457"/>
      <c r="J2457" s="68"/>
    </row>
    <row r="2458" spans="8:10">
      <c r="H2458"/>
      <c r="I2458"/>
      <c r="J2458" s="68"/>
    </row>
    <row r="2459" spans="8:10">
      <c r="H2459"/>
      <c r="I2459"/>
      <c r="J2459" s="68"/>
    </row>
    <row r="2460" spans="8:10">
      <c r="H2460"/>
      <c r="I2460"/>
      <c r="J2460" s="68"/>
    </row>
    <row r="2461" spans="8:10">
      <c r="H2461"/>
      <c r="I2461"/>
      <c r="J2461" s="68"/>
    </row>
    <row r="2462" spans="8:10">
      <c r="H2462"/>
      <c r="I2462"/>
      <c r="J2462" s="68"/>
    </row>
    <row r="2463" spans="8:10">
      <c r="H2463"/>
      <c r="I2463"/>
      <c r="J2463" s="68"/>
    </row>
    <row r="2464" spans="8:10">
      <c r="H2464"/>
      <c r="I2464"/>
      <c r="J2464" s="68"/>
    </row>
    <row r="2465" spans="8:10">
      <c r="H2465"/>
      <c r="I2465"/>
      <c r="J2465" s="68"/>
    </row>
    <row r="2466" spans="8:10">
      <c r="H2466"/>
      <c r="I2466"/>
      <c r="J2466" s="68"/>
    </row>
    <row r="2467" spans="8:10">
      <c r="H2467"/>
      <c r="I2467"/>
      <c r="J2467" s="68"/>
    </row>
    <row r="2468" spans="8:10">
      <c r="H2468"/>
      <c r="I2468"/>
      <c r="J2468" s="68"/>
    </row>
    <row r="2469" spans="8:10">
      <c r="H2469"/>
      <c r="I2469"/>
      <c r="J2469" s="68"/>
    </row>
    <row r="2470" spans="8:10">
      <c r="H2470"/>
      <c r="I2470"/>
      <c r="J2470" s="68"/>
    </row>
    <row r="2471" spans="8:10">
      <c r="H2471"/>
      <c r="I2471"/>
      <c r="J2471" s="68"/>
    </row>
    <row r="2472" spans="8:10">
      <c r="H2472"/>
      <c r="I2472"/>
      <c r="J2472" s="68"/>
    </row>
    <row r="2473" spans="8:10">
      <c r="H2473"/>
      <c r="I2473"/>
      <c r="J2473" s="68"/>
    </row>
    <row r="2474" spans="8:10">
      <c r="H2474"/>
      <c r="I2474"/>
      <c r="J2474" s="68"/>
    </row>
    <row r="2475" spans="8:10">
      <c r="H2475"/>
      <c r="I2475"/>
      <c r="J2475" s="68"/>
    </row>
    <row r="2476" spans="8:10">
      <c r="H2476"/>
      <c r="I2476"/>
      <c r="J2476" s="68"/>
    </row>
    <row r="2477" spans="8:10">
      <c r="H2477"/>
      <c r="I2477"/>
      <c r="J2477" s="68"/>
    </row>
    <row r="2478" spans="8:10">
      <c r="H2478"/>
      <c r="I2478"/>
      <c r="J2478" s="68"/>
    </row>
    <row r="2479" spans="8:10">
      <c r="H2479"/>
      <c r="I2479"/>
      <c r="J2479" s="68"/>
    </row>
    <row r="2480" spans="8:10">
      <c r="H2480"/>
      <c r="I2480"/>
      <c r="J2480" s="68"/>
    </row>
    <row r="2481" spans="8:10">
      <c r="H2481"/>
      <c r="I2481"/>
      <c r="J2481" s="68"/>
    </row>
    <row r="2482" spans="8:10">
      <c r="H2482"/>
      <c r="I2482"/>
      <c r="J2482" s="68"/>
    </row>
    <row r="2483" spans="8:10">
      <c r="H2483"/>
      <c r="I2483"/>
      <c r="J2483" s="68"/>
    </row>
    <row r="2484" spans="8:10">
      <c r="H2484"/>
      <c r="I2484"/>
      <c r="J2484" s="68"/>
    </row>
    <row r="2485" spans="8:10">
      <c r="H2485"/>
      <c r="I2485"/>
      <c r="J2485" s="68"/>
    </row>
    <row r="2486" spans="8:10">
      <c r="H2486"/>
      <c r="I2486"/>
      <c r="J2486" s="68"/>
    </row>
    <row r="2487" spans="8:10">
      <c r="H2487"/>
      <c r="I2487"/>
      <c r="J2487" s="68"/>
    </row>
    <row r="2488" spans="8:10">
      <c r="H2488"/>
      <c r="I2488"/>
      <c r="J2488" s="68"/>
    </row>
    <row r="2489" spans="8:10">
      <c r="H2489"/>
      <c r="I2489"/>
      <c r="J2489" s="68"/>
    </row>
    <row r="2490" spans="8:10">
      <c r="H2490"/>
      <c r="I2490"/>
      <c r="J2490" s="68"/>
    </row>
    <row r="2491" spans="8:10">
      <c r="H2491"/>
      <c r="I2491"/>
      <c r="J2491" s="68"/>
    </row>
    <row r="2492" spans="8:10">
      <c r="H2492"/>
      <c r="I2492"/>
      <c r="J2492" s="68"/>
    </row>
    <row r="2493" spans="8:10">
      <c r="H2493"/>
      <c r="I2493"/>
      <c r="J2493" s="68"/>
    </row>
    <row r="2494" spans="8:10">
      <c r="H2494"/>
      <c r="I2494"/>
      <c r="J2494" s="68"/>
    </row>
    <row r="2495" spans="8:10">
      <c r="H2495"/>
      <c r="I2495"/>
      <c r="J2495" s="68"/>
    </row>
    <row r="2496" spans="8:10">
      <c r="H2496"/>
      <c r="I2496"/>
      <c r="J2496" s="68"/>
    </row>
    <row r="2497" spans="8:10">
      <c r="H2497"/>
      <c r="I2497"/>
      <c r="J2497" s="68"/>
    </row>
    <row r="2498" spans="8:10">
      <c r="H2498"/>
      <c r="I2498"/>
      <c r="J2498" s="68"/>
    </row>
    <row r="2499" spans="8:10">
      <c r="H2499"/>
      <c r="I2499"/>
      <c r="J2499" s="68"/>
    </row>
    <row r="2500" spans="8:10">
      <c r="H2500"/>
      <c r="I2500"/>
      <c r="J2500" s="68"/>
    </row>
    <row r="2501" spans="8:10">
      <c r="H2501"/>
      <c r="I2501"/>
      <c r="J2501" s="68"/>
    </row>
    <row r="2502" spans="8:10">
      <c r="H2502"/>
      <c r="I2502"/>
      <c r="J2502" s="68"/>
    </row>
    <row r="2503" spans="8:10">
      <c r="H2503"/>
      <c r="I2503"/>
      <c r="J2503" s="68"/>
    </row>
    <row r="2504" spans="8:10">
      <c r="H2504"/>
      <c r="I2504"/>
      <c r="J2504" s="68"/>
    </row>
    <row r="2505" spans="8:10">
      <c r="H2505"/>
      <c r="I2505"/>
      <c r="J2505" s="68"/>
    </row>
    <row r="2506" spans="8:10">
      <c r="H2506"/>
      <c r="I2506"/>
      <c r="J2506" s="68"/>
    </row>
    <row r="2507" spans="8:10">
      <c r="H2507"/>
      <c r="I2507"/>
      <c r="J2507" s="68"/>
    </row>
    <row r="2508" spans="8:10">
      <c r="H2508"/>
      <c r="I2508"/>
      <c r="J2508" s="68"/>
    </row>
    <row r="2509" spans="8:10">
      <c r="H2509"/>
      <c r="I2509"/>
      <c r="J2509" s="68"/>
    </row>
    <row r="2510" spans="8:10">
      <c r="H2510"/>
      <c r="I2510"/>
      <c r="J2510" s="68"/>
    </row>
    <row r="2511" spans="8:10">
      <c r="H2511"/>
      <c r="I2511"/>
      <c r="J2511" s="68"/>
    </row>
    <row r="2512" spans="8:10">
      <c r="H2512"/>
      <c r="I2512"/>
      <c r="J2512" s="68"/>
    </row>
    <row r="2513" spans="8:10">
      <c r="H2513"/>
      <c r="I2513"/>
      <c r="J2513" s="68"/>
    </row>
    <row r="2514" spans="8:10">
      <c r="H2514"/>
      <c r="I2514"/>
      <c r="J2514" s="68"/>
    </row>
    <row r="2515" spans="8:10">
      <c r="H2515"/>
      <c r="I2515"/>
      <c r="J2515" s="68"/>
    </row>
    <row r="2516" spans="8:10">
      <c r="H2516"/>
      <c r="I2516"/>
      <c r="J2516" s="68"/>
    </row>
    <row r="2517" spans="8:10">
      <c r="H2517"/>
      <c r="I2517"/>
      <c r="J2517" s="68"/>
    </row>
    <row r="2518" spans="8:10">
      <c r="H2518"/>
      <c r="I2518"/>
      <c r="J2518" s="68"/>
    </row>
    <row r="2519" spans="8:10">
      <c r="H2519"/>
      <c r="I2519"/>
      <c r="J2519" s="68"/>
    </row>
    <row r="2520" spans="8:10">
      <c r="H2520"/>
      <c r="I2520"/>
      <c r="J2520" s="68"/>
    </row>
    <row r="2521" spans="8:10">
      <c r="H2521"/>
      <c r="I2521"/>
      <c r="J2521" s="68"/>
    </row>
    <row r="2522" spans="8:10">
      <c r="H2522"/>
      <c r="I2522"/>
      <c r="J2522" s="68"/>
    </row>
    <row r="2523" spans="8:10">
      <c r="H2523"/>
      <c r="I2523"/>
      <c r="J2523" s="68"/>
    </row>
    <row r="2524" spans="8:10">
      <c r="H2524"/>
      <c r="I2524"/>
      <c r="J2524" s="68"/>
    </row>
    <row r="2525" spans="8:10">
      <c r="H2525"/>
      <c r="I2525"/>
      <c r="J2525" s="68"/>
    </row>
    <row r="2526" spans="8:10">
      <c r="H2526"/>
      <c r="I2526"/>
      <c r="J2526" s="68"/>
    </row>
    <row r="2527" spans="8:10">
      <c r="H2527"/>
      <c r="I2527"/>
      <c r="J2527" s="68"/>
    </row>
    <row r="2528" spans="8:10">
      <c r="H2528"/>
      <c r="I2528"/>
      <c r="J2528" s="68"/>
    </row>
    <row r="2529" spans="8:10">
      <c r="H2529"/>
      <c r="I2529"/>
      <c r="J2529" s="68"/>
    </row>
    <row r="2530" spans="8:10">
      <c r="H2530"/>
      <c r="I2530"/>
      <c r="J2530" s="68"/>
    </row>
    <row r="2531" spans="8:10">
      <c r="H2531"/>
      <c r="I2531"/>
      <c r="J2531" s="68"/>
    </row>
    <row r="2532" spans="8:10">
      <c r="H2532"/>
      <c r="I2532"/>
      <c r="J2532" s="68"/>
    </row>
    <row r="2533" spans="8:10">
      <c r="H2533"/>
      <c r="I2533"/>
      <c r="J2533" s="68"/>
    </row>
    <row r="2534" spans="8:10">
      <c r="H2534"/>
      <c r="I2534"/>
      <c r="J2534" s="68"/>
    </row>
    <row r="2535" spans="8:10">
      <c r="H2535"/>
      <c r="I2535"/>
      <c r="J2535" s="68"/>
    </row>
    <row r="2536" spans="8:10">
      <c r="H2536"/>
      <c r="I2536"/>
      <c r="J2536" s="68"/>
    </row>
    <row r="2537" spans="8:10">
      <c r="H2537"/>
      <c r="I2537"/>
      <c r="J2537" s="68"/>
    </row>
    <row r="2538" spans="8:10">
      <c r="H2538"/>
      <c r="I2538"/>
      <c r="J2538" s="68"/>
    </row>
    <row r="2539" spans="8:10">
      <c r="H2539"/>
      <c r="I2539"/>
      <c r="J2539" s="68"/>
    </row>
    <row r="2540" spans="8:10">
      <c r="H2540"/>
      <c r="I2540"/>
      <c r="J2540" s="68"/>
    </row>
    <row r="2541" spans="8:10">
      <c r="H2541"/>
      <c r="I2541"/>
      <c r="J2541" s="68"/>
    </row>
    <row r="2542" spans="8:10">
      <c r="H2542"/>
      <c r="I2542"/>
      <c r="J2542" s="68"/>
    </row>
    <row r="2543" spans="8:10">
      <c r="H2543"/>
      <c r="I2543"/>
      <c r="J2543" s="68"/>
    </row>
    <row r="2544" spans="8:10">
      <c r="H2544"/>
      <c r="I2544"/>
      <c r="J2544" s="68"/>
    </row>
    <row r="2545" spans="8:10">
      <c r="H2545"/>
      <c r="I2545"/>
      <c r="J2545" s="68"/>
    </row>
    <row r="2546" spans="8:10">
      <c r="H2546"/>
      <c r="I2546"/>
      <c r="J2546" s="68"/>
    </row>
    <row r="2547" spans="8:10">
      <c r="H2547"/>
      <c r="I2547"/>
      <c r="J2547" s="68"/>
    </row>
    <row r="2548" spans="8:10">
      <c r="H2548"/>
      <c r="I2548"/>
      <c r="J2548" s="68"/>
    </row>
    <row r="2549" spans="8:10">
      <c r="H2549"/>
      <c r="I2549"/>
      <c r="J2549" s="68"/>
    </row>
    <row r="2550" spans="8:10">
      <c r="H2550"/>
      <c r="I2550"/>
      <c r="J2550" s="68"/>
    </row>
    <row r="2551" spans="8:10">
      <c r="H2551"/>
      <c r="I2551"/>
      <c r="J2551" s="68"/>
    </row>
    <row r="2552" spans="8:10">
      <c r="H2552"/>
      <c r="I2552"/>
      <c r="J2552" s="68"/>
    </row>
    <row r="2553" spans="8:10">
      <c r="H2553"/>
      <c r="I2553"/>
      <c r="J2553" s="68"/>
    </row>
    <row r="2554" spans="8:10">
      <c r="H2554"/>
      <c r="I2554"/>
      <c r="J2554" s="68"/>
    </row>
    <row r="2555" spans="8:10">
      <c r="H2555"/>
      <c r="I2555"/>
      <c r="J2555" s="68"/>
    </row>
    <row r="2556" spans="8:10">
      <c r="H2556"/>
      <c r="I2556"/>
      <c r="J2556" s="68"/>
    </row>
    <row r="2557" spans="8:10">
      <c r="H2557"/>
      <c r="I2557"/>
      <c r="J2557" s="68"/>
    </row>
    <row r="2558" spans="8:10">
      <c r="H2558"/>
      <c r="I2558"/>
      <c r="J2558" s="68"/>
    </row>
    <row r="2559" spans="8:10">
      <c r="H2559"/>
      <c r="I2559"/>
      <c r="J2559" s="68"/>
    </row>
    <row r="2560" spans="8:10">
      <c r="H2560"/>
      <c r="I2560"/>
      <c r="J2560" s="68"/>
    </row>
    <row r="2561" spans="8:10">
      <c r="H2561"/>
      <c r="I2561"/>
      <c r="J2561" s="68"/>
    </row>
    <row r="2562" spans="8:10">
      <c r="H2562"/>
      <c r="I2562"/>
      <c r="J2562" s="68"/>
    </row>
    <row r="2563" spans="8:10">
      <c r="H2563"/>
      <c r="I2563"/>
      <c r="J2563" s="68"/>
    </row>
    <row r="2564" spans="8:10">
      <c r="H2564"/>
      <c r="I2564"/>
      <c r="J2564" s="68"/>
    </row>
    <row r="2565" spans="8:10">
      <c r="H2565"/>
      <c r="I2565"/>
      <c r="J2565" s="68"/>
    </row>
    <row r="2566" spans="8:10">
      <c r="H2566"/>
      <c r="I2566"/>
      <c r="J2566" s="68"/>
    </row>
    <row r="2567" spans="8:10">
      <c r="H2567"/>
      <c r="I2567"/>
      <c r="J2567" s="68"/>
    </row>
    <row r="2568" spans="8:10">
      <c r="H2568"/>
      <c r="I2568"/>
      <c r="J2568" s="68"/>
    </row>
    <row r="2569" spans="8:10">
      <c r="H2569"/>
      <c r="I2569"/>
      <c r="J2569" s="68"/>
    </row>
    <row r="2570" spans="8:10">
      <c r="H2570"/>
      <c r="I2570"/>
      <c r="J2570" s="68"/>
    </row>
    <row r="2571" spans="8:10">
      <c r="H2571"/>
      <c r="I2571"/>
      <c r="J2571" s="68"/>
    </row>
    <row r="2572" spans="8:10">
      <c r="H2572"/>
      <c r="I2572"/>
      <c r="J2572" s="68"/>
    </row>
    <row r="2573" spans="8:10">
      <c r="H2573"/>
      <c r="I2573"/>
      <c r="J2573" s="68"/>
    </row>
    <row r="2574" spans="8:10">
      <c r="H2574"/>
      <c r="I2574"/>
      <c r="J2574" s="68"/>
    </row>
    <row r="2575" spans="8:10">
      <c r="H2575"/>
      <c r="I2575"/>
      <c r="J2575" s="68"/>
    </row>
    <row r="2576" spans="8:10">
      <c r="H2576"/>
      <c r="I2576"/>
      <c r="J2576" s="68"/>
    </row>
    <row r="2577" spans="8:10">
      <c r="H2577"/>
      <c r="I2577"/>
      <c r="J2577" s="68"/>
    </row>
    <row r="2578" spans="8:10">
      <c r="H2578"/>
      <c r="I2578"/>
      <c r="J2578" s="68"/>
    </row>
    <row r="2579" spans="8:10">
      <c r="H2579"/>
      <c r="I2579"/>
      <c r="J2579" s="68"/>
    </row>
    <row r="2580" spans="8:10">
      <c r="H2580"/>
      <c r="I2580"/>
      <c r="J2580" s="68"/>
    </row>
    <row r="2581" spans="8:10">
      <c r="H2581"/>
      <c r="I2581"/>
      <c r="J2581" s="68"/>
    </row>
    <row r="2582" spans="8:10">
      <c r="H2582"/>
      <c r="I2582"/>
      <c r="J2582" s="68"/>
    </row>
    <row r="2583" spans="8:10">
      <c r="H2583"/>
      <c r="I2583"/>
      <c r="J2583" s="68"/>
    </row>
    <row r="2584" spans="8:10">
      <c r="H2584"/>
      <c r="I2584"/>
      <c r="J2584" s="68"/>
    </row>
    <row r="2585" spans="8:10">
      <c r="H2585"/>
      <c r="I2585"/>
      <c r="J2585" s="68"/>
    </row>
    <row r="2586" spans="8:10">
      <c r="H2586"/>
      <c r="I2586"/>
      <c r="J2586" s="68"/>
    </row>
    <row r="2587" spans="8:10">
      <c r="H2587"/>
      <c r="I2587"/>
      <c r="J2587" s="68"/>
    </row>
    <row r="2588" spans="8:10">
      <c r="H2588"/>
      <c r="I2588"/>
      <c r="J2588" s="68"/>
    </row>
    <row r="2589" spans="8:10">
      <c r="H2589"/>
      <c r="I2589"/>
      <c r="J2589" s="68"/>
    </row>
    <row r="2590" spans="8:10">
      <c r="H2590"/>
      <c r="I2590"/>
      <c r="J2590" s="68"/>
    </row>
    <row r="2591" spans="8:10">
      <c r="H2591"/>
      <c r="I2591"/>
      <c r="J2591" s="68"/>
    </row>
    <row r="2592" spans="8:10">
      <c r="H2592"/>
      <c r="I2592"/>
      <c r="J2592" s="68"/>
    </row>
    <row r="2593" spans="8:10">
      <c r="H2593"/>
      <c r="I2593"/>
      <c r="J2593" s="68"/>
    </row>
    <row r="2594" spans="8:10">
      <c r="H2594"/>
      <c r="I2594"/>
      <c r="J2594" s="68"/>
    </row>
    <row r="2595" spans="8:10">
      <c r="H2595"/>
      <c r="I2595"/>
      <c r="J2595" s="68"/>
    </row>
    <row r="2596" spans="8:10">
      <c r="H2596"/>
      <c r="I2596"/>
      <c r="J2596" s="68"/>
    </row>
    <row r="2597" spans="8:10">
      <c r="H2597"/>
      <c r="I2597"/>
      <c r="J2597" s="68"/>
    </row>
    <row r="2598" spans="8:10">
      <c r="H2598"/>
      <c r="I2598"/>
      <c r="J2598" s="68"/>
    </row>
    <row r="2599" spans="8:10">
      <c r="H2599"/>
      <c r="I2599"/>
      <c r="J2599" s="68"/>
    </row>
    <row r="2600" spans="8:10">
      <c r="H2600"/>
      <c r="I2600"/>
      <c r="J2600" s="68"/>
    </row>
    <row r="2601" spans="8:10">
      <c r="H2601"/>
      <c r="I2601"/>
      <c r="J2601" s="68"/>
    </row>
    <row r="2602" spans="8:10">
      <c r="H2602"/>
      <c r="I2602"/>
      <c r="J2602" s="68"/>
    </row>
    <row r="2603" spans="8:10">
      <c r="H2603"/>
      <c r="I2603"/>
      <c r="J2603" s="68"/>
    </row>
    <row r="2604" spans="8:10">
      <c r="H2604"/>
      <c r="I2604"/>
      <c r="J2604" s="68"/>
    </row>
    <row r="2605" spans="8:10">
      <c r="H2605"/>
      <c r="I2605"/>
      <c r="J2605" s="68"/>
    </row>
    <row r="2606" spans="8:10">
      <c r="H2606"/>
      <c r="I2606"/>
      <c r="J2606" s="68"/>
    </row>
    <row r="2607" spans="8:10">
      <c r="H2607"/>
      <c r="I2607"/>
      <c r="J2607" s="68"/>
    </row>
    <row r="2608" spans="8:10">
      <c r="H2608"/>
      <c r="I2608"/>
      <c r="J2608" s="68"/>
    </row>
    <row r="2609" spans="8:10">
      <c r="H2609"/>
      <c r="I2609"/>
      <c r="J2609" s="68"/>
    </row>
    <row r="2610" spans="8:10">
      <c r="H2610"/>
      <c r="I2610"/>
      <c r="J2610" s="68"/>
    </row>
    <row r="2611" spans="8:10">
      <c r="H2611"/>
      <c r="I2611"/>
      <c r="J2611" s="68"/>
    </row>
    <row r="2612" spans="8:10">
      <c r="H2612"/>
      <c r="I2612"/>
      <c r="J2612" s="68"/>
    </row>
    <row r="2613" spans="8:10">
      <c r="H2613"/>
      <c r="I2613"/>
      <c r="J2613" s="68"/>
    </row>
    <row r="2614" spans="8:10">
      <c r="H2614"/>
      <c r="I2614"/>
      <c r="J2614" s="68"/>
    </row>
    <row r="2615" spans="8:10">
      <c r="H2615"/>
      <c r="I2615"/>
      <c r="J2615" s="68"/>
    </row>
    <row r="2616" spans="8:10">
      <c r="H2616"/>
      <c r="I2616"/>
      <c r="J2616" s="68"/>
    </row>
    <row r="2617" spans="8:10">
      <c r="H2617"/>
      <c r="I2617"/>
      <c r="J2617" s="68"/>
    </row>
    <row r="2618" spans="8:10">
      <c r="H2618"/>
      <c r="I2618"/>
      <c r="J2618" s="68"/>
    </row>
    <row r="2619" spans="8:10">
      <c r="H2619"/>
      <c r="I2619"/>
      <c r="J2619" s="68"/>
    </row>
    <row r="2620" spans="8:10">
      <c r="H2620"/>
      <c r="I2620"/>
      <c r="J2620" s="68"/>
    </row>
    <row r="2621" spans="8:10">
      <c r="H2621"/>
      <c r="I2621"/>
      <c r="J2621" s="68"/>
    </row>
    <row r="2622" spans="8:10">
      <c r="H2622"/>
      <c r="I2622"/>
      <c r="J2622" s="68"/>
    </row>
    <row r="2623" spans="8:10">
      <c r="H2623"/>
      <c r="I2623"/>
      <c r="J2623" s="68"/>
    </row>
    <row r="2624" spans="8:10">
      <c r="H2624"/>
      <c r="I2624"/>
      <c r="J2624" s="68"/>
    </row>
    <row r="2625" spans="8:10">
      <c r="H2625"/>
      <c r="I2625"/>
      <c r="J2625" s="68"/>
    </row>
    <row r="2626" spans="8:10">
      <c r="H2626"/>
      <c r="I2626"/>
      <c r="J2626" s="68"/>
    </row>
    <row r="2627" spans="8:10">
      <c r="H2627"/>
      <c r="I2627"/>
      <c r="J2627" s="68"/>
    </row>
    <row r="2628" spans="8:10">
      <c r="H2628"/>
      <c r="I2628"/>
      <c r="J2628" s="68"/>
    </row>
    <row r="2629" spans="8:10">
      <c r="H2629"/>
      <c r="I2629"/>
      <c r="J2629" s="68"/>
    </row>
    <row r="2630" spans="8:10">
      <c r="H2630"/>
      <c r="I2630"/>
      <c r="J2630" s="68"/>
    </row>
    <row r="2631" spans="8:10">
      <c r="H2631"/>
      <c r="I2631"/>
      <c r="J2631" s="68"/>
    </row>
    <row r="2632" spans="8:10">
      <c r="H2632"/>
      <c r="I2632"/>
      <c r="J2632" s="68"/>
    </row>
    <row r="2633" spans="8:10">
      <c r="H2633"/>
      <c r="I2633"/>
      <c r="J2633" s="68"/>
    </row>
    <row r="2634" spans="8:10">
      <c r="H2634"/>
      <c r="I2634"/>
      <c r="J2634" s="68"/>
    </row>
    <row r="2635" spans="8:10">
      <c r="H2635"/>
      <c r="I2635"/>
      <c r="J2635" s="68"/>
    </row>
    <row r="2636" spans="8:10">
      <c r="H2636"/>
      <c r="I2636"/>
      <c r="J2636" s="68"/>
    </row>
    <row r="2637" spans="8:10">
      <c r="H2637"/>
      <c r="I2637"/>
      <c r="J2637" s="68"/>
    </row>
    <row r="2638" spans="8:10">
      <c r="H2638"/>
      <c r="I2638"/>
      <c r="J2638" s="68"/>
    </row>
    <row r="2639" spans="8:10">
      <c r="H2639"/>
      <c r="I2639"/>
      <c r="J2639" s="68"/>
    </row>
    <row r="2640" spans="8:10">
      <c r="H2640"/>
      <c r="I2640"/>
      <c r="J2640" s="68"/>
    </row>
    <row r="2641" spans="8:10">
      <c r="H2641"/>
      <c r="I2641"/>
      <c r="J2641" s="68"/>
    </row>
    <row r="2642" spans="8:10">
      <c r="H2642"/>
      <c r="I2642"/>
      <c r="J2642" s="68"/>
    </row>
    <row r="2643" spans="8:10">
      <c r="H2643"/>
      <c r="I2643"/>
      <c r="J2643" s="68"/>
    </row>
    <row r="2644" spans="8:10">
      <c r="H2644"/>
      <c r="I2644"/>
      <c r="J2644" s="68"/>
    </row>
    <row r="2645" spans="8:10">
      <c r="H2645"/>
      <c r="I2645"/>
      <c r="J2645" s="68"/>
    </row>
    <row r="2646" spans="8:10">
      <c r="H2646"/>
      <c r="I2646"/>
      <c r="J2646" s="68"/>
    </row>
    <row r="2647" spans="8:10">
      <c r="H2647"/>
      <c r="I2647"/>
      <c r="J2647" s="68"/>
    </row>
    <row r="2648" spans="8:10">
      <c r="H2648"/>
      <c r="I2648"/>
      <c r="J2648" s="68"/>
    </row>
    <row r="2649" spans="8:10">
      <c r="H2649"/>
      <c r="I2649"/>
      <c r="J2649" s="68"/>
    </row>
    <row r="2650" spans="8:10">
      <c r="H2650"/>
      <c r="I2650"/>
      <c r="J2650" s="68"/>
    </row>
    <row r="2651" spans="8:10">
      <c r="H2651"/>
      <c r="I2651"/>
      <c r="J2651" s="68"/>
    </row>
    <row r="2652" spans="8:10">
      <c r="H2652"/>
      <c r="I2652"/>
      <c r="J2652" s="68"/>
    </row>
    <row r="2653" spans="8:10">
      <c r="H2653"/>
      <c r="I2653"/>
      <c r="J2653" s="68"/>
    </row>
    <row r="2654" spans="8:10">
      <c r="H2654"/>
      <c r="I2654"/>
      <c r="J2654" s="68"/>
    </row>
    <row r="2655" spans="8:10">
      <c r="H2655"/>
      <c r="I2655"/>
      <c r="J2655" s="68"/>
    </row>
    <row r="2656" spans="8:10">
      <c r="H2656"/>
      <c r="I2656"/>
      <c r="J2656" s="68"/>
    </row>
    <row r="2657" spans="8:10">
      <c r="H2657"/>
      <c r="I2657"/>
      <c r="J2657" s="68"/>
    </row>
    <row r="2658" spans="8:10">
      <c r="H2658"/>
      <c r="I2658"/>
      <c r="J2658" s="68"/>
    </row>
    <row r="2659" spans="8:10">
      <c r="H2659"/>
      <c r="I2659"/>
      <c r="J2659" s="68"/>
    </row>
    <row r="2660" spans="8:10">
      <c r="H2660"/>
      <c r="I2660"/>
      <c r="J2660" s="68"/>
    </row>
    <row r="2661" spans="8:10">
      <c r="H2661"/>
      <c r="I2661"/>
      <c r="J2661" s="68"/>
    </row>
    <row r="2662" spans="8:10">
      <c r="H2662"/>
      <c r="I2662"/>
      <c r="J2662" s="68"/>
    </row>
    <row r="2663" spans="8:10">
      <c r="H2663"/>
      <c r="I2663"/>
      <c r="J2663" s="68"/>
    </row>
    <row r="2664" spans="8:10">
      <c r="H2664"/>
      <c r="I2664"/>
      <c r="J2664" s="68"/>
    </row>
    <row r="2665" spans="8:10">
      <c r="H2665"/>
      <c r="I2665"/>
      <c r="J2665" s="68"/>
    </row>
    <row r="2666" spans="8:10">
      <c r="H2666"/>
      <c r="I2666"/>
      <c r="J2666" s="68"/>
    </row>
    <row r="2667" spans="8:10">
      <c r="H2667"/>
      <c r="I2667"/>
      <c r="J2667" s="68"/>
    </row>
    <row r="2668" spans="8:10">
      <c r="H2668"/>
      <c r="I2668"/>
      <c r="J2668" s="68"/>
    </row>
    <row r="2669" spans="8:10">
      <c r="H2669"/>
      <c r="I2669"/>
      <c r="J2669" s="68"/>
    </row>
    <row r="2670" spans="8:10">
      <c r="H2670"/>
      <c r="I2670"/>
      <c r="J2670" s="68"/>
    </row>
    <row r="2671" spans="8:10">
      <c r="H2671"/>
      <c r="I2671"/>
      <c r="J2671" s="68"/>
    </row>
    <row r="2672" spans="8:10">
      <c r="H2672"/>
      <c r="I2672"/>
      <c r="J2672" s="68"/>
    </row>
    <row r="2673" spans="8:10">
      <c r="H2673"/>
      <c r="I2673"/>
      <c r="J2673" s="68"/>
    </row>
    <row r="2674" spans="8:10">
      <c r="H2674"/>
      <c r="I2674"/>
      <c r="J2674" s="68"/>
    </row>
    <row r="2675" spans="8:10">
      <c r="H2675"/>
      <c r="I2675"/>
      <c r="J2675" s="68"/>
    </row>
    <row r="2676" spans="8:10">
      <c r="H2676"/>
      <c r="I2676"/>
      <c r="J2676" s="68"/>
    </row>
    <row r="2677" spans="8:10">
      <c r="H2677"/>
      <c r="I2677"/>
      <c r="J2677" s="68"/>
    </row>
    <row r="2678" spans="8:10">
      <c r="H2678"/>
      <c r="I2678"/>
      <c r="J2678" s="68"/>
    </row>
    <row r="2679" spans="8:10">
      <c r="H2679"/>
      <c r="I2679"/>
      <c r="J2679" s="68"/>
    </row>
    <row r="2680" spans="8:10">
      <c r="H2680"/>
      <c r="I2680"/>
      <c r="J2680" s="68"/>
    </row>
    <row r="2681" spans="8:10">
      <c r="H2681"/>
      <c r="I2681"/>
      <c r="J2681" s="68"/>
    </row>
    <row r="2682" spans="8:10">
      <c r="H2682"/>
      <c r="I2682"/>
      <c r="J2682" s="68"/>
    </row>
    <row r="2683" spans="8:10">
      <c r="H2683"/>
      <c r="I2683"/>
      <c r="J2683" s="68"/>
    </row>
    <row r="2684" spans="8:10">
      <c r="H2684"/>
      <c r="I2684"/>
      <c r="J2684" s="68"/>
    </row>
    <row r="2685" spans="8:10">
      <c r="H2685"/>
      <c r="I2685"/>
      <c r="J2685" s="68"/>
    </row>
    <row r="2686" spans="8:10">
      <c r="H2686"/>
      <c r="I2686"/>
      <c r="J2686" s="68"/>
    </row>
    <row r="2687" spans="8:10">
      <c r="H2687"/>
      <c r="I2687"/>
      <c r="J2687" s="68"/>
    </row>
    <row r="2688" spans="8:10">
      <c r="H2688"/>
      <c r="I2688"/>
      <c r="J2688" s="68"/>
    </row>
    <row r="2689" spans="8:10">
      <c r="H2689"/>
      <c r="I2689"/>
      <c r="J2689" s="68"/>
    </row>
    <row r="2690" spans="8:10">
      <c r="H2690"/>
      <c r="I2690"/>
      <c r="J2690" s="68"/>
    </row>
    <row r="2691" spans="8:10">
      <c r="H2691"/>
      <c r="I2691"/>
      <c r="J2691" s="68"/>
    </row>
    <row r="2692" spans="8:10">
      <c r="H2692"/>
      <c r="I2692"/>
      <c r="J2692" s="68"/>
    </row>
    <row r="2693" spans="8:10">
      <c r="H2693"/>
      <c r="I2693"/>
      <c r="J2693" s="68"/>
    </row>
    <row r="2694" spans="8:10">
      <c r="H2694"/>
      <c r="I2694"/>
      <c r="J2694" s="68"/>
    </row>
    <row r="2695" spans="8:10">
      <c r="H2695"/>
      <c r="I2695"/>
      <c r="J2695" s="68"/>
    </row>
    <row r="2696" spans="8:10">
      <c r="H2696"/>
      <c r="I2696"/>
      <c r="J2696" s="68"/>
    </row>
    <row r="2697" spans="8:10">
      <c r="H2697"/>
      <c r="I2697"/>
      <c r="J2697" s="68"/>
    </row>
    <row r="2698" spans="8:10">
      <c r="H2698"/>
      <c r="I2698"/>
      <c r="J2698" s="68"/>
    </row>
    <row r="2699" spans="8:10">
      <c r="H2699"/>
      <c r="I2699"/>
      <c r="J2699" s="68"/>
    </row>
    <row r="2700" spans="8:10">
      <c r="H2700"/>
      <c r="I2700"/>
      <c r="J2700" s="68"/>
    </row>
    <row r="2701" spans="8:10">
      <c r="H2701"/>
      <c r="I2701"/>
      <c r="J2701" s="68"/>
    </row>
    <row r="2702" spans="8:10">
      <c r="H2702"/>
      <c r="I2702"/>
      <c r="J2702" s="68"/>
    </row>
    <row r="2703" spans="8:10">
      <c r="H2703"/>
      <c r="I2703"/>
      <c r="J2703" s="68"/>
    </row>
    <row r="2704" spans="8:10">
      <c r="H2704"/>
      <c r="I2704"/>
      <c r="J2704" s="68"/>
    </row>
    <row r="2705" spans="8:10">
      <c r="H2705"/>
      <c r="I2705"/>
      <c r="J2705" s="68"/>
    </row>
    <row r="2706" spans="8:10">
      <c r="H2706"/>
      <c r="I2706"/>
      <c r="J2706" s="68"/>
    </row>
    <row r="2707" spans="8:10">
      <c r="H2707"/>
      <c r="I2707"/>
      <c r="J2707" s="68"/>
    </row>
    <row r="2708" spans="8:10">
      <c r="H2708"/>
      <c r="I2708"/>
      <c r="J2708" s="68"/>
    </row>
    <row r="2709" spans="8:10">
      <c r="H2709"/>
      <c r="I2709"/>
      <c r="J2709" s="68"/>
    </row>
    <row r="2710" spans="8:10">
      <c r="H2710"/>
      <c r="I2710"/>
      <c r="J2710" s="68"/>
    </row>
    <row r="2711" spans="8:10">
      <c r="H2711"/>
      <c r="I2711"/>
      <c r="J2711" s="68"/>
    </row>
    <row r="2712" spans="8:10">
      <c r="H2712"/>
      <c r="I2712"/>
      <c r="J2712" s="68"/>
    </row>
    <row r="2713" spans="8:10">
      <c r="H2713"/>
      <c r="I2713"/>
      <c r="J2713" s="68"/>
    </row>
    <row r="2714" spans="8:10">
      <c r="H2714"/>
      <c r="I2714"/>
      <c r="J2714" s="68"/>
    </row>
    <row r="2715" spans="8:10">
      <c r="H2715"/>
      <c r="I2715"/>
      <c r="J2715" s="68"/>
    </row>
    <row r="2716" spans="8:10">
      <c r="H2716"/>
      <c r="I2716"/>
      <c r="J2716" s="68"/>
    </row>
    <row r="2717" spans="8:10">
      <c r="H2717"/>
      <c r="I2717"/>
      <c r="J2717" s="68"/>
    </row>
    <row r="2718" spans="8:10">
      <c r="H2718"/>
      <c r="I2718"/>
      <c r="J2718" s="68"/>
    </row>
    <row r="2719" spans="8:10">
      <c r="H2719"/>
      <c r="I2719"/>
      <c r="J2719" s="68"/>
    </row>
    <row r="2720" spans="8:10">
      <c r="H2720"/>
      <c r="I2720"/>
      <c r="J2720" s="68"/>
    </row>
    <row r="2721" spans="8:10">
      <c r="H2721"/>
      <c r="I2721"/>
      <c r="J2721" s="68"/>
    </row>
    <row r="2722" spans="8:10">
      <c r="H2722"/>
      <c r="I2722"/>
      <c r="J2722" s="68"/>
    </row>
    <row r="2723" spans="8:10">
      <c r="H2723"/>
      <c r="I2723"/>
      <c r="J2723" s="68"/>
    </row>
    <row r="2724" spans="8:10">
      <c r="H2724"/>
      <c r="I2724"/>
      <c r="J2724" s="68"/>
    </row>
    <row r="2725" spans="8:10">
      <c r="H2725"/>
      <c r="I2725"/>
      <c r="J2725" s="68"/>
    </row>
    <row r="2726" spans="8:10">
      <c r="H2726"/>
      <c r="I2726"/>
      <c r="J2726" s="68"/>
    </row>
    <row r="2727" spans="8:10">
      <c r="H2727"/>
      <c r="I2727"/>
      <c r="J2727" s="68"/>
    </row>
    <row r="2728" spans="8:10">
      <c r="H2728"/>
      <c r="I2728"/>
      <c r="J2728" s="68"/>
    </row>
    <row r="2729" spans="8:10">
      <c r="H2729"/>
      <c r="I2729"/>
      <c r="J2729" s="68"/>
    </row>
    <row r="2730" spans="8:10">
      <c r="H2730"/>
      <c r="I2730"/>
      <c r="J2730" s="68"/>
    </row>
    <row r="2731" spans="8:10">
      <c r="H2731"/>
      <c r="I2731"/>
      <c r="J2731" s="68"/>
    </row>
    <row r="2732" spans="8:10">
      <c r="H2732"/>
      <c r="I2732"/>
      <c r="J2732" s="68"/>
    </row>
    <row r="2733" spans="8:10">
      <c r="H2733"/>
      <c r="I2733"/>
      <c r="J2733" s="68"/>
    </row>
    <row r="2734" spans="8:10">
      <c r="H2734"/>
      <c r="I2734"/>
      <c r="J2734" s="68"/>
    </row>
    <row r="2735" spans="8:10">
      <c r="H2735"/>
      <c r="I2735"/>
      <c r="J2735" s="68"/>
    </row>
    <row r="2736" spans="8:10">
      <c r="H2736"/>
      <c r="I2736"/>
      <c r="J2736" s="68"/>
    </row>
    <row r="2737" spans="8:10">
      <c r="H2737"/>
      <c r="I2737"/>
      <c r="J2737" s="68"/>
    </row>
    <row r="2738" spans="8:10">
      <c r="H2738"/>
      <c r="I2738"/>
      <c r="J2738" s="68"/>
    </row>
    <row r="2739" spans="8:10">
      <c r="H2739"/>
      <c r="I2739"/>
      <c r="J2739" s="68"/>
    </row>
    <row r="2740" spans="8:10">
      <c r="H2740"/>
      <c r="I2740"/>
      <c r="J2740" s="68"/>
    </row>
    <row r="2741" spans="8:10">
      <c r="H2741"/>
      <c r="I2741"/>
      <c r="J2741" s="68"/>
    </row>
    <row r="2742" spans="8:10">
      <c r="H2742"/>
      <c r="I2742"/>
      <c r="J2742" s="68"/>
    </row>
    <row r="2743" spans="8:10">
      <c r="H2743"/>
      <c r="I2743"/>
      <c r="J2743" s="68"/>
    </row>
    <row r="2744" spans="8:10">
      <c r="H2744"/>
      <c r="I2744"/>
      <c r="J2744" s="68"/>
    </row>
    <row r="2745" spans="8:10">
      <c r="H2745"/>
      <c r="I2745"/>
      <c r="J2745" s="68"/>
    </row>
    <row r="2746" spans="8:10">
      <c r="H2746"/>
      <c r="I2746"/>
      <c r="J2746" s="68"/>
    </row>
    <row r="2747" spans="8:10">
      <c r="H2747"/>
      <c r="I2747"/>
      <c r="J2747" s="68"/>
    </row>
    <row r="2748" spans="8:10">
      <c r="H2748"/>
      <c r="I2748"/>
      <c r="J2748" s="68"/>
    </row>
    <row r="2749" spans="8:10">
      <c r="H2749"/>
      <c r="I2749"/>
      <c r="J2749" s="68"/>
    </row>
    <row r="2750" spans="8:10">
      <c r="H2750"/>
      <c r="I2750"/>
      <c r="J2750" s="68"/>
    </row>
    <row r="2751" spans="8:10">
      <c r="H2751"/>
      <c r="I2751"/>
      <c r="J2751" s="68"/>
    </row>
    <row r="2752" spans="8:10">
      <c r="H2752"/>
      <c r="I2752"/>
      <c r="J2752" s="68"/>
    </row>
    <row r="2753" spans="8:10">
      <c r="H2753"/>
      <c r="I2753"/>
      <c r="J2753" s="68"/>
    </row>
    <row r="2754" spans="8:10">
      <c r="H2754"/>
      <c r="I2754"/>
      <c r="J2754" s="68"/>
    </row>
    <row r="2755" spans="8:10">
      <c r="H2755"/>
      <c r="I2755"/>
      <c r="J2755" s="68"/>
    </row>
    <row r="2756" spans="8:10">
      <c r="H2756"/>
      <c r="I2756"/>
      <c r="J2756" s="68"/>
    </row>
    <row r="2757" spans="8:10">
      <c r="H2757"/>
      <c r="I2757"/>
      <c r="J2757" s="68"/>
    </row>
    <row r="2758" spans="8:10">
      <c r="H2758"/>
      <c r="I2758"/>
      <c r="J2758" s="68"/>
    </row>
    <row r="2759" spans="8:10">
      <c r="H2759"/>
      <c r="I2759"/>
      <c r="J2759" s="68"/>
    </row>
    <row r="2760" spans="8:10">
      <c r="H2760"/>
      <c r="I2760"/>
      <c r="J2760" s="68"/>
    </row>
    <row r="2761" spans="8:10">
      <c r="H2761"/>
      <c r="I2761"/>
      <c r="J2761" s="68"/>
    </row>
    <row r="2762" spans="8:10">
      <c r="H2762"/>
      <c r="I2762"/>
      <c r="J2762" s="68"/>
    </row>
    <row r="2763" spans="8:10">
      <c r="H2763"/>
      <c r="I2763"/>
      <c r="J2763" s="68"/>
    </row>
    <row r="2764" spans="8:10">
      <c r="H2764"/>
      <c r="I2764"/>
      <c r="J2764" s="68"/>
    </row>
    <row r="2765" spans="8:10">
      <c r="H2765"/>
      <c r="I2765"/>
      <c r="J2765" s="68"/>
    </row>
    <row r="2766" spans="8:10">
      <c r="H2766"/>
      <c r="I2766"/>
      <c r="J2766" s="68"/>
    </row>
    <row r="2767" spans="8:10">
      <c r="H2767"/>
      <c r="I2767"/>
      <c r="J2767" s="68"/>
    </row>
    <row r="2768" spans="8:10">
      <c r="H2768"/>
      <c r="I2768"/>
      <c r="J2768" s="68"/>
    </row>
    <row r="2769" spans="8:10">
      <c r="H2769"/>
      <c r="I2769"/>
      <c r="J2769" s="68"/>
    </row>
    <row r="2770" spans="8:10">
      <c r="H2770"/>
      <c r="I2770"/>
      <c r="J2770" s="68"/>
    </row>
    <row r="2771" spans="8:10">
      <c r="H2771"/>
      <c r="I2771"/>
      <c r="J2771" s="68"/>
    </row>
    <row r="2772" spans="8:10">
      <c r="H2772"/>
      <c r="I2772"/>
      <c r="J2772" s="68"/>
    </row>
    <row r="2773" spans="8:10">
      <c r="H2773"/>
      <c r="I2773"/>
      <c r="J2773" s="68"/>
    </row>
    <row r="2774" spans="8:10">
      <c r="H2774"/>
      <c r="I2774"/>
      <c r="J2774" s="68"/>
    </row>
    <row r="2775" spans="8:10">
      <c r="H2775"/>
      <c r="I2775"/>
      <c r="J2775" s="68"/>
    </row>
    <row r="2776" spans="8:10">
      <c r="H2776"/>
      <c r="I2776"/>
      <c r="J2776" s="68"/>
    </row>
    <row r="2777" spans="8:10">
      <c r="H2777"/>
      <c r="I2777"/>
      <c r="J2777" s="68"/>
    </row>
    <row r="2778" spans="8:10">
      <c r="H2778"/>
      <c r="I2778"/>
      <c r="J2778" s="68"/>
    </row>
    <row r="2779" spans="8:10">
      <c r="H2779"/>
      <c r="I2779"/>
      <c r="J2779" s="68"/>
    </row>
    <row r="2780" spans="8:10">
      <c r="H2780"/>
      <c r="I2780"/>
      <c r="J2780" s="68"/>
    </row>
    <row r="2781" spans="8:10">
      <c r="H2781"/>
      <c r="I2781"/>
      <c r="J2781" s="68"/>
    </row>
    <row r="2782" spans="8:10">
      <c r="H2782"/>
      <c r="I2782"/>
      <c r="J2782" s="68"/>
    </row>
    <row r="2783" spans="8:10">
      <c r="H2783"/>
      <c r="I2783"/>
      <c r="J2783" s="68"/>
    </row>
    <row r="2784" spans="8:10">
      <c r="H2784"/>
      <c r="I2784"/>
      <c r="J2784" s="68"/>
    </row>
    <row r="2785" spans="8:10">
      <c r="H2785"/>
      <c r="I2785"/>
      <c r="J2785" s="68"/>
    </row>
    <row r="2786" spans="8:10">
      <c r="H2786"/>
      <c r="I2786"/>
      <c r="J2786" s="68"/>
    </row>
    <row r="2787" spans="8:10">
      <c r="H2787"/>
      <c r="I2787"/>
      <c r="J2787" s="68"/>
    </row>
    <row r="2788" spans="8:10">
      <c r="H2788"/>
      <c r="I2788"/>
      <c r="J2788" s="68"/>
    </row>
    <row r="2789" spans="8:10">
      <c r="H2789"/>
      <c r="I2789"/>
      <c r="J2789" s="68"/>
    </row>
    <row r="2790" spans="8:10">
      <c r="H2790"/>
      <c r="I2790"/>
      <c r="J2790" s="68"/>
    </row>
    <row r="2791" spans="8:10">
      <c r="H2791"/>
      <c r="I2791"/>
      <c r="J2791" s="68"/>
    </row>
    <row r="2792" spans="8:10">
      <c r="H2792"/>
      <c r="I2792"/>
      <c r="J2792" s="68"/>
    </row>
    <row r="2793" spans="8:10">
      <c r="H2793"/>
      <c r="I2793"/>
      <c r="J2793" s="68"/>
    </row>
    <row r="2794" spans="8:10">
      <c r="H2794"/>
      <c r="I2794"/>
      <c r="J2794" s="68"/>
    </row>
    <row r="2795" spans="8:10">
      <c r="H2795"/>
      <c r="I2795"/>
      <c r="J2795" s="68"/>
    </row>
    <row r="2796" spans="8:10">
      <c r="H2796"/>
      <c r="I2796"/>
      <c r="J2796" s="68"/>
    </row>
    <row r="2797" spans="8:10">
      <c r="H2797"/>
      <c r="I2797"/>
      <c r="J2797" s="68"/>
    </row>
    <row r="2798" spans="8:10">
      <c r="H2798"/>
      <c r="I2798"/>
      <c r="J2798" s="68"/>
    </row>
    <row r="2799" spans="8:10">
      <c r="H2799"/>
      <c r="I2799"/>
      <c r="J2799" s="68"/>
    </row>
    <row r="2800" spans="8:10">
      <c r="H2800"/>
      <c r="I2800"/>
      <c r="J2800" s="68"/>
    </row>
    <row r="2801" spans="8:10">
      <c r="H2801"/>
      <c r="I2801"/>
      <c r="J2801" s="68"/>
    </row>
    <row r="2802" spans="8:10">
      <c r="H2802"/>
      <c r="I2802"/>
      <c r="J2802" s="68"/>
    </row>
    <row r="2803" spans="8:10">
      <c r="H2803"/>
      <c r="I2803"/>
      <c r="J2803" s="68"/>
    </row>
    <row r="2804" spans="8:10">
      <c r="H2804"/>
      <c r="I2804"/>
      <c r="J2804" s="68"/>
    </row>
    <row r="2805" spans="8:10">
      <c r="H2805"/>
      <c r="I2805"/>
      <c r="J2805" s="68"/>
    </row>
    <row r="2806" spans="8:10">
      <c r="H2806"/>
      <c r="I2806"/>
      <c r="J2806" s="68"/>
    </row>
    <row r="2807" spans="8:10">
      <c r="H2807"/>
      <c r="I2807"/>
      <c r="J2807" s="68"/>
    </row>
    <row r="2808" spans="8:10">
      <c r="H2808"/>
      <c r="I2808"/>
      <c r="J2808" s="68"/>
    </row>
    <row r="2809" spans="8:10">
      <c r="H2809"/>
      <c r="I2809"/>
      <c r="J2809" s="68"/>
    </row>
    <row r="2810" spans="8:10">
      <c r="H2810"/>
      <c r="I2810"/>
      <c r="J2810" s="68"/>
    </row>
    <row r="2811" spans="8:10">
      <c r="H2811"/>
      <c r="I2811"/>
      <c r="J2811" s="68"/>
    </row>
    <row r="2812" spans="8:10">
      <c r="H2812"/>
      <c r="I2812"/>
      <c r="J2812" s="68"/>
    </row>
    <row r="2813" spans="8:10">
      <c r="H2813"/>
      <c r="I2813"/>
      <c r="J2813" s="68"/>
    </row>
    <row r="2814" spans="8:10">
      <c r="H2814"/>
      <c r="I2814"/>
      <c r="J2814" s="68"/>
    </row>
    <row r="2815" spans="8:10">
      <c r="H2815"/>
      <c r="I2815"/>
      <c r="J2815" s="68"/>
    </row>
    <row r="2816" spans="8:10">
      <c r="H2816"/>
      <c r="I2816"/>
      <c r="J2816" s="68"/>
    </row>
    <row r="2817" spans="8:10">
      <c r="H2817"/>
      <c r="I2817"/>
      <c r="J2817" s="68"/>
    </row>
    <row r="2818" spans="8:10">
      <c r="H2818"/>
      <c r="I2818"/>
      <c r="J2818" s="68"/>
    </row>
    <row r="2819" spans="8:10">
      <c r="H2819"/>
      <c r="I2819"/>
      <c r="J2819" s="68"/>
    </row>
    <row r="2820" spans="8:10">
      <c r="H2820"/>
      <c r="I2820"/>
      <c r="J2820" s="68"/>
    </row>
    <row r="2821" spans="8:10">
      <c r="H2821"/>
      <c r="I2821"/>
      <c r="J2821" s="68"/>
    </row>
    <row r="2822" spans="8:10">
      <c r="H2822"/>
      <c r="I2822"/>
      <c r="J2822" s="68"/>
    </row>
    <row r="2823" spans="8:10">
      <c r="H2823"/>
      <c r="I2823"/>
      <c r="J2823" s="68"/>
    </row>
    <row r="2824" spans="8:10">
      <c r="H2824"/>
      <c r="I2824"/>
      <c r="J2824" s="68"/>
    </row>
    <row r="2825" spans="8:10">
      <c r="H2825"/>
      <c r="I2825"/>
      <c r="J2825" s="68"/>
    </row>
    <row r="2826" spans="8:10">
      <c r="H2826"/>
      <c r="I2826"/>
      <c r="J2826" s="68"/>
    </row>
    <row r="2827" spans="8:10">
      <c r="H2827"/>
      <c r="I2827"/>
      <c r="J2827" s="68"/>
    </row>
    <row r="2828" spans="8:10">
      <c r="H2828"/>
      <c r="I2828"/>
      <c r="J2828" s="68"/>
    </row>
    <row r="2829" spans="8:10">
      <c r="H2829"/>
      <c r="I2829"/>
      <c r="J2829" s="68"/>
    </row>
    <row r="2830" spans="8:10">
      <c r="H2830"/>
      <c r="I2830"/>
      <c r="J2830" s="68"/>
    </row>
    <row r="2831" spans="8:10">
      <c r="H2831"/>
      <c r="I2831"/>
      <c r="J2831" s="68"/>
    </row>
    <row r="2832" spans="8:10">
      <c r="H2832"/>
      <c r="I2832"/>
      <c r="J2832" s="68"/>
    </row>
    <row r="2833" spans="8:10">
      <c r="H2833"/>
      <c r="I2833"/>
      <c r="J2833" s="68"/>
    </row>
    <row r="2834" spans="8:10">
      <c r="H2834"/>
      <c r="I2834"/>
      <c r="J2834" s="68"/>
    </row>
    <row r="2835" spans="8:10">
      <c r="H2835"/>
      <c r="I2835"/>
      <c r="J2835" s="68"/>
    </row>
    <row r="2836" spans="8:10">
      <c r="H2836"/>
      <c r="I2836"/>
      <c r="J2836" s="68"/>
    </row>
    <row r="2837" spans="8:10">
      <c r="H2837"/>
      <c r="I2837"/>
      <c r="J2837" s="68"/>
    </row>
    <row r="2838" spans="8:10">
      <c r="H2838"/>
      <c r="I2838"/>
      <c r="J2838" s="68"/>
    </row>
    <row r="2839" spans="8:10">
      <c r="H2839"/>
      <c r="I2839"/>
      <c r="J2839" s="68"/>
    </row>
    <row r="2840" spans="8:10">
      <c r="H2840"/>
      <c r="I2840"/>
      <c r="J2840" s="68"/>
    </row>
    <row r="2841" spans="8:10">
      <c r="H2841"/>
      <c r="I2841"/>
      <c r="J2841" s="68"/>
    </row>
    <row r="2842" spans="8:10">
      <c r="H2842"/>
      <c r="I2842"/>
      <c r="J2842" s="68"/>
    </row>
    <row r="2843" spans="8:10">
      <c r="H2843"/>
      <c r="I2843"/>
      <c r="J2843" s="68"/>
    </row>
    <row r="2844" spans="8:10">
      <c r="H2844"/>
      <c r="I2844"/>
      <c r="J2844" s="68"/>
    </row>
    <row r="2845" spans="8:10">
      <c r="H2845"/>
      <c r="I2845"/>
      <c r="J2845" s="68"/>
    </row>
    <row r="2846" spans="8:10">
      <c r="H2846"/>
      <c r="I2846"/>
      <c r="J2846" s="68"/>
    </row>
    <row r="2847" spans="8:10">
      <c r="H2847"/>
      <c r="I2847"/>
      <c r="J2847" s="68"/>
    </row>
    <row r="2848" spans="8:10">
      <c r="H2848"/>
      <c r="I2848"/>
      <c r="J2848" s="68"/>
    </row>
    <row r="2849" spans="8:10">
      <c r="H2849"/>
      <c r="I2849"/>
      <c r="J2849" s="68"/>
    </row>
    <row r="2850" spans="8:10">
      <c r="H2850"/>
      <c r="I2850"/>
      <c r="J2850" s="68"/>
    </row>
    <row r="2851" spans="8:10">
      <c r="H2851"/>
      <c r="I2851"/>
      <c r="J2851" s="68"/>
    </row>
    <row r="2852" spans="8:10">
      <c r="H2852"/>
      <c r="I2852"/>
      <c r="J2852" s="68"/>
    </row>
    <row r="2853" spans="8:10">
      <c r="H2853"/>
      <c r="I2853"/>
      <c r="J2853" s="68"/>
    </row>
    <row r="2854" spans="8:10">
      <c r="H2854"/>
      <c r="I2854"/>
      <c r="J2854" s="68"/>
    </row>
    <row r="2855" spans="8:10">
      <c r="H2855"/>
      <c r="I2855"/>
      <c r="J2855" s="68"/>
    </row>
    <row r="2856" spans="8:10">
      <c r="H2856"/>
      <c r="I2856"/>
      <c r="J2856" s="68"/>
    </row>
    <row r="2857" spans="8:10">
      <c r="H2857"/>
      <c r="I2857"/>
      <c r="J2857" s="68"/>
    </row>
    <row r="2858" spans="8:10">
      <c r="H2858"/>
      <c r="I2858"/>
      <c r="J2858" s="68"/>
    </row>
    <row r="2859" spans="8:10">
      <c r="H2859"/>
      <c r="I2859"/>
      <c r="J2859" s="68"/>
    </row>
    <row r="2860" spans="8:10">
      <c r="H2860"/>
      <c r="I2860"/>
      <c r="J2860" s="68"/>
    </row>
    <row r="2861" spans="8:10">
      <c r="H2861"/>
      <c r="I2861"/>
      <c r="J2861" s="68"/>
    </row>
    <row r="2862" spans="8:10">
      <c r="H2862"/>
      <c r="I2862"/>
      <c r="J2862" s="68"/>
    </row>
    <row r="2863" spans="8:10">
      <c r="H2863"/>
      <c r="I2863"/>
      <c r="J2863" s="68"/>
    </row>
    <row r="2864" spans="8:10">
      <c r="H2864"/>
      <c r="I2864"/>
      <c r="J2864" s="68"/>
    </row>
    <row r="2865" spans="8:10">
      <c r="H2865"/>
      <c r="I2865"/>
      <c r="J2865" s="68"/>
    </row>
    <row r="2866" spans="8:10">
      <c r="H2866"/>
      <c r="I2866"/>
      <c r="J2866" s="68"/>
    </row>
    <row r="2867" spans="8:10">
      <c r="H2867"/>
      <c r="I2867"/>
      <c r="J2867" s="68"/>
    </row>
    <row r="2868" spans="8:10">
      <c r="H2868"/>
      <c r="I2868"/>
      <c r="J2868" s="68"/>
    </row>
    <row r="2869" spans="8:10">
      <c r="H2869"/>
      <c r="I2869"/>
      <c r="J2869" s="68"/>
    </row>
    <row r="2870" spans="8:10">
      <c r="H2870"/>
      <c r="I2870"/>
      <c r="J2870" s="68"/>
    </row>
    <row r="2871" spans="8:10">
      <c r="H2871"/>
      <c r="I2871"/>
      <c r="J2871" s="68"/>
    </row>
    <row r="2872" spans="8:10">
      <c r="H2872"/>
      <c r="I2872"/>
      <c r="J2872" s="68"/>
    </row>
    <row r="2873" spans="8:10">
      <c r="H2873"/>
      <c r="I2873"/>
      <c r="J2873" s="68"/>
    </row>
    <row r="2874" spans="8:10">
      <c r="H2874"/>
      <c r="I2874"/>
      <c r="J2874" s="68"/>
    </row>
    <row r="2875" spans="8:10">
      <c r="H2875"/>
      <c r="I2875"/>
      <c r="J2875" s="68"/>
    </row>
    <row r="2876" spans="8:10">
      <c r="H2876"/>
      <c r="I2876"/>
      <c r="J2876" s="68"/>
    </row>
    <row r="2877" spans="8:10">
      <c r="H2877"/>
      <c r="I2877"/>
      <c r="J2877" s="68"/>
    </row>
    <row r="2878" spans="8:10">
      <c r="H2878"/>
      <c r="I2878"/>
      <c r="J2878" s="68"/>
    </row>
    <row r="2879" spans="8:10">
      <c r="H2879"/>
      <c r="I2879"/>
      <c r="J2879" s="68"/>
    </row>
    <row r="2880" spans="8:10">
      <c r="H2880"/>
      <c r="I2880"/>
      <c r="J2880" s="68"/>
    </row>
    <row r="2881" spans="8:10">
      <c r="H2881"/>
      <c r="I2881"/>
      <c r="J2881" s="68"/>
    </row>
    <row r="2882" spans="8:10">
      <c r="H2882"/>
      <c r="I2882"/>
      <c r="J2882" s="68"/>
    </row>
    <row r="2883" spans="8:10">
      <c r="H2883"/>
      <c r="I2883"/>
      <c r="J2883" s="68"/>
    </row>
    <row r="2884" spans="8:10">
      <c r="H2884"/>
      <c r="I2884"/>
      <c r="J2884" s="68"/>
    </row>
    <row r="2885" spans="8:10">
      <c r="H2885"/>
      <c r="I2885"/>
      <c r="J2885" s="68"/>
    </row>
    <row r="2886" spans="8:10">
      <c r="H2886"/>
      <c r="I2886"/>
      <c r="J2886" s="68"/>
    </row>
    <row r="2887" spans="8:10">
      <c r="H2887"/>
      <c r="I2887"/>
      <c r="J2887" s="68"/>
    </row>
    <row r="2888" spans="8:10">
      <c r="H2888"/>
      <c r="I2888"/>
      <c r="J2888" s="68"/>
    </row>
    <row r="2889" spans="8:10">
      <c r="H2889"/>
      <c r="I2889"/>
      <c r="J2889" s="68"/>
    </row>
    <row r="2890" spans="8:10">
      <c r="H2890"/>
      <c r="I2890"/>
      <c r="J2890" s="68"/>
    </row>
    <row r="2891" spans="8:10">
      <c r="H2891"/>
      <c r="I2891"/>
      <c r="J2891" s="68"/>
    </row>
    <row r="2892" spans="8:10">
      <c r="H2892"/>
      <c r="I2892"/>
      <c r="J2892" s="68"/>
    </row>
    <row r="2893" spans="8:10">
      <c r="H2893"/>
      <c r="I2893"/>
      <c r="J2893" s="68"/>
    </row>
    <row r="2894" spans="8:10">
      <c r="H2894"/>
      <c r="I2894"/>
      <c r="J2894" s="68"/>
    </row>
    <row r="2895" spans="8:10">
      <c r="H2895"/>
      <c r="I2895"/>
      <c r="J2895" s="68"/>
    </row>
    <row r="2896" spans="8:10">
      <c r="H2896"/>
      <c r="I2896"/>
      <c r="J2896" s="68"/>
    </row>
    <row r="2897" spans="8:10">
      <c r="H2897"/>
      <c r="I2897"/>
      <c r="J2897" s="68"/>
    </row>
    <row r="2898" spans="8:10">
      <c r="H2898"/>
      <c r="I2898"/>
      <c r="J2898" s="68"/>
    </row>
    <row r="2899" spans="8:10">
      <c r="H2899"/>
      <c r="I2899"/>
      <c r="J2899" s="68"/>
    </row>
    <row r="2900" spans="8:10">
      <c r="H2900"/>
      <c r="I2900"/>
      <c r="J2900" s="68"/>
    </row>
    <row r="2901" spans="8:10">
      <c r="H2901"/>
      <c r="I2901"/>
      <c r="J2901" s="68"/>
    </row>
    <row r="2902" spans="8:10">
      <c r="H2902"/>
      <c r="I2902"/>
      <c r="J2902" s="68"/>
    </row>
    <row r="2903" spans="8:10">
      <c r="H2903"/>
      <c r="I2903"/>
      <c r="J2903" s="68"/>
    </row>
    <row r="2904" spans="8:10">
      <c r="H2904"/>
      <c r="I2904"/>
      <c r="J2904" s="68"/>
    </row>
    <row r="2905" spans="8:10">
      <c r="H2905"/>
      <c r="I2905"/>
      <c r="J2905" s="68"/>
    </row>
    <row r="2906" spans="8:10">
      <c r="H2906"/>
      <c r="I2906"/>
      <c r="J2906" s="68"/>
    </row>
    <row r="2907" spans="8:10">
      <c r="H2907"/>
      <c r="I2907"/>
      <c r="J2907" s="68"/>
    </row>
    <row r="2908" spans="8:10">
      <c r="H2908"/>
      <c r="I2908"/>
      <c r="J2908" s="68"/>
    </row>
    <row r="2909" spans="8:10">
      <c r="H2909"/>
      <c r="I2909"/>
      <c r="J2909" s="68"/>
    </row>
    <row r="2910" spans="8:10">
      <c r="H2910"/>
      <c r="I2910"/>
      <c r="J2910" s="68"/>
    </row>
    <row r="2911" spans="8:10">
      <c r="H2911"/>
      <c r="I2911"/>
      <c r="J2911" s="68"/>
    </row>
    <row r="2912" spans="8:10">
      <c r="H2912"/>
      <c r="I2912"/>
      <c r="J2912" s="68"/>
    </row>
    <row r="2913" spans="8:10">
      <c r="H2913"/>
      <c r="I2913"/>
      <c r="J2913" s="68"/>
    </row>
    <row r="2914" spans="8:10">
      <c r="H2914"/>
      <c r="I2914"/>
      <c r="J2914" s="68"/>
    </row>
    <row r="2915" spans="8:10">
      <c r="H2915"/>
      <c r="I2915"/>
      <c r="J2915" s="68"/>
    </row>
    <row r="2916" spans="8:10">
      <c r="H2916"/>
      <c r="I2916"/>
      <c r="J2916" s="68"/>
    </row>
    <row r="2917" spans="8:10">
      <c r="H2917"/>
      <c r="I2917"/>
      <c r="J2917" s="68"/>
    </row>
    <row r="2918" spans="8:10">
      <c r="H2918"/>
      <c r="I2918"/>
      <c r="J2918" s="68"/>
    </row>
    <row r="2919" spans="8:10">
      <c r="H2919"/>
      <c r="I2919"/>
      <c r="J2919" s="68"/>
    </row>
    <row r="2920" spans="8:10">
      <c r="H2920"/>
      <c r="I2920"/>
      <c r="J2920" s="68"/>
    </row>
    <row r="2921" spans="8:10">
      <c r="H2921"/>
      <c r="I2921"/>
      <c r="J2921" s="68"/>
    </row>
    <row r="2922" spans="8:10">
      <c r="H2922"/>
      <c r="I2922"/>
      <c r="J2922" s="68"/>
    </row>
    <row r="2923" spans="8:10">
      <c r="H2923"/>
      <c r="I2923"/>
      <c r="J2923" s="68"/>
    </row>
    <row r="2924" spans="8:10">
      <c r="H2924"/>
      <c r="I2924"/>
      <c r="J2924" s="68"/>
    </row>
    <row r="2925" spans="8:10">
      <c r="H2925"/>
      <c r="I2925"/>
      <c r="J2925" s="68"/>
    </row>
    <row r="2926" spans="8:10">
      <c r="H2926"/>
      <c r="I2926"/>
      <c r="J2926" s="68"/>
    </row>
    <row r="2927" spans="8:10">
      <c r="H2927"/>
      <c r="I2927"/>
      <c r="J2927" s="68"/>
    </row>
    <row r="2928" spans="8:10">
      <c r="H2928"/>
      <c r="I2928"/>
      <c r="J2928" s="68"/>
    </row>
    <row r="2929" spans="8:10">
      <c r="H2929"/>
      <c r="I2929"/>
      <c r="J2929" s="68"/>
    </row>
    <row r="2930" spans="8:10">
      <c r="H2930"/>
      <c r="I2930"/>
      <c r="J2930" s="68"/>
    </row>
    <row r="2931" spans="8:10">
      <c r="H2931"/>
      <c r="I2931"/>
      <c r="J2931" s="68"/>
    </row>
    <row r="2932" spans="8:10">
      <c r="H2932"/>
      <c r="I2932"/>
      <c r="J2932" s="68"/>
    </row>
    <row r="2933" spans="8:10">
      <c r="H2933"/>
      <c r="I2933"/>
      <c r="J2933" s="68"/>
    </row>
    <row r="2934" spans="8:10">
      <c r="H2934"/>
      <c r="I2934"/>
      <c r="J2934" s="68"/>
    </row>
    <row r="2935" spans="8:10">
      <c r="H2935"/>
      <c r="I2935"/>
      <c r="J2935" s="68"/>
    </row>
    <row r="2936" spans="8:10">
      <c r="H2936"/>
      <c r="I2936"/>
      <c r="J2936" s="68"/>
    </row>
    <row r="2937" spans="8:10">
      <c r="H2937"/>
      <c r="I2937"/>
      <c r="J2937" s="68"/>
    </row>
    <row r="2938" spans="8:10">
      <c r="H2938"/>
      <c r="I2938"/>
      <c r="J2938" s="68"/>
    </row>
    <row r="2939" spans="8:10">
      <c r="H2939"/>
      <c r="I2939"/>
      <c r="J2939" s="68"/>
    </row>
    <row r="2940" spans="8:10">
      <c r="H2940"/>
      <c r="I2940"/>
      <c r="J2940" s="68"/>
    </row>
    <row r="2941" spans="8:10">
      <c r="H2941"/>
      <c r="I2941"/>
      <c r="J2941" s="68"/>
    </row>
    <row r="2942" spans="8:10">
      <c r="H2942"/>
      <c r="I2942"/>
      <c r="J2942" s="68"/>
    </row>
    <row r="2943" spans="8:10">
      <c r="H2943"/>
      <c r="I2943"/>
      <c r="J2943" s="68"/>
    </row>
    <row r="2944" spans="8:10">
      <c r="H2944"/>
      <c r="I2944"/>
      <c r="J2944" s="68"/>
    </row>
    <row r="2945" spans="8:10">
      <c r="H2945"/>
      <c r="I2945"/>
      <c r="J2945" s="68"/>
    </row>
    <row r="2946" spans="8:10">
      <c r="H2946"/>
      <c r="I2946"/>
      <c r="J2946" s="68"/>
    </row>
    <row r="2947" spans="8:10">
      <c r="H2947"/>
      <c r="I2947"/>
      <c r="J2947" s="68"/>
    </row>
    <row r="2948" spans="8:10">
      <c r="H2948"/>
      <c r="I2948"/>
      <c r="J2948" s="68"/>
    </row>
    <row r="2949" spans="8:10">
      <c r="H2949"/>
      <c r="I2949"/>
      <c r="J2949" s="68"/>
    </row>
    <row r="2950" spans="8:10">
      <c r="H2950"/>
      <c r="I2950"/>
      <c r="J2950" s="68"/>
    </row>
    <row r="2951" spans="8:10">
      <c r="H2951"/>
      <c r="I2951"/>
      <c r="J2951" s="68"/>
    </row>
    <row r="2952" spans="8:10">
      <c r="H2952"/>
      <c r="I2952"/>
      <c r="J2952" s="68"/>
    </row>
    <row r="2953" spans="8:10">
      <c r="H2953"/>
      <c r="I2953"/>
      <c r="J2953" s="68"/>
    </row>
    <row r="2954" spans="8:10">
      <c r="H2954"/>
      <c r="I2954"/>
      <c r="J2954" s="68"/>
    </row>
    <row r="2955" spans="8:10">
      <c r="H2955"/>
      <c r="I2955"/>
      <c r="J2955" s="68"/>
    </row>
    <row r="2956" spans="8:10">
      <c r="H2956"/>
      <c r="I2956"/>
      <c r="J2956" s="68"/>
    </row>
    <row r="2957" spans="8:10">
      <c r="H2957"/>
      <c r="I2957"/>
      <c r="J2957" s="68"/>
    </row>
    <row r="2958" spans="8:10">
      <c r="H2958"/>
      <c r="I2958"/>
      <c r="J2958" s="68"/>
    </row>
    <row r="2959" spans="8:10">
      <c r="H2959"/>
      <c r="I2959"/>
      <c r="J2959" s="68"/>
    </row>
    <row r="2960" spans="8:10">
      <c r="H2960"/>
      <c r="I2960"/>
      <c r="J2960" s="68"/>
    </row>
    <row r="2961" spans="8:10">
      <c r="H2961"/>
      <c r="I2961"/>
      <c r="J2961" s="68"/>
    </row>
    <row r="2962" spans="8:10">
      <c r="H2962"/>
      <c r="I2962"/>
      <c r="J2962" s="68"/>
    </row>
    <row r="2963" spans="8:10">
      <c r="H2963"/>
      <c r="I2963"/>
      <c r="J2963" s="68"/>
    </row>
    <row r="2964" spans="8:10">
      <c r="H2964"/>
      <c r="I2964"/>
      <c r="J2964" s="68"/>
    </row>
    <row r="2965" spans="8:10">
      <c r="H2965"/>
      <c r="I2965"/>
      <c r="J2965" s="68"/>
    </row>
    <row r="2966" spans="8:10">
      <c r="H2966"/>
      <c r="I2966"/>
      <c r="J2966" s="68"/>
    </row>
    <row r="2967" spans="8:10">
      <c r="H2967"/>
      <c r="I2967"/>
      <c r="J2967" s="68"/>
    </row>
    <row r="2968" spans="8:10">
      <c r="H2968"/>
      <c r="I2968"/>
      <c r="J2968" s="68"/>
    </row>
    <row r="2969" spans="8:10">
      <c r="H2969"/>
      <c r="I2969"/>
      <c r="J2969" s="68"/>
    </row>
    <row r="2970" spans="8:10">
      <c r="H2970"/>
      <c r="I2970"/>
      <c r="J2970" s="68"/>
    </row>
    <row r="2971" spans="8:10">
      <c r="H2971"/>
      <c r="I2971"/>
      <c r="J2971" s="68"/>
    </row>
    <row r="2972" spans="8:10">
      <c r="H2972"/>
      <c r="I2972"/>
      <c r="J2972" s="68"/>
    </row>
    <row r="2973" spans="8:10">
      <c r="H2973"/>
      <c r="I2973"/>
      <c r="J2973" s="68"/>
    </row>
    <row r="2974" spans="8:10">
      <c r="H2974"/>
      <c r="I2974"/>
      <c r="J2974" s="68"/>
    </row>
    <row r="2975" spans="8:10">
      <c r="H2975"/>
      <c r="I2975"/>
      <c r="J2975" s="68"/>
    </row>
    <row r="2976" spans="8:10">
      <c r="H2976"/>
      <c r="I2976"/>
      <c r="J2976" s="68"/>
    </row>
    <row r="2977" spans="8:10">
      <c r="H2977"/>
      <c r="I2977"/>
      <c r="J2977" s="68"/>
    </row>
    <row r="2978" spans="8:10">
      <c r="H2978"/>
      <c r="I2978"/>
      <c r="J2978" s="68"/>
    </row>
    <row r="2979" spans="8:10">
      <c r="H2979"/>
      <c r="I2979"/>
      <c r="J2979" s="68"/>
    </row>
    <row r="2980" spans="8:10">
      <c r="H2980"/>
      <c r="I2980"/>
      <c r="J2980" s="68"/>
    </row>
    <row r="2981" spans="8:10">
      <c r="H2981"/>
      <c r="I2981"/>
      <c r="J2981" s="68"/>
    </row>
    <row r="2982" spans="8:10">
      <c r="H2982"/>
      <c r="I2982"/>
      <c r="J2982" s="68"/>
    </row>
    <row r="2983" spans="8:10">
      <c r="H2983"/>
      <c r="I2983"/>
      <c r="J2983" s="68"/>
    </row>
    <row r="2984" spans="8:10">
      <c r="H2984"/>
      <c r="I2984"/>
      <c r="J2984" s="68"/>
    </row>
    <row r="2985" spans="8:10">
      <c r="H2985"/>
      <c r="I2985"/>
      <c r="J2985" s="68"/>
    </row>
    <row r="2986" spans="8:10">
      <c r="H2986"/>
      <c r="I2986"/>
      <c r="J2986" s="68"/>
    </row>
    <row r="2987" spans="8:10">
      <c r="H2987"/>
      <c r="I2987"/>
      <c r="J2987" s="68"/>
    </row>
    <row r="2988" spans="8:10">
      <c r="H2988"/>
      <c r="I2988"/>
      <c r="J2988" s="68"/>
    </row>
    <row r="2989" spans="8:10">
      <c r="H2989"/>
      <c r="I2989"/>
      <c r="J2989" s="68"/>
    </row>
    <row r="2990" spans="8:10">
      <c r="H2990"/>
      <c r="I2990"/>
      <c r="J2990" s="68"/>
    </row>
    <row r="2991" spans="8:10">
      <c r="H2991"/>
      <c r="I2991"/>
      <c r="J2991" s="68"/>
    </row>
    <row r="2992" spans="8:10">
      <c r="H2992"/>
      <c r="I2992"/>
      <c r="J2992" s="68"/>
    </row>
    <row r="2993" spans="8:10">
      <c r="H2993"/>
      <c r="I2993"/>
      <c r="J2993" s="68"/>
    </row>
    <row r="2994" spans="8:10">
      <c r="H2994"/>
      <c r="I2994"/>
      <c r="J2994" s="68"/>
    </row>
    <row r="2995" spans="8:10">
      <c r="H2995"/>
      <c r="I2995"/>
      <c r="J2995" s="68"/>
    </row>
    <row r="2996" spans="8:10">
      <c r="H2996"/>
      <c r="I2996"/>
      <c r="J2996" s="68"/>
    </row>
    <row r="2997" spans="8:10">
      <c r="H2997"/>
      <c r="I2997"/>
      <c r="J2997" s="68"/>
    </row>
    <row r="2998" spans="8:10">
      <c r="H2998"/>
      <c r="I2998"/>
      <c r="J2998" s="68"/>
    </row>
    <row r="2999" spans="8:10">
      <c r="H2999"/>
      <c r="I2999"/>
      <c r="J2999" s="68"/>
    </row>
    <row r="3000" spans="8:10">
      <c r="H3000"/>
      <c r="I3000"/>
      <c r="J3000" s="68"/>
    </row>
    <row r="3001" spans="8:10">
      <c r="H3001"/>
      <c r="I3001"/>
      <c r="J3001" s="68"/>
    </row>
    <row r="3002" spans="8:10">
      <c r="H3002"/>
      <c r="I3002"/>
      <c r="J3002" s="68"/>
    </row>
    <row r="3003" spans="8:10">
      <c r="H3003"/>
      <c r="I3003"/>
      <c r="J3003" s="68"/>
    </row>
    <row r="3004" spans="8:10">
      <c r="H3004"/>
      <c r="I3004"/>
      <c r="J3004" s="68"/>
    </row>
    <row r="3005" spans="8:10">
      <c r="H3005"/>
      <c r="I3005"/>
      <c r="J3005" s="68"/>
    </row>
    <row r="3006" spans="8:10">
      <c r="H3006"/>
      <c r="I3006"/>
      <c r="J3006" s="68"/>
    </row>
    <row r="3007" spans="8:10">
      <c r="H3007"/>
      <c r="I3007"/>
      <c r="J3007" s="68"/>
    </row>
    <row r="3008" spans="8:10">
      <c r="H3008"/>
      <c r="I3008"/>
      <c r="J3008" s="68"/>
    </row>
    <row r="3009" spans="8:10">
      <c r="H3009"/>
      <c r="I3009"/>
      <c r="J3009" s="68"/>
    </row>
    <row r="3010" spans="8:10">
      <c r="H3010"/>
      <c r="I3010"/>
      <c r="J3010" s="68"/>
    </row>
    <row r="3011" spans="8:10">
      <c r="H3011"/>
      <c r="I3011"/>
      <c r="J3011" s="68"/>
    </row>
    <row r="3012" spans="8:10">
      <c r="H3012"/>
      <c r="I3012"/>
      <c r="J3012" s="68"/>
    </row>
    <row r="3013" spans="8:10">
      <c r="H3013"/>
      <c r="I3013"/>
      <c r="J3013" s="68"/>
    </row>
    <row r="3014" spans="8:10">
      <c r="H3014"/>
      <c r="I3014"/>
      <c r="J3014" s="68"/>
    </row>
    <row r="3015" spans="8:10">
      <c r="H3015"/>
      <c r="I3015"/>
      <c r="J3015" s="68"/>
    </row>
    <row r="3016" spans="8:10">
      <c r="H3016"/>
      <c r="I3016"/>
      <c r="J3016" s="68"/>
    </row>
    <row r="3017" spans="8:10">
      <c r="H3017"/>
      <c r="I3017"/>
      <c r="J3017" s="68"/>
    </row>
    <row r="3018" spans="8:10">
      <c r="H3018"/>
      <c r="I3018"/>
      <c r="J3018" s="68"/>
    </row>
    <row r="3019" spans="8:10">
      <c r="H3019"/>
      <c r="I3019"/>
      <c r="J3019" s="68"/>
    </row>
    <row r="3020" spans="8:10">
      <c r="H3020"/>
      <c r="I3020"/>
      <c r="J3020" s="68"/>
    </row>
    <row r="3021" spans="8:10">
      <c r="H3021"/>
      <c r="I3021"/>
      <c r="J3021" s="68"/>
    </row>
    <row r="3022" spans="8:10">
      <c r="H3022"/>
      <c r="I3022"/>
      <c r="J3022" s="68"/>
    </row>
    <row r="3023" spans="8:10">
      <c r="H3023"/>
      <c r="I3023"/>
      <c r="J3023" s="68"/>
    </row>
    <row r="3024" spans="8:10">
      <c r="H3024"/>
      <c r="I3024"/>
      <c r="J3024" s="68"/>
    </row>
    <row r="3025" spans="8:10">
      <c r="H3025"/>
      <c r="I3025"/>
      <c r="J3025" s="68"/>
    </row>
    <row r="3026" spans="8:10">
      <c r="H3026"/>
      <c r="I3026"/>
      <c r="J3026" s="68"/>
    </row>
    <row r="3027" spans="8:10">
      <c r="H3027"/>
      <c r="I3027"/>
      <c r="J3027" s="68"/>
    </row>
    <row r="3028" spans="8:10">
      <c r="H3028"/>
      <c r="I3028"/>
      <c r="J3028" s="68"/>
    </row>
    <row r="3029" spans="8:10">
      <c r="H3029"/>
      <c r="I3029"/>
      <c r="J3029" s="68"/>
    </row>
    <row r="3030" spans="8:10">
      <c r="H3030"/>
      <c r="I3030"/>
      <c r="J3030" s="68"/>
    </row>
    <row r="3031" spans="8:10">
      <c r="H3031"/>
      <c r="I3031"/>
      <c r="J3031" s="68"/>
    </row>
    <row r="3032" spans="8:10">
      <c r="H3032"/>
      <c r="I3032"/>
      <c r="J3032" s="68"/>
    </row>
    <row r="3033" spans="8:10">
      <c r="H3033"/>
      <c r="I3033"/>
      <c r="J3033" s="68"/>
    </row>
    <row r="3034" spans="8:10">
      <c r="H3034"/>
      <c r="I3034"/>
      <c r="J3034" s="68"/>
    </row>
    <row r="3035" spans="8:10">
      <c r="H3035"/>
      <c r="I3035"/>
      <c r="J3035" s="68"/>
    </row>
    <row r="3036" spans="8:10">
      <c r="H3036"/>
      <c r="I3036"/>
      <c r="J3036" s="68"/>
    </row>
    <row r="3037" spans="8:10">
      <c r="H3037"/>
      <c r="I3037"/>
      <c r="J3037" s="68"/>
    </row>
    <row r="3038" spans="8:10">
      <c r="H3038"/>
      <c r="I3038"/>
      <c r="J3038" s="68"/>
    </row>
    <row r="3039" spans="8:10">
      <c r="H3039"/>
      <c r="I3039"/>
      <c r="J3039" s="68"/>
    </row>
    <row r="3040" spans="8:10">
      <c r="H3040"/>
      <c r="I3040"/>
      <c r="J3040" s="68"/>
    </row>
    <row r="3041" spans="8:10">
      <c r="H3041"/>
      <c r="I3041"/>
      <c r="J3041" s="68"/>
    </row>
    <row r="3042" spans="8:10">
      <c r="H3042"/>
      <c r="I3042"/>
      <c r="J3042" s="68"/>
    </row>
    <row r="3043" spans="8:10">
      <c r="H3043"/>
      <c r="I3043"/>
      <c r="J3043" s="68"/>
    </row>
    <row r="3044" spans="8:10">
      <c r="H3044"/>
      <c r="I3044"/>
      <c r="J3044" s="68"/>
    </row>
    <row r="3045" spans="8:10">
      <c r="H3045"/>
      <c r="I3045"/>
      <c r="J3045" s="68"/>
    </row>
    <row r="3046" spans="8:10">
      <c r="H3046"/>
      <c r="I3046"/>
      <c r="J3046" s="68"/>
    </row>
    <row r="3047" spans="8:10">
      <c r="H3047"/>
      <c r="I3047"/>
      <c r="J3047" s="68"/>
    </row>
    <row r="3048" spans="8:10">
      <c r="H3048"/>
      <c r="I3048"/>
      <c r="J3048" s="68"/>
    </row>
    <row r="3049" spans="8:10">
      <c r="H3049"/>
      <c r="I3049"/>
      <c r="J3049" s="68"/>
    </row>
    <row r="3050" spans="8:10">
      <c r="H3050"/>
      <c r="I3050"/>
      <c r="J3050" s="68"/>
    </row>
    <row r="3051" spans="8:10">
      <c r="H3051"/>
      <c r="I3051"/>
      <c r="J3051" s="68"/>
    </row>
    <row r="3052" spans="8:10">
      <c r="H3052"/>
      <c r="I3052"/>
      <c r="J3052" s="68"/>
    </row>
    <row r="3053" spans="8:10">
      <c r="H3053"/>
      <c r="I3053"/>
      <c r="J3053" s="68"/>
    </row>
    <row r="3054" spans="8:10">
      <c r="H3054"/>
      <c r="I3054"/>
      <c r="J3054" s="68"/>
    </row>
    <row r="3055" spans="8:10">
      <c r="H3055"/>
      <c r="I3055"/>
      <c r="J3055" s="68"/>
    </row>
    <row r="3056" spans="8:10">
      <c r="H3056"/>
      <c r="I3056"/>
      <c r="J3056" s="68"/>
    </row>
    <row r="3057" spans="8:10">
      <c r="H3057"/>
      <c r="I3057"/>
      <c r="J3057" s="68"/>
    </row>
    <row r="3058" spans="8:10">
      <c r="H3058"/>
      <c r="I3058"/>
      <c r="J3058" s="68"/>
    </row>
    <row r="3059" spans="8:10">
      <c r="H3059"/>
      <c r="I3059"/>
      <c r="J3059" s="68"/>
    </row>
    <row r="3060" spans="8:10">
      <c r="H3060"/>
      <c r="I3060"/>
      <c r="J3060" s="68"/>
    </row>
    <row r="3061" spans="8:10">
      <c r="H3061"/>
      <c r="I3061"/>
      <c r="J3061" s="68"/>
    </row>
    <row r="3062" spans="8:10">
      <c r="H3062"/>
      <c r="I3062"/>
      <c r="J3062" s="68"/>
    </row>
    <row r="3063" spans="8:10">
      <c r="H3063"/>
      <c r="I3063"/>
      <c r="J3063" s="68"/>
    </row>
    <row r="3064" spans="8:10">
      <c r="H3064"/>
      <c r="I3064"/>
      <c r="J3064" s="68"/>
    </row>
    <row r="3065" spans="8:10">
      <c r="H3065"/>
      <c r="I3065"/>
      <c r="J3065" s="68"/>
    </row>
    <row r="3066" spans="8:10">
      <c r="H3066"/>
      <c r="I3066"/>
      <c r="J3066" s="68"/>
    </row>
    <row r="3067" spans="8:10">
      <c r="H3067"/>
      <c r="I3067"/>
      <c r="J3067" s="68"/>
    </row>
    <row r="3068" spans="8:10">
      <c r="H3068"/>
      <c r="I3068"/>
      <c r="J3068" s="68"/>
    </row>
    <row r="3069" spans="8:10">
      <c r="H3069"/>
      <c r="I3069"/>
      <c r="J3069" s="68"/>
    </row>
    <row r="3070" spans="8:10">
      <c r="H3070"/>
      <c r="I3070"/>
      <c r="J3070" s="68"/>
    </row>
    <row r="3071" spans="8:10">
      <c r="H3071"/>
      <c r="I3071"/>
      <c r="J3071" s="68"/>
    </row>
    <row r="3072" spans="8:10">
      <c r="H3072"/>
      <c r="I3072"/>
      <c r="J3072" s="68"/>
    </row>
    <row r="3073" spans="8:10">
      <c r="H3073"/>
      <c r="I3073"/>
      <c r="J3073" s="68"/>
    </row>
    <row r="3074" spans="8:10">
      <c r="H3074"/>
      <c r="I3074"/>
      <c r="J3074" s="68"/>
    </row>
    <row r="3075" spans="8:10">
      <c r="H3075"/>
      <c r="I3075"/>
      <c r="J3075" s="68"/>
    </row>
    <row r="3076" spans="8:10">
      <c r="H3076"/>
      <c r="I3076"/>
      <c r="J3076" s="68"/>
    </row>
    <row r="3077" spans="8:10">
      <c r="H3077"/>
      <c r="I3077"/>
      <c r="J3077" s="68"/>
    </row>
    <row r="3078" spans="8:10">
      <c r="H3078"/>
      <c r="I3078"/>
      <c r="J3078" s="68"/>
    </row>
    <row r="3079" spans="8:10">
      <c r="H3079"/>
      <c r="I3079"/>
      <c r="J3079" s="68"/>
    </row>
    <row r="3080" spans="8:10">
      <c r="H3080"/>
      <c r="I3080"/>
      <c r="J3080" s="68"/>
    </row>
    <row r="3081" spans="8:10">
      <c r="H3081"/>
      <c r="I3081"/>
      <c r="J3081" s="68"/>
    </row>
    <row r="3082" spans="8:10">
      <c r="H3082"/>
      <c r="I3082"/>
      <c r="J3082" s="68"/>
    </row>
    <row r="3083" spans="8:10">
      <c r="H3083"/>
      <c r="I3083"/>
      <c r="J3083" s="68"/>
    </row>
    <row r="3084" spans="8:10">
      <c r="H3084"/>
      <c r="I3084"/>
      <c r="J3084" s="68"/>
    </row>
    <row r="3085" spans="8:10">
      <c r="H3085"/>
      <c r="I3085"/>
      <c r="J3085" s="68"/>
    </row>
    <row r="3086" spans="8:10">
      <c r="H3086"/>
      <c r="I3086"/>
      <c r="J3086" s="68"/>
    </row>
    <row r="3087" spans="8:10">
      <c r="H3087"/>
      <c r="I3087"/>
      <c r="J3087" s="68"/>
    </row>
    <row r="3088" spans="8:10">
      <c r="H3088"/>
      <c r="I3088"/>
      <c r="J3088" s="68"/>
    </row>
    <row r="3089" spans="8:10">
      <c r="H3089"/>
      <c r="I3089"/>
      <c r="J3089" s="68"/>
    </row>
    <row r="3090" spans="8:10">
      <c r="H3090"/>
      <c r="I3090"/>
      <c r="J3090" s="68"/>
    </row>
    <row r="3091" spans="8:10">
      <c r="H3091"/>
      <c r="I3091"/>
      <c r="J3091" s="68"/>
    </row>
    <row r="3092" spans="8:10">
      <c r="H3092"/>
      <c r="I3092"/>
      <c r="J3092" s="68"/>
    </row>
    <row r="3093" spans="8:10">
      <c r="H3093"/>
      <c r="I3093"/>
      <c r="J3093" s="68"/>
    </row>
    <row r="3094" spans="8:10">
      <c r="H3094"/>
      <c r="I3094"/>
      <c r="J3094" s="68"/>
    </row>
    <row r="3095" spans="8:10">
      <c r="H3095"/>
      <c r="I3095"/>
      <c r="J3095" s="68"/>
    </row>
    <row r="3096" spans="8:10">
      <c r="H3096"/>
      <c r="I3096"/>
      <c r="J3096" s="68"/>
    </row>
    <row r="3097" spans="8:10">
      <c r="H3097"/>
      <c r="I3097"/>
      <c r="J3097" s="68"/>
    </row>
    <row r="3098" spans="8:10">
      <c r="H3098"/>
      <c r="I3098"/>
      <c r="J3098" s="68"/>
    </row>
    <row r="3099" spans="8:10">
      <c r="H3099"/>
      <c r="I3099"/>
      <c r="J3099" s="68"/>
    </row>
    <row r="3100" spans="8:10">
      <c r="H3100"/>
      <c r="I3100"/>
      <c r="J3100" s="68"/>
    </row>
    <row r="3101" spans="8:10">
      <c r="H3101"/>
      <c r="I3101"/>
      <c r="J3101" s="68"/>
    </row>
    <row r="3102" spans="8:10">
      <c r="H3102"/>
      <c r="I3102"/>
      <c r="J3102" s="68"/>
    </row>
    <row r="3103" spans="8:10">
      <c r="H3103"/>
      <c r="I3103"/>
      <c r="J3103" s="68"/>
    </row>
    <row r="3104" spans="8:10">
      <c r="H3104"/>
      <c r="I3104"/>
      <c r="J3104" s="68"/>
    </row>
    <row r="3105" spans="8:10">
      <c r="H3105"/>
      <c r="I3105"/>
      <c r="J3105" s="68"/>
    </row>
    <row r="3106" spans="8:10">
      <c r="H3106"/>
      <c r="I3106"/>
      <c r="J3106" s="68"/>
    </row>
    <row r="3107" spans="8:10">
      <c r="H3107"/>
      <c r="I3107"/>
      <c r="J3107" s="68"/>
    </row>
    <row r="3108" spans="8:10">
      <c r="H3108"/>
      <c r="I3108"/>
      <c r="J3108" s="68"/>
    </row>
    <row r="3109" spans="8:10">
      <c r="H3109"/>
      <c r="I3109"/>
      <c r="J3109" s="68"/>
    </row>
    <row r="3110" spans="8:10">
      <c r="H3110"/>
      <c r="I3110"/>
      <c r="J3110" s="68"/>
    </row>
    <row r="3111" spans="8:10">
      <c r="H3111"/>
      <c r="I3111"/>
      <c r="J3111" s="68"/>
    </row>
    <row r="3112" spans="8:10">
      <c r="H3112"/>
      <c r="I3112"/>
      <c r="J3112" s="68"/>
    </row>
    <row r="3113" spans="8:10">
      <c r="H3113"/>
      <c r="I3113"/>
      <c r="J3113" s="68"/>
    </row>
    <row r="3114" spans="8:10">
      <c r="H3114"/>
      <c r="I3114"/>
      <c r="J3114" s="68"/>
    </row>
    <row r="3115" spans="8:10">
      <c r="H3115"/>
      <c r="I3115"/>
      <c r="J3115" s="68"/>
    </row>
    <row r="3116" spans="8:10">
      <c r="H3116"/>
      <c r="I3116"/>
      <c r="J3116" s="68"/>
    </row>
    <row r="3117" spans="8:10">
      <c r="H3117"/>
      <c r="I3117"/>
      <c r="J3117" s="68"/>
    </row>
    <row r="3118" spans="8:10">
      <c r="H3118"/>
      <c r="I3118"/>
      <c r="J3118" s="68"/>
    </row>
    <row r="3119" spans="8:10">
      <c r="H3119"/>
      <c r="I3119"/>
      <c r="J3119" s="68"/>
    </row>
    <row r="3120" spans="8:10">
      <c r="H3120"/>
      <c r="I3120"/>
      <c r="J3120" s="68"/>
    </row>
    <row r="3121" spans="8:10">
      <c r="H3121"/>
      <c r="I3121"/>
      <c r="J3121" s="68"/>
    </row>
    <row r="3122" spans="8:10">
      <c r="H3122"/>
      <c r="I3122"/>
      <c r="J3122" s="68"/>
    </row>
    <row r="3123" spans="8:10">
      <c r="H3123"/>
      <c r="I3123"/>
      <c r="J3123" s="68"/>
    </row>
    <row r="3124" spans="8:10">
      <c r="H3124"/>
      <c r="I3124"/>
      <c r="J3124" s="68"/>
    </row>
    <row r="3125" spans="8:10">
      <c r="H3125"/>
      <c r="I3125"/>
      <c r="J3125" s="68"/>
    </row>
    <row r="3126" spans="8:10">
      <c r="H3126"/>
      <c r="I3126"/>
      <c r="J3126" s="68"/>
    </row>
    <row r="3127" spans="8:10">
      <c r="H3127"/>
      <c r="I3127"/>
      <c r="J3127" s="68"/>
    </row>
    <row r="3128" spans="8:10">
      <c r="H3128"/>
      <c r="I3128"/>
      <c r="J3128" s="68"/>
    </row>
    <row r="3129" spans="8:10">
      <c r="H3129"/>
      <c r="I3129"/>
      <c r="J3129" s="68"/>
    </row>
    <row r="3130" spans="8:10">
      <c r="H3130"/>
      <c r="I3130"/>
      <c r="J3130" s="68"/>
    </row>
    <row r="3131" spans="8:10">
      <c r="H3131"/>
      <c r="I3131"/>
      <c r="J3131" s="68"/>
    </row>
    <row r="3132" spans="8:10">
      <c r="H3132"/>
      <c r="I3132"/>
      <c r="J3132" s="68"/>
    </row>
    <row r="3133" spans="8:10">
      <c r="H3133"/>
      <c r="I3133"/>
      <c r="J3133" s="68"/>
    </row>
    <row r="3134" spans="8:10">
      <c r="H3134"/>
      <c r="I3134"/>
      <c r="J3134" s="68"/>
    </row>
    <row r="3135" spans="8:10">
      <c r="H3135"/>
      <c r="I3135"/>
      <c r="J3135" s="68"/>
    </row>
    <row r="3136" spans="8:10">
      <c r="H3136"/>
      <c r="I3136"/>
      <c r="J3136" s="68"/>
    </row>
    <row r="3137" spans="8:10">
      <c r="H3137"/>
      <c r="I3137"/>
      <c r="J3137" s="68"/>
    </row>
    <row r="3138" spans="8:10">
      <c r="H3138"/>
      <c r="I3138"/>
      <c r="J3138" s="68"/>
    </row>
    <row r="3139" spans="8:10">
      <c r="H3139"/>
      <c r="I3139"/>
      <c r="J3139" s="68"/>
    </row>
    <row r="3140" spans="8:10">
      <c r="H3140"/>
      <c r="I3140"/>
      <c r="J3140" s="68"/>
    </row>
    <row r="3141" spans="8:10">
      <c r="H3141"/>
      <c r="I3141"/>
      <c r="J3141" s="68"/>
    </row>
    <row r="3142" spans="8:10">
      <c r="H3142"/>
      <c r="I3142"/>
      <c r="J3142" s="68"/>
    </row>
    <row r="3143" spans="8:10">
      <c r="H3143"/>
      <c r="I3143"/>
      <c r="J3143" s="68"/>
    </row>
    <row r="3144" spans="8:10">
      <c r="H3144"/>
      <c r="I3144"/>
      <c r="J3144" s="68"/>
    </row>
    <row r="3145" spans="8:10">
      <c r="H3145"/>
      <c r="I3145"/>
      <c r="J3145" s="68"/>
    </row>
    <row r="3146" spans="8:10">
      <c r="H3146"/>
      <c r="I3146"/>
      <c r="J3146" s="68"/>
    </row>
    <row r="3147" spans="8:10">
      <c r="H3147"/>
      <c r="I3147"/>
      <c r="J3147" s="68"/>
    </row>
    <row r="3148" spans="8:10">
      <c r="H3148"/>
      <c r="I3148"/>
      <c r="J3148" s="68"/>
    </row>
    <row r="3149" spans="8:10">
      <c r="H3149"/>
      <c r="I3149"/>
      <c r="J3149" s="68"/>
    </row>
    <row r="3150" spans="8:10">
      <c r="H3150"/>
      <c r="I3150"/>
      <c r="J3150" s="68"/>
    </row>
    <row r="3151" spans="8:10">
      <c r="H3151"/>
      <c r="I3151"/>
      <c r="J3151" s="68"/>
    </row>
    <row r="3152" spans="8:10">
      <c r="H3152"/>
      <c r="I3152"/>
      <c r="J3152" s="68"/>
    </row>
    <row r="3153" spans="8:10">
      <c r="H3153"/>
      <c r="I3153"/>
      <c r="J3153" s="68"/>
    </row>
    <row r="3154" spans="8:10">
      <c r="H3154"/>
      <c r="I3154"/>
      <c r="J3154" s="68"/>
    </row>
    <row r="3155" spans="8:10">
      <c r="H3155"/>
      <c r="I3155"/>
      <c r="J3155" s="68"/>
    </row>
    <row r="3156" spans="8:10">
      <c r="H3156"/>
      <c r="I3156"/>
      <c r="J3156" s="68"/>
    </row>
    <row r="3157" spans="8:10">
      <c r="H3157"/>
      <c r="I3157"/>
      <c r="J3157" s="68"/>
    </row>
    <row r="3158" spans="8:10">
      <c r="H3158"/>
      <c r="I3158"/>
      <c r="J3158" s="68"/>
    </row>
    <row r="3159" spans="8:10">
      <c r="H3159"/>
      <c r="I3159"/>
      <c r="J3159" s="68"/>
    </row>
    <row r="3160" spans="8:10">
      <c r="H3160"/>
      <c r="I3160"/>
      <c r="J3160" s="68"/>
    </row>
    <row r="3161" spans="8:10">
      <c r="H3161"/>
      <c r="I3161"/>
      <c r="J3161" s="68"/>
    </row>
    <row r="3162" spans="8:10">
      <c r="H3162"/>
      <c r="I3162"/>
      <c r="J3162" s="68"/>
    </row>
    <row r="3163" spans="8:10">
      <c r="H3163"/>
      <c r="I3163"/>
      <c r="J3163" s="68"/>
    </row>
    <row r="3164" spans="8:10">
      <c r="H3164"/>
      <c r="I3164"/>
      <c r="J3164" s="68"/>
    </row>
    <row r="3165" spans="8:10">
      <c r="H3165"/>
      <c r="I3165"/>
      <c r="J3165" s="68"/>
    </row>
    <row r="3166" spans="8:10">
      <c r="H3166"/>
      <c r="I3166"/>
      <c r="J3166" s="68"/>
    </row>
    <row r="3167" spans="8:10">
      <c r="H3167"/>
      <c r="I3167"/>
      <c r="J3167" s="68"/>
    </row>
    <row r="3168" spans="8:10">
      <c r="H3168"/>
      <c r="I3168"/>
      <c r="J3168" s="68"/>
    </row>
    <row r="3169" spans="8:10">
      <c r="H3169"/>
      <c r="I3169"/>
      <c r="J3169" s="68"/>
    </row>
    <row r="3170" spans="8:10">
      <c r="H3170"/>
      <c r="I3170"/>
      <c r="J3170" s="68"/>
    </row>
    <row r="3171" spans="8:10">
      <c r="H3171"/>
      <c r="I3171"/>
      <c r="J3171" s="68"/>
    </row>
    <row r="3172" spans="8:10">
      <c r="H3172"/>
      <c r="I3172"/>
      <c r="J3172" s="68"/>
    </row>
    <row r="3173" spans="8:10">
      <c r="H3173"/>
      <c r="I3173"/>
      <c r="J3173" s="68"/>
    </row>
    <row r="3174" spans="8:10">
      <c r="H3174"/>
      <c r="I3174"/>
      <c r="J3174" s="68"/>
    </row>
    <row r="3175" spans="8:10">
      <c r="H3175"/>
      <c r="I3175"/>
      <c r="J3175" s="68"/>
    </row>
    <row r="3176" spans="8:10">
      <c r="H3176"/>
      <c r="I3176"/>
      <c r="J3176" s="68"/>
    </row>
    <row r="3177" spans="8:10">
      <c r="H3177"/>
      <c r="I3177"/>
      <c r="J3177" s="68"/>
    </row>
    <row r="3178" spans="8:10">
      <c r="H3178"/>
      <c r="I3178"/>
      <c r="J3178" s="68"/>
    </row>
    <row r="3179" spans="8:10">
      <c r="H3179"/>
      <c r="I3179"/>
      <c r="J3179" s="68"/>
    </row>
    <row r="3180" spans="8:10">
      <c r="H3180"/>
      <c r="I3180"/>
      <c r="J3180" s="68"/>
    </row>
    <row r="3181" spans="8:10">
      <c r="H3181"/>
      <c r="I3181"/>
      <c r="J3181" s="68"/>
    </row>
    <row r="3182" spans="8:10">
      <c r="H3182"/>
      <c r="I3182"/>
      <c r="J3182" s="68"/>
    </row>
    <row r="3183" spans="8:10">
      <c r="H3183"/>
      <c r="I3183"/>
      <c r="J3183" s="68"/>
    </row>
    <row r="3184" spans="8:10">
      <c r="H3184"/>
      <c r="I3184"/>
      <c r="J3184" s="68"/>
    </row>
    <row r="3185" spans="8:10">
      <c r="H3185"/>
      <c r="I3185"/>
      <c r="J3185" s="68"/>
    </row>
    <row r="3186" spans="8:10">
      <c r="H3186"/>
      <c r="I3186"/>
      <c r="J3186" s="68"/>
    </row>
    <row r="3187" spans="8:10">
      <c r="H3187"/>
      <c r="I3187"/>
      <c r="J3187" s="68"/>
    </row>
    <row r="3188" spans="8:10">
      <c r="H3188"/>
      <c r="I3188"/>
      <c r="J3188" s="68"/>
    </row>
    <row r="3189" spans="8:10">
      <c r="H3189"/>
      <c r="I3189"/>
      <c r="J3189" s="68"/>
    </row>
    <row r="3190" spans="8:10">
      <c r="H3190"/>
      <c r="I3190"/>
      <c r="J3190" s="68"/>
    </row>
    <row r="3191" spans="8:10">
      <c r="H3191"/>
      <c r="I3191"/>
      <c r="J3191" s="68"/>
    </row>
    <row r="3192" spans="8:10">
      <c r="H3192"/>
      <c r="I3192"/>
      <c r="J3192" s="68"/>
    </row>
    <row r="3193" spans="8:10">
      <c r="H3193"/>
      <c r="I3193"/>
      <c r="J3193" s="68"/>
    </row>
    <row r="3194" spans="8:10">
      <c r="H3194"/>
      <c r="I3194"/>
      <c r="J3194" s="68"/>
    </row>
    <row r="3195" spans="8:10">
      <c r="H3195"/>
      <c r="I3195"/>
      <c r="J3195" s="68"/>
    </row>
    <row r="3196" spans="8:10">
      <c r="H3196"/>
      <c r="I3196"/>
      <c r="J3196" s="68"/>
    </row>
    <row r="3197" spans="8:10">
      <c r="H3197"/>
      <c r="I3197"/>
      <c r="J3197" s="68"/>
    </row>
    <row r="3198" spans="8:10">
      <c r="H3198"/>
      <c r="I3198"/>
      <c r="J3198" s="68"/>
    </row>
    <row r="3199" spans="8:10">
      <c r="H3199"/>
      <c r="I3199"/>
      <c r="J3199" s="68"/>
    </row>
    <row r="3200" spans="8:10">
      <c r="H3200"/>
      <c r="I3200"/>
      <c r="J3200" s="68"/>
    </row>
    <row r="3201" spans="8:10">
      <c r="H3201"/>
      <c r="I3201"/>
      <c r="J3201" s="68"/>
    </row>
    <row r="3202" spans="8:10">
      <c r="H3202"/>
      <c r="I3202"/>
      <c r="J3202" s="68"/>
    </row>
    <row r="3203" spans="8:10">
      <c r="H3203"/>
      <c r="I3203"/>
      <c r="J3203" s="68"/>
    </row>
    <row r="3204" spans="8:10">
      <c r="H3204"/>
      <c r="I3204"/>
      <c r="J3204" s="68"/>
    </row>
    <row r="3205" spans="8:10">
      <c r="H3205"/>
      <c r="I3205"/>
      <c r="J3205" s="68"/>
    </row>
    <row r="3206" spans="8:10">
      <c r="H3206"/>
      <c r="I3206"/>
      <c r="J3206" s="68"/>
    </row>
    <row r="3207" spans="8:10">
      <c r="H3207"/>
      <c r="I3207"/>
      <c r="J3207" s="68"/>
    </row>
    <row r="3208" spans="8:10">
      <c r="H3208"/>
      <c r="I3208"/>
      <c r="J3208" s="68"/>
    </row>
    <row r="3209" spans="8:10">
      <c r="H3209"/>
      <c r="I3209"/>
      <c r="J3209" s="68"/>
    </row>
    <row r="3210" spans="8:10">
      <c r="H3210"/>
      <c r="I3210"/>
      <c r="J3210" s="68"/>
    </row>
    <row r="3211" spans="8:10">
      <c r="H3211"/>
      <c r="I3211"/>
      <c r="J3211" s="68"/>
    </row>
    <row r="3212" spans="8:10">
      <c r="H3212"/>
      <c r="I3212"/>
      <c r="J3212" s="68"/>
    </row>
    <row r="3213" spans="8:10">
      <c r="H3213"/>
      <c r="I3213"/>
      <c r="J3213" s="68"/>
    </row>
    <row r="3214" spans="8:10">
      <c r="H3214"/>
      <c r="I3214"/>
      <c r="J3214" s="68"/>
    </row>
    <row r="3215" spans="8:10">
      <c r="H3215"/>
      <c r="I3215"/>
      <c r="J3215" s="68"/>
    </row>
    <row r="3216" spans="8:10">
      <c r="H3216"/>
      <c r="I3216"/>
      <c r="J3216" s="68"/>
    </row>
    <row r="3217" spans="8:10">
      <c r="H3217"/>
      <c r="I3217"/>
      <c r="J3217" s="68"/>
    </row>
    <row r="3218" spans="8:10">
      <c r="H3218"/>
      <c r="I3218"/>
      <c r="J3218" s="68"/>
    </row>
    <row r="3219" spans="8:10">
      <c r="H3219"/>
      <c r="I3219"/>
      <c r="J3219" s="68"/>
    </row>
    <row r="3220" spans="8:10">
      <c r="H3220"/>
      <c r="I3220"/>
      <c r="J3220" s="68"/>
    </row>
    <row r="3221" spans="8:10">
      <c r="H3221"/>
      <c r="I3221"/>
      <c r="J3221" s="68"/>
    </row>
    <row r="3222" spans="8:10">
      <c r="H3222"/>
      <c r="I3222"/>
      <c r="J3222" s="68"/>
    </row>
    <row r="3223" spans="8:10">
      <c r="H3223"/>
      <c r="I3223"/>
      <c r="J3223" s="68"/>
    </row>
    <row r="3224" spans="8:10">
      <c r="H3224"/>
      <c r="I3224"/>
      <c r="J3224" s="68"/>
    </row>
    <row r="3225" spans="8:10">
      <c r="H3225"/>
      <c r="I3225"/>
      <c r="J3225" s="68"/>
    </row>
    <row r="3226" spans="8:10">
      <c r="H3226"/>
      <c r="I3226"/>
      <c r="J3226" s="68"/>
    </row>
    <row r="3227" spans="8:10">
      <c r="H3227"/>
      <c r="I3227"/>
      <c r="J3227" s="68"/>
    </row>
    <row r="3228" spans="8:10">
      <c r="H3228"/>
      <c r="I3228"/>
      <c r="J3228" s="68"/>
    </row>
    <row r="3229" spans="8:10">
      <c r="H3229"/>
      <c r="I3229"/>
      <c r="J3229" s="68"/>
    </row>
    <row r="3230" spans="8:10">
      <c r="H3230"/>
      <c r="I3230"/>
      <c r="J3230" s="68"/>
    </row>
    <row r="3231" spans="8:10">
      <c r="H3231"/>
      <c r="I3231"/>
      <c r="J3231" s="68"/>
    </row>
    <row r="3232" spans="8:10">
      <c r="H3232"/>
      <c r="I3232"/>
      <c r="J3232" s="68"/>
    </row>
    <row r="3233" spans="8:10">
      <c r="H3233"/>
      <c r="I3233"/>
      <c r="J3233" s="68"/>
    </row>
    <row r="3234" spans="8:10">
      <c r="H3234"/>
      <c r="I3234"/>
      <c r="J3234" s="68"/>
    </row>
    <row r="3235" spans="8:10">
      <c r="H3235"/>
      <c r="I3235"/>
      <c r="J3235" s="68"/>
    </row>
    <row r="3236" spans="8:10">
      <c r="H3236"/>
      <c r="I3236"/>
      <c r="J3236" s="68"/>
    </row>
    <row r="3237" spans="8:10">
      <c r="H3237"/>
      <c r="I3237"/>
      <c r="J3237" s="68"/>
    </row>
    <row r="3238" spans="8:10">
      <c r="H3238"/>
      <c r="I3238"/>
      <c r="J3238" s="68"/>
    </row>
    <row r="3239" spans="8:10">
      <c r="H3239"/>
      <c r="I3239"/>
      <c r="J3239" s="68"/>
    </row>
    <row r="3240" spans="8:10">
      <c r="H3240"/>
      <c r="I3240"/>
      <c r="J3240" s="68"/>
    </row>
    <row r="3241" spans="8:10">
      <c r="H3241"/>
      <c r="I3241"/>
      <c r="J3241" s="68"/>
    </row>
    <row r="3242" spans="8:10">
      <c r="H3242"/>
      <c r="I3242"/>
      <c r="J3242" s="68"/>
    </row>
    <row r="3243" spans="8:10">
      <c r="H3243"/>
      <c r="I3243"/>
      <c r="J3243" s="68"/>
    </row>
    <row r="3244" spans="8:10">
      <c r="H3244"/>
      <c r="I3244"/>
      <c r="J3244" s="68"/>
    </row>
    <row r="3245" spans="8:10">
      <c r="H3245"/>
      <c r="I3245"/>
      <c r="J3245" s="68"/>
    </row>
    <row r="3246" spans="8:10">
      <c r="H3246"/>
      <c r="I3246"/>
      <c r="J3246" s="68"/>
    </row>
    <row r="3247" spans="8:10">
      <c r="H3247"/>
      <c r="I3247"/>
      <c r="J3247" s="68"/>
    </row>
    <row r="3248" spans="8:10">
      <c r="H3248"/>
      <c r="I3248"/>
      <c r="J3248" s="68"/>
    </row>
    <row r="3249" spans="8:10">
      <c r="H3249"/>
      <c r="I3249"/>
      <c r="J3249" s="68"/>
    </row>
    <row r="3250" spans="8:10">
      <c r="H3250"/>
      <c r="I3250"/>
      <c r="J3250" s="68"/>
    </row>
    <row r="3251" spans="8:10">
      <c r="H3251"/>
      <c r="I3251"/>
      <c r="J3251" s="68"/>
    </row>
    <row r="3252" spans="8:10">
      <c r="H3252"/>
      <c r="I3252"/>
      <c r="J3252" s="68"/>
    </row>
    <row r="3253" spans="8:10">
      <c r="H3253"/>
      <c r="I3253"/>
      <c r="J3253" s="68"/>
    </row>
    <row r="3254" spans="8:10">
      <c r="H3254"/>
      <c r="I3254"/>
      <c r="J3254" s="68"/>
    </row>
    <row r="3255" spans="8:10">
      <c r="H3255"/>
      <c r="I3255"/>
      <c r="J3255" s="68"/>
    </row>
    <row r="3256" spans="8:10">
      <c r="H3256"/>
      <c r="I3256"/>
      <c r="J3256" s="68"/>
    </row>
    <row r="3257" spans="8:10">
      <c r="H3257"/>
      <c r="I3257"/>
      <c r="J3257" s="68"/>
    </row>
    <row r="3258" spans="8:10">
      <c r="H3258"/>
      <c r="I3258"/>
      <c r="J3258" s="68"/>
    </row>
    <row r="3259" spans="8:10">
      <c r="H3259"/>
      <c r="I3259"/>
      <c r="J3259" s="68"/>
    </row>
    <row r="3260" spans="8:10">
      <c r="H3260"/>
      <c r="I3260"/>
      <c r="J3260" s="68"/>
    </row>
    <row r="3261" spans="8:10">
      <c r="H3261"/>
      <c r="I3261"/>
      <c r="J3261" s="68"/>
    </row>
    <row r="3262" spans="8:10">
      <c r="H3262"/>
      <c r="I3262"/>
      <c r="J3262" s="68"/>
    </row>
    <row r="3263" spans="8:10">
      <c r="H3263"/>
      <c r="I3263"/>
      <c r="J3263" s="68"/>
    </row>
    <row r="3264" spans="8:10">
      <c r="H3264"/>
      <c r="I3264"/>
      <c r="J3264" s="68"/>
    </row>
    <row r="3265" spans="8:10">
      <c r="H3265"/>
      <c r="I3265"/>
      <c r="J3265" s="68"/>
    </row>
    <row r="3266" spans="8:10">
      <c r="H3266"/>
      <c r="I3266"/>
      <c r="J3266" s="68"/>
    </row>
    <row r="3267" spans="8:10">
      <c r="H3267"/>
      <c r="I3267"/>
      <c r="J3267" s="68"/>
    </row>
    <row r="3268" spans="8:10">
      <c r="H3268"/>
      <c r="I3268"/>
      <c r="J3268" s="68"/>
    </row>
    <row r="3269" spans="8:10">
      <c r="H3269"/>
      <c r="I3269"/>
      <c r="J3269" s="68"/>
    </row>
    <row r="3270" spans="8:10">
      <c r="H3270"/>
      <c r="I3270"/>
      <c r="J3270" s="68"/>
    </row>
    <row r="3271" spans="8:10">
      <c r="H3271"/>
      <c r="I3271"/>
      <c r="J3271" s="68"/>
    </row>
    <row r="3272" spans="8:10">
      <c r="H3272"/>
      <c r="I3272"/>
      <c r="J3272" s="68"/>
    </row>
    <row r="3273" spans="8:10">
      <c r="H3273"/>
      <c r="I3273"/>
      <c r="J3273" s="68"/>
    </row>
    <row r="3274" spans="8:10">
      <c r="H3274"/>
      <c r="I3274"/>
      <c r="J3274" s="68"/>
    </row>
    <row r="3275" spans="8:10">
      <c r="H3275"/>
      <c r="I3275"/>
      <c r="J3275" s="68"/>
    </row>
    <row r="3276" spans="8:10">
      <c r="H3276"/>
      <c r="I3276"/>
      <c r="J3276" s="68"/>
    </row>
    <row r="3277" spans="8:10">
      <c r="H3277"/>
      <c r="I3277"/>
      <c r="J3277" s="68"/>
    </row>
    <row r="3278" spans="8:10">
      <c r="H3278"/>
      <c r="I3278"/>
      <c r="J3278" s="68"/>
    </row>
    <row r="3279" spans="8:10">
      <c r="H3279"/>
      <c r="I3279"/>
      <c r="J3279" s="68"/>
    </row>
    <row r="3280" spans="8:10">
      <c r="H3280"/>
      <c r="I3280"/>
      <c r="J3280" s="68"/>
    </row>
    <row r="3281" spans="8:10">
      <c r="H3281"/>
      <c r="I3281"/>
      <c r="J3281" s="68"/>
    </row>
    <row r="3282" spans="8:10">
      <c r="H3282"/>
      <c r="I3282"/>
      <c r="J3282" s="68"/>
    </row>
    <row r="3283" spans="8:10">
      <c r="H3283"/>
      <c r="I3283"/>
      <c r="J3283" s="68"/>
    </row>
    <row r="3284" spans="8:10">
      <c r="H3284"/>
      <c r="I3284"/>
      <c r="J3284" s="68"/>
    </row>
    <row r="3285" spans="8:10">
      <c r="H3285"/>
      <c r="I3285"/>
      <c r="J3285" s="68"/>
    </row>
    <row r="3286" spans="8:10">
      <c r="H3286"/>
      <c r="I3286"/>
      <c r="J3286" s="68"/>
    </row>
    <row r="3287" spans="8:10">
      <c r="H3287"/>
      <c r="I3287"/>
      <c r="J3287" s="68"/>
    </row>
    <row r="3288" spans="8:10">
      <c r="H3288"/>
      <c r="I3288"/>
      <c r="J3288" s="68"/>
    </row>
    <row r="3289" spans="8:10">
      <c r="H3289"/>
      <c r="I3289"/>
      <c r="J3289" s="68"/>
    </row>
    <row r="3290" spans="8:10">
      <c r="H3290"/>
      <c r="I3290"/>
      <c r="J3290" s="68"/>
    </row>
    <row r="3291" spans="8:10">
      <c r="H3291"/>
      <c r="I3291"/>
      <c r="J3291" s="68"/>
    </row>
    <row r="3292" spans="8:10">
      <c r="H3292"/>
      <c r="I3292"/>
      <c r="J3292" s="68"/>
    </row>
    <row r="3293" spans="8:10">
      <c r="H3293"/>
      <c r="I3293"/>
      <c r="J3293" s="68"/>
    </row>
    <row r="3294" spans="8:10">
      <c r="H3294"/>
      <c r="I3294"/>
      <c r="J3294" s="68"/>
    </row>
    <row r="3295" spans="8:10">
      <c r="H3295"/>
      <c r="I3295"/>
      <c r="J3295" s="68"/>
    </row>
    <row r="3296" spans="8:10">
      <c r="H3296"/>
      <c r="I3296"/>
      <c r="J3296" s="68"/>
    </row>
    <row r="3297" spans="8:10">
      <c r="H3297"/>
      <c r="I3297"/>
      <c r="J3297" s="68"/>
    </row>
    <row r="3298" spans="8:10">
      <c r="H3298"/>
      <c r="I3298"/>
      <c r="J3298" s="68"/>
    </row>
    <row r="3299" spans="8:10">
      <c r="H3299"/>
      <c r="I3299"/>
      <c r="J3299" s="68"/>
    </row>
    <row r="3300" spans="8:10">
      <c r="H3300"/>
      <c r="I3300"/>
      <c r="J3300" s="68"/>
    </row>
    <row r="3301" spans="8:10">
      <c r="H3301"/>
      <c r="I3301"/>
      <c r="J3301" s="68"/>
    </row>
    <row r="3302" spans="8:10">
      <c r="H3302"/>
      <c r="I3302"/>
      <c r="J3302" s="68"/>
    </row>
    <row r="3303" spans="8:10">
      <c r="H3303"/>
      <c r="I3303"/>
      <c r="J3303" s="68"/>
    </row>
    <row r="3304" spans="8:10">
      <c r="H3304"/>
      <c r="I3304"/>
      <c r="J3304" s="68"/>
    </row>
    <row r="3305" spans="8:10">
      <c r="H3305"/>
      <c r="I3305"/>
      <c r="J3305" s="68"/>
    </row>
    <row r="3306" spans="8:10">
      <c r="H3306"/>
      <c r="I3306"/>
      <c r="J3306" s="68"/>
    </row>
    <row r="3307" spans="8:10">
      <c r="H3307"/>
      <c r="I3307"/>
      <c r="J3307" s="68"/>
    </row>
    <row r="3308" spans="8:10">
      <c r="H3308"/>
      <c r="I3308"/>
      <c r="J3308" s="68"/>
    </row>
    <row r="3309" spans="8:10">
      <c r="H3309"/>
      <c r="I3309"/>
      <c r="J3309" s="68"/>
    </row>
    <row r="3310" spans="8:10">
      <c r="H3310"/>
      <c r="I3310"/>
      <c r="J3310" s="68"/>
    </row>
    <row r="3311" spans="8:10">
      <c r="H3311"/>
      <c r="I3311"/>
      <c r="J3311" s="68"/>
    </row>
    <row r="3312" spans="8:10">
      <c r="H3312"/>
      <c r="I3312"/>
      <c r="J3312" s="68"/>
    </row>
    <row r="3313" spans="8:10">
      <c r="H3313"/>
      <c r="I3313"/>
      <c r="J3313" s="68"/>
    </row>
    <row r="3314" spans="8:10">
      <c r="H3314"/>
      <c r="I3314"/>
      <c r="J3314" s="68"/>
    </row>
    <row r="3315" spans="8:10">
      <c r="H3315"/>
      <c r="I3315"/>
      <c r="J3315" s="68"/>
    </row>
    <row r="3316" spans="8:10">
      <c r="H3316"/>
      <c r="I3316"/>
      <c r="J3316" s="68"/>
    </row>
    <row r="3317" spans="8:10">
      <c r="H3317"/>
      <c r="I3317"/>
      <c r="J3317" s="68"/>
    </row>
    <row r="3318" spans="8:10">
      <c r="H3318"/>
      <c r="I3318"/>
      <c r="J3318" s="68"/>
    </row>
    <row r="3319" spans="8:10">
      <c r="H3319"/>
      <c r="I3319"/>
      <c r="J3319" s="68"/>
    </row>
    <row r="3320" spans="8:10">
      <c r="H3320"/>
      <c r="I3320"/>
      <c r="J3320" s="68"/>
    </row>
    <row r="3321" spans="8:10">
      <c r="H3321"/>
      <c r="I3321"/>
      <c r="J3321" s="68"/>
    </row>
    <row r="3322" spans="8:10">
      <c r="H3322"/>
      <c r="I3322"/>
      <c r="J3322" s="68"/>
    </row>
    <row r="3323" spans="8:10">
      <c r="H3323"/>
      <c r="I3323"/>
      <c r="J3323" s="68"/>
    </row>
    <row r="3324" spans="8:10">
      <c r="H3324"/>
      <c r="I3324"/>
      <c r="J3324" s="68"/>
    </row>
    <row r="3325" spans="8:10">
      <c r="H3325"/>
      <c r="I3325"/>
      <c r="J3325" s="68"/>
    </row>
    <row r="3326" spans="8:10">
      <c r="H3326"/>
      <c r="I3326"/>
      <c r="J3326" s="68"/>
    </row>
    <row r="3327" spans="8:10">
      <c r="H3327"/>
      <c r="I3327"/>
      <c r="J3327" s="68"/>
    </row>
    <row r="3328" spans="8:10">
      <c r="H3328"/>
      <c r="I3328"/>
      <c r="J3328" s="68"/>
    </row>
    <row r="3329" spans="8:10">
      <c r="H3329"/>
      <c r="I3329"/>
      <c r="J3329" s="68"/>
    </row>
    <row r="3330" spans="8:10">
      <c r="H3330"/>
      <c r="I3330"/>
      <c r="J3330" s="68"/>
    </row>
    <row r="3331" spans="8:10">
      <c r="H3331"/>
      <c r="I3331"/>
      <c r="J3331" s="68"/>
    </row>
    <row r="3332" spans="8:10">
      <c r="H3332"/>
      <c r="I3332"/>
      <c r="J3332" s="68"/>
    </row>
    <row r="3333" spans="8:10">
      <c r="H3333"/>
      <c r="I3333"/>
      <c r="J3333" s="68"/>
    </row>
    <row r="3334" spans="8:10">
      <c r="H3334"/>
      <c r="I3334"/>
      <c r="J3334" s="68"/>
    </row>
    <row r="3335" spans="8:10">
      <c r="H3335"/>
      <c r="I3335"/>
      <c r="J3335" s="68"/>
    </row>
    <row r="3336" spans="8:10">
      <c r="H3336"/>
      <c r="I3336"/>
      <c r="J3336" s="68"/>
    </row>
    <row r="3337" spans="8:10">
      <c r="H3337"/>
      <c r="I3337"/>
      <c r="J3337" s="68"/>
    </row>
    <row r="3338" spans="8:10">
      <c r="H3338"/>
      <c r="I3338"/>
      <c r="J3338" s="68"/>
    </row>
    <row r="3339" spans="8:10">
      <c r="H3339"/>
      <c r="I3339"/>
      <c r="J3339" s="68"/>
    </row>
    <row r="3340" spans="8:10">
      <c r="H3340"/>
      <c r="I3340"/>
      <c r="J3340" s="68"/>
    </row>
    <row r="3341" spans="8:10">
      <c r="H3341"/>
      <c r="I3341"/>
      <c r="J3341" s="68"/>
    </row>
    <row r="3342" spans="8:10">
      <c r="H3342"/>
      <c r="I3342"/>
      <c r="J3342" s="68"/>
    </row>
    <row r="3343" spans="8:10">
      <c r="H3343"/>
      <c r="I3343"/>
      <c r="J3343" s="68"/>
    </row>
    <row r="3344" spans="8:10">
      <c r="H3344"/>
      <c r="I3344"/>
      <c r="J3344" s="68"/>
    </row>
    <row r="3345" spans="8:10">
      <c r="H3345"/>
      <c r="I3345"/>
      <c r="J3345" s="68"/>
    </row>
    <row r="3346" spans="8:10">
      <c r="H3346"/>
      <c r="I3346"/>
      <c r="J3346" s="68"/>
    </row>
    <row r="3347" spans="8:10">
      <c r="H3347"/>
      <c r="I3347"/>
      <c r="J3347" s="68"/>
    </row>
    <row r="3348" spans="8:10">
      <c r="H3348"/>
      <c r="I3348"/>
      <c r="J3348" s="68"/>
    </row>
    <row r="3349" spans="8:10">
      <c r="H3349"/>
      <c r="I3349"/>
      <c r="J3349" s="68"/>
    </row>
    <row r="3350" spans="8:10">
      <c r="H3350"/>
      <c r="I3350"/>
      <c r="J3350" s="68"/>
    </row>
    <row r="3351" spans="8:10">
      <c r="H3351"/>
      <c r="I3351"/>
      <c r="J3351" s="68"/>
    </row>
    <row r="3352" spans="8:10">
      <c r="H3352"/>
      <c r="I3352"/>
      <c r="J3352" s="68"/>
    </row>
    <row r="3353" spans="8:10">
      <c r="H3353"/>
      <c r="I3353"/>
      <c r="J3353" s="68"/>
    </row>
    <row r="3354" spans="8:10">
      <c r="H3354"/>
      <c r="I3354"/>
      <c r="J3354" s="68"/>
    </row>
    <row r="3355" spans="8:10">
      <c r="H3355"/>
      <c r="I3355"/>
      <c r="J3355" s="68"/>
    </row>
    <row r="3356" spans="8:10">
      <c r="H3356"/>
      <c r="I3356"/>
      <c r="J3356" s="68"/>
    </row>
    <row r="3357" spans="8:10">
      <c r="H3357"/>
      <c r="I3357"/>
      <c r="J3357" s="68"/>
    </row>
    <row r="3358" spans="8:10">
      <c r="H3358"/>
      <c r="I3358"/>
      <c r="J3358" s="68"/>
    </row>
    <row r="3359" spans="8:10">
      <c r="H3359"/>
      <c r="I3359"/>
      <c r="J3359" s="68"/>
    </row>
    <row r="3360" spans="8:10">
      <c r="H3360"/>
      <c r="I3360"/>
      <c r="J3360" s="68"/>
    </row>
    <row r="3361" spans="8:10">
      <c r="H3361"/>
      <c r="I3361"/>
      <c r="J3361" s="68"/>
    </row>
    <row r="3362" spans="8:10">
      <c r="H3362"/>
      <c r="I3362"/>
      <c r="J3362" s="68"/>
    </row>
    <row r="3363" spans="8:10">
      <c r="H3363"/>
      <c r="I3363"/>
      <c r="J3363" s="68"/>
    </row>
    <row r="3364" spans="8:10">
      <c r="H3364"/>
      <c r="I3364"/>
      <c r="J3364" s="68"/>
    </row>
    <row r="3365" spans="8:10">
      <c r="H3365"/>
      <c r="I3365"/>
      <c r="J3365" s="68"/>
    </row>
    <row r="3366" spans="8:10">
      <c r="H3366"/>
      <c r="I3366"/>
      <c r="J3366" s="68"/>
    </row>
    <row r="3367" spans="8:10">
      <c r="H3367"/>
      <c r="I3367"/>
      <c r="J3367" s="68"/>
    </row>
    <row r="3368" spans="8:10">
      <c r="H3368"/>
      <c r="I3368"/>
      <c r="J3368" s="68"/>
    </row>
    <row r="3369" spans="8:10">
      <c r="H3369"/>
      <c r="I3369"/>
      <c r="J3369" s="68"/>
    </row>
    <row r="3370" spans="8:10">
      <c r="H3370"/>
      <c r="I3370"/>
      <c r="J3370" s="68"/>
    </row>
    <row r="3371" spans="8:10">
      <c r="H3371"/>
      <c r="I3371"/>
      <c r="J3371" s="68"/>
    </row>
    <row r="3372" spans="8:10">
      <c r="H3372"/>
      <c r="I3372"/>
      <c r="J3372" s="68"/>
    </row>
    <row r="3373" spans="8:10">
      <c r="H3373"/>
      <c r="I3373"/>
      <c r="J3373" s="68"/>
    </row>
    <row r="3374" spans="8:10">
      <c r="H3374"/>
      <c r="I3374"/>
      <c r="J3374" s="68"/>
    </row>
    <row r="3375" spans="8:10">
      <c r="H3375"/>
      <c r="I3375"/>
      <c r="J3375" s="68"/>
    </row>
    <row r="3376" spans="8:10">
      <c r="H3376"/>
      <c r="I3376"/>
      <c r="J3376" s="68"/>
    </row>
    <row r="3377" spans="8:10">
      <c r="H3377"/>
      <c r="I3377"/>
      <c r="J3377" s="68"/>
    </row>
    <row r="3378" spans="8:10">
      <c r="H3378"/>
      <c r="I3378"/>
      <c r="J3378" s="68"/>
    </row>
    <row r="3379" spans="8:10">
      <c r="H3379"/>
      <c r="I3379"/>
      <c r="J3379" s="68"/>
    </row>
    <row r="3380" spans="8:10">
      <c r="H3380"/>
      <c r="I3380"/>
      <c r="J3380" s="68"/>
    </row>
    <row r="3381" spans="8:10">
      <c r="H3381"/>
      <c r="I3381"/>
      <c r="J3381" s="68"/>
    </row>
    <row r="3382" spans="8:10">
      <c r="H3382"/>
      <c r="I3382"/>
      <c r="J3382" s="68"/>
    </row>
    <row r="3383" spans="8:10">
      <c r="H3383"/>
      <c r="I3383"/>
      <c r="J3383" s="68"/>
    </row>
    <row r="3384" spans="8:10">
      <c r="H3384"/>
      <c r="I3384"/>
      <c r="J3384" s="68"/>
    </row>
    <row r="3385" spans="8:10">
      <c r="H3385"/>
      <c r="I3385"/>
      <c r="J3385" s="68"/>
    </row>
    <row r="3386" spans="8:10">
      <c r="H3386"/>
      <c r="I3386"/>
      <c r="J3386" s="68"/>
    </row>
    <row r="3387" spans="8:10">
      <c r="H3387"/>
      <c r="I3387"/>
      <c r="J3387" s="68"/>
    </row>
    <row r="3388" spans="8:10">
      <c r="H3388"/>
      <c r="I3388"/>
      <c r="J3388" s="68"/>
    </row>
    <row r="3389" spans="8:10">
      <c r="H3389"/>
      <c r="I3389"/>
      <c r="J3389" s="68"/>
    </row>
    <row r="3390" spans="8:10">
      <c r="H3390"/>
      <c r="I3390"/>
      <c r="J3390" s="68"/>
    </row>
    <row r="3391" spans="8:10">
      <c r="H3391"/>
      <c r="I3391"/>
      <c r="J3391" s="68"/>
    </row>
    <row r="3392" spans="8:10">
      <c r="H3392"/>
      <c r="I3392"/>
      <c r="J3392" s="68"/>
    </row>
    <row r="3393" spans="8:10">
      <c r="H3393"/>
      <c r="I3393"/>
      <c r="J3393" s="68"/>
    </row>
    <row r="3394" spans="8:10">
      <c r="H3394"/>
      <c r="I3394"/>
      <c r="J3394" s="68"/>
    </row>
    <row r="3395" spans="8:10">
      <c r="H3395"/>
      <c r="I3395"/>
      <c r="J3395" s="68"/>
    </row>
    <row r="3396" spans="8:10">
      <c r="H3396"/>
      <c r="I3396"/>
      <c r="J3396" s="68"/>
    </row>
    <row r="3397" spans="8:10">
      <c r="H3397"/>
      <c r="I3397"/>
      <c r="J3397" s="68"/>
    </row>
    <row r="3398" spans="8:10">
      <c r="H3398"/>
      <c r="I3398"/>
      <c r="J3398" s="68"/>
    </row>
    <row r="3399" spans="8:10">
      <c r="H3399"/>
      <c r="I3399"/>
      <c r="J3399" s="68"/>
    </row>
    <row r="3400" spans="8:10">
      <c r="H3400"/>
      <c r="I3400"/>
      <c r="J3400" s="68"/>
    </row>
    <row r="3401" spans="8:10">
      <c r="H3401"/>
      <c r="I3401"/>
      <c r="J3401" s="68"/>
    </row>
    <row r="3402" spans="8:10">
      <c r="H3402"/>
      <c r="I3402"/>
      <c r="J3402" s="68"/>
    </row>
    <row r="3403" spans="8:10">
      <c r="H3403"/>
      <c r="I3403"/>
      <c r="J3403" s="68"/>
    </row>
    <row r="3404" spans="8:10">
      <c r="H3404"/>
      <c r="I3404"/>
      <c r="J3404" s="68"/>
    </row>
    <row r="3405" spans="8:10">
      <c r="H3405"/>
      <c r="I3405"/>
      <c r="J3405" s="68"/>
    </row>
    <row r="3406" spans="8:10">
      <c r="H3406"/>
      <c r="I3406"/>
      <c r="J3406" s="68"/>
    </row>
    <row r="3407" spans="8:10">
      <c r="H3407"/>
      <c r="I3407"/>
      <c r="J3407" s="68"/>
    </row>
    <row r="3408" spans="8:10">
      <c r="H3408"/>
      <c r="I3408"/>
      <c r="J3408" s="68"/>
    </row>
    <row r="3409" spans="8:10">
      <c r="H3409"/>
      <c r="I3409"/>
      <c r="J3409" s="68"/>
    </row>
    <row r="3410" spans="8:10">
      <c r="H3410"/>
      <c r="I3410"/>
      <c r="J3410" s="68"/>
    </row>
    <row r="3411" spans="8:10">
      <c r="H3411"/>
      <c r="I3411"/>
      <c r="J3411" s="68"/>
    </row>
    <row r="3412" spans="8:10">
      <c r="H3412"/>
      <c r="I3412"/>
      <c r="J3412" s="68"/>
    </row>
    <row r="3413" spans="8:10">
      <c r="H3413"/>
      <c r="I3413"/>
      <c r="J3413" s="68"/>
    </row>
    <row r="3414" spans="8:10">
      <c r="H3414"/>
      <c r="I3414"/>
      <c r="J3414" s="68"/>
    </row>
    <row r="3415" spans="8:10">
      <c r="H3415"/>
      <c r="I3415"/>
      <c r="J3415" s="68"/>
    </row>
    <row r="3416" spans="8:10">
      <c r="H3416"/>
      <c r="I3416"/>
      <c r="J3416" s="68"/>
    </row>
    <row r="3417" spans="8:10">
      <c r="H3417"/>
      <c r="I3417"/>
      <c r="J3417" s="68"/>
    </row>
    <row r="3418" spans="8:10">
      <c r="H3418"/>
      <c r="I3418"/>
      <c r="J3418" s="68"/>
    </row>
    <row r="3419" spans="8:10">
      <c r="H3419"/>
      <c r="I3419"/>
      <c r="J3419" s="68"/>
    </row>
    <row r="3420" spans="8:10">
      <c r="H3420"/>
      <c r="I3420"/>
      <c r="J3420" s="68"/>
    </row>
    <row r="3421" spans="8:10">
      <c r="H3421"/>
      <c r="I3421"/>
      <c r="J3421" s="68"/>
    </row>
    <row r="3422" spans="8:10">
      <c r="H3422"/>
      <c r="I3422"/>
      <c r="J3422" s="68"/>
    </row>
    <row r="3423" spans="8:10">
      <c r="H3423"/>
      <c r="I3423"/>
      <c r="J3423" s="68"/>
    </row>
    <row r="3424" spans="8:10">
      <c r="H3424"/>
      <c r="I3424"/>
      <c r="J3424" s="68"/>
    </row>
    <row r="3425" spans="8:10">
      <c r="H3425"/>
      <c r="I3425"/>
      <c r="J3425" s="68"/>
    </row>
    <row r="3426" spans="8:10">
      <c r="H3426"/>
      <c r="I3426"/>
      <c r="J3426" s="68"/>
    </row>
    <row r="3427" spans="8:10">
      <c r="H3427"/>
      <c r="I3427"/>
      <c r="J3427" s="68"/>
    </row>
    <row r="3428" spans="8:10">
      <c r="H3428"/>
      <c r="I3428"/>
      <c r="J3428" s="68"/>
    </row>
    <row r="3429" spans="8:10">
      <c r="H3429"/>
      <c r="I3429"/>
      <c r="J3429" s="68"/>
    </row>
    <row r="3430" spans="8:10">
      <c r="H3430"/>
      <c r="I3430"/>
      <c r="J3430" s="68"/>
    </row>
    <row r="3431" spans="8:10">
      <c r="H3431"/>
      <c r="I3431"/>
      <c r="J3431" s="68"/>
    </row>
    <row r="3432" spans="8:10">
      <c r="H3432"/>
      <c r="I3432"/>
      <c r="J3432" s="68"/>
    </row>
    <row r="3433" spans="8:10">
      <c r="H3433"/>
      <c r="I3433"/>
      <c r="J3433" s="68"/>
    </row>
    <row r="3434" spans="8:10">
      <c r="H3434"/>
      <c r="I3434"/>
      <c r="J3434" s="68"/>
    </row>
    <row r="3435" spans="8:10">
      <c r="H3435"/>
      <c r="I3435"/>
      <c r="J3435" s="68"/>
    </row>
    <row r="3436" spans="8:10">
      <c r="H3436"/>
      <c r="I3436"/>
      <c r="J3436" s="68"/>
    </row>
    <row r="3437" spans="8:10">
      <c r="H3437"/>
      <c r="I3437"/>
      <c r="J3437" s="68"/>
    </row>
    <row r="3438" spans="8:10">
      <c r="H3438"/>
      <c r="I3438"/>
      <c r="J3438" s="68"/>
    </row>
    <row r="3439" spans="8:10">
      <c r="H3439"/>
      <c r="I3439"/>
      <c r="J3439" s="68"/>
    </row>
    <row r="3440" spans="8:10">
      <c r="H3440"/>
      <c r="I3440"/>
      <c r="J3440" s="68"/>
    </row>
    <row r="3441" spans="8:10">
      <c r="H3441"/>
      <c r="I3441"/>
      <c r="J3441" s="68"/>
    </row>
    <row r="3442" spans="8:10">
      <c r="H3442"/>
      <c r="I3442"/>
      <c r="J3442" s="68"/>
    </row>
    <row r="3443" spans="8:10">
      <c r="H3443"/>
      <c r="I3443"/>
      <c r="J3443" s="68"/>
    </row>
    <row r="3444" spans="8:10">
      <c r="H3444"/>
      <c r="I3444"/>
      <c r="J3444" s="68"/>
    </row>
    <row r="3445" spans="8:10">
      <c r="H3445"/>
      <c r="I3445"/>
      <c r="J3445" s="68"/>
    </row>
    <row r="3446" spans="8:10">
      <c r="H3446"/>
      <c r="I3446"/>
      <c r="J3446" s="68"/>
    </row>
    <row r="3447" spans="8:10">
      <c r="H3447"/>
      <c r="I3447"/>
      <c r="J3447" s="68"/>
    </row>
    <row r="3448" spans="8:10">
      <c r="H3448"/>
      <c r="I3448"/>
      <c r="J3448" s="68"/>
    </row>
    <row r="3449" spans="8:10">
      <c r="H3449"/>
      <c r="I3449"/>
      <c r="J3449" s="68"/>
    </row>
    <row r="3450" spans="8:10">
      <c r="H3450"/>
      <c r="I3450"/>
      <c r="J3450" s="68"/>
    </row>
    <row r="3451" spans="8:10">
      <c r="H3451"/>
      <c r="I3451"/>
      <c r="J3451" s="68"/>
    </row>
    <row r="3452" spans="8:10">
      <c r="H3452"/>
      <c r="I3452"/>
      <c r="J3452" s="68"/>
    </row>
    <row r="3453" spans="8:10">
      <c r="H3453"/>
      <c r="I3453"/>
      <c r="J3453" s="68"/>
    </row>
    <row r="3454" spans="8:10">
      <c r="H3454"/>
      <c r="I3454"/>
      <c r="J3454" s="68"/>
    </row>
    <row r="3455" spans="8:10">
      <c r="H3455"/>
      <c r="I3455"/>
      <c r="J3455" s="68"/>
    </row>
    <row r="3456" spans="8:10">
      <c r="H3456"/>
      <c r="I3456"/>
      <c r="J3456" s="68"/>
    </row>
    <row r="3457" spans="8:10">
      <c r="H3457"/>
      <c r="I3457"/>
      <c r="J3457" s="68"/>
    </row>
    <row r="3458" spans="8:10">
      <c r="H3458"/>
      <c r="I3458"/>
      <c r="J3458" s="68"/>
    </row>
    <row r="3459" spans="8:10">
      <c r="H3459"/>
      <c r="I3459"/>
      <c r="J3459" s="68"/>
    </row>
    <row r="3460" spans="8:10">
      <c r="H3460"/>
      <c r="I3460"/>
      <c r="J3460" s="68"/>
    </row>
    <row r="3461" spans="8:10">
      <c r="H3461"/>
      <c r="I3461"/>
      <c r="J3461" s="68"/>
    </row>
    <row r="3462" spans="8:10">
      <c r="H3462"/>
      <c r="I3462"/>
      <c r="J3462" s="68"/>
    </row>
    <row r="3463" spans="8:10">
      <c r="H3463"/>
      <c r="I3463"/>
      <c r="J3463" s="68"/>
    </row>
    <row r="3464" spans="8:10">
      <c r="H3464"/>
      <c r="I3464"/>
      <c r="J3464" s="68"/>
    </row>
    <row r="3465" spans="8:10">
      <c r="H3465"/>
      <c r="I3465"/>
      <c r="J3465" s="68"/>
    </row>
    <row r="3466" spans="8:10">
      <c r="H3466"/>
      <c r="I3466"/>
      <c r="J3466" s="68"/>
    </row>
    <row r="3467" spans="8:10">
      <c r="H3467"/>
      <c r="I3467"/>
      <c r="J3467" s="68"/>
    </row>
    <row r="3468" spans="8:10">
      <c r="H3468"/>
      <c r="I3468"/>
      <c r="J3468" s="68"/>
    </row>
    <row r="3469" spans="8:10">
      <c r="H3469"/>
      <c r="I3469"/>
      <c r="J3469" s="68"/>
    </row>
    <row r="3470" spans="8:10">
      <c r="H3470"/>
      <c r="I3470"/>
      <c r="J3470" s="68"/>
    </row>
    <row r="3471" spans="8:10">
      <c r="H3471"/>
      <c r="I3471"/>
      <c r="J3471" s="68"/>
    </row>
    <row r="3472" spans="8:10">
      <c r="H3472"/>
      <c r="I3472"/>
      <c r="J3472" s="68"/>
    </row>
    <row r="3473" spans="8:10">
      <c r="H3473"/>
      <c r="I3473"/>
      <c r="J3473" s="68"/>
    </row>
    <row r="3474" spans="8:10">
      <c r="H3474"/>
      <c r="I3474"/>
      <c r="J3474" s="68"/>
    </row>
    <row r="3475" spans="8:10">
      <c r="H3475"/>
      <c r="I3475"/>
      <c r="J3475" s="68"/>
    </row>
    <row r="3476" spans="8:10">
      <c r="H3476"/>
      <c r="I3476"/>
      <c r="J3476" s="68"/>
    </row>
    <row r="3477" spans="8:10">
      <c r="H3477"/>
      <c r="I3477"/>
      <c r="J3477" s="68"/>
    </row>
    <row r="3478" spans="8:10">
      <c r="H3478"/>
      <c r="I3478"/>
      <c r="J3478" s="68"/>
    </row>
    <row r="3479" spans="8:10">
      <c r="H3479"/>
      <c r="I3479"/>
      <c r="J3479" s="68"/>
    </row>
    <row r="3480" spans="8:10">
      <c r="H3480"/>
      <c r="I3480"/>
      <c r="J3480" s="68"/>
    </row>
    <row r="3481" spans="8:10">
      <c r="H3481"/>
      <c r="I3481"/>
      <c r="J3481" s="68"/>
    </row>
    <row r="3482" spans="8:10">
      <c r="H3482"/>
      <c r="I3482"/>
      <c r="J3482" s="68"/>
    </row>
    <row r="3483" spans="8:10">
      <c r="H3483"/>
      <c r="I3483"/>
      <c r="J3483" s="68"/>
    </row>
    <row r="3484" spans="8:10">
      <c r="H3484"/>
      <c r="I3484"/>
      <c r="J3484" s="68"/>
    </row>
    <row r="3485" spans="8:10">
      <c r="H3485"/>
      <c r="I3485"/>
      <c r="J3485" s="68"/>
    </row>
    <row r="3486" spans="8:10">
      <c r="H3486"/>
      <c r="I3486"/>
      <c r="J3486" s="68"/>
    </row>
    <row r="3487" spans="8:10">
      <c r="H3487"/>
      <c r="I3487"/>
      <c r="J3487" s="68"/>
    </row>
    <row r="3488" spans="8:10">
      <c r="H3488"/>
      <c r="I3488"/>
      <c r="J3488" s="68"/>
    </row>
    <row r="3489" spans="8:10">
      <c r="H3489"/>
      <c r="I3489"/>
      <c r="J3489" s="68"/>
    </row>
    <row r="3490" spans="8:10">
      <c r="H3490"/>
      <c r="I3490"/>
      <c r="J3490" s="68"/>
    </row>
    <row r="3491" spans="8:10">
      <c r="H3491"/>
      <c r="I3491"/>
      <c r="J3491" s="68"/>
    </row>
    <row r="3492" spans="8:10">
      <c r="H3492"/>
      <c r="I3492"/>
      <c r="J3492" s="68"/>
    </row>
    <row r="3493" spans="8:10">
      <c r="H3493"/>
      <c r="I3493"/>
      <c r="J3493" s="68"/>
    </row>
    <row r="3494" spans="8:10">
      <c r="H3494"/>
      <c r="I3494"/>
      <c r="J3494" s="68"/>
    </row>
    <row r="3495" spans="8:10">
      <c r="H3495"/>
      <c r="I3495"/>
      <c r="J3495" s="68"/>
    </row>
    <row r="3496" spans="8:10">
      <c r="H3496"/>
      <c r="I3496"/>
      <c r="J3496" s="68"/>
    </row>
    <row r="3497" spans="8:10">
      <c r="H3497"/>
      <c r="I3497"/>
      <c r="J3497" s="68"/>
    </row>
    <row r="3498" spans="8:10">
      <c r="H3498"/>
      <c r="I3498"/>
      <c r="J3498" s="68"/>
    </row>
    <row r="3499" spans="8:10">
      <c r="H3499"/>
      <c r="I3499"/>
      <c r="J3499" s="68"/>
    </row>
    <row r="3500" spans="8:10">
      <c r="H3500"/>
      <c r="I3500"/>
      <c r="J3500" s="68"/>
    </row>
    <row r="3501" spans="8:10">
      <c r="H3501"/>
      <c r="I3501"/>
      <c r="J3501" s="68"/>
    </row>
    <row r="3502" spans="8:10">
      <c r="H3502"/>
      <c r="I3502"/>
      <c r="J3502" s="68"/>
    </row>
    <row r="3503" spans="8:10">
      <c r="H3503"/>
      <c r="I3503"/>
      <c r="J3503" s="68"/>
    </row>
    <row r="3504" spans="8:10">
      <c r="H3504"/>
      <c r="I3504"/>
      <c r="J3504" s="68"/>
    </row>
    <row r="3505" spans="8:10">
      <c r="H3505"/>
      <c r="I3505"/>
      <c r="J3505" s="68"/>
    </row>
    <row r="3506" spans="8:10">
      <c r="H3506"/>
      <c r="I3506"/>
      <c r="J3506" s="68"/>
    </row>
    <row r="3507" spans="8:10">
      <c r="H3507"/>
      <c r="I3507"/>
      <c r="J3507" s="68"/>
    </row>
    <row r="3508" spans="8:10">
      <c r="H3508"/>
      <c r="I3508"/>
      <c r="J3508" s="68"/>
    </row>
    <row r="3509" spans="8:10">
      <c r="H3509"/>
      <c r="I3509"/>
      <c r="J3509" s="68"/>
    </row>
    <row r="3510" spans="8:10">
      <c r="H3510"/>
      <c r="I3510"/>
      <c r="J3510" s="68"/>
    </row>
    <row r="3511" spans="8:10">
      <c r="H3511"/>
      <c r="I3511"/>
      <c r="J3511" s="68"/>
    </row>
    <row r="3512" spans="8:10">
      <c r="H3512"/>
      <c r="I3512"/>
      <c r="J3512" s="68"/>
    </row>
    <row r="3513" spans="8:10">
      <c r="H3513"/>
      <c r="I3513"/>
      <c r="J3513" s="68"/>
    </row>
    <row r="3514" spans="8:10">
      <c r="H3514"/>
      <c r="I3514"/>
      <c r="J3514" s="68"/>
    </row>
    <row r="3515" spans="8:10">
      <c r="H3515"/>
      <c r="I3515"/>
      <c r="J3515" s="68"/>
    </row>
    <row r="3516" spans="8:10">
      <c r="H3516"/>
      <c r="I3516"/>
      <c r="J3516" s="68"/>
    </row>
    <row r="3517" spans="8:10">
      <c r="H3517"/>
      <c r="I3517"/>
      <c r="J3517" s="68"/>
    </row>
    <row r="3518" spans="8:10">
      <c r="H3518"/>
      <c r="I3518"/>
      <c r="J3518" s="68"/>
    </row>
    <row r="3519" spans="8:10">
      <c r="H3519"/>
      <c r="I3519"/>
      <c r="J3519" s="68"/>
    </row>
    <row r="3520" spans="8:10">
      <c r="H3520"/>
      <c r="I3520"/>
      <c r="J3520" s="68"/>
    </row>
    <row r="3521" spans="8:10">
      <c r="H3521"/>
      <c r="I3521"/>
      <c r="J3521" s="68"/>
    </row>
    <row r="3522" spans="8:10">
      <c r="H3522"/>
      <c r="I3522"/>
      <c r="J3522" s="68"/>
    </row>
    <row r="3523" spans="8:10">
      <c r="H3523"/>
      <c r="I3523"/>
      <c r="J3523" s="68"/>
    </row>
    <row r="3524" spans="8:10">
      <c r="H3524"/>
      <c r="I3524"/>
      <c r="J3524" s="68"/>
    </row>
    <row r="3525" spans="8:10">
      <c r="H3525"/>
      <c r="I3525"/>
      <c r="J3525" s="68"/>
    </row>
    <row r="3526" spans="8:10">
      <c r="H3526"/>
      <c r="I3526"/>
      <c r="J3526" s="68"/>
    </row>
    <row r="3527" spans="8:10">
      <c r="H3527"/>
      <c r="I3527"/>
      <c r="J3527" s="68"/>
    </row>
    <row r="3528" spans="8:10">
      <c r="H3528"/>
      <c r="I3528"/>
      <c r="J3528" s="68"/>
    </row>
    <row r="3529" spans="8:10">
      <c r="H3529"/>
      <c r="I3529"/>
      <c r="J3529" s="68"/>
    </row>
    <row r="3530" spans="8:10">
      <c r="H3530"/>
      <c r="I3530"/>
      <c r="J3530" s="68"/>
    </row>
    <row r="3531" spans="8:10">
      <c r="H3531"/>
      <c r="I3531"/>
      <c r="J3531" s="68"/>
    </row>
    <row r="3532" spans="8:10">
      <c r="H3532"/>
      <c r="I3532"/>
      <c r="J3532" s="68"/>
    </row>
    <row r="3533" spans="8:10">
      <c r="H3533"/>
      <c r="I3533"/>
      <c r="J3533" s="68"/>
    </row>
    <row r="3534" spans="8:10">
      <c r="H3534"/>
      <c r="I3534"/>
      <c r="J3534" s="68"/>
    </row>
    <row r="3535" spans="8:10">
      <c r="H3535"/>
      <c r="I3535"/>
      <c r="J3535" s="68"/>
    </row>
    <row r="3536" spans="8:10">
      <c r="H3536"/>
      <c r="I3536"/>
      <c r="J3536" s="68"/>
    </row>
    <row r="3537" spans="8:10">
      <c r="H3537"/>
      <c r="I3537"/>
      <c r="J3537" s="68"/>
    </row>
    <row r="3538" spans="8:10">
      <c r="H3538"/>
      <c r="I3538"/>
      <c r="J3538" s="68"/>
    </row>
    <row r="3539" spans="8:10">
      <c r="H3539"/>
      <c r="I3539"/>
      <c r="J3539" s="68"/>
    </row>
    <row r="3540" spans="8:10">
      <c r="H3540"/>
      <c r="I3540"/>
      <c r="J3540" s="68"/>
    </row>
    <row r="3541" spans="8:10">
      <c r="H3541"/>
      <c r="I3541"/>
      <c r="J3541" s="68"/>
    </row>
    <row r="3542" spans="8:10">
      <c r="H3542"/>
      <c r="I3542"/>
      <c r="J3542" s="68"/>
    </row>
    <row r="3543" spans="8:10">
      <c r="H3543"/>
      <c r="I3543"/>
      <c r="J3543" s="68"/>
    </row>
    <row r="3544" spans="8:10">
      <c r="H3544"/>
      <c r="I3544"/>
      <c r="J3544" s="68"/>
    </row>
    <row r="3545" spans="8:10">
      <c r="H3545"/>
      <c r="I3545"/>
      <c r="J3545" s="68"/>
    </row>
    <row r="3546" spans="8:10">
      <c r="H3546"/>
      <c r="I3546"/>
      <c r="J3546" s="68"/>
    </row>
    <row r="3547" spans="8:10">
      <c r="H3547"/>
      <c r="I3547"/>
      <c r="J3547" s="68"/>
    </row>
    <row r="3548" spans="8:10">
      <c r="H3548"/>
      <c r="I3548"/>
      <c r="J3548" s="68"/>
    </row>
    <row r="3549" spans="8:10">
      <c r="H3549"/>
      <c r="I3549"/>
      <c r="J3549" s="68"/>
    </row>
    <row r="3550" spans="8:10">
      <c r="H3550"/>
      <c r="I3550"/>
      <c r="J3550" s="68"/>
    </row>
    <row r="3551" spans="8:10">
      <c r="H3551"/>
      <c r="I3551"/>
      <c r="J3551" s="68"/>
    </row>
    <row r="3552" spans="8:10">
      <c r="H3552"/>
      <c r="I3552"/>
      <c r="J3552" s="68"/>
    </row>
    <row r="3553" spans="8:10">
      <c r="H3553"/>
      <c r="I3553"/>
      <c r="J3553" s="68"/>
    </row>
    <row r="3554" spans="8:10">
      <c r="H3554"/>
      <c r="I3554"/>
      <c r="J3554" s="68"/>
    </row>
    <row r="3555" spans="8:10">
      <c r="H3555"/>
      <c r="I3555"/>
      <c r="J3555" s="68"/>
    </row>
    <row r="3556" spans="8:10">
      <c r="H3556"/>
      <c r="I3556"/>
      <c r="J3556" s="68"/>
    </row>
    <row r="3557" spans="8:10">
      <c r="H3557"/>
      <c r="I3557"/>
      <c r="J3557" s="68"/>
    </row>
    <row r="3558" spans="8:10">
      <c r="H3558"/>
      <c r="I3558"/>
      <c r="J3558" s="68"/>
    </row>
    <row r="3559" spans="8:10">
      <c r="H3559"/>
      <c r="I3559"/>
      <c r="J3559" s="68"/>
    </row>
    <row r="3560" spans="8:10">
      <c r="H3560"/>
      <c r="I3560"/>
      <c r="J3560" s="68"/>
    </row>
    <row r="3561" spans="8:10">
      <c r="H3561"/>
      <c r="I3561"/>
      <c r="J3561" s="68"/>
    </row>
    <row r="3562" spans="8:10">
      <c r="H3562"/>
      <c r="I3562"/>
      <c r="J3562" s="68"/>
    </row>
    <row r="3563" spans="8:10">
      <c r="H3563"/>
      <c r="I3563"/>
      <c r="J3563" s="68"/>
    </row>
    <row r="3564" spans="8:10">
      <c r="H3564"/>
      <c r="I3564"/>
      <c r="J3564" s="68"/>
    </row>
    <row r="3565" spans="8:10">
      <c r="H3565"/>
      <c r="I3565"/>
      <c r="J3565" s="68"/>
    </row>
    <row r="3566" spans="8:10">
      <c r="H3566"/>
      <c r="I3566"/>
      <c r="J3566" s="68"/>
    </row>
    <row r="3567" spans="8:10">
      <c r="H3567"/>
      <c r="I3567"/>
      <c r="J3567" s="68"/>
    </row>
    <row r="3568" spans="8:10">
      <c r="H3568"/>
      <c r="I3568"/>
      <c r="J3568" s="68"/>
    </row>
    <row r="3569" spans="8:10">
      <c r="H3569"/>
      <c r="I3569"/>
      <c r="J3569" s="68"/>
    </row>
    <row r="3570" spans="8:10">
      <c r="H3570"/>
      <c r="I3570"/>
      <c r="J3570" s="68"/>
    </row>
    <row r="3571" spans="8:10">
      <c r="H3571"/>
      <c r="I3571"/>
      <c r="J3571" s="68"/>
    </row>
    <row r="3572" spans="8:10">
      <c r="H3572"/>
      <c r="I3572"/>
      <c r="J3572" s="68"/>
    </row>
    <row r="3573" spans="8:10">
      <c r="H3573"/>
      <c r="I3573"/>
      <c r="J3573" s="68"/>
    </row>
    <row r="3574" spans="8:10">
      <c r="H3574"/>
      <c r="I3574"/>
      <c r="J3574" s="68"/>
    </row>
    <row r="3575" spans="8:10">
      <c r="H3575"/>
      <c r="I3575"/>
      <c r="J3575" s="68"/>
    </row>
    <row r="3576" spans="8:10">
      <c r="H3576"/>
      <c r="I3576"/>
      <c r="J3576" s="68"/>
    </row>
    <row r="3577" spans="8:10">
      <c r="H3577"/>
      <c r="I3577"/>
      <c r="J3577" s="68"/>
    </row>
    <row r="3578" spans="8:10">
      <c r="H3578"/>
      <c r="I3578"/>
      <c r="J3578" s="68"/>
    </row>
    <row r="3579" spans="8:10">
      <c r="H3579"/>
      <c r="I3579"/>
      <c r="J3579" s="68"/>
    </row>
    <row r="3580" spans="8:10">
      <c r="H3580"/>
      <c r="I3580"/>
      <c r="J3580" s="68"/>
    </row>
    <row r="3581" spans="8:10">
      <c r="H3581"/>
      <c r="I3581"/>
      <c r="J3581" s="68"/>
    </row>
    <row r="3582" spans="8:10">
      <c r="H3582"/>
      <c r="I3582"/>
      <c r="J3582" s="68"/>
    </row>
    <row r="3583" spans="8:10">
      <c r="H3583"/>
      <c r="I3583"/>
      <c r="J3583" s="68"/>
    </row>
    <row r="3584" spans="8:10">
      <c r="H3584"/>
      <c r="I3584"/>
      <c r="J3584" s="68"/>
    </row>
    <row r="3585" spans="8:10">
      <c r="H3585"/>
      <c r="I3585"/>
      <c r="J3585" s="68"/>
    </row>
    <row r="3586" spans="8:10">
      <c r="H3586"/>
      <c r="I3586"/>
      <c r="J3586" s="68"/>
    </row>
    <row r="3587" spans="8:10">
      <c r="H3587"/>
      <c r="I3587"/>
      <c r="J3587" s="68"/>
    </row>
    <row r="3588" spans="8:10">
      <c r="H3588"/>
      <c r="I3588"/>
      <c r="J3588" s="68"/>
    </row>
    <row r="3589" spans="8:10">
      <c r="H3589"/>
      <c r="I3589"/>
      <c r="J3589" s="68"/>
    </row>
    <row r="3590" spans="8:10">
      <c r="H3590"/>
      <c r="I3590"/>
      <c r="J3590" s="68"/>
    </row>
    <row r="3591" spans="8:10">
      <c r="H3591"/>
      <c r="I3591"/>
      <c r="J3591" s="68"/>
    </row>
    <row r="3592" spans="8:10">
      <c r="H3592"/>
      <c r="I3592"/>
      <c r="J3592" s="68"/>
    </row>
    <row r="3593" spans="8:10">
      <c r="H3593"/>
      <c r="I3593"/>
      <c r="J3593" s="68"/>
    </row>
    <row r="3594" spans="8:10">
      <c r="H3594"/>
      <c r="I3594"/>
      <c r="J3594" s="68"/>
    </row>
    <row r="3595" spans="8:10">
      <c r="H3595"/>
      <c r="I3595"/>
      <c r="J3595" s="68"/>
    </row>
    <row r="3596" spans="8:10">
      <c r="H3596"/>
      <c r="I3596"/>
      <c r="J3596" s="68"/>
    </row>
    <row r="3597" spans="8:10">
      <c r="H3597"/>
      <c r="I3597"/>
      <c r="J3597" s="68"/>
    </row>
    <row r="3598" spans="8:10">
      <c r="H3598"/>
      <c r="I3598"/>
      <c r="J3598" s="68"/>
    </row>
    <row r="3599" spans="8:10">
      <c r="H3599"/>
      <c r="I3599"/>
      <c r="J3599" s="68"/>
    </row>
    <row r="3600" spans="8:10">
      <c r="H3600"/>
      <c r="I3600"/>
      <c r="J3600" s="68"/>
    </row>
    <row r="3601" spans="8:10">
      <c r="H3601"/>
      <c r="I3601"/>
      <c r="J3601" s="68"/>
    </row>
    <row r="3602" spans="8:10">
      <c r="H3602"/>
      <c r="I3602"/>
      <c r="J3602" s="68"/>
    </row>
    <row r="3603" spans="8:10">
      <c r="H3603"/>
      <c r="I3603"/>
      <c r="J3603" s="68"/>
    </row>
    <row r="3604" spans="8:10">
      <c r="H3604"/>
      <c r="I3604"/>
      <c r="J3604" s="68"/>
    </row>
    <row r="3605" spans="8:10">
      <c r="H3605"/>
      <c r="I3605"/>
      <c r="J3605" s="68"/>
    </row>
    <row r="3606" spans="8:10">
      <c r="H3606"/>
      <c r="I3606"/>
      <c r="J3606" s="68"/>
    </row>
    <row r="3607" spans="8:10">
      <c r="H3607"/>
      <c r="I3607"/>
      <c r="J3607" s="68"/>
    </row>
    <row r="3608" spans="8:10">
      <c r="H3608"/>
      <c r="I3608"/>
      <c r="J3608" s="68"/>
    </row>
    <row r="3609" spans="8:10">
      <c r="H3609"/>
      <c r="I3609"/>
      <c r="J3609" s="68"/>
    </row>
    <row r="3610" spans="8:10">
      <c r="H3610"/>
      <c r="I3610"/>
      <c r="J3610" s="68"/>
    </row>
    <row r="3611" spans="8:10">
      <c r="H3611"/>
      <c r="I3611"/>
      <c r="J3611" s="68"/>
    </row>
    <row r="3612" spans="8:10">
      <c r="H3612"/>
      <c r="I3612"/>
      <c r="J3612" s="68"/>
    </row>
    <row r="3613" spans="8:10">
      <c r="H3613"/>
      <c r="I3613"/>
      <c r="J3613" s="68"/>
    </row>
    <row r="3614" spans="8:10">
      <c r="H3614"/>
      <c r="I3614"/>
      <c r="J3614" s="68"/>
    </row>
    <row r="3615" spans="8:10">
      <c r="H3615"/>
      <c r="I3615"/>
      <c r="J3615" s="68"/>
    </row>
    <row r="3616" spans="8:10">
      <c r="H3616"/>
      <c r="I3616"/>
      <c r="J3616" s="68"/>
    </row>
    <row r="3617" spans="8:10">
      <c r="H3617"/>
      <c r="I3617"/>
      <c r="J3617" s="68"/>
    </row>
    <row r="3618" spans="8:10">
      <c r="H3618"/>
      <c r="I3618"/>
      <c r="J3618" s="68"/>
    </row>
    <row r="3619" spans="8:10">
      <c r="H3619"/>
      <c r="I3619"/>
      <c r="J3619" s="68"/>
    </row>
    <row r="3620" spans="8:10">
      <c r="H3620"/>
      <c r="I3620"/>
      <c r="J3620" s="68"/>
    </row>
    <row r="3621" spans="8:10">
      <c r="H3621"/>
      <c r="I3621"/>
      <c r="J3621" s="68"/>
    </row>
    <row r="3622" spans="8:10">
      <c r="H3622"/>
      <c r="I3622"/>
      <c r="J3622" s="68"/>
    </row>
    <row r="3623" spans="8:10">
      <c r="H3623"/>
      <c r="I3623"/>
      <c r="J3623" s="68"/>
    </row>
    <row r="3624" spans="8:10">
      <c r="H3624"/>
      <c r="I3624"/>
      <c r="J3624" s="68"/>
    </row>
    <row r="3625" spans="8:10">
      <c r="H3625"/>
      <c r="I3625"/>
      <c r="J3625" s="68"/>
    </row>
    <row r="3626" spans="8:10">
      <c r="H3626"/>
      <c r="I3626"/>
      <c r="J3626" s="68"/>
    </row>
    <row r="3627" spans="8:10">
      <c r="H3627"/>
      <c r="I3627"/>
      <c r="J3627" s="68"/>
    </row>
    <row r="3628" spans="8:10">
      <c r="H3628"/>
      <c r="I3628"/>
      <c r="J3628" s="68"/>
    </row>
    <row r="3629" spans="8:10">
      <c r="H3629"/>
      <c r="I3629"/>
      <c r="J3629" s="68"/>
    </row>
    <row r="3630" spans="8:10">
      <c r="H3630"/>
      <c r="I3630"/>
      <c r="J3630" s="68"/>
    </row>
    <row r="3631" spans="8:10">
      <c r="H3631"/>
      <c r="I3631"/>
      <c r="J3631" s="68"/>
    </row>
    <row r="3632" spans="8:10">
      <c r="H3632"/>
      <c r="I3632"/>
      <c r="J3632" s="68"/>
    </row>
    <row r="3633" spans="8:10">
      <c r="H3633"/>
      <c r="I3633"/>
      <c r="J3633" s="68"/>
    </row>
    <row r="3634" spans="8:10">
      <c r="H3634"/>
      <c r="I3634"/>
      <c r="J3634" s="68"/>
    </row>
    <row r="3635" spans="8:10">
      <c r="H3635"/>
      <c r="I3635"/>
      <c r="J3635" s="68"/>
    </row>
    <row r="3636" spans="8:10">
      <c r="H3636"/>
      <c r="I3636"/>
      <c r="J3636" s="68"/>
    </row>
    <row r="3637" spans="8:10">
      <c r="H3637"/>
      <c r="I3637"/>
      <c r="J3637" s="68"/>
    </row>
    <row r="3638" spans="8:10">
      <c r="H3638"/>
      <c r="I3638"/>
      <c r="J3638" s="68"/>
    </row>
    <row r="3639" spans="8:10">
      <c r="H3639"/>
      <c r="I3639"/>
      <c r="J3639" s="68"/>
    </row>
    <row r="3640" spans="8:10">
      <c r="H3640"/>
      <c r="I3640"/>
      <c r="J3640" s="68"/>
    </row>
    <row r="3641" spans="8:10">
      <c r="H3641"/>
      <c r="I3641"/>
      <c r="J3641" s="68"/>
    </row>
    <row r="3642" spans="8:10">
      <c r="H3642"/>
      <c r="I3642"/>
      <c r="J3642" s="68"/>
    </row>
    <row r="3643" spans="8:10">
      <c r="H3643"/>
      <c r="I3643"/>
      <c r="J3643" s="68"/>
    </row>
    <row r="3644" spans="8:10">
      <c r="H3644"/>
      <c r="I3644"/>
      <c r="J3644" s="68"/>
    </row>
    <row r="3645" spans="8:10">
      <c r="H3645"/>
      <c r="I3645"/>
      <c r="J3645" s="68"/>
    </row>
    <row r="3646" spans="8:10">
      <c r="H3646"/>
      <c r="I3646"/>
      <c r="J3646" s="68"/>
    </row>
    <row r="3647" spans="8:10">
      <c r="H3647"/>
      <c r="I3647"/>
      <c r="J3647" s="68"/>
    </row>
    <row r="3648" spans="8:10">
      <c r="H3648"/>
      <c r="I3648"/>
      <c r="J3648" s="68"/>
    </row>
    <row r="3649" spans="8:10">
      <c r="H3649"/>
      <c r="I3649"/>
      <c r="J3649" s="68"/>
    </row>
    <row r="3650" spans="8:10">
      <c r="H3650"/>
      <c r="I3650"/>
      <c r="J3650" s="68"/>
    </row>
    <row r="3651" spans="8:10">
      <c r="H3651"/>
      <c r="I3651"/>
      <c r="J3651" s="68"/>
    </row>
    <row r="3652" spans="8:10">
      <c r="H3652"/>
      <c r="I3652"/>
      <c r="J3652" s="68"/>
    </row>
    <row r="3653" spans="8:10">
      <c r="H3653"/>
      <c r="I3653"/>
      <c r="J3653" s="68"/>
    </row>
    <row r="3654" spans="8:10">
      <c r="H3654"/>
      <c r="I3654"/>
      <c r="J3654" s="68"/>
    </row>
    <row r="3655" spans="8:10">
      <c r="H3655"/>
      <c r="I3655"/>
      <c r="J3655" s="68"/>
    </row>
    <row r="3656" spans="8:10">
      <c r="H3656"/>
      <c r="I3656"/>
      <c r="J3656" s="68"/>
    </row>
    <row r="3657" spans="8:10">
      <c r="H3657"/>
      <c r="I3657"/>
      <c r="J3657" s="68"/>
    </row>
    <row r="3658" spans="8:10">
      <c r="H3658"/>
      <c r="I3658"/>
      <c r="J3658" s="68"/>
    </row>
    <row r="3659" spans="8:10">
      <c r="H3659"/>
      <c r="I3659"/>
      <c r="J3659" s="68"/>
    </row>
    <row r="3660" spans="8:10">
      <c r="H3660"/>
      <c r="I3660"/>
      <c r="J3660" s="68"/>
    </row>
    <row r="3661" spans="8:10">
      <c r="H3661"/>
      <c r="I3661"/>
      <c r="J3661" s="68"/>
    </row>
    <row r="3662" spans="8:10">
      <c r="H3662"/>
      <c r="I3662"/>
      <c r="J3662" s="68"/>
    </row>
    <row r="3663" spans="8:10">
      <c r="H3663"/>
      <c r="I3663"/>
      <c r="J3663" s="68"/>
    </row>
    <row r="3664" spans="8:10">
      <c r="H3664"/>
      <c r="I3664"/>
      <c r="J3664" s="68"/>
    </row>
    <row r="3665" spans="8:10">
      <c r="H3665"/>
      <c r="I3665"/>
      <c r="J3665" s="68"/>
    </row>
    <row r="3666" spans="8:10">
      <c r="H3666"/>
      <c r="I3666"/>
      <c r="J3666" s="68"/>
    </row>
    <row r="3667" spans="8:10">
      <c r="H3667"/>
      <c r="I3667"/>
      <c r="J3667" s="68"/>
    </row>
    <row r="3668" spans="8:10">
      <c r="H3668"/>
      <c r="I3668"/>
      <c r="J3668" s="68"/>
    </row>
    <row r="3669" spans="8:10">
      <c r="H3669"/>
      <c r="I3669"/>
      <c r="J3669" s="68"/>
    </row>
    <row r="3670" spans="8:10">
      <c r="H3670"/>
      <c r="I3670"/>
      <c r="J3670" s="68"/>
    </row>
    <row r="3671" spans="8:10">
      <c r="H3671"/>
      <c r="I3671"/>
      <c r="J3671" s="68"/>
    </row>
    <row r="3672" spans="8:10">
      <c r="H3672"/>
      <c r="I3672"/>
      <c r="J3672" s="68"/>
    </row>
    <row r="3673" spans="8:10">
      <c r="H3673"/>
      <c r="I3673"/>
      <c r="J3673" s="68"/>
    </row>
    <row r="3674" spans="8:10">
      <c r="H3674"/>
      <c r="I3674"/>
      <c r="J3674" s="68"/>
    </row>
    <row r="3675" spans="8:10">
      <c r="H3675"/>
      <c r="I3675"/>
      <c r="J3675" s="68"/>
    </row>
    <row r="3676" spans="8:10">
      <c r="H3676"/>
      <c r="I3676"/>
      <c r="J3676" s="68"/>
    </row>
    <row r="3677" spans="8:10">
      <c r="H3677"/>
      <c r="I3677"/>
      <c r="J3677" s="68"/>
    </row>
    <row r="3678" spans="8:10">
      <c r="H3678"/>
      <c r="I3678"/>
      <c r="J3678" s="68"/>
    </row>
    <row r="3679" spans="8:10">
      <c r="H3679"/>
      <c r="I3679"/>
      <c r="J3679" s="68"/>
    </row>
    <row r="3680" spans="8:10">
      <c r="H3680"/>
      <c r="I3680"/>
      <c r="J3680" s="68"/>
    </row>
    <row r="3681" spans="8:10">
      <c r="H3681"/>
      <c r="I3681"/>
      <c r="J3681" s="68"/>
    </row>
    <row r="3682" spans="8:10">
      <c r="H3682"/>
      <c r="I3682"/>
      <c r="J3682" s="68"/>
    </row>
    <row r="3683" spans="8:10">
      <c r="H3683"/>
      <c r="I3683"/>
      <c r="J3683" s="68"/>
    </row>
    <row r="3684" spans="8:10">
      <c r="H3684"/>
      <c r="I3684"/>
      <c r="J3684" s="68"/>
    </row>
    <row r="3685" spans="8:10">
      <c r="H3685"/>
      <c r="I3685"/>
      <c r="J3685" s="68"/>
    </row>
    <row r="3686" spans="8:10">
      <c r="H3686"/>
      <c r="I3686"/>
      <c r="J3686" s="68"/>
    </row>
    <row r="3687" spans="8:10">
      <c r="H3687"/>
      <c r="I3687"/>
      <c r="J3687" s="68"/>
    </row>
    <row r="3688" spans="8:10">
      <c r="H3688"/>
      <c r="I3688"/>
      <c r="J3688" s="68"/>
    </row>
    <row r="3689" spans="8:10">
      <c r="H3689"/>
      <c r="I3689"/>
      <c r="J3689" s="68"/>
    </row>
    <row r="3690" spans="8:10">
      <c r="H3690"/>
      <c r="I3690"/>
      <c r="J3690" s="68"/>
    </row>
    <row r="3691" spans="8:10">
      <c r="H3691"/>
      <c r="I3691"/>
      <c r="J3691" s="68"/>
    </row>
    <row r="3692" spans="8:10">
      <c r="H3692"/>
      <c r="I3692"/>
      <c r="J3692" s="68"/>
    </row>
    <row r="3693" spans="8:10">
      <c r="H3693"/>
      <c r="I3693"/>
      <c r="J3693" s="68"/>
    </row>
    <row r="3694" spans="8:10">
      <c r="H3694"/>
      <c r="I3694"/>
      <c r="J3694" s="68"/>
    </row>
    <row r="3695" spans="8:10">
      <c r="H3695"/>
      <c r="I3695"/>
      <c r="J3695" s="68"/>
    </row>
    <row r="3696" spans="8:10">
      <c r="H3696"/>
      <c r="I3696"/>
      <c r="J3696" s="68"/>
    </row>
    <row r="3697" spans="8:10">
      <c r="H3697"/>
      <c r="I3697"/>
      <c r="J3697" s="68"/>
    </row>
    <row r="3698" spans="8:10">
      <c r="H3698"/>
      <c r="I3698"/>
      <c r="J3698" s="68"/>
    </row>
    <row r="3699" spans="8:10">
      <c r="H3699"/>
      <c r="I3699"/>
      <c r="J3699" s="68"/>
    </row>
    <row r="3700" spans="8:10">
      <c r="H3700"/>
      <c r="I3700"/>
      <c r="J3700" s="68"/>
    </row>
    <row r="3701" spans="8:10">
      <c r="H3701"/>
      <c r="I3701"/>
      <c r="J3701" s="68"/>
    </row>
    <row r="3702" spans="8:10">
      <c r="H3702"/>
      <c r="I3702"/>
      <c r="J3702" s="68"/>
    </row>
    <row r="3703" spans="8:10">
      <c r="H3703"/>
      <c r="I3703"/>
      <c r="J3703" s="68"/>
    </row>
    <row r="3704" spans="8:10">
      <c r="H3704"/>
      <c r="I3704"/>
      <c r="J3704" s="68"/>
    </row>
    <row r="3705" spans="8:10">
      <c r="H3705"/>
      <c r="I3705"/>
      <c r="J3705" s="68"/>
    </row>
    <row r="3706" spans="8:10">
      <c r="H3706"/>
      <c r="I3706"/>
      <c r="J3706" s="68"/>
    </row>
    <row r="3707" spans="8:10">
      <c r="H3707"/>
      <c r="I3707"/>
      <c r="J3707" s="68"/>
    </row>
    <row r="3708" spans="8:10">
      <c r="H3708"/>
      <c r="I3708"/>
      <c r="J3708" s="68"/>
    </row>
    <row r="3709" spans="8:10">
      <c r="H3709"/>
      <c r="I3709"/>
      <c r="J3709" s="68"/>
    </row>
    <row r="3710" spans="8:10">
      <c r="H3710"/>
      <c r="I3710"/>
      <c r="J3710" s="68"/>
    </row>
    <row r="3711" spans="8:10">
      <c r="H3711"/>
      <c r="I3711"/>
      <c r="J3711" s="68"/>
    </row>
    <row r="3712" spans="8:10">
      <c r="H3712"/>
      <c r="I3712"/>
      <c r="J3712" s="68"/>
    </row>
    <row r="3713" spans="8:10">
      <c r="H3713"/>
      <c r="I3713"/>
      <c r="J3713" s="68"/>
    </row>
    <row r="3714" spans="8:10">
      <c r="H3714"/>
      <c r="I3714"/>
      <c r="J3714" s="68"/>
    </row>
    <row r="3715" spans="8:10">
      <c r="H3715"/>
      <c r="I3715"/>
      <c r="J3715" s="68"/>
    </row>
    <row r="3716" spans="8:10">
      <c r="H3716"/>
      <c r="I3716"/>
      <c r="J3716" s="68"/>
    </row>
    <row r="3717" spans="8:10">
      <c r="H3717"/>
      <c r="I3717"/>
      <c r="J3717" s="68"/>
    </row>
    <row r="3718" spans="8:10">
      <c r="H3718"/>
      <c r="I3718"/>
      <c r="J3718" s="68"/>
    </row>
    <row r="3719" spans="8:10">
      <c r="H3719"/>
      <c r="I3719"/>
      <c r="J3719" s="68"/>
    </row>
    <row r="3720" spans="8:10">
      <c r="H3720"/>
      <c r="I3720"/>
      <c r="J3720" s="68"/>
    </row>
    <row r="3721" spans="8:10">
      <c r="H3721"/>
      <c r="I3721"/>
      <c r="J3721" s="68"/>
    </row>
    <row r="3722" spans="8:10">
      <c r="H3722"/>
      <c r="I3722"/>
      <c r="J3722" s="68"/>
    </row>
    <row r="3723" spans="8:10">
      <c r="H3723"/>
      <c r="I3723"/>
      <c r="J3723" s="68"/>
    </row>
    <row r="3724" spans="8:10">
      <c r="H3724"/>
      <c r="I3724"/>
      <c r="J3724" s="68"/>
    </row>
    <row r="3725" spans="8:10">
      <c r="H3725"/>
      <c r="I3725"/>
      <c r="J3725" s="68"/>
    </row>
    <row r="3726" spans="8:10">
      <c r="H3726"/>
      <c r="I3726"/>
      <c r="J3726" s="68"/>
    </row>
    <row r="3727" spans="8:10">
      <c r="H3727"/>
      <c r="I3727"/>
      <c r="J3727" s="68"/>
    </row>
    <row r="3728" spans="8:10">
      <c r="H3728"/>
      <c r="I3728"/>
      <c r="J3728" s="68"/>
    </row>
    <row r="3729" spans="8:10">
      <c r="H3729"/>
      <c r="I3729"/>
      <c r="J3729" s="68"/>
    </row>
    <row r="3730" spans="8:10">
      <c r="H3730"/>
      <c r="I3730"/>
      <c r="J3730" s="68"/>
    </row>
    <row r="3731" spans="8:10">
      <c r="H3731"/>
      <c r="I3731"/>
      <c r="J3731" s="68"/>
    </row>
    <row r="3732" spans="8:10">
      <c r="H3732"/>
      <c r="I3732"/>
      <c r="J3732" s="68"/>
    </row>
    <row r="3733" spans="8:10">
      <c r="H3733"/>
      <c r="I3733"/>
      <c r="J3733" s="68"/>
    </row>
    <row r="3734" spans="8:10">
      <c r="H3734"/>
      <c r="I3734"/>
      <c r="J3734" s="68"/>
    </row>
    <row r="3735" spans="8:10">
      <c r="H3735"/>
      <c r="I3735"/>
      <c r="J3735" s="68"/>
    </row>
    <row r="3736" spans="8:10">
      <c r="H3736"/>
      <c r="I3736"/>
      <c r="J3736" s="68"/>
    </row>
    <row r="3737" spans="8:10">
      <c r="H3737"/>
      <c r="I3737"/>
      <c r="J3737" s="68"/>
    </row>
    <row r="3738" spans="8:10">
      <c r="H3738"/>
      <c r="I3738"/>
      <c r="J3738" s="68"/>
    </row>
    <row r="3739" spans="8:10">
      <c r="H3739"/>
      <c r="I3739"/>
      <c r="J3739" s="68"/>
    </row>
    <row r="3740" spans="8:10">
      <c r="H3740"/>
      <c r="I3740"/>
      <c r="J3740" s="68"/>
    </row>
    <row r="3741" spans="8:10">
      <c r="H3741"/>
      <c r="I3741"/>
      <c r="J3741" s="68"/>
    </row>
    <row r="3742" spans="8:10">
      <c r="H3742"/>
      <c r="I3742"/>
      <c r="J3742" s="68"/>
    </row>
    <row r="3743" spans="8:10">
      <c r="H3743"/>
      <c r="I3743"/>
      <c r="J3743" s="68"/>
    </row>
    <row r="3744" spans="8:10">
      <c r="H3744"/>
      <c r="I3744"/>
      <c r="J3744" s="68"/>
    </row>
    <row r="3745" spans="8:10">
      <c r="H3745"/>
      <c r="I3745"/>
      <c r="J3745" s="68"/>
    </row>
    <row r="3746" spans="8:10">
      <c r="H3746"/>
      <c r="I3746"/>
      <c r="J3746" s="68"/>
    </row>
    <row r="3747" spans="8:10">
      <c r="H3747"/>
      <c r="I3747"/>
      <c r="J3747" s="68"/>
    </row>
    <row r="3748" spans="8:10">
      <c r="H3748"/>
      <c r="I3748"/>
      <c r="J3748" s="68"/>
    </row>
    <row r="3749" spans="8:10">
      <c r="H3749"/>
      <c r="I3749"/>
      <c r="J3749" s="68"/>
    </row>
    <row r="3750" spans="8:10">
      <c r="H3750"/>
      <c r="I3750"/>
      <c r="J3750" s="68"/>
    </row>
    <row r="3751" spans="8:10">
      <c r="H3751"/>
      <c r="I3751"/>
      <c r="J3751" s="68"/>
    </row>
    <row r="3752" spans="8:10">
      <c r="H3752"/>
      <c r="I3752"/>
      <c r="J3752" s="68"/>
    </row>
    <row r="3753" spans="8:10">
      <c r="H3753"/>
      <c r="I3753"/>
      <c r="J3753" s="68"/>
    </row>
    <row r="3754" spans="8:10">
      <c r="H3754"/>
      <c r="I3754"/>
      <c r="J3754" s="68"/>
    </row>
    <row r="3755" spans="8:10">
      <c r="H3755"/>
      <c r="I3755"/>
      <c r="J3755" s="68"/>
    </row>
    <row r="3756" spans="8:10">
      <c r="H3756"/>
      <c r="I3756"/>
      <c r="J3756" s="68"/>
    </row>
    <row r="3757" spans="8:10">
      <c r="H3757"/>
      <c r="I3757"/>
      <c r="J3757" s="68"/>
    </row>
    <row r="3758" spans="8:10">
      <c r="H3758"/>
      <c r="I3758"/>
      <c r="J3758" s="68"/>
    </row>
    <row r="3759" spans="8:10">
      <c r="H3759"/>
      <c r="I3759"/>
      <c r="J3759" s="68"/>
    </row>
    <row r="3760" spans="8:10">
      <c r="H3760"/>
      <c r="I3760"/>
      <c r="J3760" s="68"/>
    </row>
    <row r="3761" spans="8:10">
      <c r="H3761"/>
      <c r="I3761"/>
      <c r="J3761" s="68"/>
    </row>
    <row r="3762" spans="8:10">
      <c r="H3762"/>
      <c r="I3762"/>
      <c r="J3762" s="68"/>
    </row>
    <row r="3763" spans="8:10">
      <c r="H3763"/>
      <c r="I3763"/>
      <c r="J3763" s="68"/>
    </row>
    <row r="3764" spans="8:10">
      <c r="H3764"/>
      <c r="I3764"/>
      <c r="J3764" s="68"/>
    </row>
    <row r="3765" spans="8:10">
      <c r="H3765"/>
      <c r="I3765"/>
      <c r="J3765" s="68"/>
    </row>
    <row r="3766" spans="8:10">
      <c r="H3766"/>
      <c r="I3766"/>
      <c r="J3766" s="68"/>
    </row>
    <row r="3767" spans="8:10">
      <c r="H3767"/>
      <c r="I3767"/>
      <c r="J3767" s="68"/>
    </row>
    <row r="3768" spans="8:10">
      <c r="H3768"/>
      <c r="I3768"/>
      <c r="J3768" s="68"/>
    </row>
    <row r="3769" spans="8:10">
      <c r="H3769"/>
      <c r="I3769"/>
      <c r="J3769" s="68"/>
    </row>
    <row r="3770" spans="8:10">
      <c r="H3770"/>
      <c r="I3770"/>
      <c r="J3770" s="68"/>
    </row>
    <row r="3771" spans="8:10">
      <c r="H3771"/>
      <c r="I3771"/>
      <c r="J3771" s="68"/>
    </row>
    <row r="3772" spans="8:10">
      <c r="H3772"/>
      <c r="I3772"/>
      <c r="J3772" s="68"/>
    </row>
    <row r="3773" spans="8:10">
      <c r="H3773"/>
      <c r="I3773"/>
      <c r="J3773" s="68"/>
    </row>
    <row r="3774" spans="8:10">
      <c r="H3774"/>
      <c r="I3774"/>
      <c r="J3774" s="68"/>
    </row>
    <row r="3775" spans="8:10">
      <c r="H3775"/>
      <c r="I3775"/>
      <c r="J3775" s="68"/>
    </row>
    <row r="3776" spans="8:10">
      <c r="H3776"/>
      <c r="I3776"/>
      <c r="J3776" s="68"/>
    </row>
    <row r="3777" spans="8:10">
      <c r="H3777"/>
      <c r="I3777"/>
      <c r="J3777" s="68"/>
    </row>
    <row r="3778" spans="8:10">
      <c r="H3778"/>
      <c r="I3778"/>
      <c r="J3778" s="68"/>
    </row>
    <row r="3779" spans="8:10">
      <c r="H3779"/>
      <c r="I3779"/>
      <c r="J3779" s="68"/>
    </row>
    <row r="3780" spans="8:10">
      <c r="H3780"/>
      <c r="I3780"/>
      <c r="J3780" s="68"/>
    </row>
    <row r="3781" spans="8:10">
      <c r="H3781"/>
      <c r="I3781"/>
      <c r="J3781" s="68"/>
    </row>
    <row r="3782" spans="8:10">
      <c r="H3782"/>
      <c r="I3782"/>
      <c r="J3782" s="68"/>
    </row>
    <row r="3783" spans="8:10">
      <c r="H3783"/>
      <c r="I3783"/>
      <c r="J3783" s="68"/>
    </row>
    <row r="3784" spans="8:10">
      <c r="H3784"/>
      <c r="I3784"/>
      <c r="J3784" s="68"/>
    </row>
    <row r="3785" spans="8:10">
      <c r="H3785"/>
      <c r="I3785"/>
      <c r="J3785" s="68"/>
    </row>
    <row r="3786" spans="8:10">
      <c r="H3786"/>
      <c r="I3786"/>
      <c r="J3786" s="68"/>
    </row>
    <row r="3787" spans="8:10">
      <c r="H3787"/>
      <c r="I3787"/>
      <c r="J3787" s="68"/>
    </row>
    <row r="3788" spans="8:10">
      <c r="H3788"/>
      <c r="I3788"/>
      <c r="J3788" s="68"/>
    </row>
    <row r="3789" spans="8:10">
      <c r="H3789"/>
      <c r="I3789"/>
      <c r="J3789" s="68"/>
    </row>
    <row r="3790" spans="8:10">
      <c r="H3790"/>
      <c r="I3790"/>
      <c r="J3790" s="68"/>
    </row>
    <row r="3791" spans="8:10">
      <c r="H3791"/>
      <c r="I3791"/>
      <c r="J3791" s="68"/>
    </row>
    <row r="3792" spans="8:10">
      <c r="H3792"/>
      <c r="I3792"/>
      <c r="J3792" s="68"/>
    </row>
    <row r="3793" spans="8:10">
      <c r="H3793"/>
      <c r="I3793"/>
      <c r="J3793" s="68"/>
    </row>
    <row r="3794" spans="8:10">
      <c r="H3794"/>
      <c r="I3794"/>
      <c r="J3794" s="68"/>
    </row>
    <row r="3795" spans="8:10">
      <c r="H3795"/>
      <c r="I3795"/>
      <c r="J3795" s="68"/>
    </row>
    <row r="3796" spans="8:10">
      <c r="H3796"/>
      <c r="I3796"/>
      <c r="J3796" s="68"/>
    </row>
    <row r="3797" spans="8:10">
      <c r="H3797"/>
      <c r="I3797"/>
      <c r="J3797" s="68"/>
    </row>
    <row r="3798" spans="8:10">
      <c r="H3798"/>
      <c r="I3798"/>
      <c r="J3798" s="68"/>
    </row>
    <row r="3799" spans="8:10">
      <c r="H3799"/>
      <c r="I3799"/>
      <c r="J3799" s="68"/>
    </row>
    <row r="3800" spans="8:10">
      <c r="H3800"/>
      <c r="I3800"/>
      <c r="J3800" s="68"/>
    </row>
    <row r="3801" spans="8:10">
      <c r="H3801"/>
      <c r="I3801"/>
      <c r="J3801" s="68"/>
    </row>
    <row r="3802" spans="8:10">
      <c r="H3802"/>
      <c r="I3802"/>
      <c r="J3802" s="68"/>
    </row>
    <row r="3803" spans="8:10">
      <c r="H3803"/>
      <c r="I3803"/>
      <c r="J3803" s="68"/>
    </row>
    <row r="3804" spans="8:10">
      <c r="H3804"/>
      <c r="I3804"/>
      <c r="J3804" s="68"/>
    </row>
    <row r="3805" spans="8:10">
      <c r="H3805"/>
      <c r="I3805"/>
      <c r="J3805" s="68"/>
    </row>
    <row r="3806" spans="8:10">
      <c r="H3806"/>
      <c r="I3806"/>
      <c r="J3806" s="68"/>
    </row>
    <row r="3807" spans="8:10">
      <c r="H3807"/>
      <c r="I3807"/>
      <c r="J3807" s="68"/>
    </row>
    <row r="3808" spans="8:10">
      <c r="H3808"/>
      <c r="I3808"/>
      <c r="J3808" s="68"/>
    </row>
    <row r="3809" spans="8:10">
      <c r="H3809"/>
      <c r="I3809"/>
      <c r="J3809" s="68"/>
    </row>
    <row r="3810" spans="8:10">
      <c r="H3810"/>
      <c r="I3810"/>
      <c r="J3810" s="68"/>
    </row>
    <row r="3811" spans="8:10">
      <c r="H3811"/>
      <c r="I3811"/>
      <c r="J3811" s="68"/>
    </row>
    <row r="3812" spans="8:10">
      <c r="H3812"/>
      <c r="I3812"/>
      <c r="J3812" s="68"/>
    </row>
    <row r="3813" spans="8:10">
      <c r="H3813"/>
      <c r="I3813"/>
      <c r="J3813" s="68"/>
    </row>
    <row r="3814" spans="8:10">
      <c r="H3814"/>
      <c r="I3814"/>
      <c r="J3814" s="68"/>
    </row>
    <row r="3815" spans="8:10">
      <c r="H3815"/>
      <c r="I3815"/>
      <c r="J3815" s="68"/>
    </row>
    <row r="3816" spans="8:10">
      <c r="H3816"/>
      <c r="I3816"/>
      <c r="J3816" s="68"/>
    </row>
    <row r="3817" spans="8:10">
      <c r="H3817"/>
      <c r="I3817"/>
      <c r="J3817" s="68"/>
    </row>
    <row r="3818" spans="8:10">
      <c r="H3818"/>
      <c r="I3818"/>
      <c r="J3818" s="68"/>
    </row>
    <row r="3819" spans="8:10">
      <c r="H3819"/>
      <c r="I3819"/>
      <c r="J3819" s="68"/>
    </row>
    <row r="3820" spans="8:10">
      <c r="H3820"/>
      <c r="I3820"/>
      <c r="J3820" s="68"/>
    </row>
    <row r="3821" spans="8:10">
      <c r="H3821"/>
      <c r="I3821"/>
      <c r="J3821" s="68"/>
    </row>
    <row r="3822" spans="8:10">
      <c r="H3822"/>
      <c r="I3822"/>
      <c r="J3822" s="68"/>
    </row>
    <row r="3823" spans="8:10">
      <c r="H3823"/>
      <c r="I3823"/>
      <c r="J3823" s="68"/>
    </row>
    <row r="3824" spans="8:10">
      <c r="H3824"/>
      <c r="I3824"/>
      <c r="J3824" s="68"/>
    </row>
    <row r="3825" spans="8:10">
      <c r="H3825"/>
      <c r="I3825"/>
      <c r="J3825" s="68"/>
    </row>
    <row r="3826" spans="8:10">
      <c r="H3826"/>
      <c r="I3826"/>
      <c r="J3826" s="68"/>
    </row>
    <row r="3827" spans="8:10">
      <c r="H3827"/>
      <c r="I3827"/>
      <c r="J3827" s="68"/>
    </row>
    <row r="3828" spans="8:10">
      <c r="H3828"/>
      <c r="I3828"/>
      <c r="J3828" s="68"/>
    </row>
    <row r="3829" spans="8:10">
      <c r="H3829"/>
      <c r="I3829"/>
      <c r="J3829" s="68"/>
    </row>
    <row r="3830" spans="8:10">
      <c r="H3830"/>
      <c r="I3830"/>
      <c r="J3830" s="68"/>
    </row>
    <row r="3831" spans="8:10">
      <c r="H3831"/>
      <c r="I3831"/>
      <c r="J3831" s="68"/>
    </row>
    <row r="3832" spans="8:10">
      <c r="H3832"/>
      <c r="I3832"/>
      <c r="J3832" s="68"/>
    </row>
    <row r="3833" spans="8:10">
      <c r="H3833"/>
      <c r="I3833"/>
      <c r="J3833" s="68"/>
    </row>
    <row r="3834" spans="8:10">
      <c r="H3834"/>
      <c r="I3834"/>
      <c r="J3834" s="68"/>
    </row>
    <row r="3835" spans="8:10">
      <c r="H3835"/>
      <c r="I3835"/>
      <c r="J3835" s="68"/>
    </row>
    <row r="3836" spans="8:10">
      <c r="H3836"/>
      <c r="I3836"/>
      <c r="J3836" s="68"/>
    </row>
    <row r="3837" spans="8:10">
      <c r="H3837"/>
      <c r="I3837"/>
      <c r="J3837" s="68"/>
    </row>
    <row r="3838" spans="8:10">
      <c r="H3838"/>
      <c r="I3838"/>
      <c r="J3838" s="68"/>
    </row>
    <row r="3839" spans="8:10">
      <c r="H3839"/>
      <c r="I3839"/>
      <c r="J3839" s="68"/>
    </row>
    <row r="3840" spans="8:10">
      <c r="H3840"/>
      <c r="I3840"/>
      <c r="J3840" s="68"/>
    </row>
    <row r="3841" spans="8:10">
      <c r="H3841"/>
      <c r="I3841"/>
      <c r="J3841" s="68"/>
    </row>
    <row r="3842" spans="8:10">
      <c r="H3842"/>
      <c r="I3842"/>
      <c r="J3842" s="68"/>
    </row>
    <row r="3843" spans="8:10">
      <c r="H3843"/>
      <c r="I3843"/>
      <c r="J3843" s="68"/>
    </row>
    <row r="3844" spans="8:10">
      <c r="H3844"/>
      <c r="I3844"/>
      <c r="J3844" s="68"/>
    </row>
    <row r="3845" spans="8:10">
      <c r="H3845"/>
      <c r="I3845"/>
      <c r="J3845" s="68"/>
    </row>
    <row r="3846" spans="8:10">
      <c r="H3846"/>
      <c r="I3846"/>
      <c r="J3846" s="68"/>
    </row>
    <row r="3847" spans="8:10">
      <c r="H3847"/>
      <c r="I3847"/>
      <c r="J3847" s="68"/>
    </row>
    <row r="3848" spans="8:10">
      <c r="H3848"/>
      <c r="I3848"/>
      <c r="J3848" s="68"/>
    </row>
    <row r="3849" spans="8:10">
      <c r="H3849"/>
      <c r="I3849"/>
      <c r="J3849" s="68"/>
    </row>
    <row r="3850" spans="8:10">
      <c r="H3850"/>
      <c r="I3850"/>
      <c r="J3850" s="68"/>
    </row>
    <row r="3851" spans="8:10">
      <c r="H3851"/>
      <c r="I3851"/>
      <c r="J3851" s="68"/>
    </row>
    <row r="3852" spans="8:10">
      <c r="H3852"/>
      <c r="I3852"/>
      <c r="J3852" s="68"/>
    </row>
    <row r="3853" spans="8:10">
      <c r="H3853"/>
      <c r="I3853"/>
      <c r="J3853" s="68"/>
    </row>
    <row r="3854" spans="8:10">
      <c r="H3854"/>
      <c r="I3854"/>
      <c r="J3854" s="68"/>
    </row>
    <row r="3855" spans="8:10">
      <c r="H3855"/>
      <c r="I3855"/>
      <c r="J3855" s="68"/>
    </row>
    <row r="3856" spans="8:10">
      <c r="H3856"/>
      <c r="I3856"/>
      <c r="J3856" s="68"/>
    </row>
    <row r="3857" spans="8:10">
      <c r="H3857"/>
      <c r="I3857"/>
      <c r="J3857" s="68"/>
    </row>
    <row r="3858" spans="8:10">
      <c r="H3858"/>
      <c r="I3858"/>
      <c r="J3858" s="68"/>
    </row>
    <row r="3859" spans="8:10">
      <c r="H3859"/>
      <c r="I3859"/>
      <c r="J3859" s="68"/>
    </row>
    <row r="3860" spans="8:10">
      <c r="H3860"/>
      <c r="I3860"/>
      <c r="J3860" s="68"/>
    </row>
    <row r="3861" spans="8:10">
      <c r="H3861"/>
      <c r="I3861"/>
      <c r="J3861" s="68"/>
    </row>
    <row r="3862" spans="8:10">
      <c r="H3862"/>
      <c r="I3862"/>
      <c r="J3862" s="68"/>
    </row>
    <row r="3863" spans="8:10">
      <c r="H3863"/>
      <c r="I3863"/>
      <c r="J3863" s="68"/>
    </row>
    <row r="3864" spans="8:10">
      <c r="H3864"/>
      <c r="I3864"/>
      <c r="J3864" s="68"/>
    </row>
    <row r="3865" spans="8:10">
      <c r="H3865"/>
      <c r="I3865"/>
      <c r="J3865" s="68"/>
    </row>
    <row r="3866" spans="8:10">
      <c r="H3866"/>
      <c r="I3866"/>
      <c r="J3866" s="68"/>
    </row>
    <row r="3867" spans="8:10">
      <c r="H3867"/>
      <c r="I3867"/>
      <c r="J3867" s="68"/>
    </row>
    <row r="3868" spans="8:10">
      <c r="H3868"/>
      <c r="I3868"/>
      <c r="J3868" s="68"/>
    </row>
    <row r="3869" spans="8:10">
      <c r="H3869"/>
      <c r="I3869"/>
      <c r="J3869" s="68"/>
    </row>
    <row r="3870" spans="8:10">
      <c r="H3870"/>
      <c r="I3870"/>
      <c r="J3870" s="68"/>
    </row>
    <row r="3871" spans="8:10">
      <c r="H3871"/>
      <c r="I3871"/>
      <c r="J3871" s="68"/>
    </row>
    <row r="3872" spans="8:10">
      <c r="H3872"/>
      <c r="I3872"/>
      <c r="J3872" s="68"/>
    </row>
    <row r="3873" spans="8:10">
      <c r="H3873"/>
      <c r="I3873"/>
      <c r="J3873" s="68"/>
    </row>
    <row r="3874" spans="8:10">
      <c r="H3874"/>
      <c r="I3874"/>
      <c r="J3874" s="68"/>
    </row>
    <row r="3875" spans="8:10">
      <c r="H3875"/>
      <c r="I3875"/>
      <c r="J3875" s="68"/>
    </row>
    <row r="3876" spans="8:10">
      <c r="H3876"/>
      <c r="I3876"/>
      <c r="J3876" s="68"/>
    </row>
    <row r="3877" spans="8:10">
      <c r="H3877"/>
      <c r="I3877"/>
      <c r="J3877" s="68"/>
    </row>
    <row r="3878" spans="8:10">
      <c r="H3878"/>
      <c r="I3878"/>
      <c r="J3878" s="68"/>
    </row>
    <row r="3879" spans="8:10">
      <c r="H3879"/>
      <c r="I3879"/>
      <c r="J3879" s="68"/>
    </row>
    <row r="3880" spans="8:10">
      <c r="H3880"/>
      <c r="I3880"/>
      <c r="J3880" s="68"/>
    </row>
    <row r="3881" spans="8:10">
      <c r="H3881"/>
      <c r="I3881"/>
      <c r="J3881" s="68"/>
    </row>
    <row r="3882" spans="8:10">
      <c r="H3882"/>
      <c r="I3882"/>
      <c r="J3882" s="68"/>
    </row>
    <row r="3883" spans="8:10">
      <c r="H3883"/>
      <c r="I3883"/>
      <c r="J3883" s="68"/>
    </row>
    <row r="3884" spans="8:10">
      <c r="H3884"/>
      <c r="I3884"/>
      <c r="J3884" s="68"/>
    </row>
    <row r="3885" spans="8:10">
      <c r="H3885"/>
      <c r="I3885"/>
      <c r="J3885" s="68"/>
    </row>
    <row r="3886" spans="8:10">
      <c r="H3886"/>
      <c r="I3886"/>
      <c r="J3886" s="68"/>
    </row>
    <row r="3887" spans="8:10">
      <c r="H3887"/>
      <c r="I3887"/>
      <c r="J3887" s="68"/>
    </row>
    <row r="3888" spans="8:10">
      <c r="H3888"/>
      <c r="I3888"/>
      <c r="J3888" s="68"/>
    </row>
    <row r="3889" spans="8:10">
      <c r="H3889"/>
      <c r="I3889"/>
      <c r="J3889" s="68"/>
    </row>
    <row r="3890" spans="8:10">
      <c r="H3890"/>
      <c r="I3890"/>
      <c r="J3890" s="68"/>
    </row>
    <row r="3891" spans="8:10">
      <c r="H3891"/>
      <c r="I3891"/>
      <c r="J3891" s="68"/>
    </row>
    <row r="3892" spans="8:10">
      <c r="H3892"/>
      <c r="I3892"/>
      <c r="J3892" s="68"/>
    </row>
    <row r="3893" spans="8:10">
      <c r="H3893"/>
      <c r="I3893"/>
      <c r="J3893" s="68"/>
    </row>
    <row r="3894" spans="8:10">
      <c r="H3894"/>
      <c r="I3894"/>
      <c r="J3894" s="68"/>
    </row>
    <row r="3895" spans="8:10">
      <c r="H3895"/>
      <c r="I3895"/>
      <c r="J3895" s="68"/>
    </row>
    <row r="3896" spans="8:10">
      <c r="H3896"/>
      <c r="I3896"/>
      <c r="J3896" s="68"/>
    </row>
    <row r="3897" spans="8:10">
      <c r="H3897"/>
      <c r="I3897"/>
      <c r="J3897" s="68"/>
    </row>
    <row r="3898" spans="8:10">
      <c r="H3898"/>
      <c r="I3898"/>
      <c r="J3898" s="68"/>
    </row>
    <row r="3899" spans="8:10">
      <c r="H3899"/>
      <c r="I3899"/>
      <c r="J3899" s="68"/>
    </row>
    <row r="3900" spans="8:10">
      <c r="H3900"/>
      <c r="I3900"/>
      <c r="J3900" s="68"/>
    </row>
    <row r="3901" spans="8:10">
      <c r="H3901"/>
      <c r="I3901"/>
      <c r="J3901" s="68"/>
    </row>
    <row r="3902" spans="8:10">
      <c r="H3902"/>
      <c r="I3902"/>
      <c r="J3902" s="68"/>
    </row>
    <row r="3903" spans="8:10">
      <c r="H3903"/>
      <c r="I3903"/>
      <c r="J3903" s="68"/>
    </row>
    <row r="3904" spans="8:10">
      <c r="H3904"/>
      <c r="I3904"/>
      <c r="J3904" s="68"/>
    </row>
    <row r="3905" spans="8:10">
      <c r="H3905"/>
      <c r="I3905"/>
      <c r="J3905" s="68"/>
    </row>
    <row r="3906" spans="8:10">
      <c r="H3906"/>
      <c r="I3906"/>
      <c r="J3906" s="68"/>
    </row>
    <row r="3907" spans="8:10">
      <c r="H3907"/>
      <c r="I3907"/>
      <c r="J3907" s="68"/>
    </row>
    <row r="3908" spans="8:10">
      <c r="H3908"/>
      <c r="I3908"/>
      <c r="J3908" s="68"/>
    </row>
    <row r="3909" spans="8:10">
      <c r="H3909"/>
      <c r="I3909"/>
      <c r="J3909" s="68"/>
    </row>
    <row r="3910" spans="8:10">
      <c r="H3910"/>
      <c r="I3910"/>
      <c r="J3910" s="68"/>
    </row>
    <row r="3911" spans="8:10">
      <c r="H3911"/>
      <c r="I3911"/>
      <c r="J3911" s="68"/>
    </row>
    <row r="3912" spans="8:10">
      <c r="H3912"/>
      <c r="I3912"/>
      <c r="J3912" s="68"/>
    </row>
    <row r="3913" spans="8:10">
      <c r="H3913"/>
      <c r="I3913"/>
      <c r="J3913" s="68"/>
    </row>
    <row r="3914" spans="8:10">
      <c r="H3914"/>
      <c r="I3914"/>
      <c r="J3914" s="68"/>
    </row>
    <row r="3915" spans="8:10">
      <c r="H3915"/>
      <c r="I3915"/>
      <c r="J3915" s="68"/>
    </row>
    <row r="3916" spans="8:10">
      <c r="H3916"/>
      <c r="I3916"/>
      <c r="J3916" s="68"/>
    </row>
    <row r="3917" spans="8:10">
      <c r="H3917"/>
      <c r="I3917"/>
      <c r="J3917" s="68"/>
    </row>
    <row r="3918" spans="8:10">
      <c r="H3918"/>
      <c r="I3918"/>
      <c r="J3918" s="68"/>
    </row>
    <row r="3919" spans="8:10">
      <c r="H3919"/>
      <c r="I3919"/>
      <c r="J3919" s="68"/>
    </row>
    <row r="3920" spans="8:10">
      <c r="H3920"/>
      <c r="I3920"/>
      <c r="J3920" s="68"/>
    </row>
    <row r="3921" spans="8:10">
      <c r="H3921"/>
      <c r="I3921"/>
      <c r="J3921" s="68"/>
    </row>
    <row r="3922" spans="8:10">
      <c r="H3922"/>
      <c r="I3922"/>
      <c r="J3922" s="68"/>
    </row>
    <row r="3923" spans="8:10">
      <c r="H3923"/>
      <c r="I3923"/>
      <c r="J3923" s="68"/>
    </row>
    <row r="3924" spans="8:10">
      <c r="H3924"/>
      <c r="I3924"/>
      <c r="J3924" s="68"/>
    </row>
    <row r="3925" spans="8:10">
      <c r="H3925"/>
      <c r="I3925"/>
      <c r="J3925" s="68"/>
    </row>
    <row r="3926" spans="8:10">
      <c r="H3926"/>
      <c r="I3926"/>
      <c r="J3926" s="68"/>
    </row>
    <row r="3927" spans="8:10">
      <c r="H3927"/>
      <c r="I3927"/>
      <c r="J3927" s="68"/>
    </row>
    <row r="3928" spans="8:10">
      <c r="H3928"/>
      <c r="I3928"/>
      <c r="J3928" s="68"/>
    </row>
    <row r="3929" spans="8:10">
      <c r="H3929"/>
      <c r="I3929"/>
      <c r="J3929" s="68"/>
    </row>
    <row r="3930" spans="8:10">
      <c r="H3930"/>
      <c r="I3930"/>
      <c r="J3930" s="68"/>
    </row>
    <row r="3931" spans="8:10">
      <c r="H3931"/>
      <c r="I3931"/>
      <c r="J3931" s="68"/>
    </row>
    <row r="3932" spans="8:10">
      <c r="H3932"/>
      <c r="I3932"/>
      <c r="J3932" s="68"/>
    </row>
    <row r="3933" spans="8:10">
      <c r="H3933"/>
      <c r="I3933"/>
      <c r="J3933" s="68"/>
    </row>
    <row r="3934" spans="8:10">
      <c r="H3934"/>
      <c r="I3934"/>
      <c r="J3934" s="68"/>
    </row>
    <row r="3935" spans="8:10">
      <c r="H3935"/>
      <c r="I3935"/>
      <c r="J3935" s="68"/>
    </row>
    <row r="3936" spans="8:10">
      <c r="H3936"/>
      <c r="I3936"/>
      <c r="J3936" s="68"/>
    </row>
    <row r="3937" spans="8:10">
      <c r="H3937"/>
      <c r="I3937"/>
      <c r="J3937" s="68"/>
    </row>
    <row r="3938" spans="8:10">
      <c r="H3938"/>
      <c r="I3938"/>
      <c r="J3938" s="68"/>
    </row>
    <row r="3939" spans="8:10">
      <c r="H3939"/>
      <c r="I3939"/>
      <c r="J3939" s="68"/>
    </row>
    <row r="3940" spans="8:10">
      <c r="H3940"/>
      <c r="I3940"/>
      <c r="J3940" s="68"/>
    </row>
    <row r="3941" spans="8:10">
      <c r="H3941"/>
      <c r="I3941"/>
      <c r="J3941" s="68"/>
    </row>
    <row r="3942" spans="8:10">
      <c r="H3942"/>
      <c r="I3942"/>
      <c r="J3942" s="68"/>
    </row>
    <row r="3943" spans="8:10">
      <c r="H3943"/>
      <c r="I3943"/>
      <c r="J3943" s="68"/>
    </row>
    <row r="3944" spans="8:10">
      <c r="H3944"/>
      <c r="I3944"/>
      <c r="J3944" s="68"/>
    </row>
    <row r="3945" spans="8:10">
      <c r="H3945"/>
      <c r="I3945"/>
      <c r="J3945" s="68"/>
    </row>
    <row r="3946" spans="8:10">
      <c r="H3946"/>
      <c r="I3946"/>
      <c r="J3946" s="68"/>
    </row>
    <row r="3947" spans="8:10">
      <c r="H3947"/>
      <c r="I3947"/>
      <c r="J3947" s="68"/>
    </row>
    <row r="3948" spans="8:10">
      <c r="H3948"/>
      <c r="I3948"/>
      <c r="J3948" s="68"/>
    </row>
    <row r="3949" spans="8:10">
      <c r="H3949"/>
      <c r="I3949"/>
      <c r="J3949" s="68"/>
    </row>
    <row r="3950" spans="8:10">
      <c r="H3950"/>
      <c r="I3950"/>
      <c r="J3950" s="68"/>
    </row>
    <row r="3951" spans="8:10">
      <c r="H3951"/>
      <c r="I3951"/>
      <c r="J3951" s="68"/>
    </row>
    <row r="3952" spans="8:10">
      <c r="H3952"/>
      <c r="I3952"/>
      <c r="J3952" s="68"/>
    </row>
    <row r="3953" spans="8:10">
      <c r="H3953"/>
      <c r="I3953"/>
      <c r="J3953" s="68"/>
    </row>
    <row r="3954" spans="8:10">
      <c r="H3954"/>
      <c r="I3954"/>
      <c r="J3954" s="68"/>
    </row>
    <row r="3955" spans="8:10">
      <c r="H3955"/>
      <c r="I3955"/>
      <c r="J3955" s="68"/>
    </row>
    <row r="3956" spans="8:10">
      <c r="H3956"/>
      <c r="I3956"/>
      <c r="J3956" s="68"/>
    </row>
    <row r="3957" spans="8:10">
      <c r="H3957"/>
      <c r="I3957"/>
      <c r="J3957" s="68"/>
    </row>
    <row r="3958" spans="8:10">
      <c r="H3958"/>
      <c r="I3958"/>
      <c r="J3958" s="68"/>
    </row>
    <row r="3959" spans="8:10">
      <c r="H3959"/>
      <c r="I3959"/>
      <c r="J3959" s="68"/>
    </row>
    <row r="3960" spans="8:10">
      <c r="H3960"/>
      <c r="I3960"/>
      <c r="J3960" s="68"/>
    </row>
    <row r="3961" spans="8:10">
      <c r="H3961"/>
      <c r="I3961"/>
      <c r="J3961" s="68"/>
    </row>
    <row r="3962" spans="8:10">
      <c r="H3962"/>
      <c r="I3962"/>
      <c r="J3962" s="68"/>
    </row>
    <row r="3963" spans="8:10">
      <c r="H3963"/>
      <c r="I3963"/>
      <c r="J3963" s="68"/>
    </row>
    <row r="3964" spans="8:10">
      <c r="H3964"/>
      <c r="I3964"/>
      <c r="J3964" s="68"/>
    </row>
    <row r="3965" spans="8:10">
      <c r="H3965"/>
      <c r="I3965"/>
      <c r="J3965" s="68"/>
    </row>
    <row r="3966" spans="8:10">
      <c r="H3966"/>
      <c r="I3966"/>
      <c r="J3966" s="68"/>
    </row>
    <row r="3967" spans="8:10">
      <c r="H3967"/>
      <c r="I3967"/>
      <c r="J3967" s="68"/>
    </row>
    <row r="3968" spans="8:10">
      <c r="H3968"/>
      <c r="I3968"/>
      <c r="J3968" s="68"/>
    </row>
    <row r="3969" spans="8:10">
      <c r="H3969"/>
      <c r="I3969"/>
      <c r="J3969" s="68"/>
    </row>
    <row r="3970" spans="8:10">
      <c r="H3970"/>
      <c r="I3970"/>
      <c r="J3970" s="68"/>
    </row>
    <row r="3971" spans="8:10">
      <c r="H3971"/>
      <c r="I3971"/>
      <c r="J3971" s="68"/>
    </row>
    <row r="3972" spans="8:10">
      <c r="H3972"/>
      <c r="I3972"/>
      <c r="J3972" s="68"/>
    </row>
    <row r="3973" spans="8:10">
      <c r="H3973"/>
      <c r="I3973"/>
      <c r="J3973" s="68"/>
    </row>
    <row r="3974" spans="8:10">
      <c r="H3974"/>
      <c r="I3974"/>
      <c r="J3974" s="68"/>
    </row>
    <row r="3975" spans="8:10">
      <c r="H3975"/>
      <c r="I3975"/>
      <c r="J3975" s="68"/>
    </row>
    <row r="3976" spans="8:10">
      <c r="H3976"/>
      <c r="I3976"/>
      <c r="J3976" s="68"/>
    </row>
    <row r="3977" spans="8:10">
      <c r="H3977"/>
      <c r="I3977"/>
      <c r="J3977" s="68"/>
    </row>
    <row r="3978" spans="8:10">
      <c r="H3978"/>
      <c r="I3978"/>
      <c r="J3978" s="68"/>
    </row>
    <row r="3979" spans="8:10">
      <c r="H3979"/>
      <c r="I3979"/>
      <c r="J3979" s="68"/>
    </row>
    <row r="3980" spans="8:10">
      <c r="H3980"/>
      <c r="I3980"/>
      <c r="J3980" s="68"/>
    </row>
    <row r="3981" spans="8:10">
      <c r="H3981"/>
      <c r="I3981"/>
      <c r="J3981" s="68"/>
    </row>
    <row r="3982" spans="8:10">
      <c r="H3982"/>
      <c r="I3982"/>
      <c r="J3982" s="68"/>
    </row>
    <row r="3983" spans="8:10">
      <c r="H3983"/>
      <c r="I3983"/>
      <c r="J3983" s="68"/>
    </row>
    <row r="3984" spans="8:10">
      <c r="H3984"/>
      <c r="I3984"/>
      <c r="J3984" s="68"/>
    </row>
    <row r="3985" spans="8:10">
      <c r="H3985"/>
      <c r="I3985"/>
      <c r="J3985" s="68"/>
    </row>
    <row r="3986" spans="8:10">
      <c r="H3986"/>
      <c r="I3986"/>
      <c r="J3986" s="68"/>
    </row>
    <row r="3987" spans="8:10">
      <c r="H3987"/>
      <c r="I3987"/>
      <c r="J3987" s="68"/>
    </row>
    <row r="3988" spans="8:10">
      <c r="H3988"/>
      <c r="I3988"/>
      <c r="J3988" s="68"/>
    </row>
    <row r="3989" spans="8:10">
      <c r="H3989"/>
      <c r="I3989"/>
      <c r="J3989" s="68"/>
    </row>
    <row r="3990" spans="8:10">
      <c r="H3990"/>
      <c r="I3990"/>
      <c r="J3990" s="68"/>
    </row>
    <row r="3991" spans="8:10">
      <c r="H3991"/>
      <c r="I3991"/>
      <c r="J3991" s="68"/>
    </row>
    <row r="3992" spans="8:10">
      <c r="H3992"/>
      <c r="I3992"/>
      <c r="J3992" s="68"/>
    </row>
    <row r="3993" spans="8:10">
      <c r="H3993"/>
      <c r="I3993"/>
      <c r="J3993" s="68"/>
    </row>
    <row r="3994" spans="8:10">
      <c r="H3994"/>
      <c r="I3994"/>
      <c r="J3994" s="68"/>
    </row>
    <row r="3995" spans="8:10">
      <c r="H3995"/>
      <c r="I3995"/>
      <c r="J3995" s="68"/>
    </row>
    <row r="3996" spans="8:10">
      <c r="H3996"/>
      <c r="I3996"/>
      <c r="J3996" s="68"/>
    </row>
    <row r="3997" spans="8:10">
      <c r="H3997"/>
      <c r="I3997"/>
      <c r="J3997" s="68"/>
    </row>
    <row r="3998" spans="8:10">
      <c r="H3998"/>
      <c r="I3998"/>
      <c r="J3998" s="68"/>
    </row>
    <row r="3999" spans="8:10">
      <c r="H3999"/>
      <c r="I3999"/>
      <c r="J3999" s="68"/>
    </row>
    <row r="4000" spans="8:10">
      <c r="H4000"/>
      <c r="I4000"/>
      <c r="J4000" s="68"/>
    </row>
    <row r="4001" spans="8:10">
      <c r="H4001"/>
      <c r="I4001"/>
      <c r="J4001" s="68"/>
    </row>
    <row r="4002" spans="8:10">
      <c r="H4002"/>
      <c r="I4002"/>
      <c r="J4002" s="68"/>
    </row>
    <row r="4003" spans="8:10">
      <c r="H4003"/>
      <c r="I4003"/>
      <c r="J4003" s="68"/>
    </row>
    <row r="4004" spans="8:10">
      <c r="H4004"/>
      <c r="I4004"/>
      <c r="J4004" s="68"/>
    </row>
    <row r="4005" spans="8:10">
      <c r="H4005"/>
      <c r="I4005"/>
      <c r="J4005" s="68"/>
    </row>
    <row r="4006" spans="8:10">
      <c r="H4006"/>
      <c r="I4006"/>
      <c r="J4006" s="68"/>
    </row>
    <row r="4007" spans="8:10">
      <c r="H4007"/>
      <c r="I4007"/>
      <c r="J4007" s="68"/>
    </row>
    <row r="4008" spans="8:10">
      <c r="H4008"/>
      <c r="I4008"/>
      <c r="J4008" s="68"/>
    </row>
    <row r="4009" spans="8:10">
      <c r="H4009"/>
      <c r="I4009"/>
      <c r="J4009" s="68"/>
    </row>
    <row r="4010" spans="8:10">
      <c r="H4010"/>
      <c r="I4010"/>
      <c r="J4010" s="68"/>
    </row>
    <row r="4011" spans="8:10">
      <c r="H4011"/>
      <c r="I4011"/>
      <c r="J4011" s="68"/>
    </row>
    <row r="4012" spans="8:10">
      <c r="H4012"/>
      <c r="I4012"/>
      <c r="J4012" s="68"/>
    </row>
    <row r="4013" spans="8:10">
      <c r="H4013"/>
      <c r="I4013"/>
      <c r="J4013" s="68"/>
    </row>
    <row r="4014" spans="8:10">
      <c r="H4014"/>
      <c r="I4014"/>
      <c r="J4014" s="68"/>
    </row>
    <row r="4015" spans="8:10">
      <c r="H4015"/>
      <c r="I4015"/>
      <c r="J4015" s="68"/>
    </row>
    <row r="4016" spans="8:10">
      <c r="H4016"/>
      <c r="I4016"/>
      <c r="J4016" s="68"/>
    </row>
    <row r="4017" spans="8:10">
      <c r="H4017"/>
      <c r="I4017"/>
      <c r="J4017" s="68"/>
    </row>
    <row r="4018" spans="8:10">
      <c r="H4018"/>
      <c r="I4018"/>
      <c r="J4018" s="68"/>
    </row>
    <row r="4019" spans="8:10">
      <c r="H4019"/>
      <c r="I4019"/>
      <c r="J4019" s="68"/>
    </row>
    <row r="4020" spans="8:10">
      <c r="H4020"/>
      <c r="I4020"/>
      <c r="J4020" s="68"/>
    </row>
    <row r="4021" spans="8:10">
      <c r="H4021"/>
      <c r="I4021"/>
      <c r="J4021" s="68"/>
    </row>
    <row r="4022" spans="8:10">
      <c r="H4022"/>
      <c r="I4022"/>
      <c r="J4022" s="68"/>
    </row>
    <row r="4023" spans="8:10">
      <c r="H4023"/>
      <c r="I4023"/>
      <c r="J4023" s="68"/>
    </row>
    <row r="4024" spans="8:10">
      <c r="H4024"/>
      <c r="I4024"/>
      <c r="J4024" s="68"/>
    </row>
    <row r="4025" spans="8:10">
      <c r="H4025"/>
      <c r="I4025"/>
      <c r="J4025" s="68"/>
    </row>
    <row r="4026" spans="8:10">
      <c r="H4026"/>
      <c r="I4026"/>
      <c r="J4026" s="68"/>
    </row>
    <row r="4027" spans="8:10">
      <c r="H4027"/>
      <c r="I4027"/>
      <c r="J4027" s="68"/>
    </row>
    <row r="4028" spans="8:10">
      <c r="H4028"/>
      <c r="I4028"/>
      <c r="J4028" s="68"/>
    </row>
    <row r="4029" spans="8:10">
      <c r="H4029"/>
      <c r="I4029"/>
      <c r="J4029" s="68"/>
    </row>
    <row r="4030" spans="8:10">
      <c r="H4030"/>
      <c r="I4030"/>
      <c r="J4030" s="68"/>
    </row>
    <row r="4031" spans="8:10">
      <c r="H4031"/>
      <c r="I4031"/>
      <c r="J4031" s="68"/>
    </row>
    <row r="4032" spans="8:10">
      <c r="H4032"/>
      <c r="I4032"/>
      <c r="J4032" s="68"/>
    </row>
    <row r="4033" spans="8:10">
      <c r="H4033"/>
      <c r="I4033"/>
      <c r="J4033" s="68"/>
    </row>
    <row r="4034" spans="8:10">
      <c r="H4034"/>
      <c r="I4034"/>
      <c r="J4034" s="68"/>
    </row>
    <row r="4035" spans="8:10">
      <c r="H4035"/>
      <c r="I4035"/>
      <c r="J4035" s="68"/>
    </row>
    <row r="4036" spans="8:10">
      <c r="H4036"/>
      <c r="I4036"/>
      <c r="J4036" s="68"/>
    </row>
    <row r="4037" spans="8:10">
      <c r="H4037"/>
      <c r="I4037"/>
      <c r="J4037" s="68"/>
    </row>
    <row r="4038" spans="8:10">
      <c r="H4038"/>
      <c r="I4038"/>
      <c r="J4038" s="68"/>
    </row>
    <row r="4039" spans="8:10">
      <c r="H4039"/>
      <c r="I4039"/>
      <c r="J4039" s="68"/>
    </row>
    <row r="4040" spans="8:10">
      <c r="H4040"/>
      <c r="I4040"/>
      <c r="J4040" s="68"/>
    </row>
    <row r="4041" spans="8:10">
      <c r="H4041"/>
      <c r="I4041"/>
      <c r="J4041" s="68"/>
    </row>
    <row r="4042" spans="8:10">
      <c r="H4042"/>
      <c r="I4042"/>
      <c r="J4042" s="68"/>
    </row>
    <row r="4043" spans="8:10">
      <c r="H4043"/>
      <c r="I4043"/>
      <c r="J4043" s="68"/>
    </row>
    <row r="4044" spans="8:10">
      <c r="H4044"/>
      <c r="I4044"/>
      <c r="J4044" s="68"/>
    </row>
    <row r="4045" spans="8:10">
      <c r="H4045"/>
      <c r="I4045"/>
      <c r="J4045" s="68"/>
    </row>
    <row r="4046" spans="8:10">
      <c r="H4046"/>
      <c r="I4046"/>
      <c r="J4046" s="68"/>
    </row>
    <row r="4047" spans="8:10">
      <c r="H4047"/>
      <c r="I4047"/>
      <c r="J4047" s="68"/>
    </row>
    <row r="4048" spans="8:10">
      <c r="H4048"/>
      <c r="I4048"/>
      <c r="J4048" s="68"/>
    </row>
    <row r="4049" spans="8:10">
      <c r="H4049"/>
      <c r="I4049"/>
      <c r="J4049" s="68"/>
    </row>
    <row r="4050" spans="8:10">
      <c r="H4050"/>
      <c r="I4050"/>
      <c r="J4050" s="68"/>
    </row>
    <row r="4051" spans="8:10">
      <c r="H4051"/>
      <c r="I4051"/>
      <c r="J4051" s="68"/>
    </row>
    <row r="4052" spans="8:10">
      <c r="H4052"/>
      <c r="I4052"/>
      <c r="J4052" s="68"/>
    </row>
    <row r="4053" spans="8:10">
      <c r="H4053"/>
      <c r="I4053"/>
      <c r="J4053" s="68"/>
    </row>
    <row r="4054" spans="8:10">
      <c r="H4054"/>
      <c r="I4054"/>
      <c r="J4054" s="68"/>
    </row>
    <row r="4055" spans="8:10">
      <c r="H4055"/>
      <c r="I4055"/>
      <c r="J4055" s="68"/>
    </row>
    <row r="4056" spans="8:10">
      <c r="H4056"/>
      <c r="I4056"/>
      <c r="J4056" s="68"/>
    </row>
    <row r="4057" spans="8:10">
      <c r="H4057"/>
      <c r="I4057"/>
      <c r="J4057" s="68"/>
    </row>
    <row r="4058" spans="8:10">
      <c r="H4058"/>
      <c r="I4058"/>
      <c r="J4058" s="68"/>
    </row>
    <row r="4059" spans="8:10">
      <c r="H4059"/>
      <c r="I4059"/>
      <c r="J4059" s="68"/>
    </row>
    <row r="4060" spans="8:10">
      <c r="H4060"/>
      <c r="I4060"/>
      <c r="J4060" s="68"/>
    </row>
    <row r="4061" spans="8:10">
      <c r="H4061"/>
      <c r="I4061"/>
      <c r="J4061" s="68"/>
    </row>
    <row r="4062" spans="8:10">
      <c r="H4062"/>
      <c r="I4062"/>
      <c r="J4062" s="68"/>
    </row>
    <row r="4063" spans="8:10">
      <c r="H4063"/>
      <c r="I4063"/>
      <c r="J4063" s="68"/>
    </row>
    <row r="4064" spans="8:10">
      <c r="H4064"/>
      <c r="I4064"/>
      <c r="J4064" s="68"/>
    </row>
    <row r="4065" spans="8:10">
      <c r="H4065"/>
      <c r="I4065"/>
      <c r="J4065" s="68"/>
    </row>
    <row r="4066" spans="8:10">
      <c r="H4066"/>
      <c r="I4066"/>
      <c r="J4066" s="68"/>
    </row>
    <row r="4067" spans="8:10">
      <c r="H4067"/>
      <c r="I4067"/>
      <c r="J4067" s="68"/>
    </row>
    <row r="4068" spans="8:10">
      <c r="H4068"/>
      <c r="I4068"/>
      <c r="J4068" s="68"/>
    </row>
    <row r="4069" spans="8:10">
      <c r="H4069"/>
      <c r="I4069"/>
      <c r="J4069" s="68"/>
    </row>
    <row r="4070" spans="8:10">
      <c r="H4070"/>
      <c r="I4070"/>
      <c r="J4070" s="68"/>
    </row>
    <row r="4071" spans="8:10">
      <c r="H4071"/>
      <c r="I4071"/>
      <c r="J4071" s="68"/>
    </row>
    <row r="4072" spans="8:10">
      <c r="H4072"/>
      <c r="I4072"/>
      <c r="J4072" s="68"/>
    </row>
    <row r="4073" spans="8:10">
      <c r="H4073"/>
      <c r="I4073"/>
      <c r="J4073" s="68"/>
    </row>
    <row r="4074" spans="8:10">
      <c r="H4074"/>
      <c r="I4074"/>
      <c r="J4074" s="68"/>
    </row>
    <row r="4075" spans="8:10">
      <c r="H4075"/>
      <c r="I4075"/>
      <c r="J4075" s="68"/>
    </row>
    <row r="4076" spans="8:10">
      <c r="H4076"/>
      <c r="I4076"/>
      <c r="J4076" s="68"/>
    </row>
    <row r="4077" spans="8:10">
      <c r="H4077"/>
      <c r="I4077"/>
      <c r="J4077" s="68"/>
    </row>
    <row r="4078" spans="8:10">
      <c r="H4078"/>
      <c r="I4078"/>
      <c r="J4078" s="68"/>
    </row>
    <row r="4079" spans="8:10">
      <c r="H4079"/>
      <c r="I4079"/>
      <c r="J4079" s="68"/>
    </row>
    <row r="4080" spans="8:10">
      <c r="H4080"/>
      <c r="I4080"/>
      <c r="J4080" s="68"/>
    </row>
    <row r="4081" spans="8:10">
      <c r="H4081"/>
      <c r="I4081"/>
      <c r="J4081" s="68"/>
    </row>
    <row r="4082" spans="8:10">
      <c r="H4082"/>
      <c r="I4082"/>
      <c r="J4082" s="68"/>
    </row>
    <row r="4083" spans="8:10">
      <c r="H4083"/>
      <c r="I4083"/>
      <c r="J4083" s="68"/>
    </row>
    <row r="4084" spans="8:10">
      <c r="H4084"/>
      <c r="I4084"/>
      <c r="J4084" s="68"/>
    </row>
    <row r="4085" spans="8:10">
      <c r="H4085"/>
      <c r="I4085"/>
      <c r="J4085" s="68"/>
    </row>
    <row r="4086" spans="8:10">
      <c r="H4086"/>
      <c r="I4086"/>
      <c r="J4086" s="68"/>
    </row>
    <row r="4087" spans="8:10">
      <c r="H4087"/>
      <c r="I4087"/>
      <c r="J4087" s="68"/>
    </row>
    <row r="4088" spans="8:10">
      <c r="H4088"/>
      <c r="I4088"/>
      <c r="J4088" s="68"/>
    </row>
    <row r="4089" spans="8:10">
      <c r="H4089"/>
      <c r="I4089"/>
      <c r="J4089" s="68"/>
    </row>
    <row r="4090" spans="8:10">
      <c r="H4090"/>
      <c r="I4090"/>
      <c r="J4090" s="68"/>
    </row>
    <row r="4091" spans="8:10">
      <c r="H4091"/>
      <c r="I4091"/>
      <c r="J4091" s="68"/>
    </row>
    <row r="4092" spans="8:10">
      <c r="H4092"/>
      <c r="I4092"/>
      <c r="J4092" s="68"/>
    </row>
    <row r="4093" spans="8:10">
      <c r="H4093"/>
      <c r="I4093"/>
      <c r="J4093" s="68"/>
    </row>
    <row r="4094" spans="8:10">
      <c r="H4094"/>
      <c r="I4094"/>
      <c r="J4094" s="68"/>
    </row>
    <row r="4095" spans="8:10">
      <c r="H4095"/>
      <c r="I4095"/>
      <c r="J4095" s="68"/>
    </row>
    <row r="4096" spans="8:10">
      <c r="H4096"/>
      <c r="I4096"/>
      <c r="J4096" s="68"/>
    </row>
    <row r="4097" spans="8:10">
      <c r="H4097"/>
      <c r="I4097"/>
      <c r="J4097" s="68"/>
    </row>
    <row r="4098" spans="8:10">
      <c r="H4098"/>
      <c r="I4098"/>
      <c r="J4098" s="68"/>
    </row>
    <row r="4099" spans="8:10">
      <c r="H4099"/>
      <c r="I4099"/>
      <c r="J4099" s="68"/>
    </row>
    <row r="4100" spans="8:10">
      <c r="H4100"/>
      <c r="I4100"/>
      <c r="J4100" s="68"/>
    </row>
    <row r="4101" spans="8:10">
      <c r="H4101"/>
      <c r="I4101"/>
      <c r="J4101" s="68"/>
    </row>
    <row r="4102" spans="8:10">
      <c r="H4102"/>
      <c r="I4102"/>
      <c r="J4102" s="68"/>
    </row>
    <row r="4103" spans="8:10">
      <c r="H4103"/>
      <c r="I4103"/>
      <c r="J4103" s="68"/>
    </row>
    <row r="4104" spans="8:10">
      <c r="H4104"/>
      <c r="I4104"/>
      <c r="J4104" s="68"/>
    </row>
    <row r="4105" spans="8:10">
      <c r="H4105"/>
      <c r="I4105"/>
      <c r="J4105" s="68"/>
    </row>
    <row r="4106" spans="8:10">
      <c r="H4106"/>
      <c r="I4106"/>
      <c r="J4106" s="68"/>
    </row>
    <row r="4107" spans="8:10">
      <c r="H4107"/>
      <c r="I4107"/>
      <c r="J4107" s="68"/>
    </row>
    <row r="4108" spans="8:10">
      <c r="H4108"/>
      <c r="I4108"/>
      <c r="J4108" s="68"/>
    </row>
    <row r="4109" spans="8:10">
      <c r="H4109"/>
      <c r="I4109"/>
      <c r="J4109" s="68"/>
    </row>
    <row r="4110" spans="8:10">
      <c r="H4110"/>
      <c r="I4110"/>
      <c r="J4110" s="68"/>
    </row>
    <row r="4111" spans="8:10">
      <c r="H4111"/>
      <c r="I4111"/>
      <c r="J4111" s="68"/>
    </row>
    <row r="4112" spans="8:10">
      <c r="H4112"/>
      <c r="I4112"/>
      <c r="J4112" s="68"/>
    </row>
    <row r="4113" spans="8:10">
      <c r="H4113"/>
      <c r="I4113"/>
      <c r="J4113" s="68"/>
    </row>
    <row r="4114" spans="8:10">
      <c r="H4114"/>
      <c r="I4114"/>
      <c r="J4114" s="68"/>
    </row>
    <row r="4115" spans="8:10">
      <c r="H4115"/>
      <c r="I4115"/>
      <c r="J4115" s="68"/>
    </row>
    <row r="4116" spans="8:10">
      <c r="H4116"/>
      <c r="I4116"/>
      <c r="J4116" s="68"/>
    </row>
    <row r="4117" spans="8:10">
      <c r="H4117"/>
      <c r="I4117"/>
      <c r="J4117" s="68"/>
    </row>
    <row r="4118" spans="8:10">
      <c r="H4118"/>
      <c r="I4118"/>
      <c r="J4118" s="68"/>
    </row>
    <row r="4119" spans="8:10">
      <c r="H4119"/>
      <c r="I4119"/>
      <c r="J4119" s="68"/>
    </row>
    <row r="4120" spans="8:10">
      <c r="H4120"/>
      <c r="I4120"/>
      <c r="J4120" s="68"/>
    </row>
    <row r="4121" spans="8:10">
      <c r="H4121"/>
      <c r="I4121"/>
      <c r="J4121" s="68"/>
    </row>
    <row r="4122" spans="8:10">
      <c r="H4122"/>
      <c r="I4122"/>
      <c r="J4122" s="68"/>
    </row>
    <row r="4123" spans="8:10">
      <c r="H4123"/>
      <c r="I4123"/>
      <c r="J4123" s="68"/>
    </row>
    <row r="4124" spans="8:10">
      <c r="H4124"/>
      <c r="I4124"/>
      <c r="J4124" s="68"/>
    </row>
    <row r="4125" spans="8:10">
      <c r="H4125"/>
      <c r="I4125"/>
      <c r="J4125" s="68"/>
    </row>
    <row r="4126" spans="8:10">
      <c r="H4126"/>
      <c r="I4126"/>
      <c r="J4126" s="68"/>
    </row>
    <row r="4127" spans="8:10">
      <c r="H4127"/>
      <c r="I4127"/>
      <c r="J4127" s="68"/>
    </row>
    <row r="4128" spans="8:10">
      <c r="H4128"/>
      <c r="I4128"/>
      <c r="J4128" s="68"/>
    </row>
    <row r="4129" spans="8:10">
      <c r="H4129"/>
      <c r="I4129"/>
      <c r="J4129" s="68"/>
    </row>
    <row r="4130" spans="8:10">
      <c r="H4130"/>
      <c r="I4130"/>
      <c r="J4130" s="68"/>
    </row>
    <row r="4131" spans="8:10">
      <c r="H4131"/>
      <c r="I4131"/>
      <c r="J4131" s="68"/>
    </row>
    <row r="4132" spans="8:10">
      <c r="H4132"/>
      <c r="I4132"/>
      <c r="J4132" s="68"/>
    </row>
    <row r="4133" spans="8:10">
      <c r="H4133"/>
      <c r="I4133"/>
      <c r="J4133" s="68"/>
    </row>
    <row r="4134" spans="8:10">
      <c r="H4134"/>
      <c r="I4134"/>
      <c r="J4134" s="68"/>
    </row>
    <row r="4135" spans="8:10">
      <c r="H4135"/>
      <c r="I4135"/>
      <c r="J4135" s="68"/>
    </row>
    <row r="4136" spans="8:10">
      <c r="H4136"/>
      <c r="I4136"/>
      <c r="J4136" s="68"/>
    </row>
    <row r="4137" spans="8:10">
      <c r="H4137"/>
      <c r="I4137"/>
      <c r="J4137" s="68"/>
    </row>
    <row r="4138" spans="8:10">
      <c r="H4138"/>
      <c r="I4138"/>
      <c r="J4138" s="68"/>
    </row>
    <row r="4139" spans="8:10">
      <c r="H4139"/>
      <c r="I4139"/>
      <c r="J4139" s="68"/>
    </row>
    <row r="4140" spans="8:10">
      <c r="H4140"/>
      <c r="I4140"/>
      <c r="J4140" s="68"/>
    </row>
    <row r="4141" spans="8:10">
      <c r="H4141"/>
      <c r="I4141"/>
      <c r="J4141" s="68"/>
    </row>
    <row r="4142" spans="8:10">
      <c r="H4142"/>
      <c r="I4142"/>
      <c r="J4142" s="68"/>
    </row>
    <row r="4143" spans="8:10">
      <c r="H4143"/>
      <c r="I4143"/>
      <c r="J4143" s="68"/>
    </row>
    <row r="4144" spans="8:10">
      <c r="H4144"/>
      <c r="I4144"/>
      <c r="J4144" s="68"/>
    </row>
    <row r="4145" spans="8:10">
      <c r="H4145"/>
      <c r="I4145"/>
      <c r="J4145" s="68"/>
    </row>
    <row r="4146" spans="8:10">
      <c r="H4146"/>
      <c r="I4146"/>
      <c r="J4146" s="68"/>
    </row>
    <row r="4147" spans="8:10">
      <c r="H4147"/>
      <c r="I4147"/>
      <c r="J4147" s="68"/>
    </row>
    <row r="4148" spans="8:10">
      <c r="H4148"/>
      <c r="I4148"/>
      <c r="J4148" s="68"/>
    </row>
    <row r="4149" spans="8:10">
      <c r="H4149"/>
      <c r="I4149"/>
      <c r="J4149" s="68"/>
    </row>
    <row r="4150" spans="8:10">
      <c r="H4150"/>
      <c r="I4150"/>
      <c r="J4150" s="68"/>
    </row>
    <row r="4151" spans="8:10">
      <c r="H4151"/>
      <c r="I4151"/>
      <c r="J4151" s="68"/>
    </row>
    <row r="4152" spans="8:10">
      <c r="H4152"/>
      <c r="I4152"/>
      <c r="J4152" s="68"/>
    </row>
    <row r="4153" spans="8:10">
      <c r="H4153"/>
      <c r="I4153"/>
      <c r="J4153" s="68"/>
    </row>
    <row r="4154" spans="8:10">
      <c r="H4154"/>
      <c r="I4154"/>
      <c r="J4154" s="68"/>
    </row>
    <row r="4155" spans="8:10">
      <c r="H4155"/>
      <c r="I4155"/>
      <c r="J4155" s="68"/>
    </row>
    <row r="4156" spans="8:10">
      <c r="H4156"/>
      <c r="I4156"/>
      <c r="J4156" s="68"/>
    </row>
    <row r="4157" spans="8:10">
      <c r="H4157"/>
      <c r="I4157"/>
      <c r="J4157" s="68"/>
    </row>
    <row r="4158" spans="8:10">
      <c r="H4158"/>
      <c r="I4158"/>
      <c r="J4158" s="68"/>
    </row>
    <row r="4159" spans="8:10">
      <c r="H4159"/>
      <c r="I4159"/>
      <c r="J4159" s="68"/>
    </row>
    <row r="4160" spans="8:10">
      <c r="H4160"/>
      <c r="I4160"/>
      <c r="J4160" s="68"/>
    </row>
    <row r="4161" spans="8:10">
      <c r="H4161"/>
      <c r="I4161"/>
      <c r="J4161" s="68"/>
    </row>
    <row r="4162" spans="8:10">
      <c r="H4162"/>
      <c r="I4162"/>
      <c r="J4162" s="68"/>
    </row>
    <row r="4163" spans="8:10">
      <c r="H4163"/>
      <c r="I4163"/>
      <c r="J4163" s="68"/>
    </row>
    <row r="4164" spans="8:10">
      <c r="H4164"/>
      <c r="I4164"/>
      <c r="J4164" s="68"/>
    </row>
    <row r="4165" spans="8:10">
      <c r="H4165"/>
      <c r="I4165"/>
      <c r="J4165" s="68"/>
    </row>
    <row r="4166" spans="8:10">
      <c r="H4166"/>
      <c r="I4166"/>
      <c r="J4166" s="68"/>
    </row>
    <row r="4167" spans="8:10">
      <c r="H4167"/>
      <c r="I4167"/>
      <c r="J4167" s="68"/>
    </row>
    <row r="4168" spans="8:10">
      <c r="H4168"/>
      <c r="I4168"/>
      <c r="J4168" s="68"/>
    </row>
    <row r="4169" spans="8:10">
      <c r="H4169"/>
      <c r="I4169"/>
      <c r="J4169" s="68"/>
    </row>
    <row r="4170" spans="8:10">
      <c r="H4170"/>
      <c r="I4170"/>
      <c r="J4170" s="68"/>
    </row>
    <row r="4171" spans="8:10">
      <c r="H4171"/>
      <c r="I4171"/>
      <c r="J4171" s="68"/>
    </row>
    <row r="4172" spans="8:10">
      <c r="H4172"/>
      <c r="I4172"/>
      <c r="J4172" s="68"/>
    </row>
    <row r="4173" spans="8:10">
      <c r="H4173"/>
      <c r="I4173"/>
      <c r="J4173" s="68"/>
    </row>
    <row r="4174" spans="8:10">
      <c r="H4174"/>
      <c r="I4174"/>
      <c r="J4174" s="68"/>
    </row>
    <row r="4175" spans="8:10">
      <c r="H4175"/>
      <c r="I4175"/>
      <c r="J4175" s="68"/>
    </row>
    <row r="4176" spans="8:10">
      <c r="H4176"/>
      <c r="I4176"/>
      <c r="J4176" s="68"/>
    </row>
    <row r="4177" spans="8:10">
      <c r="H4177"/>
      <c r="I4177"/>
      <c r="J4177" s="68"/>
    </row>
    <row r="4178" spans="8:10">
      <c r="H4178"/>
      <c r="I4178"/>
      <c r="J4178" s="68"/>
    </row>
    <row r="4179" spans="8:10">
      <c r="H4179"/>
      <c r="I4179"/>
      <c r="J4179" s="68"/>
    </row>
    <row r="4180" spans="8:10">
      <c r="H4180"/>
      <c r="I4180"/>
      <c r="J4180" s="68"/>
    </row>
    <row r="4181" spans="8:10">
      <c r="H4181"/>
      <c r="I4181"/>
      <c r="J4181" s="68"/>
    </row>
    <row r="4182" spans="8:10">
      <c r="H4182"/>
      <c r="I4182"/>
      <c r="J4182" s="68"/>
    </row>
    <row r="4183" spans="8:10">
      <c r="H4183"/>
      <c r="I4183"/>
      <c r="J4183" s="68"/>
    </row>
    <row r="4184" spans="8:10">
      <c r="H4184"/>
      <c r="I4184"/>
      <c r="J4184" s="68"/>
    </row>
    <row r="4185" spans="8:10">
      <c r="H4185"/>
      <c r="I4185"/>
      <c r="J4185" s="68"/>
    </row>
    <row r="4186" spans="8:10">
      <c r="H4186"/>
      <c r="I4186"/>
      <c r="J4186" s="68"/>
    </row>
    <row r="4187" spans="8:10">
      <c r="H4187"/>
      <c r="I4187"/>
      <c r="J4187" s="68"/>
    </row>
    <row r="4188" spans="8:10">
      <c r="H4188"/>
      <c r="I4188"/>
      <c r="J4188" s="68"/>
    </row>
    <row r="4189" spans="8:10">
      <c r="H4189"/>
      <c r="I4189"/>
      <c r="J4189" s="68"/>
    </row>
    <row r="4190" spans="8:10">
      <c r="H4190"/>
      <c r="I4190"/>
      <c r="J4190" s="68"/>
    </row>
    <row r="4191" spans="8:10">
      <c r="H4191"/>
      <c r="I4191"/>
      <c r="J4191" s="68"/>
    </row>
    <row r="4192" spans="8:10">
      <c r="H4192"/>
      <c r="I4192"/>
      <c r="J4192" s="68"/>
    </row>
    <row r="4193" spans="8:10">
      <c r="H4193"/>
      <c r="I4193"/>
      <c r="J4193" s="68"/>
    </row>
    <row r="4194" spans="8:10">
      <c r="H4194"/>
      <c r="I4194"/>
      <c r="J4194" s="68"/>
    </row>
    <row r="4195" spans="8:10">
      <c r="H4195"/>
      <c r="I4195"/>
      <c r="J4195" s="68"/>
    </row>
    <row r="4196" spans="8:10">
      <c r="H4196"/>
      <c r="I4196"/>
      <c r="J4196" s="68"/>
    </row>
    <row r="4197" spans="8:10">
      <c r="H4197"/>
      <c r="I4197"/>
      <c r="J4197" s="68"/>
    </row>
    <row r="4198" spans="8:10">
      <c r="H4198"/>
      <c r="I4198"/>
      <c r="J4198" s="68"/>
    </row>
    <row r="4199" spans="8:10">
      <c r="H4199"/>
      <c r="I4199"/>
      <c r="J4199" s="68"/>
    </row>
    <row r="4200" spans="8:10">
      <c r="H4200"/>
      <c r="I4200"/>
      <c r="J4200" s="68"/>
    </row>
    <row r="4201" spans="8:10">
      <c r="H4201"/>
      <c r="I4201"/>
      <c r="J4201" s="68"/>
    </row>
    <row r="4202" spans="8:10">
      <c r="H4202"/>
      <c r="I4202"/>
      <c r="J4202" s="68"/>
    </row>
    <row r="4203" spans="8:10">
      <c r="H4203"/>
      <c r="I4203"/>
      <c r="J4203" s="68"/>
    </row>
    <row r="4204" spans="8:10">
      <c r="H4204"/>
      <c r="I4204"/>
      <c r="J4204" s="68"/>
    </row>
    <row r="4205" spans="8:10">
      <c r="H4205"/>
      <c r="I4205"/>
      <c r="J4205" s="68"/>
    </row>
    <row r="4206" spans="8:10">
      <c r="H4206"/>
      <c r="I4206"/>
      <c r="J4206" s="68"/>
    </row>
    <row r="4207" spans="8:10">
      <c r="H4207"/>
      <c r="I4207"/>
      <c r="J4207" s="68"/>
    </row>
    <row r="4208" spans="8:10">
      <c r="H4208"/>
      <c r="I4208"/>
      <c r="J4208" s="68"/>
    </row>
    <row r="4209" spans="8:10">
      <c r="H4209"/>
      <c r="I4209"/>
      <c r="J4209" s="68"/>
    </row>
    <row r="4210" spans="8:10">
      <c r="H4210"/>
      <c r="I4210"/>
      <c r="J4210" s="68"/>
    </row>
    <row r="4211" spans="8:10">
      <c r="H4211"/>
      <c r="I4211"/>
      <c r="J4211" s="68"/>
    </row>
    <row r="4212" spans="8:10">
      <c r="H4212"/>
      <c r="I4212"/>
      <c r="J4212" s="68"/>
    </row>
    <row r="4213" spans="8:10">
      <c r="H4213"/>
      <c r="I4213"/>
      <c r="J4213" s="68"/>
    </row>
    <row r="4214" spans="8:10">
      <c r="H4214"/>
      <c r="I4214"/>
      <c r="J4214" s="68"/>
    </row>
    <row r="4215" spans="8:10">
      <c r="H4215"/>
      <c r="I4215"/>
      <c r="J4215" s="68"/>
    </row>
    <row r="4216" spans="8:10">
      <c r="H4216"/>
      <c r="I4216"/>
      <c r="J4216" s="68"/>
    </row>
    <row r="4217" spans="8:10">
      <c r="H4217"/>
      <c r="I4217"/>
      <c r="J4217" s="68"/>
    </row>
    <row r="4218" spans="8:10">
      <c r="H4218"/>
      <c r="I4218"/>
      <c r="J4218" s="68"/>
    </row>
    <row r="4219" spans="8:10">
      <c r="H4219"/>
      <c r="I4219"/>
      <c r="J4219" s="68"/>
    </row>
    <row r="4220" spans="8:10">
      <c r="H4220"/>
      <c r="I4220"/>
      <c r="J4220" s="68"/>
    </row>
    <row r="4221" spans="8:10">
      <c r="H4221"/>
      <c r="I4221"/>
      <c r="J4221" s="68"/>
    </row>
    <row r="4222" spans="8:10">
      <c r="H4222"/>
      <c r="I4222"/>
      <c r="J4222" s="68"/>
    </row>
    <row r="4223" spans="8:10">
      <c r="H4223"/>
      <c r="I4223"/>
      <c r="J4223" s="68"/>
    </row>
    <row r="4224" spans="8:10">
      <c r="H4224"/>
      <c r="I4224"/>
      <c r="J4224" s="68"/>
    </row>
    <row r="4225" spans="8:10">
      <c r="H4225"/>
      <c r="I4225"/>
      <c r="J4225" s="68"/>
    </row>
    <row r="4226" spans="8:10">
      <c r="H4226"/>
      <c r="I4226"/>
      <c r="J4226" s="68"/>
    </row>
    <row r="4227" spans="8:10">
      <c r="H4227"/>
      <c r="I4227"/>
      <c r="J4227" s="68"/>
    </row>
    <row r="4228" spans="8:10">
      <c r="H4228"/>
      <c r="I4228"/>
      <c r="J4228" s="68"/>
    </row>
    <row r="4229" spans="8:10">
      <c r="H4229"/>
      <c r="I4229"/>
      <c r="J4229" s="68"/>
    </row>
    <row r="4230" spans="8:10">
      <c r="H4230"/>
      <c r="I4230"/>
      <c r="J4230" s="68"/>
    </row>
    <row r="4231" spans="8:10">
      <c r="H4231"/>
      <c r="I4231"/>
      <c r="J4231" s="68"/>
    </row>
    <row r="4232" spans="8:10">
      <c r="H4232"/>
      <c r="I4232"/>
      <c r="J4232" s="68"/>
    </row>
    <row r="4233" spans="8:10">
      <c r="H4233"/>
      <c r="I4233"/>
      <c r="J4233" s="68"/>
    </row>
    <row r="4234" spans="8:10">
      <c r="H4234"/>
      <c r="I4234"/>
      <c r="J4234" s="68"/>
    </row>
    <row r="4235" spans="8:10">
      <c r="H4235"/>
      <c r="I4235"/>
      <c r="J4235" s="68"/>
    </row>
    <row r="4236" spans="8:10">
      <c r="H4236"/>
      <c r="I4236"/>
      <c r="J4236" s="68"/>
    </row>
    <row r="4237" spans="8:10">
      <c r="H4237"/>
      <c r="I4237"/>
      <c r="J4237" s="68"/>
    </row>
    <row r="4238" spans="8:10">
      <c r="H4238"/>
      <c r="I4238"/>
      <c r="J4238" s="68"/>
    </row>
    <row r="4239" spans="8:10">
      <c r="H4239"/>
      <c r="I4239"/>
      <c r="J4239" s="68"/>
    </row>
    <row r="4240" spans="8:10">
      <c r="H4240"/>
      <c r="I4240"/>
      <c r="J4240" s="68"/>
    </row>
    <row r="4241" spans="8:10">
      <c r="H4241"/>
      <c r="I4241"/>
      <c r="J4241" s="68"/>
    </row>
    <row r="4242" spans="8:10">
      <c r="H4242"/>
      <c r="I4242"/>
      <c r="J4242" s="68"/>
    </row>
    <row r="4243" spans="8:10">
      <c r="H4243"/>
      <c r="I4243"/>
      <c r="J4243" s="68"/>
    </row>
    <row r="4244" spans="8:10">
      <c r="H4244"/>
      <c r="I4244"/>
      <c r="J4244" s="68"/>
    </row>
    <row r="4245" spans="8:10">
      <c r="H4245"/>
      <c r="I4245"/>
      <c r="J4245" s="68"/>
    </row>
    <row r="4246" spans="8:10">
      <c r="H4246"/>
      <c r="I4246"/>
      <c r="J4246" s="68"/>
    </row>
    <row r="4247" spans="8:10">
      <c r="H4247"/>
      <c r="I4247"/>
      <c r="J4247" s="68"/>
    </row>
    <row r="4248" spans="8:10">
      <c r="H4248"/>
      <c r="I4248"/>
      <c r="J4248" s="68"/>
    </row>
    <row r="4249" spans="8:10">
      <c r="H4249"/>
      <c r="I4249"/>
      <c r="J4249" s="68"/>
    </row>
    <row r="4250" spans="8:10">
      <c r="H4250"/>
      <c r="I4250"/>
      <c r="J4250" s="68"/>
    </row>
    <row r="4251" spans="8:10">
      <c r="H4251"/>
      <c r="I4251"/>
      <c r="J4251" s="68"/>
    </row>
    <row r="4252" spans="8:10">
      <c r="H4252"/>
      <c r="I4252"/>
      <c r="J4252" s="68"/>
    </row>
    <row r="4253" spans="8:10">
      <c r="H4253"/>
      <c r="I4253"/>
      <c r="J4253" s="68"/>
    </row>
    <row r="4254" spans="8:10">
      <c r="H4254"/>
      <c r="I4254"/>
      <c r="J4254" s="68"/>
    </row>
    <row r="4255" spans="8:10">
      <c r="H4255"/>
      <c r="I4255"/>
      <c r="J4255" s="68"/>
    </row>
    <row r="4256" spans="8:10">
      <c r="H4256"/>
      <c r="I4256"/>
      <c r="J4256" s="68"/>
    </row>
    <row r="4257" spans="8:10">
      <c r="H4257"/>
      <c r="I4257"/>
      <c r="J4257" s="68"/>
    </row>
    <row r="4258" spans="8:10">
      <c r="H4258"/>
      <c r="I4258"/>
      <c r="J4258" s="68"/>
    </row>
    <row r="4259" spans="8:10">
      <c r="H4259"/>
      <c r="I4259"/>
      <c r="J4259" s="68"/>
    </row>
    <row r="4260" spans="8:10">
      <c r="H4260"/>
      <c r="I4260"/>
      <c r="J4260" s="68"/>
    </row>
    <row r="4261" spans="8:10">
      <c r="H4261"/>
      <c r="I4261"/>
      <c r="J4261" s="68"/>
    </row>
    <row r="4262" spans="8:10">
      <c r="H4262"/>
      <c r="I4262"/>
      <c r="J4262" s="68"/>
    </row>
    <row r="4263" spans="8:10">
      <c r="H4263"/>
      <c r="I4263"/>
      <c r="J4263" s="68"/>
    </row>
    <row r="4264" spans="8:10">
      <c r="H4264"/>
      <c r="I4264"/>
      <c r="J4264" s="68"/>
    </row>
    <row r="4265" spans="8:10">
      <c r="H4265"/>
      <c r="I4265"/>
      <c r="J4265" s="68"/>
    </row>
    <row r="4266" spans="8:10">
      <c r="H4266"/>
      <c r="I4266"/>
      <c r="J4266" s="68"/>
    </row>
    <row r="4267" spans="8:10">
      <c r="H4267"/>
      <c r="I4267"/>
      <c r="J4267" s="68"/>
    </row>
    <row r="4268" spans="8:10">
      <c r="H4268"/>
      <c r="I4268"/>
      <c r="J4268" s="68"/>
    </row>
    <row r="4269" spans="8:10">
      <c r="H4269"/>
      <c r="I4269"/>
      <c r="J4269" s="68"/>
    </row>
    <row r="4270" spans="8:10">
      <c r="H4270"/>
      <c r="I4270"/>
      <c r="J4270" s="68"/>
    </row>
    <row r="4271" spans="8:10">
      <c r="H4271"/>
      <c r="I4271"/>
      <c r="J4271" s="68"/>
    </row>
    <row r="4272" spans="8:10">
      <c r="H4272"/>
      <c r="I4272"/>
      <c r="J4272" s="68"/>
    </row>
    <row r="4273" spans="8:10">
      <c r="H4273"/>
      <c r="I4273"/>
      <c r="J4273" s="68"/>
    </row>
    <row r="4274" spans="8:10">
      <c r="H4274"/>
      <c r="I4274"/>
      <c r="J4274" s="68"/>
    </row>
    <row r="4275" spans="8:10">
      <c r="H4275"/>
      <c r="I4275"/>
      <c r="J4275" s="68"/>
    </row>
    <row r="4276" spans="8:10">
      <c r="H4276"/>
      <c r="I4276"/>
      <c r="J4276" s="68"/>
    </row>
    <row r="4277" spans="8:10">
      <c r="H4277"/>
      <c r="I4277"/>
      <c r="J4277" s="68"/>
    </row>
    <row r="4278" spans="8:10">
      <c r="H4278"/>
      <c r="I4278"/>
      <c r="J4278" s="68"/>
    </row>
    <row r="4279" spans="8:10">
      <c r="H4279"/>
      <c r="I4279"/>
      <c r="J4279" s="68"/>
    </row>
    <row r="4280" spans="8:10">
      <c r="H4280"/>
      <c r="I4280"/>
      <c r="J4280" s="68"/>
    </row>
    <row r="4281" spans="8:10">
      <c r="H4281"/>
      <c r="I4281"/>
      <c r="J4281" s="68"/>
    </row>
    <row r="4282" spans="8:10">
      <c r="H4282"/>
      <c r="I4282"/>
      <c r="J4282" s="68"/>
    </row>
    <row r="4283" spans="8:10">
      <c r="H4283"/>
      <c r="I4283"/>
      <c r="J4283" s="68"/>
    </row>
    <row r="4284" spans="8:10">
      <c r="H4284"/>
      <c r="I4284"/>
      <c r="J4284" s="68"/>
    </row>
    <row r="4285" spans="8:10">
      <c r="H4285"/>
      <c r="I4285"/>
      <c r="J4285" s="68"/>
    </row>
    <row r="4286" spans="8:10">
      <c r="H4286"/>
      <c r="I4286"/>
      <c r="J4286" s="68"/>
    </row>
    <row r="4287" spans="8:10">
      <c r="H4287"/>
      <c r="I4287"/>
      <c r="J4287" s="68"/>
    </row>
    <row r="4288" spans="8:10">
      <c r="H4288"/>
      <c r="I4288"/>
      <c r="J4288" s="68"/>
    </row>
    <row r="4289" spans="8:10">
      <c r="H4289"/>
      <c r="I4289"/>
      <c r="J4289" s="68"/>
    </row>
    <row r="4290" spans="8:10">
      <c r="H4290"/>
      <c r="I4290"/>
      <c r="J4290" s="68"/>
    </row>
    <row r="4291" spans="8:10">
      <c r="H4291"/>
      <c r="I4291"/>
      <c r="J4291" s="68"/>
    </row>
    <row r="4292" spans="8:10">
      <c r="H4292"/>
      <c r="I4292"/>
      <c r="J4292" s="68"/>
    </row>
    <row r="4293" spans="8:10">
      <c r="H4293"/>
      <c r="I4293"/>
      <c r="J4293" s="68"/>
    </row>
    <row r="4294" spans="8:10">
      <c r="H4294"/>
      <c r="I4294"/>
      <c r="J4294" s="68"/>
    </row>
    <row r="4295" spans="8:10">
      <c r="H4295"/>
      <c r="I4295"/>
      <c r="J4295" s="68"/>
    </row>
    <row r="4296" spans="8:10">
      <c r="H4296"/>
      <c r="I4296"/>
      <c r="J4296" s="68"/>
    </row>
    <row r="4297" spans="8:10">
      <c r="H4297"/>
      <c r="I4297"/>
      <c r="J4297" s="68"/>
    </row>
    <row r="4298" spans="8:10">
      <c r="H4298"/>
      <c r="I4298"/>
      <c r="J4298" s="68"/>
    </row>
    <row r="4299" spans="8:10">
      <c r="H4299"/>
      <c r="I4299"/>
      <c r="J4299" s="68"/>
    </row>
    <row r="4300" spans="8:10">
      <c r="H4300"/>
      <c r="I4300"/>
      <c r="J4300" s="68"/>
    </row>
    <row r="4301" spans="8:10">
      <c r="H4301"/>
      <c r="I4301"/>
      <c r="J4301" s="68"/>
    </row>
    <row r="4302" spans="8:10">
      <c r="H4302"/>
      <c r="I4302"/>
      <c r="J4302" s="68"/>
    </row>
    <row r="4303" spans="8:10">
      <c r="H4303"/>
      <c r="I4303"/>
      <c r="J4303" s="68"/>
    </row>
    <row r="4304" spans="8:10">
      <c r="H4304"/>
      <c r="I4304"/>
      <c r="J4304" s="68"/>
    </row>
    <row r="4305" spans="8:10">
      <c r="H4305"/>
      <c r="I4305"/>
      <c r="J4305" s="68"/>
    </row>
    <row r="4306" spans="8:10">
      <c r="H4306"/>
      <c r="I4306"/>
      <c r="J4306" s="68"/>
    </row>
    <row r="4307" spans="8:10">
      <c r="H4307"/>
      <c r="I4307"/>
      <c r="J4307" s="68"/>
    </row>
    <row r="4308" spans="8:10">
      <c r="H4308"/>
      <c r="I4308"/>
      <c r="J4308" s="68"/>
    </row>
    <row r="4309" spans="8:10">
      <c r="H4309"/>
      <c r="I4309"/>
      <c r="J4309" s="68"/>
    </row>
    <row r="4310" spans="8:10">
      <c r="H4310"/>
      <c r="I4310"/>
      <c r="J4310" s="68"/>
    </row>
    <row r="4311" spans="8:10">
      <c r="H4311"/>
      <c r="I4311"/>
      <c r="J4311" s="68"/>
    </row>
    <row r="4312" spans="8:10">
      <c r="H4312"/>
      <c r="I4312"/>
      <c r="J4312" s="68"/>
    </row>
    <row r="4313" spans="8:10">
      <c r="H4313"/>
      <c r="I4313"/>
      <c r="J4313" s="68"/>
    </row>
    <row r="4314" spans="8:10">
      <c r="H4314"/>
      <c r="I4314"/>
      <c r="J4314" s="68"/>
    </row>
    <row r="4315" spans="8:10">
      <c r="H4315"/>
      <c r="I4315"/>
      <c r="J4315" s="68"/>
    </row>
    <row r="4316" spans="8:10">
      <c r="H4316"/>
      <c r="I4316"/>
      <c r="J4316" s="68"/>
    </row>
    <row r="4317" spans="8:10">
      <c r="H4317"/>
      <c r="I4317"/>
      <c r="J4317" s="68"/>
    </row>
    <row r="4318" spans="8:10">
      <c r="H4318"/>
      <c r="I4318"/>
      <c r="J4318" s="68"/>
    </row>
    <row r="4319" spans="8:10">
      <c r="H4319"/>
      <c r="I4319"/>
      <c r="J4319" s="68"/>
    </row>
    <row r="4320" spans="8:10">
      <c r="H4320"/>
      <c r="I4320"/>
      <c r="J4320" s="68"/>
    </row>
    <row r="4321" spans="8:10">
      <c r="H4321"/>
      <c r="I4321"/>
      <c r="J4321" s="68"/>
    </row>
    <row r="4322" spans="8:10">
      <c r="H4322"/>
      <c r="I4322"/>
      <c r="J4322" s="68"/>
    </row>
    <row r="4323" spans="8:10">
      <c r="H4323"/>
      <c r="I4323"/>
      <c r="J4323" s="68"/>
    </row>
    <row r="4324" spans="8:10">
      <c r="H4324"/>
      <c r="I4324"/>
      <c r="J4324" s="68"/>
    </row>
    <row r="4325" spans="8:10">
      <c r="H4325"/>
      <c r="I4325"/>
      <c r="J4325" s="68"/>
    </row>
    <row r="4326" spans="8:10">
      <c r="H4326"/>
      <c r="I4326"/>
      <c r="J4326" s="68"/>
    </row>
    <row r="4327" spans="8:10">
      <c r="H4327"/>
      <c r="I4327"/>
      <c r="J4327" s="68"/>
    </row>
    <row r="4328" spans="8:10">
      <c r="H4328"/>
      <c r="I4328"/>
      <c r="J4328" s="68"/>
    </row>
    <row r="4329" spans="8:10">
      <c r="H4329"/>
      <c r="I4329"/>
      <c r="J4329" s="68"/>
    </row>
    <row r="4330" spans="8:10">
      <c r="H4330"/>
      <c r="I4330"/>
      <c r="J4330" s="68"/>
    </row>
    <row r="4331" spans="8:10">
      <c r="H4331"/>
      <c r="I4331"/>
      <c r="J4331" s="68"/>
    </row>
    <row r="4332" spans="8:10">
      <c r="H4332"/>
      <c r="I4332"/>
      <c r="J4332" s="68"/>
    </row>
    <row r="4333" spans="8:10">
      <c r="H4333"/>
      <c r="I4333"/>
      <c r="J4333" s="68"/>
    </row>
    <row r="4334" spans="8:10">
      <c r="H4334"/>
      <c r="I4334"/>
      <c r="J4334" s="68"/>
    </row>
    <row r="4335" spans="8:10">
      <c r="H4335"/>
      <c r="I4335"/>
      <c r="J4335" s="68"/>
    </row>
    <row r="4336" spans="8:10">
      <c r="H4336"/>
      <c r="I4336"/>
      <c r="J4336" s="68"/>
    </row>
    <row r="4337" spans="8:10">
      <c r="H4337"/>
      <c r="I4337"/>
      <c r="J4337" s="68"/>
    </row>
    <row r="4338" spans="8:10">
      <c r="H4338"/>
      <c r="I4338"/>
      <c r="J4338" s="68"/>
    </row>
    <row r="4339" spans="8:10">
      <c r="H4339"/>
      <c r="I4339"/>
      <c r="J4339" s="68"/>
    </row>
    <row r="4340" spans="8:10">
      <c r="H4340"/>
      <c r="I4340"/>
      <c r="J4340" s="68"/>
    </row>
    <row r="4341" spans="8:10">
      <c r="H4341"/>
      <c r="I4341"/>
      <c r="J4341" s="68"/>
    </row>
    <row r="4342" spans="8:10">
      <c r="H4342"/>
      <c r="I4342"/>
      <c r="J4342" s="68"/>
    </row>
    <row r="4343" spans="8:10">
      <c r="H4343"/>
      <c r="I4343"/>
      <c r="J4343" s="68"/>
    </row>
    <row r="4344" spans="8:10">
      <c r="H4344"/>
      <c r="I4344"/>
      <c r="J4344" s="68"/>
    </row>
    <row r="4345" spans="8:10">
      <c r="H4345"/>
      <c r="I4345"/>
      <c r="J4345" s="68"/>
    </row>
    <row r="4346" spans="8:10">
      <c r="H4346"/>
      <c r="I4346"/>
      <c r="J4346" s="68"/>
    </row>
    <row r="4347" spans="8:10">
      <c r="H4347"/>
      <c r="I4347"/>
      <c r="J4347" s="68"/>
    </row>
    <row r="4348" spans="8:10">
      <c r="H4348"/>
      <c r="I4348"/>
      <c r="J4348" s="68"/>
    </row>
    <row r="4349" spans="8:10">
      <c r="H4349"/>
      <c r="I4349"/>
      <c r="J4349" s="68"/>
    </row>
    <row r="4350" spans="8:10">
      <c r="H4350"/>
      <c r="I4350"/>
      <c r="J4350" s="68"/>
    </row>
    <row r="4351" spans="8:10">
      <c r="H4351"/>
      <c r="I4351"/>
      <c r="J4351" s="68"/>
    </row>
    <row r="4352" spans="8:10">
      <c r="H4352"/>
      <c r="I4352"/>
      <c r="J4352" s="68"/>
    </row>
    <row r="4353" spans="8:10">
      <c r="H4353"/>
      <c r="I4353"/>
      <c r="J4353" s="68"/>
    </row>
    <row r="4354" spans="8:10">
      <c r="H4354"/>
      <c r="I4354"/>
      <c r="J4354" s="68"/>
    </row>
    <row r="4355" spans="8:10">
      <c r="H4355"/>
      <c r="I4355"/>
      <c r="J4355" s="68"/>
    </row>
    <row r="4356" spans="8:10">
      <c r="H4356"/>
      <c r="I4356"/>
      <c r="J4356" s="68"/>
    </row>
    <row r="4357" spans="8:10">
      <c r="H4357"/>
      <c r="I4357"/>
      <c r="J4357" s="68"/>
    </row>
    <row r="4358" spans="8:10">
      <c r="H4358"/>
      <c r="I4358"/>
      <c r="J4358" s="68"/>
    </row>
    <row r="4359" spans="8:10">
      <c r="H4359"/>
      <c r="I4359"/>
      <c r="J4359" s="68"/>
    </row>
    <row r="4360" spans="8:10">
      <c r="H4360"/>
      <c r="I4360"/>
      <c r="J4360" s="68"/>
    </row>
    <row r="4361" spans="8:10">
      <c r="H4361"/>
      <c r="I4361"/>
      <c r="J4361" s="68"/>
    </row>
    <row r="4362" spans="8:10">
      <c r="H4362"/>
      <c r="I4362"/>
      <c r="J4362" s="68"/>
    </row>
    <row r="4363" spans="8:10">
      <c r="H4363"/>
      <c r="I4363"/>
      <c r="J4363" s="68"/>
    </row>
    <row r="4364" spans="8:10">
      <c r="H4364"/>
      <c r="I4364"/>
      <c r="J4364" s="68"/>
    </row>
    <row r="4365" spans="8:10">
      <c r="H4365"/>
      <c r="I4365"/>
      <c r="J4365" s="68"/>
    </row>
    <row r="4366" spans="8:10">
      <c r="H4366"/>
      <c r="I4366"/>
      <c r="J4366" s="68"/>
    </row>
    <row r="4367" spans="8:10">
      <c r="H4367"/>
      <c r="I4367"/>
      <c r="J4367" s="68"/>
    </row>
    <row r="4368" spans="8:10">
      <c r="H4368"/>
      <c r="I4368"/>
      <c r="J4368" s="68"/>
    </row>
    <row r="4369" spans="8:10">
      <c r="H4369"/>
      <c r="I4369"/>
      <c r="J4369" s="68"/>
    </row>
    <row r="4370" spans="8:10">
      <c r="H4370"/>
      <c r="I4370"/>
      <c r="J4370" s="68"/>
    </row>
    <row r="4371" spans="8:10">
      <c r="H4371"/>
      <c r="I4371"/>
      <c r="J4371" s="68"/>
    </row>
    <row r="4372" spans="8:10">
      <c r="H4372"/>
      <c r="I4372"/>
      <c r="J4372" s="68"/>
    </row>
    <row r="4373" spans="8:10">
      <c r="H4373"/>
      <c r="I4373"/>
      <c r="J4373" s="68"/>
    </row>
    <row r="4374" spans="8:10">
      <c r="H4374"/>
      <c r="I4374"/>
      <c r="J4374" s="68"/>
    </row>
    <row r="4375" spans="8:10">
      <c r="H4375"/>
      <c r="I4375"/>
      <c r="J4375" s="68"/>
    </row>
    <row r="4376" spans="8:10">
      <c r="H4376"/>
      <c r="I4376"/>
      <c r="J4376" s="68"/>
    </row>
    <row r="4377" spans="8:10">
      <c r="H4377"/>
      <c r="I4377"/>
      <c r="J4377" s="68"/>
    </row>
    <row r="4378" spans="8:10">
      <c r="H4378"/>
      <c r="I4378"/>
      <c r="J4378" s="68"/>
    </row>
    <row r="4379" spans="8:10">
      <c r="H4379"/>
      <c r="I4379"/>
      <c r="J4379" s="68"/>
    </row>
    <row r="4380" spans="8:10">
      <c r="H4380"/>
      <c r="I4380"/>
      <c r="J4380" s="68"/>
    </row>
    <row r="4381" spans="8:10">
      <c r="H4381"/>
      <c r="I4381"/>
      <c r="J4381" s="68"/>
    </row>
    <row r="4382" spans="8:10">
      <c r="H4382"/>
      <c r="I4382"/>
      <c r="J4382" s="68"/>
    </row>
    <row r="4383" spans="8:10">
      <c r="H4383"/>
      <c r="I4383"/>
      <c r="J4383" s="68"/>
    </row>
    <row r="4384" spans="8:10">
      <c r="H4384"/>
      <c r="I4384"/>
      <c r="J4384" s="68"/>
    </row>
    <row r="4385" spans="8:10">
      <c r="H4385"/>
      <c r="I4385"/>
      <c r="J4385" s="68"/>
    </row>
    <row r="4386" spans="8:10">
      <c r="H4386"/>
      <c r="I4386"/>
      <c r="J4386" s="68"/>
    </row>
    <row r="4387" spans="8:10">
      <c r="H4387"/>
      <c r="I4387"/>
      <c r="J4387" s="68"/>
    </row>
    <row r="4388" spans="8:10">
      <c r="H4388"/>
      <c r="I4388"/>
      <c r="J4388" s="68"/>
    </row>
    <row r="4389" spans="8:10">
      <c r="H4389"/>
      <c r="I4389"/>
      <c r="J4389" s="68"/>
    </row>
    <row r="4390" spans="8:10">
      <c r="H4390"/>
      <c r="I4390"/>
      <c r="J4390" s="68"/>
    </row>
    <row r="4391" spans="8:10">
      <c r="H4391"/>
      <c r="I4391"/>
      <c r="J4391" s="68"/>
    </row>
    <row r="4392" spans="8:10">
      <c r="H4392"/>
      <c r="I4392"/>
      <c r="J4392" s="68"/>
    </row>
    <row r="4393" spans="8:10">
      <c r="H4393"/>
      <c r="I4393"/>
      <c r="J4393" s="68"/>
    </row>
    <row r="4394" spans="8:10">
      <c r="H4394"/>
      <c r="I4394"/>
      <c r="J4394" s="68"/>
    </row>
    <row r="4395" spans="8:10">
      <c r="H4395"/>
      <c r="I4395"/>
      <c r="J4395" s="68"/>
    </row>
    <row r="4396" spans="8:10">
      <c r="H4396"/>
      <c r="I4396"/>
      <c r="J4396" s="68"/>
    </row>
    <row r="4397" spans="8:10">
      <c r="H4397"/>
      <c r="I4397"/>
      <c r="J4397" s="68"/>
    </row>
    <row r="4398" spans="8:10">
      <c r="H4398"/>
      <c r="I4398"/>
      <c r="J4398" s="68"/>
    </row>
    <row r="4399" spans="8:10">
      <c r="H4399"/>
      <c r="I4399"/>
      <c r="J4399" s="68"/>
    </row>
    <row r="4400" spans="8:10">
      <c r="H4400"/>
      <c r="I4400"/>
      <c r="J4400" s="68"/>
    </row>
    <row r="4401" spans="8:10">
      <c r="H4401"/>
      <c r="I4401"/>
      <c r="J4401" s="68"/>
    </row>
    <row r="4402" spans="8:10">
      <c r="H4402"/>
      <c r="I4402"/>
      <c r="J4402" s="68"/>
    </row>
    <row r="4403" spans="8:10">
      <c r="H4403"/>
      <c r="I4403"/>
      <c r="J4403" s="68"/>
    </row>
    <row r="4404" spans="8:10">
      <c r="H4404"/>
      <c r="I4404"/>
      <c r="J4404" s="68"/>
    </row>
    <row r="4405" spans="8:10">
      <c r="H4405"/>
      <c r="I4405"/>
      <c r="J4405" s="68"/>
    </row>
    <row r="4406" spans="8:10">
      <c r="H4406"/>
      <c r="I4406"/>
      <c r="J4406" s="68"/>
    </row>
    <row r="4407" spans="8:10">
      <c r="H4407"/>
      <c r="I4407"/>
      <c r="J4407" s="68"/>
    </row>
    <row r="4408" spans="8:10">
      <c r="H4408"/>
      <c r="I4408"/>
      <c r="J4408" s="68"/>
    </row>
    <row r="4409" spans="8:10">
      <c r="H4409"/>
      <c r="I4409"/>
      <c r="J4409" s="68"/>
    </row>
    <row r="4410" spans="8:10">
      <c r="H4410"/>
      <c r="I4410"/>
      <c r="J4410" s="68"/>
    </row>
    <row r="4411" spans="8:10">
      <c r="H4411"/>
      <c r="I4411"/>
      <c r="J4411" s="68"/>
    </row>
    <row r="4412" spans="8:10">
      <c r="H4412"/>
      <c r="I4412"/>
      <c r="J4412" s="68"/>
    </row>
    <row r="4413" spans="8:10">
      <c r="H4413"/>
      <c r="I4413"/>
      <c r="J4413" s="68"/>
    </row>
    <row r="4414" spans="8:10">
      <c r="H4414"/>
      <c r="I4414"/>
      <c r="J4414" s="68"/>
    </row>
    <row r="4415" spans="8:10">
      <c r="H4415"/>
      <c r="I4415"/>
      <c r="J4415" s="68"/>
    </row>
    <row r="4416" spans="8:10">
      <c r="H4416"/>
      <c r="I4416"/>
      <c r="J4416" s="68"/>
    </row>
    <row r="4417" spans="8:10">
      <c r="H4417"/>
      <c r="I4417"/>
      <c r="J4417" s="68"/>
    </row>
    <row r="4418" spans="8:10">
      <c r="H4418"/>
      <c r="I4418"/>
      <c r="J4418" s="68"/>
    </row>
    <row r="4419" spans="8:10">
      <c r="H4419"/>
      <c r="I4419"/>
      <c r="J4419" s="68"/>
    </row>
    <row r="4420" spans="8:10">
      <c r="H4420"/>
      <c r="I4420"/>
      <c r="J4420" s="68"/>
    </row>
    <row r="4421" spans="8:10">
      <c r="H4421"/>
      <c r="I4421"/>
      <c r="J4421" s="68"/>
    </row>
    <row r="4422" spans="8:10">
      <c r="H4422"/>
      <c r="I4422"/>
      <c r="J4422" s="68"/>
    </row>
    <row r="4423" spans="8:10">
      <c r="H4423"/>
      <c r="I4423"/>
      <c r="J4423" s="68"/>
    </row>
    <row r="4424" spans="8:10">
      <c r="H4424"/>
      <c r="I4424"/>
      <c r="J4424" s="68"/>
    </row>
    <row r="4425" spans="8:10">
      <c r="H4425"/>
      <c r="I4425"/>
      <c r="J4425" s="68"/>
    </row>
    <row r="4426" spans="8:10">
      <c r="H4426"/>
      <c r="I4426"/>
      <c r="J4426" s="68"/>
    </row>
    <row r="4427" spans="8:10">
      <c r="H4427"/>
      <c r="I4427"/>
      <c r="J4427" s="68"/>
    </row>
    <row r="4428" spans="8:10">
      <c r="H4428"/>
      <c r="I4428"/>
      <c r="J4428" s="68"/>
    </row>
    <row r="4429" spans="8:10">
      <c r="H4429"/>
      <c r="I4429"/>
      <c r="J4429" s="68"/>
    </row>
    <row r="4430" spans="8:10">
      <c r="H4430"/>
      <c r="I4430"/>
      <c r="J4430" s="68"/>
    </row>
    <row r="4431" spans="8:10">
      <c r="H4431"/>
      <c r="I4431"/>
      <c r="J4431" s="68"/>
    </row>
    <row r="4432" spans="8:10">
      <c r="H4432"/>
      <c r="I4432"/>
      <c r="J4432" s="68"/>
    </row>
    <row r="4433" spans="8:10">
      <c r="H4433"/>
      <c r="I4433"/>
      <c r="J4433" s="68"/>
    </row>
    <row r="4434" spans="8:10">
      <c r="H4434"/>
      <c r="I4434"/>
      <c r="J4434" s="68"/>
    </row>
    <row r="4435" spans="8:10">
      <c r="H4435"/>
      <c r="I4435"/>
      <c r="J4435" s="68"/>
    </row>
    <row r="4436" spans="8:10">
      <c r="H4436"/>
      <c r="I4436"/>
      <c r="J4436" s="68"/>
    </row>
    <row r="4437" spans="8:10">
      <c r="H4437"/>
      <c r="I4437"/>
      <c r="J4437" s="68"/>
    </row>
    <row r="4438" spans="8:10">
      <c r="H4438"/>
      <c r="I4438"/>
      <c r="J4438" s="68"/>
    </row>
    <row r="4439" spans="8:10">
      <c r="H4439"/>
      <c r="I4439"/>
      <c r="J4439" s="68"/>
    </row>
    <row r="4440" spans="8:10">
      <c r="H4440"/>
      <c r="I4440"/>
      <c r="J4440" s="68"/>
    </row>
    <row r="4441" spans="8:10">
      <c r="H4441"/>
      <c r="I4441"/>
      <c r="J4441" s="68"/>
    </row>
    <row r="4442" spans="8:10">
      <c r="H4442"/>
      <c r="I4442"/>
      <c r="J4442" s="68"/>
    </row>
    <row r="4443" spans="8:10">
      <c r="H4443"/>
      <c r="I4443"/>
      <c r="J4443" s="68"/>
    </row>
    <row r="4444" spans="8:10">
      <c r="H4444"/>
      <c r="I4444"/>
      <c r="J4444" s="68"/>
    </row>
    <row r="4445" spans="8:10">
      <c r="H4445"/>
      <c r="I4445"/>
      <c r="J4445" s="68"/>
    </row>
    <row r="4446" spans="8:10">
      <c r="H4446"/>
      <c r="I4446"/>
      <c r="J4446" s="68"/>
    </row>
    <row r="4447" spans="8:10">
      <c r="H4447"/>
      <c r="I4447"/>
      <c r="J4447" s="68"/>
    </row>
    <row r="4448" spans="8:10">
      <c r="H4448"/>
      <c r="I4448"/>
      <c r="J4448" s="68"/>
    </row>
    <row r="4449" spans="8:10">
      <c r="H4449"/>
      <c r="I4449"/>
      <c r="J4449" s="68"/>
    </row>
    <row r="4450" spans="8:10">
      <c r="H4450"/>
      <c r="I4450"/>
      <c r="J4450" s="68"/>
    </row>
    <row r="4451" spans="8:10">
      <c r="H4451"/>
      <c r="I4451"/>
      <c r="J4451" s="68"/>
    </row>
    <row r="4452" spans="8:10">
      <c r="H4452"/>
      <c r="I4452"/>
      <c r="J4452" s="68"/>
    </row>
    <row r="4453" spans="8:10">
      <c r="H4453"/>
      <c r="I4453"/>
      <c r="J4453" s="68"/>
    </row>
    <row r="4454" spans="8:10">
      <c r="H4454"/>
      <c r="I4454"/>
      <c r="J4454" s="68"/>
    </row>
    <row r="4455" spans="8:10">
      <c r="H4455"/>
      <c r="I4455"/>
      <c r="J4455" s="68"/>
    </row>
    <row r="4456" spans="8:10">
      <c r="H4456"/>
      <c r="I4456"/>
      <c r="J4456" s="68"/>
    </row>
    <row r="4457" spans="8:10">
      <c r="H4457"/>
      <c r="I4457"/>
      <c r="J4457" s="68"/>
    </row>
    <row r="4458" spans="8:10">
      <c r="H4458"/>
      <c r="I4458"/>
      <c r="J4458" s="68"/>
    </row>
    <row r="4459" spans="8:10">
      <c r="H4459"/>
      <c r="I4459"/>
      <c r="J4459" s="68"/>
    </row>
    <row r="4460" spans="8:10">
      <c r="H4460"/>
      <c r="I4460"/>
      <c r="J4460" s="68"/>
    </row>
    <row r="4461" spans="8:10">
      <c r="H4461"/>
      <c r="I4461"/>
      <c r="J4461" s="68"/>
    </row>
    <row r="4462" spans="8:10">
      <c r="H4462"/>
      <c r="I4462"/>
      <c r="J4462" s="68"/>
    </row>
    <row r="4463" spans="8:10">
      <c r="H4463"/>
      <c r="I4463"/>
      <c r="J4463" s="68"/>
    </row>
    <row r="4464" spans="8:10">
      <c r="H4464"/>
      <c r="I4464"/>
      <c r="J4464" s="68"/>
    </row>
    <row r="4465" spans="8:10">
      <c r="H4465"/>
      <c r="I4465"/>
      <c r="J4465" s="68"/>
    </row>
    <row r="4466" spans="8:10">
      <c r="H4466"/>
      <c r="I4466"/>
      <c r="J4466" s="68"/>
    </row>
    <row r="4467" spans="8:10">
      <c r="H4467"/>
      <c r="I4467"/>
      <c r="J4467" s="68"/>
    </row>
    <row r="4468" spans="8:10">
      <c r="H4468"/>
      <c r="I4468"/>
      <c r="J4468" s="68"/>
    </row>
    <row r="4469" spans="8:10">
      <c r="H4469"/>
      <c r="I4469"/>
      <c r="J4469" s="68"/>
    </row>
    <row r="4470" spans="8:10">
      <c r="H4470"/>
      <c r="I4470"/>
      <c r="J4470" s="68"/>
    </row>
    <row r="4471" spans="8:10">
      <c r="H4471"/>
      <c r="I4471"/>
      <c r="J4471" s="68"/>
    </row>
    <row r="4472" spans="8:10">
      <c r="H4472"/>
      <c r="I4472"/>
      <c r="J4472" s="68"/>
    </row>
    <row r="4473" spans="8:10">
      <c r="H4473"/>
      <c r="I4473"/>
      <c r="J4473" s="68"/>
    </row>
    <row r="4474" spans="8:10">
      <c r="H4474"/>
      <c r="I4474"/>
      <c r="J4474" s="68"/>
    </row>
    <row r="4475" spans="8:10">
      <c r="H4475"/>
      <c r="I4475"/>
      <c r="J4475" s="68"/>
    </row>
    <row r="4476" spans="8:10">
      <c r="H4476"/>
      <c r="I4476"/>
      <c r="J4476" s="68"/>
    </row>
    <row r="4477" spans="8:10">
      <c r="H4477"/>
      <c r="I4477"/>
      <c r="J4477" s="68"/>
    </row>
    <row r="4478" spans="8:10">
      <c r="H4478"/>
      <c r="I4478"/>
      <c r="J4478" s="68"/>
    </row>
    <row r="4479" spans="8:10">
      <c r="H4479"/>
      <c r="I4479"/>
      <c r="J4479" s="68"/>
    </row>
    <row r="4480" spans="8:10">
      <c r="H4480"/>
      <c r="I4480"/>
      <c r="J4480" s="68"/>
    </row>
    <row r="4481" spans="8:10">
      <c r="H4481"/>
      <c r="I4481"/>
      <c r="J4481" s="68"/>
    </row>
    <row r="4482" spans="8:10">
      <c r="H4482"/>
      <c r="I4482"/>
      <c r="J4482" s="68"/>
    </row>
    <row r="4483" spans="8:10">
      <c r="H4483"/>
      <c r="I4483"/>
      <c r="J4483" s="68"/>
    </row>
    <row r="4484" spans="8:10">
      <c r="H4484"/>
      <c r="I4484"/>
      <c r="J4484" s="68"/>
    </row>
    <row r="4485" spans="8:10">
      <c r="H4485"/>
      <c r="I4485"/>
      <c r="J4485" s="68"/>
    </row>
    <row r="4486" spans="8:10">
      <c r="H4486"/>
      <c r="I4486"/>
      <c r="J4486" s="68"/>
    </row>
    <row r="4487" spans="8:10">
      <c r="H4487"/>
      <c r="I4487"/>
      <c r="J4487" s="68"/>
    </row>
    <row r="4488" spans="8:10">
      <c r="H4488"/>
      <c r="I4488"/>
      <c r="J4488" s="68"/>
    </row>
    <row r="4489" spans="8:10">
      <c r="H4489"/>
      <c r="I4489"/>
      <c r="J4489" s="68"/>
    </row>
    <row r="4490" spans="8:10">
      <c r="H4490"/>
      <c r="I4490"/>
      <c r="J4490" s="68"/>
    </row>
    <row r="4491" spans="8:10">
      <c r="H4491"/>
      <c r="I4491"/>
      <c r="J4491" s="68"/>
    </row>
    <row r="4492" spans="8:10">
      <c r="H4492"/>
      <c r="I4492"/>
      <c r="J4492" s="68"/>
    </row>
    <row r="4493" spans="8:10">
      <c r="H4493"/>
      <c r="I4493"/>
      <c r="J4493" s="68"/>
    </row>
    <row r="4494" spans="8:10">
      <c r="H4494"/>
      <c r="I4494"/>
      <c r="J4494" s="68"/>
    </row>
    <row r="4495" spans="8:10">
      <c r="H4495"/>
      <c r="I4495"/>
      <c r="J4495" s="68"/>
    </row>
    <row r="4496" spans="8:10">
      <c r="H4496"/>
      <c r="I4496"/>
      <c r="J4496" s="68"/>
    </row>
    <row r="4497" spans="8:10">
      <c r="H4497"/>
      <c r="I4497"/>
      <c r="J4497" s="68"/>
    </row>
    <row r="4498" spans="8:10">
      <c r="H4498"/>
      <c r="I4498"/>
      <c r="J4498" s="68"/>
    </row>
    <row r="4499" spans="8:10">
      <c r="H4499"/>
      <c r="I4499"/>
      <c r="J4499" s="68"/>
    </row>
    <row r="4500" spans="8:10">
      <c r="H4500"/>
      <c r="I4500"/>
      <c r="J4500" s="68"/>
    </row>
    <row r="4501" spans="8:10">
      <c r="H4501"/>
      <c r="I4501"/>
      <c r="J4501" s="68"/>
    </row>
    <row r="4502" spans="8:10">
      <c r="H4502"/>
      <c r="I4502"/>
      <c r="J4502" s="68"/>
    </row>
    <row r="4503" spans="8:10">
      <c r="H4503"/>
      <c r="I4503"/>
      <c r="J4503" s="68"/>
    </row>
    <row r="4504" spans="8:10">
      <c r="H4504"/>
      <c r="I4504"/>
      <c r="J4504" s="68"/>
    </row>
    <row r="4505" spans="8:10">
      <c r="H4505"/>
      <c r="I4505"/>
      <c r="J4505" s="68"/>
    </row>
    <row r="4506" spans="8:10">
      <c r="H4506"/>
      <c r="I4506"/>
      <c r="J4506" s="68"/>
    </row>
    <row r="4507" spans="8:10">
      <c r="H4507"/>
      <c r="I4507"/>
      <c r="J4507" s="68"/>
    </row>
    <row r="4508" spans="8:10">
      <c r="H4508"/>
      <c r="I4508"/>
      <c r="J4508" s="68"/>
    </row>
    <row r="4509" spans="8:10">
      <c r="H4509"/>
      <c r="I4509"/>
      <c r="J4509" s="68"/>
    </row>
    <row r="4510" spans="8:10">
      <c r="H4510"/>
      <c r="I4510"/>
      <c r="J4510" s="68"/>
    </row>
    <row r="4511" spans="8:10">
      <c r="H4511"/>
      <c r="I4511"/>
      <c r="J4511" s="68"/>
    </row>
    <row r="4512" spans="8:10">
      <c r="H4512"/>
      <c r="I4512"/>
      <c r="J4512" s="68"/>
    </row>
    <row r="4513" spans="8:10">
      <c r="H4513"/>
      <c r="I4513"/>
      <c r="J4513" s="68"/>
    </row>
    <row r="4514" spans="8:10">
      <c r="H4514"/>
      <c r="I4514"/>
      <c r="J4514" s="68"/>
    </row>
    <row r="4515" spans="8:10">
      <c r="H4515"/>
      <c r="I4515"/>
      <c r="J4515" s="68"/>
    </row>
    <row r="4516" spans="8:10">
      <c r="H4516"/>
      <c r="I4516"/>
      <c r="J4516" s="68"/>
    </row>
    <row r="4517" spans="8:10">
      <c r="H4517"/>
      <c r="I4517"/>
      <c r="J4517" s="68"/>
    </row>
    <row r="4518" spans="8:10">
      <c r="H4518"/>
      <c r="I4518"/>
      <c r="J4518" s="68"/>
    </row>
    <row r="4519" spans="8:10">
      <c r="H4519"/>
      <c r="I4519"/>
      <c r="J4519" s="68"/>
    </row>
    <row r="4520" spans="8:10">
      <c r="H4520"/>
      <c r="I4520"/>
      <c r="J4520" s="68"/>
    </row>
    <row r="4521" spans="8:10">
      <c r="H4521"/>
      <c r="I4521"/>
      <c r="J4521" s="68"/>
    </row>
    <row r="4522" spans="8:10">
      <c r="H4522"/>
      <c r="I4522"/>
      <c r="J4522" s="68"/>
    </row>
    <row r="4523" spans="8:10">
      <c r="H4523"/>
      <c r="I4523"/>
      <c r="J4523" s="68"/>
    </row>
    <row r="4524" spans="8:10">
      <c r="H4524"/>
      <c r="I4524"/>
      <c r="J4524" s="68"/>
    </row>
    <row r="4525" spans="8:10">
      <c r="H4525"/>
      <c r="I4525"/>
      <c r="J4525" s="68"/>
    </row>
    <row r="4526" spans="8:10">
      <c r="H4526"/>
      <c r="I4526"/>
      <c r="J4526" s="68"/>
    </row>
    <row r="4527" spans="8:10">
      <c r="H4527"/>
      <c r="I4527"/>
      <c r="J4527" s="68"/>
    </row>
    <row r="4528" spans="8:10">
      <c r="H4528"/>
      <c r="I4528"/>
      <c r="J4528" s="68"/>
    </row>
    <row r="4529" spans="8:10">
      <c r="H4529"/>
      <c r="I4529"/>
      <c r="J4529" s="68"/>
    </row>
    <row r="4530" spans="8:10">
      <c r="H4530"/>
      <c r="I4530"/>
      <c r="J4530" s="68"/>
    </row>
    <row r="4531" spans="8:10">
      <c r="H4531"/>
      <c r="I4531"/>
      <c r="J4531" s="68"/>
    </row>
    <row r="4532" spans="8:10">
      <c r="H4532"/>
      <c r="I4532"/>
      <c r="J4532" s="68"/>
    </row>
    <row r="4533" spans="8:10">
      <c r="H4533"/>
      <c r="I4533"/>
      <c r="J4533" s="68"/>
    </row>
    <row r="4534" spans="8:10">
      <c r="H4534"/>
      <c r="I4534"/>
      <c r="J4534" s="68"/>
    </row>
    <row r="4535" spans="8:10">
      <c r="H4535"/>
      <c r="I4535"/>
      <c r="J4535" s="68"/>
    </row>
    <row r="4536" spans="8:10">
      <c r="H4536"/>
      <c r="I4536"/>
      <c r="J4536" s="68"/>
    </row>
    <row r="4537" spans="8:10">
      <c r="H4537"/>
      <c r="I4537"/>
      <c r="J4537" s="68"/>
    </row>
    <row r="4538" spans="8:10">
      <c r="H4538"/>
      <c r="I4538"/>
      <c r="J4538" s="68"/>
    </row>
    <row r="4539" spans="8:10">
      <c r="H4539"/>
      <c r="I4539"/>
      <c r="J4539" s="68"/>
    </row>
    <row r="4540" spans="8:10">
      <c r="H4540"/>
      <c r="I4540"/>
      <c r="J4540" s="68"/>
    </row>
    <row r="4541" spans="8:10">
      <c r="H4541"/>
      <c r="I4541"/>
      <c r="J4541" s="68"/>
    </row>
    <row r="4542" spans="8:10">
      <c r="H4542"/>
      <c r="I4542"/>
      <c r="J4542" s="68"/>
    </row>
    <row r="4543" spans="8:10">
      <c r="H4543"/>
      <c r="I4543"/>
      <c r="J4543" s="68"/>
    </row>
    <row r="4544" spans="8:10">
      <c r="H4544"/>
      <c r="I4544"/>
      <c r="J4544" s="68"/>
    </row>
    <row r="4545" spans="8:10">
      <c r="H4545"/>
      <c r="I4545"/>
      <c r="J4545" s="68"/>
    </row>
    <row r="4546" spans="8:10">
      <c r="H4546"/>
      <c r="I4546"/>
      <c r="J4546" s="68"/>
    </row>
    <row r="4547" spans="8:10">
      <c r="H4547"/>
      <c r="I4547"/>
      <c r="J4547" s="68"/>
    </row>
    <row r="4548" spans="8:10">
      <c r="H4548"/>
      <c r="I4548"/>
      <c r="J4548" s="68"/>
    </row>
    <row r="4549" spans="8:10">
      <c r="H4549"/>
      <c r="I4549"/>
      <c r="J4549" s="68"/>
    </row>
    <row r="4550" spans="8:10">
      <c r="H4550"/>
      <c r="I4550"/>
      <c r="J4550" s="68"/>
    </row>
    <row r="4551" spans="8:10">
      <c r="H4551"/>
      <c r="I4551"/>
      <c r="J4551" s="68"/>
    </row>
    <row r="4552" spans="8:10">
      <c r="H4552"/>
      <c r="I4552"/>
      <c r="J4552" s="68"/>
    </row>
    <row r="4553" spans="8:10">
      <c r="H4553"/>
      <c r="I4553"/>
      <c r="J4553" s="68"/>
    </row>
    <row r="4554" spans="8:10">
      <c r="H4554"/>
      <c r="I4554"/>
      <c r="J4554" s="68"/>
    </row>
    <row r="4555" spans="8:10">
      <c r="H4555"/>
      <c r="I4555"/>
      <c r="J4555" s="68"/>
    </row>
    <row r="4556" spans="8:10">
      <c r="H4556"/>
      <c r="I4556"/>
      <c r="J4556" s="68"/>
    </row>
    <row r="4557" spans="8:10">
      <c r="H4557"/>
      <c r="I4557"/>
      <c r="J4557" s="68"/>
    </row>
    <row r="4558" spans="8:10">
      <c r="H4558"/>
      <c r="I4558"/>
      <c r="J4558" s="68"/>
    </row>
    <row r="4559" spans="8:10">
      <c r="H4559"/>
      <c r="I4559"/>
      <c r="J4559" s="68"/>
    </row>
    <row r="4560" spans="8:10">
      <c r="H4560"/>
      <c r="I4560"/>
      <c r="J4560" s="68"/>
    </row>
    <row r="4561" spans="8:10">
      <c r="H4561"/>
      <c r="I4561"/>
      <c r="J4561" s="68"/>
    </row>
    <row r="4562" spans="8:10">
      <c r="H4562"/>
      <c r="I4562"/>
      <c r="J4562" s="68"/>
    </row>
    <row r="4563" spans="8:10">
      <c r="H4563"/>
      <c r="I4563"/>
      <c r="J4563" s="68"/>
    </row>
    <row r="4564" spans="8:10">
      <c r="H4564"/>
      <c r="I4564"/>
      <c r="J4564" s="68"/>
    </row>
    <row r="4565" spans="8:10">
      <c r="H4565"/>
      <c r="I4565"/>
      <c r="J4565" s="68"/>
    </row>
    <row r="4566" spans="8:10">
      <c r="H4566"/>
      <c r="I4566"/>
      <c r="J4566" s="68"/>
    </row>
    <row r="4567" spans="8:10">
      <c r="H4567"/>
      <c r="I4567"/>
      <c r="J4567" s="68"/>
    </row>
    <row r="4568" spans="8:10">
      <c r="H4568"/>
      <c r="I4568"/>
      <c r="J4568" s="68"/>
    </row>
    <row r="4569" spans="8:10">
      <c r="H4569"/>
      <c r="I4569"/>
      <c r="J4569" s="68"/>
    </row>
    <row r="4570" spans="8:10">
      <c r="H4570"/>
      <c r="I4570"/>
      <c r="J4570" s="68"/>
    </row>
    <row r="4571" spans="8:10">
      <c r="H4571"/>
      <c r="I4571"/>
      <c r="J4571" s="68"/>
    </row>
    <row r="4572" spans="8:10">
      <c r="H4572"/>
      <c r="I4572"/>
      <c r="J4572" s="68"/>
    </row>
    <row r="4573" spans="8:10">
      <c r="H4573"/>
      <c r="I4573"/>
      <c r="J4573" s="68"/>
    </row>
    <row r="4574" spans="8:10">
      <c r="H4574"/>
      <c r="I4574"/>
      <c r="J4574" s="68"/>
    </row>
    <row r="4575" spans="8:10">
      <c r="H4575"/>
      <c r="I4575"/>
      <c r="J4575" s="68"/>
    </row>
    <row r="4576" spans="8:10">
      <c r="H4576"/>
      <c r="I4576"/>
      <c r="J4576" s="68"/>
    </row>
    <row r="4577" spans="8:10">
      <c r="H4577"/>
      <c r="I4577"/>
      <c r="J4577" s="68"/>
    </row>
    <row r="4578" spans="8:10">
      <c r="H4578"/>
      <c r="I4578"/>
      <c r="J4578" s="68"/>
    </row>
    <row r="4579" spans="8:10">
      <c r="H4579"/>
      <c r="I4579"/>
      <c r="J4579" s="68"/>
    </row>
    <row r="4580" spans="8:10">
      <c r="H4580"/>
      <c r="I4580"/>
      <c r="J4580" s="68"/>
    </row>
    <row r="4581" spans="8:10">
      <c r="H4581"/>
      <c r="I4581"/>
      <c r="J4581" s="68"/>
    </row>
    <row r="4582" spans="8:10">
      <c r="H4582"/>
      <c r="I4582"/>
      <c r="J4582" s="68"/>
    </row>
    <row r="4583" spans="8:10">
      <c r="H4583"/>
      <c r="I4583"/>
      <c r="J4583" s="68"/>
    </row>
    <row r="4584" spans="8:10">
      <c r="H4584"/>
      <c r="I4584"/>
      <c r="J4584" s="68"/>
    </row>
    <row r="4585" spans="8:10">
      <c r="H4585"/>
      <c r="I4585"/>
      <c r="J4585" s="68"/>
    </row>
    <row r="4586" spans="8:10">
      <c r="H4586"/>
      <c r="I4586"/>
      <c r="J4586" s="68"/>
    </row>
    <row r="4587" spans="8:10">
      <c r="H4587"/>
      <c r="I4587"/>
      <c r="J4587" s="68"/>
    </row>
    <row r="4588" spans="8:10">
      <c r="H4588"/>
      <c r="I4588"/>
      <c r="J4588" s="68"/>
    </row>
    <row r="4589" spans="8:10">
      <c r="H4589"/>
      <c r="I4589"/>
      <c r="J4589" s="68"/>
    </row>
    <row r="4590" spans="8:10">
      <c r="H4590"/>
      <c r="I4590"/>
      <c r="J4590" s="68"/>
    </row>
    <row r="4591" spans="8:10">
      <c r="H4591"/>
      <c r="I4591"/>
      <c r="J4591" s="68"/>
    </row>
    <row r="4592" spans="8:10">
      <c r="H4592"/>
      <c r="I4592"/>
      <c r="J4592" s="68"/>
    </row>
    <row r="4593" spans="8:10">
      <c r="H4593"/>
      <c r="I4593"/>
      <c r="J4593" s="68"/>
    </row>
    <row r="4594" spans="8:10">
      <c r="H4594"/>
      <c r="I4594"/>
      <c r="J4594" s="68"/>
    </row>
    <row r="4595" spans="8:10">
      <c r="H4595"/>
      <c r="I4595"/>
      <c r="J4595" s="68"/>
    </row>
    <row r="4596" spans="8:10">
      <c r="H4596"/>
      <c r="I4596"/>
      <c r="J4596" s="68"/>
    </row>
    <row r="4597" spans="8:10">
      <c r="H4597"/>
      <c r="I4597"/>
      <c r="J4597" s="68"/>
    </row>
    <row r="4598" spans="8:10">
      <c r="H4598"/>
      <c r="I4598"/>
      <c r="J4598" s="68"/>
    </row>
    <row r="4599" spans="8:10">
      <c r="H4599"/>
      <c r="I4599"/>
      <c r="J4599" s="68"/>
    </row>
    <row r="4600" spans="8:10">
      <c r="H4600"/>
      <c r="I4600"/>
      <c r="J4600" s="68"/>
    </row>
    <row r="4601" spans="8:10">
      <c r="H4601"/>
      <c r="I4601"/>
      <c r="J4601" s="68"/>
    </row>
    <row r="4602" spans="8:10">
      <c r="H4602"/>
      <c r="I4602"/>
      <c r="J4602" s="68"/>
    </row>
    <row r="4603" spans="8:10">
      <c r="H4603"/>
      <c r="I4603"/>
      <c r="J4603" s="68"/>
    </row>
    <row r="4604" spans="8:10">
      <c r="H4604"/>
      <c r="I4604"/>
      <c r="J4604" s="68"/>
    </row>
    <row r="4605" spans="8:10">
      <c r="H4605"/>
      <c r="I4605"/>
      <c r="J4605" s="68"/>
    </row>
    <row r="4606" spans="8:10">
      <c r="H4606"/>
      <c r="I4606"/>
      <c r="J4606" s="68"/>
    </row>
    <row r="4607" spans="8:10">
      <c r="H4607"/>
      <c r="I4607"/>
      <c r="J4607" s="68"/>
    </row>
    <row r="4608" spans="8:10">
      <c r="H4608"/>
      <c r="I4608"/>
      <c r="J4608" s="68"/>
    </row>
    <row r="4609" spans="8:10">
      <c r="H4609"/>
      <c r="I4609"/>
      <c r="J4609" s="68"/>
    </row>
    <row r="4610" spans="8:10">
      <c r="H4610"/>
      <c r="I4610"/>
      <c r="J4610" s="68"/>
    </row>
    <row r="4611" spans="8:10">
      <c r="H4611"/>
      <c r="I4611"/>
      <c r="J4611" s="68"/>
    </row>
    <row r="4612" spans="8:10">
      <c r="H4612"/>
      <c r="I4612"/>
      <c r="J4612" s="68"/>
    </row>
    <row r="4613" spans="8:10">
      <c r="H4613"/>
      <c r="I4613"/>
      <c r="J4613" s="68"/>
    </row>
    <row r="4614" spans="8:10">
      <c r="H4614"/>
      <c r="I4614"/>
      <c r="J4614" s="68"/>
    </row>
    <row r="4615" spans="8:10">
      <c r="H4615"/>
      <c r="I4615"/>
      <c r="J4615" s="68"/>
    </row>
    <row r="4616" spans="8:10">
      <c r="H4616"/>
      <c r="I4616"/>
      <c r="J4616" s="68"/>
    </row>
    <row r="4617" spans="8:10">
      <c r="H4617"/>
      <c r="I4617"/>
      <c r="J4617" s="68"/>
    </row>
    <row r="4618" spans="8:10">
      <c r="H4618"/>
      <c r="I4618"/>
      <c r="J4618" s="68"/>
    </row>
    <row r="4619" spans="8:10">
      <c r="H4619"/>
      <c r="I4619"/>
      <c r="J4619" s="68"/>
    </row>
    <row r="4620" spans="8:10">
      <c r="H4620"/>
      <c r="I4620"/>
      <c r="J4620" s="68"/>
    </row>
    <row r="4621" spans="8:10">
      <c r="H4621"/>
      <c r="I4621"/>
      <c r="J4621" s="68"/>
    </row>
    <row r="4622" spans="8:10">
      <c r="H4622"/>
      <c r="I4622"/>
      <c r="J4622" s="68"/>
    </row>
    <row r="4623" spans="8:10">
      <c r="H4623"/>
      <c r="I4623"/>
      <c r="J4623" s="68"/>
    </row>
    <row r="4624" spans="8:10">
      <c r="H4624"/>
      <c r="I4624"/>
      <c r="J4624" s="68"/>
    </row>
    <row r="4625" spans="8:10">
      <c r="H4625"/>
      <c r="I4625"/>
      <c r="J4625" s="68"/>
    </row>
    <row r="4626" spans="8:10">
      <c r="H4626"/>
      <c r="I4626"/>
      <c r="J4626" s="68"/>
    </row>
    <row r="4627" spans="8:10">
      <c r="H4627"/>
      <c r="I4627"/>
      <c r="J4627" s="68"/>
    </row>
    <row r="4628" spans="8:10">
      <c r="H4628"/>
      <c r="I4628"/>
      <c r="J4628" s="68"/>
    </row>
    <row r="4629" spans="8:10">
      <c r="H4629"/>
      <c r="I4629"/>
      <c r="J4629" s="68"/>
    </row>
    <row r="4630" spans="8:10">
      <c r="H4630"/>
      <c r="I4630"/>
      <c r="J4630" s="68"/>
    </row>
    <row r="4631" spans="8:10">
      <c r="H4631"/>
      <c r="I4631"/>
      <c r="J4631" s="68"/>
    </row>
    <row r="4632" spans="8:10">
      <c r="H4632"/>
      <c r="I4632"/>
      <c r="J4632" s="68"/>
    </row>
    <row r="4633" spans="8:10">
      <c r="H4633"/>
      <c r="I4633"/>
      <c r="J4633" s="68"/>
    </row>
    <row r="4634" spans="8:10">
      <c r="H4634"/>
      <c r="I4634"/>
      <c r="J4634" s="68"/>
    </row>
    <row r="4635" spans="8:10">
      <c r="H4635"/>
      <c r="I4635"/>
      <c r="J4635" s="68"/>
    </row>
    <row r="4636" spans="8:10">
      <c r="H4636"/>
      <c r="I4636"/>
      <c r="J4636" s="68"/>
    </row>
    <row r="4637" spans="8:10">
      <c r="H4637"/>
      <c r="I4637"/>
      <c r="J4637" s="68"/>
    </row>
    <row r="4638" spans="8:10">
      <c r="H4638"/>
      <c r="I4638"/>
      <c r="J4638" s="68"/>
    </row>
    <row r="4639" spans="8:10">
      <c r="H4639"/>
      <c r="I4639"/>
      <c r="J4639" s="68"/>
    </row>
    <row r="4640" spans="8:10">
      <c r="H4640"/>
      <c r="I4640"/>
      <c r="J4640" s="68"/>
    </row>
    <row r="4641" spans="8:10">
      <c r="H4641"/>
      <c r="I4641"/>
      <c r="J4641" s="68"/>
    </row>
    <row r="4642" spans="8:10">
      <c r="H4642"/>
      <c r="I4642"/>
      <c r="J4642" s="68"/>
    </row>
    <row r="4643" spans="8:10">
      <c r="H4643"/>
      <c r="I4643"/>
      <c r="J4643" s="68"/>
    </row>
    <row r="4644" spans="8:10">
      <c r="H4644"/>
      <c r="I4644"/>
      <c r="J4644" s="68"/>
    </row>
    <row r="4645" spans="8:10">
      <c r="H4645"/>
      <c r="I4645"/>
      <c r="J4645" s="68"/>
    </row>
    <row r="4646" spans="8:10">
      <c r="H4646"/>
      <c r="I4646"/>
      <c r="J4646" s="68"/>
    </row>
    <row r="4647" spans="8:10">
      <c r="H4647"/>
      <c r="I4647"/>
      <c r="J4647" s="68"/>
    </row>
    <row r="4648" spans="8:10">
      <c r="H4648"/>
      <c r="I4648"/>
      <c r="J4648" s="68"/>
    </row>
    <row r="4649" spans="8:10">
      <c r="H4649"/>
      <c r="I4649"/>
      <c r="J4649" s="68"/>
    </row>
    <row r="4650" spans="8:10">
      <c r="H4650"/>
      <c r="I4650"/>
      <c r="J4650" s="68"/>
    </row>
    <row r="4651" spans="8:10">
      <c r="H4651"/>
      <c r="I4651"/>
      <c r="J4651" s="68"/>
    </row>
    <row r="4652" spans="8:10">
      <c r="H4652"/>
      <c r="I4652"/>
      <c r="J4652" s="68"/>
    </row>
    <row r="4653" spans="8:10">
      <c r="H4653"/>
      <c r="I4653"/>
      <c r="J4653" s="68"/>
    </row>
    <row r="4654" spans="8:10">
      <c r="H4654"/>
      <c r="I4654"/>
      <c r="J4654" s="68"/>
    </row>
    <row r="4655" spans="8:10">
      <c r="H4655"/>
      <c r="I4655"/>
      <c r="J4655" s="68"/>
    </row>
    <row r="4656" spans="8:10">
      <c r="H4656"/>
      <c r="I4656"/>
      <c r="J4656" s="68"/>
    </row>
    <row r="4657" spans="8:10">
      <c r="H4657"/>
      <c r="I4657"/>
      <c r="J4657" s="68"/>
    </row>
    <row r="4658" spans="8:10">
      <c r="H4658"/>
      <c r="I4658"/>
      <c r="J4658" s="68"/>
    </row>
    <row r="4659" spans="8:10">
      <c r="H4659"/>
      <c r="I4659"/>
      <c r="J4659" s="68"/>
    </row>
    <row r="4660" spans="8:10">
      <c r="H4660"/>
      <c r="I4660"/>
      <c r="J4660" s="68"/>
    </row>
    <row r="4661" spans="8:10">
      <c r="H4661"/>
      <c r="I4661"/>
      <c r="J4661" s="68"/>
    </row>
    <row r="4662" spans="8:10">
      <c r="H4662"/>
      <c r="I4662"/>
      <c r="J4662" s="68"/>
    </row>
    <row r="4663" spans="8:10">
      <c r="H4663"/>
      <c r="I4663"/>
      <c r="J4663" s="68"/>
    </row>
    <row r="4664" spans="8:10">
      <c r="H4664"/>
      <c r="I4664"/>
      <c r="J4664" s="68"/>
    </row>
    <row r="4665" spans="8:10">
      <c r="H4665"/>
      <c r="I4665"/>
      <c r="J4665" s="68"/>
    </row>
    <row r="4666" spans="8:10">
      <c r="H4666"/>
      <c r="I4666"/>
      <c r="J4666" s="68"/>
    </row>
    <row r="4667" spans="8:10">
      <c r="H4667"/>
      <c r="I4667"/>
      <c r="J4667" s="68"/>
    </row>
    <row r="4668" spans="8:10">
      <c r="H4668"/>
      <c r="I4668"/>
      <c r="J4668" s="68"/>
    </row>
    <row r="4669" spans="8:10">
      <c r="H4669"/>
      <c r="I4669"/>
      <c r="J4669" s="68"/>
    </row>
    <row r="4670" spans="8:10">
      <c r="H4670"/>
      <c r="I4670"/>
      <c r="J4670" s="68"/>
    </row>
    <row r="4671" spans="8:10">
      <c r="H4671"/>
      <c r="I4671"/>
      <c r="J4671" s="68"/>
    </row>
    <row r="4672" spans="8:10">
      <c r="H4672"/>
      <c r="I4672"/>
      <c r="J4672" s="68"/>
    </row>
    <row r="4673" spans="8:10">
      <c r="H4673"/>
      <c r="I4673"/>
      <c r="J4673" s="68"/>
    </row>
    <row r="4674" spans="8:10">
      <c r="H4674"/>
      <c r="I4674"/>
      <c r="J4674" s="68"/>
    </row>
    <row r="4675" spans="8:10">
      <c r="H4675"/>
      <c r="I4675"/>
      <c r="J4675" s="68"/>
    </row>
    <row r="4676" spans="8:10">
      <c r="H4676"/>
      <c r="I4676"/>
      <c r="J4676" s="68"/>
    </row>
    <row r="4677" spans="8:10">
      <c r="H4677"/>
      <c r="I4677"/>
      <c r="J4677" s="68"/>
    </row>
    <row r="4678" spans="8:10">
      <c r="H4678"/>
      <c r="I4678"/>
      <c r="J4678" s="68"/>
    </row>
    <row r="4679" spans="8:10">
      <c r="H4679"/>
      <c r="I4679"/>
      <c r="J4679" s="68"/>
    </row>
    <row r="4680" spans="8:10">
      <c r="H4680"/>
      <c r="I4680"/>
      <c r="J4680" s="68"/>
    </row>
    <row r="4681" spans="8:10">
      <c r="H4681"/>
      <c r="I4681"/>
      <c r="J4681" s="68"/>
    </row>
    <row r="4682" spans="8:10">
      <c r="H4682"/>
      <c r="I4682"/>
      <c r="J4682" s="68"/>
    </row>
    <row r="4683" spans="8:10">
      <c r="H4683"/>
      <c r="I4683"/>
      <c r="J4683" s="68"/>
    </row>
    <row r="4684" spans="8:10">
      <c r="H4684"/>
      <c r="I4684"/>
      <c r="J4684" s="68"/>
    </row>
    <row r="4685" spans="8:10">
      <c r="H4685"/>
      <c r="I4685"/>
      <c r="J4685" s="68"/>
    </row>
    <row r="4686" spans="8:10">
      <c r="H4686"/>
      <c r="I4686"/>
      <c r="J4686" s="68"/>
    </row>
    <row r="4687" spans="8:10">
      <c r="H4687"/>
      <c r="I4687"/>
      <c r="J4687" s="68"/>
    </row>
    <row r="4688" spans="8:10">
      <c r="H4688"/>
      <c r="I4688"/>
      <c r="J4688" s="68"/>
    </row>
    <row r="4689" spans="8:10">
      <c r="H4689"/>
      <c r="I4689"/>
      <c r="J4689" s="68"/>
    </row>
    <row r="4690" spans="8:10">
      <c r="H4690"/>
      <c r="I4690"/>
      <c r="J4690" s="68"/>
    </row>
    <row r="4691" spans="8:10">
      <c r="H4691"/>
      <c r="I4691"/>
      <c r="J4691" s="68"/>
    </row>
    <row r="4692" spans="8:10">
      <c r="H4692"/>
      <c r="I4692"/>
      <c r="J4692" s="68"/>
    </row>
    <row r="4693" spans="8:10">
      <c r="H4693"/>
      <c r="I4693"/>
      <c r="J4693" s="68"/>
    </row>
    <row r="4694" spans="8:10">
      <c r="H4694"/>
      <c r="I4694"/>
      <c r="J4694" s="68"/>
    </row>
    <row r="4695" spans="8:10">
      <c r="H4695"/>
      <c r="I4695"/>
      <c r="J4695" s="68"/>
    </row>
    <row r="4696" spans="8:10">
      <c r="H4696"/>
      <c r="I4696"/>
      <c r="J4696" s="68"/>
    </row>
    <row r="4697" spans="8:10">
      <c r="H4697"/>
      <c r="I4697"/>
      <c r="J4697" s="68"/>
    </row>
    <row r="4698" spans="8:10">
      <c r="H4698"/>
      <c r="I4698"/>
      <c r="J4698" s="68"/>
    </row>
    <row r="4699" spans="8:10">
      <c r="H4699"/>
      <c r="I4699"/>
      <c r="J4699" s="68"/>
    </row>
    <row r="4700" spans="8:10">
      <c r="H4700"/>
      <c r="I4700"/>
      <c r="J4700" s="68"/>
    </row>
    <row r="4701" spans="8:10">
      <c r="H4701"/>
      <c r="I4701"/>
      <c r="J4701" s="68"/>
    </row>
    <row r="4702" spans="8:10">
      <c r="H4702"/>
      <c r="I4702"/>
      <c r="J4702" s="68"/>
    </row>
    <row r="4703" spans="8:10">
      <c r="H4703"/>
      <c r="I4703"/>
      <c r="J4703" s="68"/>
    </row>
    <row r="4704" spans="8:10">
      <c r="H4704"/>
      <c r="I4704"/>
      <c r="J4704" s="68"/>
    </row>
    <row r="4705" spans="8:10">
      <c r="H4705"/>
      <c r="I4705"/>
      <c r="J4705" s="68"/>
    </row>
    <row r="4706" spans="8:10">
      <c r="H4706"/>
      <c r="I4706"/>
      <c r="J4706" s="68"/>
    </row>
    <row r="4707" spans="8:10">
      <c r="H4707"/>
      <c r="I4707"/>
      <c r="J4707" s="68"/>
    </row>
    <row r="4708" spans="8:10">
      <c r="H4708"/>
      <c r="I4708"/>
      <c r="J4708" s="68"/>
    </row>
    <row r="4709" spans="8:10">
      <c r="H4709"/>
      <c r="I4709"/>
      <c r="J4709" s="68"/>
    </row>
    <row r="4710" spans="8:10">
      <c r="H4710"/>
      <c r="I4710"/>
      <c r="J4710" s="68"/>
    </row>
    <row r="4711" spans="8:10">
      <c r="H4711"/>
      <c r="I4711"/>
      <c r="J4711" s="68"/>
    </row>
    <row r="4712" spans="8:10">
      <c r="H4712"/>
      <c r="I4712"/>
      <c r="J4712" s="68"/>
    </row>
    <row r="4713" spans="8:10">
      <c r="H4713"/>
      <c r="I4713"/>
      <c r="J4713" s="68"/>
    </row>
    <row r="4714" spans="8:10">
      <c r="H4714"/>
      <c r="I4714"/>
      <c r="J4714" s="68"/>
    </row>
    <row r="4715" spans="8:10">
      <c r="H4715"/>
      <c r="I4715"/>
      <c r="J4715" s="68"/>
    </row>
    <row r="4716" spans="8:10">
      <c r="H4716"/>
      <c r="I4716"/>
      <c r="J4716" s="68"/>
    </row>
    <row r="4717" spans="8:10">
      <c r="H4717"/>
      <c r="I4717"/>
      <c r="J4717" s="68"/>
    </row>
    <row r="4718" spans="8:10">
      <c r="H4718"/>
      <c r="I4718"/>
      <c r="J4718" s="68"/>
    </row>
    <row r="4719" spans="8:10">
      <c r="H4719"/>
      <c r="I4719"/>
      <c r="J4719" s="68"/>
    </row>
    <row r="4720" spans="8:10">
      <c r="H4720"/>
      <c r="I4720"/>
      <c r="J4720" s="68"/>
    </row>
    <row r="4721" spans="8:10">
      <c r="H4721"/>
      <c r="I4721"/>
      <c r="J4721" s="68"/>
    </row>
    <row r="4722" spans="8:10">
      <c r="H4722"/>
      <c r="I4722"/>
      <c r="J4722" s="68"/>
    </row>
    <row r="4723" spans="8:10">
      <c r="H4723"/>
      <c r="I4723"/>
      <c r="J4723" s="68"/>
    </row>
    <row r="4724" spans="8:10">
      <c r="H4724"/>
      <c r="I4724"/>
      <c r="J4724" s="68"/>
    </row>
    <row r="4725" spans="8:10">
      <c r="H4725"/>
      <c r="I4725"/>
      <c r="J4725" s="68"/>
    </row>
    <row r="4726" spans="8:10">
      <c r="H4726"/>
      <c r="I4726"/>
      <c r="J4726" s="68"/>
    </row>
    <row r="4727" spans="8:10">
      <c r="H4727"/>
      <c r="I4727"/>
      <c r="J4727" s="68"/>
    </row>
    <row r="4728" spans="8:10">
      <c r="H4728"/>
      <c r="I4728"/>
      <c r="J4728" s="68"/>
    </row>
    <row r="4729" spans="8:10">
      <c r="H4729"/>
      <c r="I4729"/>
      <c r="J4729" s="68"/>
    </row>
    <row r="4730" spans="8:10">
      <c r="H4730"/>
      <c r="I4730"/>
      <c r="J4730" s="68"/>
    </row>
    <row r="4731" spans="8:10">
      <c r="H4731"/>
      <c r="I4731"/>
      <c r="J4731" s="68"/>
    </row>
    <row r="4732" spans="8:10">
      <c r="H4732"/>
      <c r="I4732"/>
      <c r="J4732" s="68"/>
    </row>
    <row r="4733" spans="8:10">
      <c r="H4733"/>
      <c r="I4733"/>
      <c r="J4733" s="68"/>
    </row>
    <row r="4734" spans="8:10">
      <c r="H4734"/>
      <c r="I4734"/>
      <c r="J4734" s="68"/>
    </row>
    <row r="4735" spans="8:10">
      <c r="H4735"/>
      <c r="I4735"/>
      <c r="J4735" s="68"/>
    </row>
    <row r="4736" spans="8:10">
      <c r="H4736"/>
      <c r="I4736"/>
      <c r="J4736" s="68"/>
    </row>
    <row r="4737" spans="8:10">
      <c r="H4737"/>
      <c r="I4737"/>
      <c r="J4737" s="68"/>
    </row>
    <row r="4738" spans="8:10">
      <c r="H4738"/>
      <c r="I4738"/>
      <c r="J4738" s="68"/>
    </row>
    <row r="4739" spans="8:10">
      <c r="H4739"/>
      <c r="I4739"/>
      <c r="J4739" s="68"/>
    </row>
    <row r="4740" spans="8:10">
      <c r="H4740"/>
      <c r="I4740"/>
      <c r="J4740" s="68"/>
    </row>
    <row r="4741" spans="8:10">
      <c r="H4741"/>
      <c r="I4741"/>
      <c r="J4741" s="68"/>
    </row>
    <row r="4742" spans="8:10">
      <c r="H4742"/>
      <c r="I4742"/>
      <c r="J4742" s="68"/>
    </row>
    <row r="4743" spans="8:10">
      <c r="H4743"/>
      <c r="I4743"/>
      <c r="J4743" s="68"/>
    </row>
    <row r="4744" spans="8:10">
      <c r="H4744"/>
      <c r="I4744"/>
      <c r="J4744" s="68"/>
    </row>
    <row r="4745" spans="8:10">
      <c r="H4745"/>
      <c r="I4745"/>
      <c r="J4745" s="68"/>
    </row>
    <row r="4746" spans="8:10">
      <c r="H4746"/>
      <c r="I4746"/>
      <c r="J4746" s="68"/>
    </row>
    <row r="4747" spans="8:10">
      <c r="H4747"/>
      <c r="I4747"/>
      <c r="J4747" s="68"/>
    </row>
    <row r="4748" spans="8:10">
      <c r="H4748"/>
      <c r="I4748"/>
      <c r="J4748" s="68"/>
    </row>
    <row r="4749" spans="8:10">
      <c r="H4749"/>
      <c r="I4749"/>
      <c r="J4749" s="68"/>
    </row>
    <row r="4750" spans="8:10">
      <c r="H4750"/>
      <c r="I4750"/>
      <c r="J4750" s="68"/>
    </row>
    <row r="4751" spans="8:10">
      <c r="H4751"/>
      <c r="I4751"/>
      <c r="J4751" s="68"/>
    </row>
    <row r="4752" spans="8:10">
      <c r="H4752"/>
      <c r="I4752"/>
      <c r="J4752" s="68"/>
    </row>
    <row r="4753" spans="8:10">
      <c r="H4753"/>
      <c r="I4753"/>
      <c r="J4753" s="68"/>
    </row>
    <row r="4754" spans="8:10">
      <c r="H4754"/>
      <c r="I4754"/>
      <c r="J4754" s="68"/>
    </row>
    <row r="4755" spans="8:10">
      <c r="H4755"/>
      <c r="I4755"/>
      <c r="J4755" s="68"/>
    </row>
    <row r="4756" spans="8:10">
      <c r="H4756"/>
      <c r="I4756"/>
      <c r="J4756" s="68"/>
    </row>
    <row r="4757" spans="8:10">
      <c r="H4757"/>
      <c r="I4757"/>
      <c r="J4757" s="68"/>
    </row>
    <row r="4758" spans="8:10">
      <c r="H4758"/>
      <c r="I4758"/>
      <c r="J4758" s="68"/>
    </row>
    <row r="4759" spans="8:10">
      <c r="H4759"/>
      <c r="I4759"/>
      <c r="J4759" s="68"/>
    </row>
    <row r="4760" spans="8:10">
      <c r="H4760"/>
      <c r="I4760"/>
      <c r="J4760" s="68"/>
    </row>
    <row r="4761" spans="8:10">
      <c r="H4761"/>
      <c r="I4761"/>
      <c r="J4761" s="68"/>
    </row>
    <row r="4762" spans="8:10">
      <c r="H4762"/>
      <c r="I4762"/>
      <c r="J4762" s="68"/>
    </row>
    <row r="4763" spans="8:10">
      <c r="H4763"/>
      <c r="I4763"/>
      <c r="J4763" s="68"/>
    </row>
    <row r="4764" spans="8:10">
      <c r="H4764"/>
      <c r="I4764"/>
      <c r="J4764" s="68"/>
    </row>
    <row r="4765" spans="8:10">
      <c r="H4765"/>
      <c r="I4765"/>
      <c r="J4765" s="68"/>
    </row>
    <row r="4766" spans="8:10">
      <c r="H4766"/>
      <c r="I4766"/>
      <c r="J4766" s="68"/>
    </row>
    <row r="4767" spans="8:10">
      <c r="H4767"/>
      <c r="I4767"/>
      <c r="J4767" s="68"/>
    </row>
    <row r="4768" spans="8:10">
      <c r="H4768"/>
      <c r="I4768"/>
      <c r="J4768" s="68"/>
    </row>
    <row r="4769" spans="8:10">
      <c r="H4769"/>
      <c r="I4769"/>
      <c r="J4769" s="68"/>
    </row>
    <row r="4770" spans="8:10">
      <c r="H4770"/>
      <c r="I4770"/>
      <c r="J4770" s="68"/>
    </row>
    <row r="4771" spans="8:10">
      <c r="H4771"/>
      <c r="I4771"/>
      <c r="J4771" s="68"/>
    </row>
    <row r="4772" spans="8:10">
      <c r="H4772"/>
      <c r="I4772"/>
      <c r="J4772" s="68"/>
    </row>
    <row r="4773" spans="8:10">
      <c r="H4773"/>
      <c r="I4773"/>
      <c r="J4773" s="68"/>
    </row>
    <row r="4774" spans="8:10">
      <c r="H4774"/>
      <c r="I4774"/>
      <c r="J4774" s="68"/>
    </row>
    <row r="4775" spans="8:10">
      <c r="H4775"/>
      <c r="I4775"/>
      <c r="J4775" s="68"/>
    </row>
    <row r="4776" spans="8:10">
      <c r="H4776"/>
      <c r="I4776"/>
      <c r="J4776" s="68"/>
    </row>
    <row r="4777" spans="8:10">
      <c r="H4777"/>
      <c r="I4777"/>
      <c r="J4777" s="68"/>
    </row>
    <row r="4778" spans="8:10">
      <c r="H4778"/>
      <c r="I4778"/>
      <c r="J4778" s="68"/>
    </row>
    <row r="4779" spans="8:10">
      <c r="H4779"/>
      <c r="I4779"/>
      <c r="J4779" s="68"/>
    </row>
    <row r="4780" spans="8:10">
      <c r="H4780"/>
      <c r="I4780"/>
      <c r="J4780" s="68"/>
    </row>
    <row r="4781" spans="8:10">
      <c r="H4781"/>
      <c r="I4781"/>
      <c r="J4781" s="68"/>
    </row>
    <row r="4782" spans="8:10">
      <c r="H4782"/>
      <c r="I4782"/>
      <c r="J4782" s="68"/>
    </row>
    <row r="4783" spans="8:10">
      <c r="H4783"/>
      <c r="I4783"/>
      <c r="J4783" s="68"/>
    </row>
    <row r="4784" spans="8:10">
      <c r="H4784"/>
      <c r="I4784"/>
      <c r="J4784" s="68"/>
    </row>
    <row r="4785" spans="8:10">
      <c r="H4785"/>
      <c r="I4785"/>
      <c r="J4785" s="68"/>
    </row>
    <row r="4786" spans="8:10">
      <c r="H4786"/>
      <c r="I4786"/>
      <c r="J4786" s="68"/>
    </row>
    <row r="4787" spans="8:10">
      <c r="H4787"/>
      <c r="I4787"/>
      <c r="J4787" s="68"/>
    </row>
    <row r="4788" spans="8:10">
      <c r="H4788"/>
      <c r="I4788"/>
      <c r="J4788" s="68"/>
    </row>
    <row r="4789" spans="8:10">
      <c r="H4789"/>
      <c r="I4789"/>
      <c r="J4789" s="68"/>
    </row>
    <row r="4790" spans="8:10">
      <c r="H4790"/>
      <c r="I4790"/>
      <c r="J4790" s="68"/>
    </row>
    <row r="4791" spans="8:10">
      <c r="H4791"/>
      <c r="I4791"/>
      <c r="J4791" s="68"/>
    </row>
    <row r="4792" spans="8:10">
      <c r="H4792"/>
      <c r="I4792"/>
      <c r="J4792" s="68"/>
    </row>
    <row r="4793" spans="8:10">
      <c r="H4793"/>
      <c r="I4793"/>
      <c r="J4793" s="68"/>
    </row>
    <row r="4794" spans="8:10">
      <c r="H4794"/>
      <c r="I4794"/>
      <c r="J4794" s="68"/>
    </row>
    <row r="4795" spans="8:10">
      <c r="H4795"/>
      <c r="I4795"/>
      <c r="J4795" s="68"/>
    </row>
    <row r="4796" spans="8:10">
      <c r="H4796"/>
      <c r="I4796"/>
      <c r="J4796" s="68"/>
    </row>
    <row r="4797" spans="8:10">
      <c r="H4797"/>
      <c r="I4797"/>
      <c r="J4797" s="68"/>
    </row>
    <row r="4798" spans="8:10">
      <c r="H4798"/>
      <c r="I4798"/>
      <c r="J4798" s="68"/>
    </row>
    <row r="4799" spans="8:10">
      <c r="H4799"/>
      <c r="I4799"/>
      <c r="J4799" s="68"/>
    </row>
    <row r="4800" spans="8:10">
      <c r="H4800"/>
      <c r="I4800"/>
      <c r="J4800" s="68"/>
    </row>
    <row r="4801" spans="8:10">
      <c r="H4801"/>
      <c r="I4801"/>
      <c r="J4801" s="68"/>
    </row>
    <row r="4802" spans="8:10">
      <c r="H4802"/>
      <c r="I4802"/>
      <c r="J4802" s="68"/>
    </row>
    <row r="4803" spans="8:10">
      <c r="H4803"/>
      <c r="I4803"/>
      <c r="J4803" s="68"/>
    </row>
    <row r="4804" spans="8:10">
      <c r="H4804"/>
      <c r="I4804"/>
      <c r="J4804" s="68"/>
    </row>
    <row r="4805" spans="8:10">
      <c r="H4805"/>
      <c r="I4805"/>
      <c r="J4805" s="68"/>
    </row>
    <row r="4806" spans="8:10">
      <c r="H4806"/>
      <c r="I4806"/>
      <c r="J4806" s="68"/>
    </row>
    <row r="4807" spans="8:10">
      <c r="H4807"/>
      <c r="I4807"/>
      <c r="J4807" s="68"/>
    </row>
    <row r="4808" spans="8:10">
      <c r="H4808"/>
      <c r="I4808"/>
      <c r="J4808" s="68"/>
    </row>
    <row r="4809" spans="8:10">
      <c r="H4809"/>
      <c r="I4809"/>
      <c r="J4809" s="68"/>
    </row>
    <row r="4810" spans="8:10">
      <c r="H4810"/>
      <c r="I4810"/>
      <c r="J4810" s="68"/>
    </row>
    <row r="4811" spans="8:10">
      <c r="H4811"/>
      <c r="I4811"/>
      <c r="J4811" s="68"/>
    </row>
    <row r="4812" spans="8:10">
      <c r="H4812"/>
      <c r="I4812"/>
      <c r="J4812" s="68"/>
    </row>
    <row r="4813" spans="8:10">
      <c r="H4813"/>
      <c r="I4813"/>
      <c r="J4813" s="68"/>
    </row>
    <row r="4814" spans="8:10">
      <c r="H4814"/>
      <c r="I4814"/>
      <c r="J4814" s="68"/>
    </row>
    <row r="4815" spans="8:10">
      <c r="H4815"/>
      <c r="I4815"/>
      <c r="J4815" s="68"/>
    </row>
    <row r="4816" spans="8:10">
      <c r="H4816"/>
      <c r="I4816"/>
      <c r="J4816" s="68"/>
    </row>
    <row r="4817" spans="8:10">
      <c r="H4817"/>
      <c r="I4817"/>
      <c r="J4817" s="68"/>
    </row>
    <row r="4818" spans="8:10">
      <c r="H4818"/>
      <c r="I4818"/>
      <c r="J4818" s="68"/>
    </row>
    <row r="4819" spans="8:10">
      <c r="H4819"/>
      <c r="I4819"/>
      <c r="J4819" s="68"/>
    </row>
    <row r="4820" spans="8:10">
      <c r="H4820"/>
      <c r="I4820"/>
      <c r="J4820" s="68"/>
    </row>
    <row r="4821" spans="8:10">
      <c r="H4821"/>
      <c r="I4821"/>
      <c r="J4821" s="68"/>
    </row>
    <row r="4822" spans="8:10">
      <c r="H4822"/>
      <c r="I4822"/>
      <c r="J4822" s="68"/>
    </row>
    <row r="4823" spans="8:10">
      <c r="H4823"/>
      <c r="I4823"/>
      <c r="J4823" s="68"/>
    </row>
    <row r="4824" spans="8:10">
      <c r="H4824"/>
      <c r="I4824"/>
      <c r="J4824" s="68"/>
    </row>
    <row r="4825" spans="8:10">
      <c r="H4825"/>
      <c r="I4825"/>
      <c r="J4825" s="68"/>
    </row>
    <row r="4826" spans="8:10">
      <c r="H4826"/>
      <c r="I4826"/>
      <c r="J4826" s="68"/>
    </row>
    <row r="4827" spans="8:10">
      <c r="H4827"/>
      <c r="I4827"/>
      <c r="J4827" s="68"/>
    </row>
    <row r="4828" spans="8:10">
      <c r="H4828"/>
      <c r="I4828"/>
      <c r="J4828" s="68"/>
    </row>
    <row r="4829" spans="8:10">
      <c r="H4829"/>
      <c r="I4829"/>
      <c r="J4829" s="68"/>
    </row>
    <row r="4830" spans="8:10">
      <c r="H4830"/>
      <c r="I4830"/>
      <c r="J4830" s="68"/>
    </row>
    <row r="4831" spans="8:10">
      <c r="H4831"/>
      <c r="I4831"/>
      <c r="J4831" s="68"/>
    </row>
    <row r="4832" spans="8:10">
      <c r="H4832"/>
      <c r="I4832"/>
      <c r="J4832" s="68"/>
    </row>
    <row r="4833" spans="8:10">
      <c r="H4833"/>
      <c r="I4833"/>
      <c r="J4833" s="68"/>
    </row>
    <row r="4834" spans="8:10">
      <c r="H4834"/>
      <c r="I4834"/>
      <c r="J4834" s="68"/>
    </row>
    <row r="4835" spans="8:10">
      <c r="H4835"/>
      <c r="I4835"/>
      <c r="J4835" s="68"/>
    </row>
    <row r="4836" spans="8:10">
      <c r="H4836"/>
      <c r="I4836"/>
      <c r="J4836" s="68"/>
    </row>
    <row r="4837" spans="8:10">
      <c r="H4837"/>
      <c r="I4837"/>
      <c r="J4837" s="68"/>
    </row>
    <row r="4838" spans="8:10">
      <c r="H4838"/>
      <c r="I4838"/>
      <c r="J4838" s="68"/>
    </row>
    <row r="4839" spans="8:10">
      <c r="H4839"/>
      <c r="I4839"/>
      <c r="J4839" s="68"/>
    </row>
    <row r="4840" spans="8:10">
      <c r="H4840"/>
      <c r="I4840"/>
      <c r="J4840" s="68"/>
    </row>
    <row r="4841" spans="8:10">
      <c r="H4841"/>
      <c r="I4841"/>
      <c r="J4841" s="68"/>
    </row>
    <row r="4842" spans="8:10">
      <c r="H4842"/>
      <c r="I4842"/>
      <c r="J4842" s="68"/>
    </row>
    <row r="4843" spans="8:10">
      <c r="H4843"/>
      <c r="I4843"/>
      <c r="J4843" s="68"/>
    </row>
    <row r="4844" spans="8:10">
      <c r="H4844"/>
      <c r="I4844"/>
      <c r="J4844" s="68"/>
    </row>
    <row r="4845" spans="8:10">
      <c r="H4845"/>
      <c r="I4845"/>
      <c r="J4845" s="68"/>
    </row>
    <row r="4846" spans="8:10">
      <c r="H4846"/>
      <c r="I4846"/>
      <c r="J4846" s="68"/>
    </row>
    <row r="4847" spans="8:10">
      <c r="H4847"/>
      <c r="I4847"/>
      <c r="J4847" s="68"/>
    </row>
    <row r="4848" spans="8:10">
      <c r="H4848"/>
      <c r="I4848"/>
      <c r="J4848" s="68"/>
    </row>
    <row r="4849" spans="8:10">
      <c r="H4849"/>
      <c r="I4849"/>
      <c r="J4849" s="68"/>
    </row>
    <row r="4850" spans="8:10">
      <c r="H4850"/>
      <c r="I4850"/>
      <c r="J4850" s="68"/>
    </row>
    <row r="4851" spans="8:10">
      <c r="H4851"/>
      <c r="I4851"/>
      <c r="J4851" s="68"/>
    </row>
    <row r="4852" spans="8:10">
      <c r="H4852"/>
      <c r="I4852"/>
      <c r="J4852" s="68"/>
    </row>
    <row r="4853" spans="8:10">
      <c r="H4853"/>
      <c r="I4853"/>
      <c r="J4853" s="68"/>
    </row>
    <row r="4854" spans="8:10">
      <c r="H4854"/>
      <c r="I4854"/>
      <c r="J4854" s="68"/>
    </row>
    <row r="4855" spans="8:10">
      <c r="H4855"/>
      <c r="I4855"/>
      <c r="J4855" s="68"/>
    </row>
    <row r="4856" spans="8:10">
      <c r="H4856"/>
      <c r="I4856"/>
      <c r="J4856" s="68"/>
    </row>
    <row r="4857" spans="8:10">
      <c r="H4857"/>
      <c r="I4857"/>
      <c r="J4857" s="68"/>
    </row>
    <row r="4858" spans="8:10">
      <c r="H4858"/>
      <c r="I4858"/>
      <c r="J4858" s="68"/>
    </row>
    <row r="4859" spans="8:10">
      <c r="H4859"/>
      <c r="I4859"/>
      <c r="J4859" s="68"/>
    </row>
    <row r="4860" spans="8:10">
      <c r="H4860"/>
      <c r="I4860"/>
      <c r="J4860" s="68"/>
    </row>
    <row r="4861" spans="8:10">
      <c r="H4861"/>
      <c r="I4861"/>
      <c r="J4861" s="68"/>
    </row>
    <row r="4862" spans="8:10">
      <c r="H4862"/>
      <c r="I4862"/>
      <c r="J4862" s="68"/>
    </row>
    <row r="4863" spans="8:10">
      <c r="H4863"/>
      <c r="I4863"/>
      <c r="J4863" s="68"/>
    </row>
    <row r="4864" spans="8:10">
      <c r="H4864"/>
      <c r="I4864"/>
      <c r="J4864" s="68"/>
    </row>
    <row r="4865" spans="8:10">
      <c r="H4865"/>
      <c r="I4865"/>
      <c r="J4865" s="68"/>
    </row>
    <row r="4866" spans="8:10">
      <c r="H4866"/>
      <c r="I4866"/>
      <c r="J4866" s="68"/>
    </row>
    <row r="4867" spans="8:10">
      <c r="H4867"/>
      <c r="I4867"/>
      <c r="J4867" s="68"/>
    </row>
    <row r="4868" spans="8:10">
      <c r="H4868"/>
      <c r="I4868"/>
      <c r="J4868" s="68"/>
    </row>
    <row r="4869" spans="8:10">
      <c r="H4869"/>
      <c r="I4869"/>
      <c r="J4869" s="68"/>
    </row>
    <row r="4870" spans="8:10">
      <c r="H4870"/>
      <c r="I4870"/>
      <c r="J4870" s="68"/>
    </row>
    <row r="4871" spans="8:10">
      <c r="H4871"/>
      <c r="I4871"/>
      <c r="J4871" s="68"/>
    </row>
    <row r="4872" spans="8:10">
      <c r="H4872"/>
      <c r="I4872"/>
      <c r="J4872" s="68"/>
    </row>
    <row r="4873" spans="8:10">
      <c r="H4873"/>
      <c r="I4873"/>
      <c r="J4873" s="68"/>
    </row>
    <row r="4874" spans="8:10">
      <c r="H4874"/>
      <c r="I4874"/>
      <c r="J4874" s="68"/>
    </row>
    <row r="4875" spans="8:10">
      <c r="H4875"/>
      <c r="I4875"/>
      <c r="J4875" s="68"/>
    </row>
    <row r="4876" spans="8:10">
      <c r="H4876"/>
      <c r="I4876"/>
      <c r="J4876" s="68"/>
    </row>
    <row r="4877" spans="8:10">
      <c r="H4877"/>
      <c r="I4877"/>
      <c r="J4877" s="68"/>
    </row>
    <row r="4878" spans="8:10">
      <c r="H4878"/>
      <c r="I4878"/>
      <c r="J4878" s="68"/>
    </row>
    <row r="4879" spans="8:10">
      <c r="H4879"/>
      <c r="I4879"/>
      <c r="J4879" s="68"/>
    </row>
    <row r="4880" spans="8:10">
      <c r="H4880"/>
      <c r="I4880"/>
      <c r="J4880" s="68"/>
    </row>
    <row r="4881" spans="8:10">
      <c r="H4881"/>
      <c r="I4881"/>
      <c r="J4881" s="68"/>
    </row>
    <row r="4882" spans="8:10">
      <c r="H4882"/>
      <c r="I4882"/>
      <c r="J4882" s="68"/>
    </row>
    <row r="4883" spans="8:10">
      <c r="H4883"/>
      <c r="I4883"/>
      <c r="J4883" s="68"/>
    </row>
    <row r="4884" spans="8:10">
      <c r="H4884"/>
      <c r="I4884"/>
      <c r="J4884" s="68"/>
    </row>
    <row r="4885" spans="8:10">
      <c r="H4885"/>
      <c r="I4885"/>
      <c r="J4885" s="68"/>
    </row>
    <row r="4886" spans="8:10">
      <c r="H4886"/>
      <c r="I4886"/>
      <c r="J4886" s="68"/>
    </row>
    <row r="4887" spans="8:10">
      <c r="H4887"/>
      <c r="I4887"/>
      <c r="J4887" s="68"/>
    </row>
    <row r="4888" spans="8:10">
      <c r="H4888"/>
      <c r="I4888"/>
      <c r="J4888" s="68"/>
    </row>
    <row r="4889" spans="8:10">
      <c r="H4889"/>
      <c r="I4889"/>
      <c r="J4889" s="68"/>
    </row>
    <row r="4890" spans="8:10">
      <c r="H4890"/>
      <c r="I4890"/>
      <c r="J4890" s="68"/>
    </row>
    <row r="4891" spans="8:10">
      <c r="H4891"/>
      <c r="I4891"/>
      <c r="J4891" s="68"/>
    </row>
    <row r="4892" spans="8:10">
      <c r="H4892"/>
      <c r="I4892"/>
      <c r="J4892" s="68"/>
    </row>
    <row r="4893" spans="8:10">
      <c r="H4893"/>
      <c r="I4893"/>
      <c r="J4893" s="68"/>
    </row>
    <row r="4894" spans="8:10">
      <c r="H4894"/>
      <c r="I4894"/>
      <c r="J4894" s="68"/>
    </row>
    <row r="4895" spans="8:10">
      <c r="H4895"/>
      <c r="I4895"/>
      <c r="J4895" s="68"/>
    </row>
    <row r="4896" spans="8:10">
      <c r="H4896"/>
      <c r="I4896"/>
      <c r="J4896" s="68"/>
    </row>
    <row r="4897" spans="8:10">
      <c r="H4897"/>
      <c r="I4897"/>
      <c r="J4897" s="68"/>
    </row>
    <row r="4898" spans="8:10">
      <c r="H4898"/>
      <c r="I4898"/>
      <c r="J4898" s="68"/>
    </row>
    <row r="4899" spans="8:10">
      <c r="H4899"/>
      <c r="I4899"/>
      <c r="J4899" s="68"/>
    </row>
    <row r="4900" spans="8:10">
      <c r="H4900"/>
      <c r="I4900"/>
      <c r="J4900" s="68"/>
    </row>
    <row r="4901" spans="8:10">
      <c r="H4901"/>
      <c r="I4901"/>
      <c r="J4901" s="68"/>
    </row>
    <row r="4902" spans="8:10">
      <c r="H4902"/>
      <c r="I4902"/>
      <c r="J4902" s="68"/>
    </row>
    <row r="4903" spans="8:10">
      <c r="H4903"/>
      <c r="I4903"/>
      <c r="J4903" s="68"/>
    </row>
    <row r="4904" spans="8:10">
      <c r="H4904"/>
      <c r="I4904"/>
      <c r="J4904" s="68"/>
    </row>
    <row r="4905" spans="8:10">
      <c r="H4905"/>
      <c r="I4905"/>
      <c r="J4905" s="68"/>
    </row>
    <row r="4906" spans="8:10">
      <c r="H4906"/>
      <c r="I4906"/>
      <c r="J4906" s="68"/>
    </row>
    <row r="4907" spans="8:10">
      <c r="H4907"/>
      <c r="I4907"/>
      <c r="J4907" s="68"/>
    </row>
    <row r="4908" spans="8:10">
      <c r="H4908"/>
      <c r="I4908"/>
      <c r="J4908" s="68"/>
    </row>
    <row r="4909" spans="8:10">
      <c r="H4909"/>
      <c r="I4909"/>
      <c r="J4909" s="68"/>
    </row>
    <row r="4910" spans="8:10">
      <c r="H4910"/>
      <c r="I4910"/>
      <c r="J4910" s="68"/>
    </row>
    <row r="4911" spans="8:10">
      <c r="H4911"/>
      <c r="I4911"/>
      <c r="J4911" s="68"/>
    </row>
    <row r="4912" spans="8:10">
      <c r="H4912"/>
      <c r="I4912"/>
      <c r="J4912" s="68"/>
    </row>
    <row r="4913" spans="8:10">
      <c r="H4913"/>
      <c r="I4913"/>
      <c r="J4913" s="68"/>
    </row>
    <row r="4914" spans="8:10">
      <c r="H4914"/>
      <c r="I4914"/>
      <c r="J4914" s="68"/>
    </row>
    <row r="4915" spans="8:10">
      <c r="H4915"/>
      <c r="I4915"/>
      <c r="J4915" s="68"/>
    </row>
    <row r="4916" spans="8:10">
      <c r="H4916"/>
      <c r="I4916"/>
      <c r="J4916" s="68"/>
    </row>
    <row r="4917" spans="8:10">
      <c r="H4917"/>
      <c r="I4917"/>
      <c r="J4917" s="68"/>
    </row>
    <row r="4918" spans="8:10">
      <c r="H4918"/>
      <c r="I4918"/>
      <c r="J4918" s="68"/>
    </row>
    <row r="4919" spans="8:10">
      <c r="H4919"/>
      <c r="I4919"/>
      <c r="J4919" s="68"/>
    </row>
    <row r="4920" spans="8:10">
      <c r="H4920"/>
      <c r="I4920"/>
      <c r="J4920" s="68"/>
    </row>
    <row r="4921" spans="8:10">
      <c r="H4921"/>
      <c r="I4921"/>
      <c r="J4921" s="68"/>
    </row>
    <row r="4922" spans="8:10">
      <c r="H4922"/>
      <c r="I4922"/>
      <c r="J4922" s="68"/>
    </row>
    <row r="4923" spans="8:10">
      <c r="H4923"/>
      <c r="I4923"/>
      <c r="J4923" s="68"/>
    </row>
    <row r="4924" spans="8:10">
      <c r="H4924"/>
      <c r="I4924"/>
      <c r="J4924" s="68"/>
    </row>
    <row r="4925" spans="8:10">
      <c r="H4925"/>
      <c r="I4925"/>
      <c r="J4925" s="68"/>
    </row>
    <row r="4926" spans="8:10">
      <c r="H4926"/>
      <c r="I4926"/>
      <c r="J4926" s="68"/>
    </row>
    <row r="4927" spans="8:10">
      <c r="H4927"/>
      <c r="I4927"/>
      <c r="J4927" s="68"/>
    </row>
    <row r="4928" spans="8:10">
      <c r="H4928"/>
      <c r="I4928"/>
      <c r="J4928" s="68"/>
    </row>
    <row r="4929" spans="8:10">
      <c r="H4929"/>
      <c r="I4929"/>
      <c r="J4929" s="68"/>
    </row>
    <row r="4930" spans="8:10">
      <c r="H4930"/>
      <c r="I4930"/>
      <c r="J4930" s="68"/>
    </row>
    <row r="4931" spans="8:10">
      <c r="H4931"/>
      <c r="I4931"/>
      <c r="J4931" s="68"/>
    </row>
    <row r="4932" spans="8:10">
      <c r="H4932"/>
      <c r="I4932"/>
      <c r="J4932" s="68"/>
    </row>
    <row r="4933" spans="8:10">
      <c r="H4933"/>
      <c r="I4933"/>
      <c r="J4933" s="68"/>
    </row>
    <row r="4934" spans="8:10">
      <c r="H4934"/>
      <c r="I4934"/>
      <c r="J4934" s="68"/>
    </row>
    <row r="4935" spans="8:10">
      <c r="H4935"/>
      <c r="I4935"/>
      <c r="J4935" s="68"/>
    </row>
    <row r="4936" spans="8:10">
      <c r="H4936"/>
      <c r="I4936"/>
      <c r="J4936" s="68"/>
    </row>
    <row r="4937" spans="8:10">
      <c r="H4937"/>
      <c r="I4937"/>
      <c r="J4937" s="68"/>
    </row>
    <row r="4938" spans="8:10">
      <c r="H4938"/>
      <c r="I4938"/>
      <c r="J4938" s="68"/>
    </row>
    <row r="4939" spans="8:10">
      <c r="H4939"/>
      <c r="I4939"/>
      <c r="J4939" s="68"/>
    </row>
    <row r="4940" spans="8:10">
      <c r="H4940"/>
      <c r="I4940"/>
      <c r="J4940" s="68"/>
    </row>
    <row r="4941" spans="8:10">
      <c r="H4941"/>
      <c r="I4941"/>
      <c r="J4941" s="68"/>
    </row>
    <row r="4942" spans="8:10">
      <c r="H4942"/>
      <c r="I4942"/>
      <c r="J4942" s="68"/>
    </row>
    <row r="4943" spans="8:10">
      <c r="H4943"/>
      <c r="I4943"/>
      <c r="J4943" s="68"/>
    </row>
    <row r="4944" spans="8:10">
      <c r="H4944"/>
      <c r="I4944"/>
      <c r="J4944" s="68"/>
    </row>
    <row r="4945" spans="8:10">
      <c r="H4945"/>
      <c r="I4945"/>
      <c r="J4945" s="68"/>
    </row>
    <row r="4946" spans="8:10">
      <c r="H4946"/>
      <c r="I4946"/>
      <c r="J4946" s="68"/>
    </row>
    <row r="4947" spans="8:10">
      <c r="H4947"/>
      <c r="I4947"/>
      <c r="J4947" s="68"/>
    </row>
    <row r="4948" spans="8:10">
      <c r="H4948"/>
      <c r="I4948"/>
      <c r="J4948" s="68"/>
    </row>
    <row r="4949" spans="8:10">
      <c r="H4949"/>
      <c r="I4949"/>
      <c r="J4949" s="68"/>
    </row>
    <row r="4950" spans="8:10">
      <c r="H4950"/>
      <c r="I4950"/>
      <c r="J4950" s="68"/>
    </row>
    <row r="4951" spans="8:10">
      <c r="H4951"/>
      <c r="I4951"/>
      <c r="J4951" s="68"/>
    </row>
    <row r="4952" spans="8:10">
      <c r="H4952"/>
      <c r="I4952"/>
      <c r="J4952" s="68"/>
    </row>
    <row r="4953" spans="8:10">
      <c r="H4953"/>
      <c r="I4953"/>
      <c r="J4953" s="68"/>
    </row>
    <row r="4954" spans="8:10">
      <c r="H4954"/>
      <c r="I4954"/>
      <c r="J4954" s="68"/>
    </row>
    <row r="4955" spans="8:10">
      <c r="H4955"/>
      <c r="I4955"/>
      <c r="J4955" s="68"/>
    </row>
    <row r="4956" spans="8:10">
      <c r="H4956"/>
      <c r="I4956"/>
      <c r="J4956" s="68"/>
    </row>
    <row r="4957" spans="8:10">
      <c r="H4957"/>
      <c r="I4957"/>
      <c r="J4957" s="68"/>
    </row>
    <row r="4958" spans="8:10">
      <c r="H4958"/>
      <c r="I4958"/>
      <c r="J4958" s="68"/>
    </row>
    <row r="4959" spans="8:10">
      <c r="H4959"/>
      <c r="I4959"/>
      <c r="J4959" s="68"/>
    </row>
    <row r="4960" spans="8:10">
      <c r="H4960"/>
      <c r="I4960"/>
      <c r="J4960" s="68"/>
    </row>
    <row r="4961" spans="8:10">
      <c r="H4961"/>
      <c r="I4961"/>
      <c r="J4961" s="68"/>
    </row>
    <row r="4962" spans="8:10">
      <c r="H4962"/>
      <c r="I4962"/>
      <c r="J4962" s="68"/>
    </row>
    <row r="4963" spans="8:10">
      <c r="H4963"/>
      <c r="I4963"/>
      <c r="J4963" s="68"/>
    </row>
    <row r="4964" spans="8:10">
      <c r="H4964"/>
      <c r="I4964"/>
      <c r="J4964" s="68"/>
    </row>
    <row r="4965" spans="8:10">
      <c r="H4965"/>
      <c r="I4965"/>
      <c r="J4965" s="68"/>
    </row>
    <row r="4966" spans="8:10">
      <c r="H4966"/>
      <c r="I4966"/>
      <c r="J4966" s="68"/>
    </row>
    <row r="4967" spans="8:10">
      <c r="H4967"/>
      <c r="I4967"/>
      <c r="J4967" s="68"/>
    </row>
    <row r="4968" spans="8:10">
      <c r="H4968"/>
      <c r="I4968"/>
      <c r="J4968" s="68"/>
    </row>
    <row r="4969" spans="8:10">
      <c r="H4969"/>
      <c r="I4969"/>
      <c r="J4969" s="68"/>
    </row>
    <row r="4970" spans="8:10">
      <c r="H4970"/>
      <c r="I4970"/>
      <c r="J4970" s="68"/>
    </row>
    <row r="4971" spans="8:10">
      <c r="H4971"/>
      <c r="I4971"/>
      <c r="J4971" s="68"/>
    </row>
    <row r="4972" spans="8:10">
      <c r="H4972"/>
      <c r="I4972"/>
      <c r="J4972" s="68"/>
    </row>
    <row r="4973" spans="8:10">
      <c r="H4973"/>
      <c r="I4973"/>
      <c r="J4973" s="68"/>
    </row>
    <row r="4974" spans="8:10">
      <c r="H4974"/>
      <c r="I4974"/>
      <c r="J4974" s="68"/>
    </row>
    <row r="4975" spans="8:10">
      <c r="H4975"/>
      <c r="I4975"/>
      <c r="J4975" s="68"/>
    </row>
    <row r="4976" spans="8:10">
      <c r="H4976"/>
      <c r="I4976"/>
      <c r="J4976" s="68"/>
    </row>
    <row r="4977" spans="8:10">
      <c r="H4977"/>
      <c r="I4977"/>
      <c r="J4977" s="68"/>
    </row>
    <row r="4978" spans="8:10">
      <c r="H4978"/>
      <c r="I4978"/>
      <c r="J4978" s="68"/>
    </row>
    <row r="4979" spans="8:10">
      <c r="H4979"/>
      <c r="I4979"/>
      <c r="J4979" s="68"/>
    </row>
    <row r="4980" spans="8:10">
      <c r="H4980"/>
      <c r="I4980"/>
      <c r="J4980" s="68"/>
    </row>
    <row r="4981" spans="8:10">
      <c r="H4981"/>
      <c r="I4981"/>
      <c r="J4981" s="68"/>
    </row>
    <row r="4982" spans="8:10">
      <c r="H4982"/>
      <c r="I4982"/>
      <c r="J4982" s="68"/>
    </row>
    <row r="4983" spans="8:10">
      <c r="H4983"/>
      <c r="I4983"/>
      <c r="J4983" s="68"/>
    </row>
    <row r="4984" spans="8:10">
      <c r="H4984"/>
      <c r="I4984"/>
      <c r="J4984" s="68"/>
    </row>
    <row r="4985" spans="8:10">
      <c r="H4985"/>
      <c r="I4985"/>
      <c r="J4985" s="68"/>
    </row>
    <row r="4986" spans="8:10">
      <c r="H4986"/>
      <c r="I4986"/>
      <c r="J4986" s="68"/>
    </row>
    <row r="4987" spans="8:10">
      <c r="H4987"/>
      <c r="I4987"/>
      <c r="J4987" s="68"/>
    </row>
    <row r="4988" spans="8:10">
      <c r="H4988"/>
      <c r="I4988"/>
      <c r="J4988" s="68"/>
    </row>
    <row r="4989" spans="8:10">
      <c r="H4989"/>
      <c r="I4989"/>
      <c r="J4989" s="68"/>
    </row>
    <row r="4990" spans="8:10">
      <c r="H4990"/>
      <c r="I4990"/>
      <c r="J4990" s="68"/>
    </row>
    <row r="4991" spans="8:10">
      <c r="H4991"/>
      <c r="I4991"/>
      <c r="J4991" s="68"/>
    </row>
    <row r="4992" spans="8:10">
      <c r="H4992"/>
      <c r="I4992"/>
      <c r="J4992" s="68"/>
    </row>
    <row r="4993" spans="8:10">
      <c r="H4993"/>
      <c r="I4993"/>
      <c r="J4993" s="68"/>
    </row>
    <row r="4994" spans="8:10">
      <c r="H4994"/>
      <c r="I4994"/>
      <c r="J4994" s="68"/>
    </row>
    <row r="4995" spans="8:10">
      <c r="H4995"/>
      <c r="I4995"/>
      <c r="J4995" s="68"/>
    </row>
    <row r="4996" spans="8:10">
      <c r="H4996"/>
      <c r="I4996"/>
      <c r="J4996" s="68"/>
    </row>
    <row r="4997" spans="8:10">
      <c r="H4997"/>
      <c r="I4997"/>
      <c r="J4997" s="68"/>
    </row>
    <row r="4998" spans="8:10">
      <c r="H4998"/>
      <c r="I4998"/>
      <c r="J4998" s="68"/>
    </row>
    <row r="4999" spans="8:10">
      <c r="H4999"/>
      <c r="I4999"/>
      <c r="J4999" s="68"/>
    </row>
    <row r="5000" spans="8:10">
      <c r="H5000"/>
      <c r="I5000"/>
      <c r="J5000" s="68"/>
    </row>
    <row r="5001" spans="8:10">
      <c r="H5001"/>
      <c r="I5001"/>
      <c r="J5001" s="68"/>
    </row>
    <row r="5002" spans="8:10">
      <c r="H5002"/>
      <c r="I5002"/>
      <c r="J5002" s="68"/>
    </row>
    <row r="5003" spans="8:10">
      <c r="H5003"/>
      <c r="I5003"/>
      <c r="J5003" s="68"/>
    </row>
    <row r="5004" spans="8:10">
      <c r="H5004"/>
      <c r="I5004"/>
      <c r="J5004" s="68"/>
    </row>
    <row r="5005" spans="8:10">
      <c r="H5005"/>
      <c r="I5005"/>
      <c r="J5005" s="68"/>
    </row>
    <row r="5006" spans="8:10">
      <c r="H5006"/>
      <c r="I5006"/>
      <c r="J5006" s="68"/>
    </row>
    <row r="5007" spans="8:10">
      <c r="H5007"/>
      <c r="I5007"/>
      <c r="J5007" s="68"/>
    </row>
    <row r="5008" spans="8:10">
      <c r="H5008"/>
      <c r="I5008"/>
      <c r="J5008" s="68"/>
    </row>
    <row r="5009" spans="8:10">
      <c r="H5009"/>
      <c r="I5009"/>
      <c r="J5009" s="68"/>
    </row>
    <row r="5010" spans="8:10">
      <c r="H5010"/>
      <c r="I5010"/>
      <c r="J5010" s="68"/>
    </row>
    <row r="5011" spans="8:10">
      <c r="H5011"/>
      <c r="I5011"/>
      <c r="J5011" s="68"/>
    </row>
    <row r="5012" spans="8:10">
      <c r="H5012"/>
      <c r="I5012"/>
      <c r="J5012" s="68"/>
    </row>
    <row r="5013" spans="8:10">
      <c r="H5013"/>
      <c r="I5013"/>
      <c r="J5013" s="68"/>
    </row>
    <row r="5014" spans="8:10">
      <c r="H5014"/>
      <c r="I5014"/>
      <c r="J5014" s="68"/>
    </row>
    <row r="5015" spans="8:10">
      <c r="H5015"/>
      <c r="I5015"/>
      <c r="J5015" s="68"/>
    </row>
    <row r="5016" spans="8:10">
      <c r="H5016"/>
      <c r="I5016"/>
      <c r="J5016" s="68"/>
    </row>
    <row r="5017" spans="8:10">
      <c r="H5017"/>
      <c r="I5017"/>
      <c r="J5017" s="68"/>
    </row>
    <row r="5018" spans="8:10">
      <c r="H5018"/>
      <c r="I5018"/>
      <c r="J5018" s="68"/>
    </row>
    <row r="5019" spans="8:10">
      <c r="H5019"/>
      <c r="I5019"/>
      <c r="J5019" s="68"/>
    </row>
    <row r="5020" spans="8:10">
      <c r="H5020"/>
      <c r="I5020"/>
      <c r="J5020" s="68"/>
    </row>
    <row r="5021" spans="8:10">
      <c r="H5021"/>
      <c r="I5021"/>
      <c r="J5021" s="68"/>
    </row>
    <row r="5022" spans="8:10">
      <c r="H5022"/>
      <c r="I5022"/>
      <c r="J5022" s="68"/>
    </row>
    <row r="5023" spans="8:10">
      <c r="H5023"/>
      <c r="I5023"/>
      <c r="J5023" s="68"/>
    </row>
    <row r="5024" spans="8:10">
      <c r="H5024"/>
      <c r="I5024"/>
      <c r="J5024" s="68"/>
    </row>
    <row r="5025" spans="8:10">
      <c r="H5025"/>
      <c r="I5025"/>
      <c r="J5025" s="68"/>
    </row>
    <row r="5026" spans="8:10">
      <c r="H5026"/>
      <c r="I5026"/>
      <c r="J5026" s="68"/>
    </row>
    <row r="5027" spans="8:10">
      <c r="H5027"/>
      <c r="I5027"/>
      <c r="J5027" s="68"/>
    </row>
    <row r="5028" spans="8:10">
      <c r="H5028"/>
      <c r="I5028"/>
      <c r="J5028" s="68"/>
    </row>
    <row r="5029" spans="8:10">
      <c r="H5029"/>
      <c r="I5029"/>
      <c r="J5029" s="68"/>
    </row>
    <row r="5030" spans="8:10">
      <c r="H5030"/>
      <c r="I5030"/>
      <c r="J5030" s="68"/>
    </row>
    <row r="5031" spans="8:10">
      <c r="H5031"/>
      <c r="I5031"/>
      <c r="J5031" s="68"/>
    </row>
    <row r="5032" spans="8:10">
      <c r="H5032"/>
      <c r="I5032"/>
      <c r="J5032" s="68"/>
    </row>
    <row r="5033" spans="8:10">
      <c r="H5033"/>
      <c r="I5033"/>
      <c r="J5033" s="68"/>
    </row>
    <row r="5034" spans="8:10">
      <c r="H5034"/>
      <c r="I5034"/>
      <c r="J5034" s="68"/>
    </row>
    <row r="5035" spans="8:10">
      <c r="H5035"/>
      <c r="I5035"/>
      <c r="J5035" s="68"/>
    </row>
    <row r="5036" spans="8:10">
      <c r="H5036"/>
      <c r="I5036"/>
      <c r="J5036" s="68"/>
    </row>
    <row r="5037" spans="8:10">
      <c r="H5037"/>
      <c r="I5037"/>
      <c r="J5037" s="68"/>
    </row>
    <row r="5038" spans="8:10">
      <c r="H5038"/>
      <c r="I5038"/>
      <c r="J5038" s="68"/>
    </row>
    <row r="5039" spans="8:10">
      <c r="H5039"/>
      <c r="I5039"/>
      <c r="J5039" s="68"/>
    </row>
    <row r="5040" spans="8:10">
      <c r="H5040"/>
      <c r="I5040"/>
      <c r="J5040" s="68"/>
    </row>
    <row r="5041" spans="8:10">
      <c r="H5041"/>
      <c r="I5041"/>
      <c r="J5041" s="68"/>
    </row>
    <row r="5042" spans="8:10">
      <c r="H5042"/>
      <c r="I5042"/>
      <c r="J5042" s="68"/>
    </row>
    <row r="5043" spans="8:10">
      <c r="H5043"/>
      <c r="I5043"/>
      <c r="J5043" s="68"/>
    </row>
    <row r="5044" spans="8:10">
      <c r="H5044"/>
      <c r="I5044"/>
      <c r="J5044" s="68"/>
    </row>
    <row r="5045" spans="8:10">
      <c r="H5045"/>
      <c r="I5045"/>
      <c r="J5045" s="68"/>
    </row>
    <row r="5046" spans="8:10">
      <c r="H5046"/>
      <c r="I5046"/>
      <c r="J5046" s="68"/>
    </row>
    <row r="5047" spans="8:10">
      <c r="H5047"/>
      <c r="I5047"/>
      <c r="J5047" s="68"/>
    </row>
    <row r="5048" spans="8:10">
      <c r="H5048"/>
      <c r="I5048"/>
      <c r="J5048" s="68"/>
    </row>
    <row r="5049" spans="8:10">
      <c r="H5049"/>
      <c r="I5049"/>
      <c r="J5049" s="68"/>
    </row>
    <row r="5050" spans="8:10">
      <c r="H5050"/>
      <c r="I5050"/>
      <c r="J5050" s="68"/>
    </row>
    <row r="5051" spans="8:10">
      <c r="H5051"/>
      <c r="I5051"/>
      <c r="J5051" s="68"/>
    </row>
    <row r="5052" spans="8:10">
      <c r="H5052"/>
      <c r="I5052"/>
      <c r="J5052" s="68"/>
    </row>
    <row r="5053" spans="8:10">
      <c r="H5053"/>
      <c r="I5053"/>
      <c r="J5053" s="68"/>
    </row>
    <row r="5054" spans="8:10">
      <c r="H5054"/>
      <c r="I5054"/>
      <c r="J5054" s="68"/>
    </row>
    <row r="5055" spans="8:10">
      <c r="H5055"/>
      <c r="I5055"/>
      <c r="J5055" s="68"/>
    </row>
    <row r="5056" spans="8:10">
      <c r="H5056"/>
      <c r="I5056"/>
      <c r="J5056" s="68"/>
    </row>
    <row r="5057" spans="8:10">
      <c r="H5057"/>
      <c r="I5057"/>
      <c r="J5057" s="68"/>
    </row>
    <row r="5058" spans="8:10">
      <c r="H5058"/>
      <c r="I5058"/>
      <c r="J5058" s="68"/>
    </row>
    <row r="5059" spans="8:10">
      <c r="H5059"/>
      <c r="I5059"/>
      <c r="J5059" s="68"/>
    </row>
    <row r="5060" spans="8:10">
      <c r="H5060"/>
      <c r="I5060"/>
      <c r="J5060" s="68"/>
    </row>
    <row r="5061" spans="8:10">
      <c r="H5061"/>
      <c r="I5061"/>
      <c r="J5061" s="68"/>
    </row>
    <row r="5062" spans="8:10">
      <c r="H5062"/>
      <c r="I5062"/>
      <c r="J5062" s="68"/>
    </row>
    <row r="5063" spans="8:10">
      <c r="H5063"/>
      <c r="I5063"/>
      <c r="J5063" s="68"/>
    </row>
    <row r="5064" spans="8:10">
      <c r="H5064"/>
      <c r="I5064"/>
      <c r="J5064" s="68"/>
    </row>
    <row r="5065" spans="8:10">
      <c r="H5065"/>
      <c r="I5065"/>
      <c r="J5065" s="68"/>
    </row>
    <row r="5066" spans="8:10">
      <c r="H5066"/>
      <c r="I5066"/>
      <c r="J5066" s="68"/>
    </row>
    <row r="5067" spans="8:10">
      <c r="H5067"/>
      <c r="I5067"/>
      <c r="J5067" s="68"/>
    </row>
    <row r="5068" spans="8:10">
      <c r="H5068"/>
      <c r="I5068"/>
      <c r="J5068" s="68"/>
    </row>
    <row r="5069" spans="8:10">
      <c r="H5069"/>
      <c r="I5069"/>
      <c r="J5069" s="68"/>
    </row>
    <row r="5070" spans="8:10">
      <c r="H5070"/>
      <c r="I5070"/>
      <c r="J5070" s="68"/>
    </row>
    <row r="5071" spans="8:10">
      <c r="H5071"/>
      <c r="I5071"/>
      <c r="J5071" s="68"/>
    </row>
    <row r="5072" spans="8:10">
      <c r="H5072"/>
      <c r="I5072"/>
      <c r="J5072" s="68"/>
    </row>
    <row r="5073" spans="8:10">
      <c r="H5073"/>
      <c r="I5073"/>
      <c r="J5073" s="68"/>
    </row>
    <row r="5074" spans="8:10">
      <c r="H5074"/>
      <c r="I5074"/>
      <c r="J5074" s="68"/>
    </row>
    <row r="5075" spans="8:10">
      <c r="H5075"/>
      <c r="I5075"/>
      <c r="J5075" s="68"/>
    </row>
    <row r="5076" spans="8:10">
      <c r="H5076"/>
      <c r="I5076"/>
      <c r="J5076" s="68"/>
    </row>
    <row r="5077" spans="8:10">
      <c r="H5077"/>
      <c r="I5077"/>
      <c r="J5077" s="68"/>
    </row>
    <row r="5078" spans="8:10">
      <c r="H5078"/>
      <c r="I5078"/>
      <c r="J5078" s="68"/>
    </row>
    <row r="5079" spans="8:10">
      <c r="H5079"/>
      <c r="I5079"/>
      <c r="J5079" s="68"/>
    </row>
    <row r="5080" spans="8:10">
      <c r="H5080"/>
      <c r="I5080"/>
      <c r="J5080" s="68"/>
    </row>
    <row r="5081" spans="8:10">
      <c r="H5081"/>
      <c r="I5081"/>
      <c r="J5081" s="68"/>
    </row>
    <row r="5082" spans="8:10">
      <c r="H5082"/>
      <c r="I5082"/>
      <c r="J5082" s="68"/>
    </row>
    <row r="5083" spans="8:10">
      <c r="H5083"/>
      <c r="I5083"/>
      <c r="J5083" s="68"/>
    </row>
    <row r="5084" spans="8:10">
      <c r="H5084"/>
      <c r="I5084"/>
      <c r="J5084" s="68"/>
    </row>
    <row r="5085" spans="8:10">
      <c r="H5085"/>
      <c r="I5085"/>
      <c r="J5085" s="68"/>
    </row>
    <row r="5086" spans="8:10">
      <c r="H5086"/>
      <c r="I5086"/>
      <c r="J5086" s="68"/>
    </row>
    <row r="5087" spans="8:10">
      <c r="H5087"/>
      <c r="I5087"/>
      <c r="J5087" s="68"/>
    </row>
    <row r="5088" spans="8:10">
      <c r="H5088"/>
      <c r="I5088"/>
      <c r="J5088" s="68"/>
    </row>
    <row r="5089" spans="8:10">
      <c r="H5089"/>
      <c r="I5089"/>
      <c r="J5089" s="68"/>
    </row>
    <row r="5090" spans="8:10">
      <c r="H5090"/>
      <c r="I5090"/>
      <c r="J5090" s="68"/>
    </row>
    <row r="5091" spans="8:10">
      <c r="H5091"/>
      <c r="I5091"/>
      <c r="J5091" s="68"/>
    </row>
    <row r="5092" spans="8:10">
      <c r="H5092"/>
      <c r="I5092"/>
      <c r="J5092" s="68"/>
    </row>
    <row r="5093" spans="8:10">
      <c r="H5093"/>
      <c r="I5093"/>
      <c r="J5093" s="68"/>
    </row>
    <row r="5094" spans="8:10">
      <c r="H5094"/>
      <c r="I5094"/>
      <c r="J5094" s="68"/>
    </row>
    <row r="5095" spans="8:10">
      <c r="H5095"/>
      <c r="I5095"/>
      <c r="J5095" s="68"/>
    </row>
    <row r="5096" spans="8:10">
      <c r="H5096"/>
      <c r="I5096"/>
      <c r="J5096" s="68"/>
    </row>
    <row r="5097" spans="8:10">
      <c r="H5097"/>
      <c r="I5097"/>
      <c r="J5097" s="68"/>
    </row>
    <row r="5098" spans="8:10">
      <c r="H5098"/>
      <c r="I5098"/>
      <c r="J5098" s="68"/>
    </row>
    <row r="5099" spans="8:10">
      <c r="H5099"/>
      <c r="I5099"/>
      <c r="J5099" s="68"/>
    </row>
    <row r="5100" spans="8:10">
      <c r="H5100"/>
      <c r="I5100"/>
      <c r="J5100" s="68"/>
    </row>
    <row r="5101" spans="8:10">
      <c r="H5101"/>
      <c r="I5101"/>
      <c r="J5101" s="68"/>
    </row>
    <row r="5102" spans="8:10">
      <c r="H5102"/>
      <c r="I5102"/>
      <c r="J5102" s="68"/>
    </row>
    <row r="5103" spans="8:10">
      <c r="H5103"/>
      <c r="I5103"/>
      <c r="J5103" s="68"/>
    </row>
    <row r="5104" spans="8:10">
      <c r="H5104"/>
      <c r="I5104"/>
      <c r="J5104" s="68"/>
    </row>
    <row r="5105" spans="8:10">
      <c r="H5105"/>
      <c r="I5105"/>
      <c r="J5105" s="68"/>
    </row>
    <row r="5106" spans="8:10">
      <c r="H5106"/>
      <c r="I5106"/>
      <c r="J5106" s="68"/>
    </row>
    <row r="5107" spans="8:10">
      <c r="H5107"/>
      <c r="I5107"/>
      <c r="J5107" s="68"/>
    </row>
    <row r="5108" spans="8:10">
      <c r="H5108"/>
      <c r="I5108"/>
      <c r="J5108" s="68"/>
    </row>
    <row r="5109" spans="8:10">
      <c r="H5109"/>
      <c r="I5109"/>
      <c r="J5109" s="68"/>
    </row>
    <row r="5110" spans="8:10">
      <c r="H5110"/>
      <c r="I5110"/>
      <c r="J5110" s="68"/>
    </row>
    <row r="5111" spans="8:10">
      <c r="H5111"/>
      <c r="I5111"/>
      <c r="J5111" s="68"/>
    </row>
    <row r="5112" spans="8:10">
      <c r="H5112"/>
      <c r="I5112"/>
      <c r="J5112" s="68"/>
    </row>
    <row r="5113" spans="8:10">
      <c r="H5113"/>
      <c r="I5113"/>
      <c r="J5113" s="68"/>
    </row>
    <row r="5114" spans="8:10">
      <c r="H5114"/>
      <c r="I5114"/>
      <c r="J5114" s="68"/>
    </row>
    <row r="5115" spans="8:10">
      <c r="H5115"/>
      <c r="I5115"/>
      <c r="J5115" s="68"/>
    </row>
    <row r="5116" spans="8:10">
      <c r="H5116"/>
      <c r="I5116"/>
      <c r="J5116" s="68"/>
    </row>
    <row r="5117" spans="8:10">
      <c r="H5117"/>
      <c r="I5117"/>
      <c r="J5117" s="68"/>
    </row>
    <row r="5118" spans="8:10">
      <c r="H5118"/>
      <c r="I5118"/>
      <c r="J5118" s="68"/>
    </row>
    <row r="5119" spans="8:10">
      <c r="H5119"/>
      <c r="I5119"/>
      <c r="J5119" s="68"/>
    </row>
    <row r="5120" spans="8:10">
      <c r="H5120"/>
      <c r="I5120"/>
      <c r="J5120" s="68"/>
    </row>
    <row r="5121" spans="8:10">
      <c r="H5121"/>
      <c r="I5121"/>
      <c r="J5121" s="68"/>
    </row>
    <row r="5122" spans="8:10">
      <c r="H5122"/>
      <c r="I5122"/>
      <c r="J5122" s="68"/>
    </row>
    <row r="5123" spans="8:10">
      <c r="H5123"/>
      <c r="I5123"/>
      <c r="J5123" s="68"/>
    </row>
    <row r="5124" spans="8:10">
      <c r="H5124"/>
      <c r="I5124"/>
      <c r="J5124" s="68"/>
    </row>
    <row r="5125" spans="8:10">
      <c r="H5125"/>
      <c r="I5125"/>
      <c r="J5125" s="68"/>
    </row>
    <row r="5126" spans="8:10">
      <c r="H5126"/>
      <c r="I5126"/>
      <c r="J5126" s="68"/>
    </row>
    <row r="5127" spans="8:10">
      <c r="H5127"/>
      <c r="I5127"/>
      <c r="J5127" s="68"/>
    </row>
    <row r="5128" spans="8:10">
      <c r="H5128"/>
      <c r="I5128"/>
      <c r="J5128" s="68"/>
    </row>
    <row r="5129" spans="8:10">
      <c r="H5129"/>
      <c r="I5129"/>
      <c r="J5129" s="68"/>
    </row>
    <row r="5130" spans="8:10">
      <c r="H5130"/>
      <c r="I5130"/>
      <c r="J5130" s="68"/>
    </row>
    <row r="5131" spans="8:10">
      <c r="H5131"/>
      <c r="I5131"/>
      <c r="J5131" s="68"/>
    </row>
    <row r="5132" spans="8:10">
      <c r="H5132"/>
      <c r="I5132"/>
      <c r="J5132" s="68"/>
    </row>
    <row r="5133" spans="8:10">
      <c r="H5133"/>
      <c r="I5133"/>
      <c r="J5133" s="68"/>
    </row>
    <row r="5134" spans="8:10">
      <c r="H5134"/>
      <c r="I5134"/>
      <c r="J5134" s="68"/>
    </row>
    <row r="5135" spans="8:10">
      <c r="H5135"/>
      <c r="I5135"/>
      <c r="J5135" s="68"/>
    </row>
    <row r="5136" spans="8:10">
      <c r="H5136"/>
      <c r="I5136"/>
      <c r="J5136" s="68"/>
    </row>
    <row r="5137" spans="8:10">
      <c r="H5137"/>
      <c r="I5137"/>
      <c r="J5137" s="68"/>
    </row>
    <row r="5138" spans="8:10">
      <c r="H5138"/>
      <c r="I5138"/>
      <c r="J5138" s="68"/>
    </row>
    <row r="5139" spans="8:10">
      <c r="H5139"/>
      <c r="I5139"/>
      <c r="J5139" s="68"/>
    </row>
    <row r="5140" spans="8:10">
      <c r="H5140"/>
      <c r="I5140"/>
      <c r="J5140" s="68"/>
    </row>
    <row r="5141" spans="8:10">
      <c r="H5141"/>
      <c r="I5141"/>
      <c r="J5141" s="68"/>
    </row>
    <row r="5142" spans="8:10">
      <c r="H5142"/>
      <c r="I5142"/>
      <c r="J5142" s="68"/>
    </row>
    <row r="5143" spans="8:10">
      <c r="H5143"/>
      <c r="I5143"/>
      <c r="J5143" s="68"/>
    </row>
    <row r="5144" spans="8:10">
      <c r="H5144"/>
      <c r="I5144"/>
      <c r="J5144" s="68"/>
    </row>
    <row r="5145" spans="8:10">
      <c r="H5145"/>
      <c r="I5145"/>
      <c r="J5145" s="68"/>
    </row>
    <row r="5146" spans="8:10">
      <c r="H5146"/>
      <c r="I5146"/>
      <c r="J5146" s="68"/>
    </row>
    <row r="5147" spans="8:10">
      <c r="H5147"/>
      <c r="I5147"/>
      <c r="J5147" s="68"/>
    </row>
    <row r="5148" spans="8:10">
      <c r="H5148"/>
      <c r="I5148"/>
      <c r="J5148" s="68"/>
    </row>
    <row r="5149" spans="8:10">
      <c r="H5149"/>
      <c r="I5149"/>
      <c r="J5149" s="68"/>
    </row>
    <row r="5150" spans="8:10">
      <c r="H5150"/>
      <c r="I5150"/>
      <c r="J5150" s="68"/>
    </row>
    <row r="5151" spans="8:10">
      <c r="H5151"/>
      <c r="I5151"/>
      <c r="J5151" s="68"/>
    </row>
    <row r="5152" spans="8:10">
      <c r="H5152"/>
      <c r="I5152"/>
      <c r="J5152" s="68"/>
    </row>
    <row r="5153" spans="8:10">
      <c r="H5153"/>
      <c r="I5153"/>
      <c r="J5153" s="68"/>
    </row>
    <row r="5154" spans="8:10">
      <c r="H5154"/>
      <c r="I5154"/>
      <c r="J5154" s="68"/>
    </row>
    <row r="5155" spans="8:10">
      <c r="H5155"/>
      <c r="I5155"/>
      <c r="J5155" s="68"/>
    </row>
    <row r="5156" spans="8:10">
      <c r="H5156"/>
      <c r="I5156"/>
      <c r="J5156" s="68"/>
    </row>
    <row r="5157" spans="8:10">
      <c r="H5157"/>
      <c r="I5157"/>
      <c r="J5157" s="68"/>
    </row>
    <row r="5158" spans="8:10">
      <c r="H5158"/>
      <c r="I5158"/>
      <c r="J5158" s="68"/>
    </row>
    <row r="5159" spans="8:10">
      <c r="H5159"/>
      <c r="I5159"/>
      <c r="J5159" s="68"/>
    </row>
    <row r="5160" spans="8:10">
      <c r="H5160"/>
      <c r="I5160"/>
      <c r="J5160" s="68"/>
    </row>
    <row r="5161" spans="8:10">
      <c r="H5161"/>
      <c r="I5161"/>
      <c r="J5161" s="68"/>
    </row>
    <row r="5162" spans="8:10">
      <c r="H5162"/>
      <c r="I5162"/>
      <c r="J5162" s="68"/>
    </row>
    <row r="5163" spans="8:10">
      <c r="H5163"/>
      <c r="I5163"/>
      <c r="J5163" s="68"/>
    </row>
    <row r="5164" spans="8:10">
      <c r="H5164"/>
      <c r="I5164"/>
      <c r="J5164" s="68"/>
    </row>
    <row r="5165" spans="8:10">
      <c r="H5165"/>
      <c r="I5165"/>
      <c r="J5165" s="68"/>
    </row>
    <row r="5166" spans="8:10">
      <c r="H5166"/>
      <c r="I5166"/>
      <c r="J5166" s="68"/>
    </row>
    <row r="5167" spans="8:10">
      <c r="H5167"/>
      <c r="I5167"/>
      <c r="J5167" s="68"/>
    </row>
    <row r="5168" spans="8:10">
      <c r="H5168"/>
      <c r="I5168"/>
      <c r="J5168" s="68"/>
    </row>
    <row r="5169" spans="8:10">
      <c r="H5169"/>
      <c r="I5169"/>
      <c r="J5169" s="68"/>
    </row>
    <row r="5170" spans="8:10">
      <c r="H5170"/>
      <c r="I5170"/>
      <c r="J5170" s="68"/>
    </row>
    <row r="5171" spans="8:10">
      <c r="H5171"/>
      <c r="I5171"/>
      <c r="J5171" s="68"/>
    </row>
    <row r="5172" spans="8:10">
      <c r="H5172"/>
      <c r="I5172"/>
      <c r="J5172" s="68"/>
    </row>
    <row r="5173" spans="8:10">
      <c r="H5173"/>
      <c r="I5173"/>
      <c r="J5173" s="68"/>
    </row>
    <row r="5174" spans="8:10">
      <c r="H5174"/>
      <c r="I5174"/>
      <c r="J5174" s="68"/>
    </row>
    <row r="5175" spans="8:10">
      <c r="H5175"/>
      <c r="I5175"/>
      <c r="J5175" s="68"/>
    </row>
    <row r="5176" spans="8:10">
      <c r="H5176"/>
      <c r="I5176"/>
      <c r="J5176" s="68"/>
    </row>
    <row r="5177" spans="8:10">
      <c r="H5177"/>
      <c r="I5177"/>
      <c r="J5177" s="68"/>
    </row>
    <row r="5178" spans="8:10">
      <c r="H5178"/>
      <c r="I5178"/>
      <c r="J5178" s="68"/>
    </row>
    <row r="5179" spans="8:10">
      <c r="H5179"/>
      <c r="I5179"/>
      <c r="J5179" s="68"/>
    </row>
    <row r="5180" spans="8:10">
      <c r="H5180"/>
      <c r="I5180"/>
      <c r="J5180" s="68"/>
    </row>
    <row r="5181" spans="8:10">
      <c r="H5181"/>
      <c r="I5181"/>
      <c r="J5181" s="68"/>
    </row>
    <row r="5182" spans="8:10">
      <c r="H5182"/>
      <c r="I5182"/>
      <c r="J5182" s="68"/>
    </row>
    <row r="5183" spans="8:10">
      <c r="H5183"/>
      <c r="I5183"/>
      <c r="J5183" s="68"/>
    </row>
    <row r="5184" spans="8:10">
      <c r="H5184"/>
      <c r="I5184"/>
      <c r="J5184" s="68"/>
    </row>
    <row r="5185" spans="8:10">
      <c r="H5185"/>
      <c r="I5185"/>
      <c r="J5185" s="68"/>
    </row>
    <row r="5186" spans="8:10">
      <c r="H5186"/>
      <c r="I5186"/>
      <c r="J5186" s="68"/>
    </row>
    <row r="5187" spans="8:10">
      <c r="H5187"/>
      <c r="I5187"/>
      <c r="J5187" s="68"/>
    </row>
    <row r="5188" spans="8:10">
      <c r="H5188"/>
      <c r="I5188"/>
      <c r="J5188" s="68"/>
    </row>
    <row r="5189" spans="8:10">
      <c r="H5189"/>
      <c r="I5189"/>
      <c r="J5189" s="68"/>
    </row>
    <row r="5190" spans="8:10">
      <c r="H5190"/>
      <c r="I5190"/>
      <c r="J5190" s="68"/>
    </row>
    <row r="5191" spans="8:10">
      <c r="H5191"/>
      <c r="I5191"/>
      <c r="J5191" s="68"/>
    </row>
    <row r="5192" spans="8:10">
      <c r="H5192"/>
      <c r="I5192"/>
      <c r="J5192" s="68"/>
    </row>
    <row r="5193" spans="8:10">
      <c r="H5193"/>
      <c r="I5193"/>
      <c r="J5193" s="68"/>
    </row>
    <row r="5194" spans="8:10">
      <c r="H5194"/>
      <c r="I5194"/>
      <c r="J5194" s="68"/>
    </row>
    <row r="5195" spans="8:10">
      <c r="H5195"/>
      <c r="I5195"/>
      <c r="J5195" s="68"/>
    </row>
    <row r="5196" spans="8:10">
      <c r="H5196"/>
      <c r="I5196"/>
      <c r="J5196" s="68"/>
    </row>
    <row r="5197" spans="8:10">
      <c r="H5197"/>
      <c r="I5197"/>
      <c r="J5197" s="68"/>
    </row>
    <row r="5198" spans="8:10">
      <c r="H5198"/>
      <c r="I5198"/>
      <c r="J5198" s="68"/>
    </row>
    <row r="5199" spans="8:10">
      <c r="H5199"/>
      <c r="I5199"/>
      <c r="J5199" s="68"/>
    </row>
    <row r="5200" spans="8:10">
      <c r="H5200"/>
      <c r="I5200"/>
      <c r="J5200" s="68"/>
    </row>
    <row r="5201" spans="8:10">
      <c r="H5201"/>
      <c r="I5201"/>
      <c r="J5201" s="68"/>
    </row>
    <row r="5202" spans="8:10">
      <c r="H5202"/>
      <c r="I5202"/>
      <c r="J5202" s="68"/>
    </row>
    <row r="5203" spans="8:10">
      <c r="H5203"/>
      <c r="I5203"/>
      <c r="J5203" s="68"/>
    </row>
    <row r="5204" spans="8:10">
      <c r="H5204"/>
      <c r="I5204"/>
      <c r="J5204" s="68"/>
    </row>
    <row r="5205" spans="8:10">
      <c r="H5205"/>
      <c r="I5205"/>
      <c r="J5205" s="68"/>
    </row>
    <row r="5206" spans="8:10">
      <c r="H5206"/>
      <c r="I5206"/>
      <c r="J5206" s="68"/>
    </row>
    <row r="5207" spans="8:10">
      <c r="H5207"/>
      <c r="I5207"/>
      <c r="J5207" s="68"/>
    </row>
    <row r="5208" spans="8:10">
      <c r="H5208"/>
      <c r="I5208"/>
      <c r="J5208" s="68"/>
    </row>
    <row r="5209" spans="8:10">
      <c r="H5209"/>
      <c r="I5209"/>
      <c r="J5209" s="68"/>
    </row>
    <row r="5210" spans="8:10">
      <c r="H5210"/>
      <c r="I5210"/>
      <c r="J5210" s="68"/>
    </row>
    <row r="5211" spans="8:10">
      <c r="H5211"/>
      <c r="I5211"/>
      <c r="J5211" s="68"/>
    </row>
    <row r="5212" spans="8:10">
      <c r="H5212"/>
      <c r="I5212"/>
      <c r="J5212" s="68"/>
    </row>
    <row r="5213" spans="8:10">
      <c r="H5213"/>
      <c r="I5213"/>
      <c r="J5213" s="68"/>
    </row>
    <row r="5214" spans="8:10">
      <c r="H5214"/>
      <c r="I5214"/>
      <c r="J5214" s="68"/>
    </row>
    <row r="5215" spans="8:10">
      <c r="H5215"/>
      <c r="I5215"/>
      <c r="J5215" s="68"/>
    </row>
    <row r="5216" spans="8:10">
      <c r="H5216"/>
      <c r="I5216"/>
      <c r="J5216" s="68"/>
    </row>
    <row r="5217" spans="8:10">
      <c r="H5217"/>
      <c r="I5217"/>
      <c r="J5217" s="68"/>
    </row>
    <row r="5218" spans="8:10">
      <c r="H5218"/>
      <c r="I5218"/>
      <c r="J5218" s="68"/>
    </row>
    <row r="5219" spans="8:10">
      <c r="H5219"/>
      <c r="I5219"/>
      <c r="J5219" s="68"/>
    </row>
    <row r="5220" spans="8:10">
      <c r="H5220"/>
      <c r="I5220"/>
      <c r="J5220" s="68"/>
    </row>
    <row r="5221" spans="8:10">
      <c r="H5221"/>
      <c r="I5221"/>
      <c r="J5221" s="68"/>
    </row>
    <row r="5222" spans="8:10">
      <c r="H5222"/>
      <c r="I5222"/>
      <c r="J5222" s="68"/>
    </row>
    <row r="5223" spans="8:10">
      <c r="H5223"/>
      <c r="I5223"/>
      <c r="J5223" s="68"/>
    </row>
    <row r="5224" spans="8:10">
      <c r="H5224"/>
      <c r="I5224"/>
      <c r="J5224" s="68"/>
    </row>
    <row r="5225" spans="8:10">
      <c r="H5225"/>
      <c r="I5225"/>
      <c r="J5225" s="68"/>
    </row>
    <row r="5226" spans="8:10">
      <c r="H5226"/>
      <c r="I5226"/>
      <c r="J5226" s="68"/>
    </row>
    <row r="5227" spans="8:10">
      <c r="H5227"/>
      <c r="I5227"/>
      <c r="J5227" s="68"/>
    </row>
    <row r="5228" spans="8:10">
      <c r="H5228"/>
      <c r="I5228"/>
      <c r="J5228" s="68"/>
    </row>
    <row r="5229" spans="8:10">
      <c r="H5229"/>
      <c r="I5229"/>
      <c r="J5229" s="68"/>
    </row>
    <row r="5230" spans="8:10">
      <c r="H5230"/>
      <c r="I5230"/>
      <c r="J5230" s="68"/>
    </row>
    <row r="5231" spans="8:10">
      <c r="H5231"/>
      <c r="I5231"/>
      <c r="J5231" s="68"/>
    </row>
    <row r="5232" spans="8:10">
      <c r="H5232"/>
      <c r="I5232"/>
      <c r="J5232" s="68"/>
    </row>
    <row r="5233" spans="8:10">
      <c r="H5233"/>
      <c r="I5233"/>
      <c r="J5233" s="68"/>
    </row>
    <row r="5234" spans="8:10">
      <c r="H5234"/>
      <c r="I5234"/>
      <c r="J5234" s="68"/>
    </row>
    <row r="5235" spans="8:10">
      <c r="H5235"/>
      <c r="I5235"/>
      <c r="J5235" s="68"/>
    </row>
    <row r="5236" spans="8:10">
      <c r="H5236"/>
      <c r="I5236"/>
      <c r="J5236" s="68"/>
    </row>
    <row r="5237" spans="8:10">
      <c r="H5237"/>
      <c r="I5237"/>
      <c r="J5237" s="68"/>
    </row>
    <row r="5238" spans="8:10">
      <c r="H5238"/>
      <c r="I5238"/>
      <c r="J5238" s="68"/>
    </row>
    <row r="5239" spans="8:10">
      <c r="H5239"/>
      <c r="I5239"/>
      <c r="J5239" s="68"/>
    </row>
    <row r="5240" spans="8:10">
      <c r="H5240"/>
      <c r="I5240"/>
      <c r="J5240" s="68"/>
    </row>
    <row r="5241" spans="8:10">
      <c r="H5241"/>
      <c r="I5241"/>
      <c r="J5241" s="68"/>
    </row>
    <row r="5242" spans="8:10">
      <c r="H5242"/>
      <c r="I5242"/>
      <c r="J5242" s="68"/>
    </row>
    <row r="5243" spans="8:10">
      <c r="H5243"/>
      <c r="I5243"/>
      <c r="J5243" s="68"/>
    </row>
    <row r="5244" spans="8:10">
      <c r="H5244"/>
      <c r="I5244"/>
      <c r="J5244" s="68"/>
    </row>
    <row r="5245" spans="8:10">
      <c r="H5245"/>
      <c r="I5245"/>
      <c r="J5245" s="68"/>
    </row>
    <row r="5246" spans="8:10">
      <c r="H5246"/>
      <c r="I5246"/>
      <c r="J5246" s="68"/>
    </row>
    <row r="5247" spans="8:10">
      <c r="H5247"/>
      <c r="I5247"/>
      <c r="J5247" s="68"/>
    </row>
    <row r="5248" spans="8:10">
      <c r="H5248"/>
      <c r="I5248"/>
      <c r="J5248" s="68"/>
    </row>
    <row r="5249" spans="8:10">
      <c r="H5249"/>
      <c r="I5249"/>
      <c r="J5249" s="68"/>
    </row>
    <row r="5250" spans="8:10">
      <c r="H5250"/>
      <c r="I5250"/>
      <c r="J5250" s="68"/>
    </row>
    <row r="5251" spans="8:10">
      <c r="H5251"/>
      <c r="I5251"/>
      <c r="J5251" s="68"/>
    </row>
    <row r="5252" spans="8:10">
      <c r="H5252"/>
      <c r="I5252"/>
      <c r="J5252" s="68"/>
    </row>
    <row r="5253" spans="8:10">
      <c r="H5253"/>
      <c r="I5253"/>
      <c r="J5253" s="68"/>
    </row>
    <row r="5254" spans="8:10">
      <c r="H5254"/>
      <c r="I5254"/>
      <c r="J5254" s="68"/>
    </row>
    <row r="5255" spans="8:10">
      <c r="H5255"/>
      <c r="I5255"/>
      <c r="J5255" s="68"/>
    </row>
    <row r="5256" spans="8:10">
      <c r="H5256"/>
      <c r="I5256"/>
      <c r="J5256" s="68"/>
    </row>
    <row r="5257" spans="8:10">
      <c r="H5257"/>
      <c r="I5257"/>
      <c r="J5257" s="68"/>
    </row>
    <row r="5258" spans="8:10">
      <c r="H5258"/>
      <c r="I5258"/>
      <c r="J5258" s="68"/>
    </row>
    <row r="5259" spans="8:10">
      <c r="H5259"/>
      <c r="I5259"/>
      <c r="J5259" s="68"/>
    </row>
    <row r="5260" spans="8:10">
      <c r="H5260"/>
      <c r="I5260"/>
      <c r="J5260" s="68"/>
    </row>
    <row r="5261" spans="8:10">
      <c r="H5261"/>
      <c r="I5261"/>
      <c r="J5261" s="68"/>
    </row>
    <row r="5262" spans="8:10">
      <c r="H5262"/>
      <c r="I5262"/>
      <c r="J5262" s="68"/>
    </row>
    <row r="5263" spans="8:10">
      <c r="H5263"/>
      <c r="I5263"/>
      <c r="J5263" s="68"/>
    </row>
    <row r="5264" spans="8:10">
      <c r="H5264"/>
      <c r="I5264"/>
      <c r="J5264" s="68"/>
    </row>
    <row r="5265" spans="8:10">
      <c r="H5265"/>
      <c r="I5265"/>
      <c r="J5265" s="68"/>
    </row>
    <row r="5266" spans="8:10">
      <c r="H5266"/>
      <c r="I5266"/>
      <c r="J5266" s="68"/>
    </row>
    <row r="5267" spans="8:10">
      <c r="H5267"/>
      <c r="I5267"/>
      <c r="J5267" s="68"/>
    </row>
    <row r="5268" spans="8:10">
      <c r="H5268"/>
      <c r="I5268"/>
      <c r="J5268" s="68"/>
    </row>
    <row r="5269" spans="8:10">
      <c r="H5269"/>
      <c r="I5269"/>
      <c r="J5269" s="68"/>
    </row>
    <row r="5270" spans="8:10">
      <c r="H5270"/>
      <c r="I5270"/>
      <c r="J5270" s="68"/>
    </row>
    <row r="5271" spans="8:10">
      <c r="H5271"/>
      <c r="I5271"/>
      <c r="J5271" s="68"/>
    </row>
    <row r="5272" spans="8:10">
      <c r="H5272"/>
      <c r="I5272"/>
      <c r="J5272" s="68"/>
    </row>
    <row r="5273" spans="8:10">
      <c r="H5273"/>
      <c r="I5273"/>
      <c r="J5273" s="68"/>
    </row>
    <row r="5274" spans="8:10">
      <c r="H5274"/>
      <c r="I5274"/>
      <c r="J5274" s="68"/>
    </row>
    <row r="5275" spans="8:10">
      <c r="H5275"/>
      <c r="I5275"/>
      <c r="J5275" s="68"/>
    </row>
    <row r="5276" spans="8:10">
      <c r="H5276"/>
      <c r="I5276"/>
      <c r="J5276" s="68"/>
    </row>
    <row r="5277" spans="8:10">
      <c r="H5277"/>
      <c r="I5277"/>
      <c r="J5277" s="68"/>
    </row>
    <row r="5278" spans="8:10">
      <c r="H5278"/>
      <c r="I5278"/>
      <c r="J5278" s="68"/>
    </row>
    <row r="5279" spans="8:10">
      <c r="H5279"/>
      <c r="I5279"/>
      <c r="J5279" s="68"/>
    </row>
    <row r="5280" spans="8:10">
      <c r="H5280"/>
      <c r="I5280"/>
      <c r="J5280" s="68"/>
    </row>
    <row r="5281" spans="8:10">
      <c r="H5281"/>
      <c r="I5281"/>
      <c r="J5281" s="68"/>
    </row>
    <row r="5282" spans="8:10">
      <c r="H5282"/>
      <c r="I5282"/>
      <c r="J5282" s="68"/>
    </row>
    <row r="5283" spans="8:10">
      <c r="H5283"/>
      <c r="I5283"/>
      <c r="J5283" s="68"/>
    </row>
    <row r="5284" spans="8:10">
      <c r="H5284"/>
      <c r="I5284"/>
      <c r="J5284" s="68"/>
    </row>
    <row r="5285" spans="8:10">
      <c r="H5285"/>
      <c r="I5285"/>
      <c r="J5285" s="68"/>
    </row>
    <row r="5286" spans="8:10">
      <c r="H5286"/>
      <c r="I5286"/>
      <c r="J5286" s="68"/>
    </row>
    <row r="5287" spans="8:10">
      <c r="H5287"/>
      <c r="I5287"/>
      <c r="J5287" s="68"/>
    </row>
    <row r="5288" spans="8:10">
      <c r="H5288"/>
      <c r="I5288"/>
      <c r="J5288" s="68"/>
    </row>
    <row r="5289" spans="8:10">
      <c r="H5289"/>
      <c r="I5289"/>
      <c r="J5289" s="68"/>
    </row>
    <row r="5290" spans="8:10">
      <c r="H5290"/>
      <c r="I5290"/>
      <c r="J5290" s="68"/>
    </row>
    <row r="5291" spans="8:10">
      <c r="H5291"/>
      <c r="I5291"/>
      <c r="J5291" s="68"/>
    </row>
    <row r="5292" spans="8:10">
      <c r="H5292"/>
      <c r="I5292"/>
      <c r="J5292" s="68"/>
    </row>
    <row r="5293" spans="8:10">
      <c r="H5293"/>
      <c r="I5293"/>
      <c r="J5293" s="68"/>
    </row>
    <row r="5294" spans="8:10">
      <c r="H5294"/>
      <c r="I5294"/>
      <c r="J5294" s="68"/>
    </row>
    <row r="5295" spans="8:10">
      <c r="H5295"/>
      <c r="I5295"/>
      <c r="J5295" s="68"/>
    </row>
    <row r="5296" spans="8:10">
      <c r="H5296"/>
      <c r="I5296"/>
      <c r="J5296" s="68"/>
    </row>
    <row r="5297" spans="8:10">
      <c r="H5297"/>
      <c r="I5297"/>
      <c r="J5297" s="68"/>
    </row>
    <row r="5298" spans="8:10">
      <c r="H5298"/>
      <c r="I5298"/>
      <c r="J5298" s="68"/>
    </row>
    <row r="5299" spans="8:10">
      <c r="H5299"/>
      <c r="I5299"/>
      <c r="J5299" s="68"/>
    </row>
    <row r="5300" spans="8:10">
      <c r="H5300"/>
      <c r="I5300"/>
      <c r="J5300" s="68"/>
    </row>
    <row r="5301" spans="8:10">
      <c r="H5301"/>
      <c r="I5301"/>
      <c r="J5301" s="68"/>
    </row>
    <row r="5302" spans="8:10">
      <c r="H5302"/>
      <c r="I5302"/>
      <c r="J5302" s="68"/>
    </row>
    <row r="5303" spans="8:10">
      <c r="H5303"/>
      <c r="I5303"/>
      <c r="J5303" s="68"/>
    </row>
    <row r="5304" spans="8:10">
      <c r="H5304"/>
      <c r="I5304"/>
      <c r="J5304" s="68"/>
    </row>
    <row r="5305" spans="8:10">
      <c r="H5305"/>
      <c r="I5305"/>
      <c r="J5305" s="68"/>
    </row>
    <row r="5306" spans="8:10">
      <c r="H5306"/>
      <c r="I5306"/>
      <c r="J5306" s="68"/>
    </row>
    <row r="5307" spans="8:10">
      <c r="H5307"/>
      <c r="I5307"/>
      <c r="J5307" s="68"/>
    </row>
    <row r="5308" spans="8:10">
      <c r="H5308"/>
      <c r="I5308"/>
      <c r="J5308" s="68"/>
    </row>
    <row r="5309" spans="8:10">
      <c r="H5309"/>
      <c r="I5309"/>
      <c r="J5309" s="68"/>
    </row>
    <row r="5310" spans="8:10">
      <c r="H5310"/>
      <c r="I5310"/>
      <c r="J5310" s="68"/>
    </row>
    <row r="5311" spans="8:10">
      <c r="H5311"/>
      <c r="I5311"/>
      <c r="J5311" s="68"/>
    </row>
    <row r="5312" spans="8:10">
      <c r="H5312"/>
      <c r="I5312"/>
      <c r="J5312" s="68"/>
    </row>
    <row r="5313" spans="8:10">
      <c r="H5313"/>
      <c r="I5313"/>
      <c r="J5313" s="68"/>
    </row>
    <row r="5314" spans="8:10">
      <c r="H5314"/>
      <c r="I5314"/>
      <c r="J5314" s="68"/>
    </row>
    <row r="5315" spans="8:10">
      <c r="H5315"/>
      <c r="I5315"/>
      <c r="J5315" s="68"/>
    </row>
    <row r="5316" spans="8:10">
      <c r="H5316"/>
      <c r="I5316"/>
      <c r="J5316" s="68"/>
    </row>
    <row r="5317" spans="8:10">
      <c r="H5317"/>
      <c r="I5317"/>
      <c r="J5317" s="68"/>
    </row>
    <row r="5318" spans="8:10">
      <c r="H5318"/>
      <c r="I5318"/>
      <c r="J5318" s="68"/>
    </row>
    <row r="5319" spans="8:10">
      <c r="H5319"/>
      <c r="I5319"/>
      <c r="J5319" s="68"/>
    </row>
    <row r="5320" spans="8:10">
      <c r="H5320"/>
      <c r="I5320"/>
      <c r="J5320" s="68"/>
    </row>
    <row r="5321" spans="8:10">
      <c r="H5321"/>
      <c r="I5321"/>
      <c r="J5321" s="68"/>
    </row>
    <row r="5322" spans="8:10">
      <c r="H5322"/>
      <c r="I5322"/>
      <c r="J5322" s="68"/>
    </row>
    <row r="5323" spans="8:10">
      <c r="H5323"/>
      <c r="I5323"/>
      <c r="J5323" s="68"/>
    </row>
    <row r="5324" spans="8:10">
      <c r="H5324"/>
      <c r="I5324"/>
      <c r="J5324" s="68"/>
    </row>
    <row r="5325" spans="8:10">
      <c r="H5325"/>
      <c r="I5325"/>
      <c r="J5325" s="68"/>
    </row>
    <row r="5326" spans="8:10">
      <c r="H5326"/>
      <c r="I5326"/>
      <c r="J5326" s="68"/>
    </row>
    <row r="5327" spans="8:10">
      <c r="H5327"/>
      <c r="I5327"/>
      <c r="J5327" s="68"/>
    </row>
    <row r="5328" spans="8:10">
      <c r="H5328"/>
      <c r="I5328"/>
      <c r="J5328" s="68"/>
    </row>
    <row r="5329" spans="8:10">
      <c r="H5329"/>
      <c r="I5329"/>
      <c r="J5329" s="68"/>
    </row>
    <row r="5330" spans="8:10">
      <c r="H5330"/>
      <c r="I5330"/>
      <c r="J5330" s="68"/>
    </row>
    <row r="5331" spans="8:10">
      <c r="H5331"/>
      <c r="I5331"/>
      <c r="J5331" s="68"/>
    </row>
    <row r="5332" spans="8:10">
      <c r="H5332"/>
      <c r="I5332"/>
      <c r="J5332" s="68"/>
    </row>
    <row r="5333" spans="8:10">
      <c r="H5333"/>
      <c r="I5333"/>
      <c r="J5333" s="68"/>
    </row>
    <row r="5334" spans="8:10">
      <c r="H5334"/>
      <c r="I5334"/>
      <c r="J5334" s="68"/>
    </row>
    <row r="5335" spans="8:10">
      <c r="H5335"/>
      <c r="I5335"/>
      <c r="J5335" s="68"/>
    </row>
    <row r="5336" spans="8:10">
      <c r="H5336"/>
      <c r="I5336"/>
      <c r="J5336" s="68"/>
    </row>
    <row r="5337" spans="8:10">
      <c r="H5337"/>
      <c r="I5337"/>
      <c r="J5337" s="68"/>
    </row>
    <row r="5338" spans="8:10">
      <c r="H5338"/>
      <c r="I5338"/>
      <c r="J5338" s="68"/>
    </row>
    <row r="5339" spans="8:10">
      <c r="H5339"/>
      <c r="I5339"/>
      <c r="J5339" s="68"/>
    </row>
    <row r="5340" spans="8:10">
      <c r="H5340"/>
      <c r="I5340"/>
      <c r="J5340" s="68"/>
    </row>
    <row r="5341" spans="8:10">
      <c r="H5341"/>
      <c r="I5341"/>
      <c r="J5341" s="68"/>
    </row>
    <row r="5342" spans="8:10">
      <c r="H5342"/>
      <c r="I5342"/>
      <c r="J5342" s="68"/>
    </row>
    <row r="5343" spans="8:10">
      <c r="H5343"/>
      <c r="I5343"/>
      <c r="J5343" s="68"/>
    </row>
    <row r="5344" spans="8:10">
      <c r="H5344"/>
      <c r="I5344"/>
      <c r="J5344" s="68"/>
    </row>
    <row r="5345" spans="8:10">
      <c r="H5345"/>
      <c r="I5345"/>
      <c r="J5345" s="68"/>
    </row>
    <row r="5346" spans="8:10">
      <c r="H5346"/>
      <c r="I5346"/>
      <c r="J5346" s="68"/>
    </row>
    <row r="5347" spans="8:10">
      <c r="H5347"/>
      <c r="I5347"/>
      <c r="J5347" s="68"/>
    </row>
    <row r="5348" spans="8:10">
      <c r="H5348"/>
      <c r="I5348"/>
      <c r="J5348" s="68"/>
    </row>
    <row r="5349" spans="8:10">
      <c r="H5349"/>
      <c r="I5349"/>
      <c r="J5349" s="68"/>
    </row>
    <row r="5350" spans="8:10">
      <c r="H5350"/>
      <c r="I5350"/>
      <c r="J5350" s="68"/>
    </row>
    <row r="5351" spans="8:10">
      <c r="H5351"/>
      <c r="I5351"/>
      <c r="J5351" s="68"/>
    </row>
    <row r="5352" spans="8:10">
      <c r="H5352"/>
      <c r="I5352"/>
      <c r="J5352" s="68"/>
    </row>
    <row r="5353" spans="8:10">
      <c r="H5353"/>
      <c r="I5353"/>
      <c r="J5353" s="68"/>
    </row>
    <row r="5354" spans="8:10">
      <c r="H5354"/>
      <c r="I5354"/>
      <c r="J5354" s="68"/>
    </row>
    <row r="5355" spans="8:10">
      <c r="H5355"/>
      <c r="I5355"/>
      <c r="J5355" s="68"/>
    </row>
    <row r="5356" spans="8:10">
      <c r="H5356"/>
      <c r="I5356"/>
      <c r="J5356" s="68"/>
    </row>
    <row r="5357" spans="8:10">
      <c r="H5357"/>
      <c r="I5357"/>
      <c r="J5357" s="68"/>
    </row>
    <row r="5358" spans="8:10">
      <c r="H5358"/>
      <c r="I5358"/>
      <c r="J5358" s="68"/>
    </row>
    <row r="5359" spans="8:10">
      <c r="H5359"/>
      <c r="I5359"/>
      <c r="J5359" s="68"/>
    </row>
    <row r="5360" spans="8:10">
      <c r="H5360"/>
      <c r="I5360"/>
      <c r="J5360" s="68"/>
    </row>
    <row r="5361" spans="8:10">
      <c r="H5361"/>
      <c r="I5361"/>
      <c r="J5361" s="68"/>
    </row>
    <row r="5362" spans="8:10">
      <c r="H5362"/>
      <c r="I5362"/>
      <c r="J5362" s="68"/>
    </row>
    <row r="5363" spans="8:10">
      <c r="H5363"/>
      <c r="I5363"/>
      <c r="J5363" s="68"/>
    </row>
    <row r="5364" spans="8:10">
      <c r="H5364"/>
      <c r="I5364"/>
      <c r="J5364" s="68"/>
    </row>
    <row r="5365" spans="8:10">
      <c r="H5365"/>
      <c r="I5365"/>
      <c r="J5365" s="68"/>
    </row>
    <row r="5366" spans="8:10">
      <c r="H5366"/>
      <c r="I5366"/>
      <c r="J5366" s="68"/>
    </row>
    <row r="5367" spans="8:10">
      <c r="H5367"/>
      <c r="I5367"/>
      <c r="J5367" s="68"/>
    </row>
    <row r="5368" spans="8:10">
      <c r="H5368"/>
      <c r="I5368"/>
      <c r="J5368" s="68"/>
    </row>
    <row r="5369" spans="8:10">
      <c r="H5369"/>
      <c r="I5369"/>
      <c r="J5369" s="68"/>
    </row>
    <row r="5370" spans="8:10">
      <c r="H5370"/>
      <c r="I5370"/>
      <c r="J5370" s="68"/>
    </row>
    <row r="5371" spans="8:10">
      <c r="H5371"/>
      <c r="I5371"/>
      <c r="J5371" s="68"/>
    </row>
    <row r="5372" spans="8:10">
      <c r="H5372"/>
      <c r="I5372"/>
      <c r="J5372" s="68"/>
    </row>
    <row r="5373" spans="8:10">
      <c r="H5373"/>
      <c r="I5373"/>
      <c r="J5373" s="68"/>
    </row>
    <row r="5374" spans="8:10">
      <c r="H5374"/>
      <c r="I5374"/>
      <c r="J5374" s="68"/>
    </row>
    <row r="5375" spans="8:10">
      <c r="H5375"/>
      <c r="I5375"/>
      <c r="J5375" s="68"/>
    </row>
    <row r="5376" spans="8:10">
      <c r="H5376"/>
      <c r="I5376"/>
      <c r="J5376" s="68"/>
    </row>
    <row r="5377" spans="8:10">
      <c r="H5377"/>
      <c r="I5377"/>
      <c r="J5377" s="68"/>
    </row>
    <row r="5378" spans="8:10">
      <c r="H5378"/>
      <c r="I5378"/>
      <c r="J5378" s="68"/>
    </row>
    <row r="5379" spans="8:10">
      <c r="H5379"/>
      <c r="I5379"/>
      <c r="J5379" s="68"/>
    </row>
    <row r="5380" spans="8:10">
      <c r="H5380"/>
      <c r="I5380"/>
      <c r="J5380" s="68"/>
    </row>
    <row r="5381" spans="8:10">
      <c r="H5381"/>
      <c r="I5381"/>
      <c r="J5381" s="68"/>
    </row>
    <row r="5382" spans="8:10">
      <c r="H5382"/>
      <c r="I5382"/>
      <c r="J5382" s="68"/>
    </row>
    <row r="5383" spans="8:10">
      <c r="H5383"/>
      <c r="I5383"/>
      <c r="J5383" s="68"/>
    </row>
    <row r="5384" spans="8:10">
      <c r="H5384"/>
      <c r="I5384"/>
      <c r="J5384" s="68"/>
    </row>
    <row r="5385" spans="8:10">
      <c r="H5385"/>
      <c r="I5385"/>
      <c r="J5385" s="68"/>
    </row>
    <row r="5386" spans="8:10">
      <c r="H5386"/>
      <c r="I5386"/>
      <c r="J5386" s="68"/>
    </row>
    <row r="5387" spans="8:10">
      <c r="H5387"/>
      <c r="I5387"/>
      <c r="J5387" s="68"/>
    </row>
    <row r="5388" spans="8:10">
      <c r="H5388"/>
      <c r="I5388"/>
      <c r="J5388" s="68"/>
    </row>
    <row r="5389" spans="8:10">
      <c r="H5389"/>
      <c r="I5389"/>
      <c r="J5389" s="68"/>
    </row>
    <row r="5390" spans="8:10">
      <c r="H5390"/>
      <c r="I5390"/>
      <c r="J5390" s="68"/>
    </row>
    <row r="5391" spans="8:10">
      <c r="H5391"/>
      <c r="I5391"/>
      <c r="J5391" s="68"/>
    </row>
    <row r="5392" spans="8:10">
      <c r="H5392"/>
      <c r="I5392"/>
      <c r="J5392" s="68"/>
    </row>
    <row r="5393" spans="8:10">
      <c r="H5393"/>
      <c r="I5393"/>
      <c r="J5393" s="68"/>
    </row>
    <row r="5394" spans="8:10">
      <c r="H5394"/>
      <c r="I5394"/>
      <c r="J5394" s="68"/>
    </row>
    <row r="5395" spans="8:10">
      <c r="H5395"/>
      <c r="I5395"/>
      <c r="J5395" s="68"/>
    </row>
    <row r="5396" spans="8:10">
      <c r="H5396"/>
      <c r="I5396"/>
      <c r="J5396" s="68"/>
    </row>
    <row r="5397" spans="8:10">
      <c r="H5397"/>
      <c r="I5397"/>
      <c r="J5397" s="68"/>
    </row>
    <row r="5398" spans="8:10">
      <c r="H5398"/>
      <c r="I5398"/>
      <c r="J5398" s="68"/>
    </row>
    <row r="5399" spans="8:10">
      <c r="H5399"/>
      <c r="I5399"/>
      <c r="J5399" s="68"/>
    </row>
    <row r="5400" spans="8:10">
      <c r="H5400"/>
      <c r="I5400"/>
      <c r="J5400" s="68"/>
    </row>
    <row r="5401" spans="8:10">
      <c r="H5401"/>
      <c r="I5401"/>
      <c r="J5401" s="68"/>
    </row>
    <row r="5402" spans="8:10">
      <c r="H5402"/>
      <c r="I5402"/>
      <c r="J5402" s="68"/>
    </row>
    <row r="5403" spans="8:10">
      <c r="H5403"/>
      <c r="I5403"/>
      <c r="J5403" s="68"/>
    </row>
    <row r="5404" spans="8:10">
      <c r="H5404"/>
      <c r="I5404"/>
      <c r="J5404" s="68"/>
    </row>
    <row r="5405" spans="8:10">
      <c r="H5405"/>
      <c r="I5405"/>
      <c r="J5405" s="68"/>
    </row>
    <row r="5406" spans="8:10">
      <c r="H5406"/>
      <c r="I5406"/>
      <c r="J5406" s="68"/>
    </row>
    <row r="5407" spans="8:10">
      <c r="H5407"/>
      <c r="I5407"/>
      <c r="J5407" s="68"/>
    </row>
    <row r="5408" spans="8:10">
      <c r="H5408"/>
      <c r="I5408"/>
      <c r="J5408" s="68"/>
    </row>
    <row r="5409" spans="8:10">
      <c r="H5409"/>
      <c r="I5409"/>
      <c r="J5409" s="68"/>
    </row>
    <row r="5410" spans="8:10">
      <c r="H5410"/>
      <c r="I5410"/>
      <c r="J5410" s="68"/>
    </row>
    <row r="5411" spans="8:10">
      <c r="H5411"/>
      <c r="I5411"/>
      <c r="J5411" s="68"/>
    </row>
    <row r="5412" spans="8:10">
      <c r="H5412"/>
      <c r="I5412"/>
      <c r="J5412" s="68"/>
    </row>
    <row r="5413" spans="8:10">
      <c r="H5413"/>
      <c r="I5413"/>
      <c r="J5413" s="68"/>
    </row>
    <row r="5414" spans="8:10">
      <c r="H5414"/>
      <c r="I5414"/>
      <c r="J5414" s="68"/>
    </row>
    <row r="5415" spans="8:10">
      <c r="H5415"/>
      <c r="I5415"/>
      <c r="J5415" s="68"/>
    </row>
    <row r="5416" spans="8:10">
      <c r="H5416"/>
      <c r="I5416"/>
      <c r="J5416" s="68"/>
    </row>
    <row r="5417" spans="8:10">
      <c r="H5417"/>
      <c r="I5417"/>
      <c r="J5417" s="68"/>
    </row>
    <row r="5418" spans="8:10">
      <c r="H5418"/>
      <c r="I5418"/>
      <c r="J5418" s="68"/>
    </row>
    <row r="5419" spans="8:10">
      <c r="H5419"/>
      <c r="I5419"/>
      <c r="J5419" s="68"/>
    </row>
    <row r="5420" spans="8:10">
      <c r="H5420"/>
      <c r="I5420"/>
      <c r="J5420" s="68"/>
    </row>
    <row r="5421" spans="8:10">
      <c r="H5421"/>
      <c r="I5421"/>
      <c r="J5421" s="68"/>
    </row>
    <row r="5422" spans="8:10">
      <c r="H5422"/>
      <c r="I5422"/>
      <c r="J5422" s="68"/>
    </row>
    <row r="5423" spans="8:10">
      <c r="H5423"/>
      <c r="I5423"/>
      <c r="J5423" s="68"/>
    </row>
    <row r="5424" spans="8:10">
      <c r="H5424"/>
      <c r="I5424"/>
      <c r="J5424" s="68"/>
    </row>
    <row r="5425" spans="8:10">
      <c r="H5425"/>
      <c r="I5425"/>
      <c r="J5425" s="68"/>
    </row>
    <row r="5426" spans="8:10">
      <c r="H5426"/>
      <c r="I5426"/>
      <c r="J5426" s="68"/>
    </row>
    <row r="5427" spans="8:10">
      <c r="H5427"/>
      <c r="I5427"/>
      <c r="J5427" s="68"/>
    </row>
    <row r="5428" spans="8:10">
      <c r="H5428"/>
      <c r="I5428"/>
      <c r="J5428" s="68"/>
    </row>
    <row r="5429" spans="8:10">
      <c r="H5429"/>
      <c r="I5429"/>
      <c r="J5429" s="68"/>
    </row>
    <row r="5430" spans="8:10">
      <c r="H5430"/>
      <c r="I5430"/>
      <c r="J5430" s="68"/>
    </row>
    <row r="5431" spans="8:10">
      <c r="H5431"/>
      <c r="I5431"/>
      <c r="J5431" s="68"/>
    </row>
    <row r="5432" spans="8:10">
      <c r="H5432"/>
      <c r="I5432"/>
      <c r="J5432" s="68"/>
    </row>
    <row r="5433" spans="8:10">
      <c r="H5433"/>
      <c r="I5433"/>
      <c r="J5433" s="68"/>
    </row>
    <row r="5434" spans="8:10">
      <c r="H5434"/>
      <c r="I5434"/>
      <c r="J5434" s="68"/>
    </row>
    <row r="5435" spans="8:10">
      <c r="H5435"/>
      <c r="I5435"/>
      <c r="J5435" s="68"/>
    </row>
    <row r="5436" spans="8:10">
      <c r="H5436"/>
      <c r="I5436"/>
      <c r="J5436" s="68"/>
    </row>
    <row r="5437" spans="8:10">
      <c r="H5437"/>
      <c r="I5437"/>
      <c r="J5437" s="68"/>
    </row>
    <row r="5438" spans="8:10">
      <c r="H5438"/>
      <c r="I5438"/>
      <c r="J5438" s="68"/>
    </row>
    <row r="5439" spans="8:10">
      <c r="H5439"/>
      <c r="I5439"/>
      <c r="J5439" s="68"/>
    </row>
    <row r="5440" spans="8:10">
      <c r="H5440"/>
      <c r="I5440"/>
      <c r="J5440" s="68"/>
    </row>
    <row r="5441" spans="8:10">
      <c r="H5441"/>
      <c r="I5441"/>
      <c r="J5441" s="68"/>
    </row>
    <row r="5442" spans="8:10">
      <c r="H5442"/>
      <c r="I5442"/>
      <c r="J5442" s="68"/>
    </row>
    <row r="5443" spans="8:10">
      <c r="H5443"/>
      <c r="I5443"/>
      <c r="J5443" s="68"/>
    </row>
    <row r="5444" spans="8:10">
      <c r="H5444"/>
      <c r="I5444"/>
      <c r="J5444" s="68"/>
    </row>
    <row r="5445" spans="8:10">
      <c r="H5445"/>
      <c r="I5445"/>
      <c r="J5445" s="68"/>
    </row>
    <row r="5446" spans="8:10">
      <c r="H5446"/>
      <c r="I5446"/>
      <c r="J5446" s="68"/>
    </row>
    <row r="5447" spans="8:10">
      <c r="H5447"/>
      <c r="I5447"/>
      <c r="J5447" s="68"/>
    </row>
    <row r="5448" spans="8:10">
      <c r="H5448"/>
      <c r="I5448"/>
      <c r="J5448" s="68"/>
    </row>
    <row r="5449" spans="8:10">
      <c r="H5449"/>
      <c r="I5449"/>
      <c r="J5449" s="68"/>
    </row>
    <row r="5450" spans="8:10">
      <c r="H5450"/>
      <c r="I5450"/>
      <c r="J5450" s="68"/>
    </row>
    <row r="5451" spans="8:10">
      <c r="H5451"/>
      <c r="I5451"/>
      <c r="J5451" s="68"/>
    </row>
    <row r="5452" spans="8:10">
      <c r="H5452"/>
      <c r="I5452"/>
      <c r="J5452" s="68"/>
    </row>
    <row r="5453" spans="8:10">
      <c r="H5453"/>
      <c r="I5453"/>
      <c r="J5453" s="68"/>
    </row>
    <row r="5454" spans="8:10">
      <c r="H5454"/>
      <c r="I5454"/>
      <c r="J5454" s="68"/>
    </row>
    <row r="5455" spans="8:10">
      <c r="H5455"/>
      <c r="I5455"/>
      <c r="J5455" s="68"/>
    </row>
    <row r="5456" spans="8:10">
      <c r="H5456"/>
      <c r="I5456"/>
      <c r="J5456" s="68"/>
    </row>
    <row r="5457" spans="8:10">
      <c r="H5457"/>
      <c r="I5457"/>
      <c r="J5457" s="68"/>
    </row>
    <row r="5458" spans="8:10">
      <c r="H5458"/>
      <c r="I5458"/>
      <c r="J5458" s="68"/>
    </row>
    <row r="5459" spans="8:10">
      <c r="H5459"/>
      <c r="I5459"/>
      <c r="J5459" s="68"/>
    </row>
    <row r="5460" spans="8:10">
      <c r="H5460"/>
      <c r="I5460"/>
      <c r="J5460" s="68"/>
    </row>
    <row r="5461" spans="8:10">
      <c r="H5461"/>
      <c r="I5461"/>
      <c r="J5461" s="68"/>
    </row>
    <row r="5462" spans="8:10">
      <c r="H5462"/>
      <c r="I5462"/>
      <c r="J5462" s="68"/>
    </row>
    <row r="5463" spans="8:10">
      <c r="H5463"/>
      <c r="I5463"/>
      <c r="J5463" s="68"/>
    </row>
    <row r="5464" spans="8:10">
      <c r="H5464"/>
      <c r="I5464"/>
      <c r="J5464" s="68"/>
    </row>
    <row r="5465" spans="8:10">
      <c r="H5465"/>
      <c r="I5465"/>
      <c r="J5465" s="68"/>
    </row>
    <row r="5466" spans="8:10">
      <c r="H5466"/>
      <c r="I5466"/>
      <c r="J5466" s="68"/>
    </row>
    <row r="5467" spans="8:10">
      <c r="H5467"/>
      <c r="I5467"/>
      <c r="J5467" s="68"/>
    </row>
    <row r="5468" spans="8:10">
      <c r="H5468"/>
      <c r="I5468"/>
      <c r="J5468" s="68"/>
    </row>
    <row r="5469" spans="8:10">
      <c r="H5469"/>
      <c r="I5469"/>
      <c r="J5469" s="68"/>
    </row>
    <row r="5470" spans="8:10">
      <c r="H5470"/>
      <c r="I5470"/>
      <c r="J5470" s="68"/>
    </row>
    <row r="5471" spans="8:10">
      <c r="H5471"/>
      <c r="I5471"/>
      <c r="J5471" s="68"/>
    </row>
    <row r="5472" spans="8:10">
      <c r="H5472"/>
      <c r="I5472"/>
      <c r="J5472" s="68"/>
    </row>
    <row r="5473" spans="8:10">
      <c r="H5473"/>
      <c r="I5473"/>
      <c r="J5473" s="68"/>
    </row>
    <row r="5474" spans="8:10">
      <c r="H5474"/>
      <c r="I5474"/>
      <c r="J5474" s="68"/>
    </row>
    <row r="5475" spans="8:10">
      <c r="H5475"/>
      <c r="I5475"/>
      <c r="J5475" s="68"/>
    </row>
    <row r="5476" spans="8:10">
      <c r="H5476"/>
      <c r="I5476"/>
      <c r="J5476" s="68"/>
    </row>
    <row r="5477" spans="8:10">
      <c r="H5477"/>
      <c r="I5477"/>
      <c r="J5477" s="68"/>
    </row>
    <row r="5478" spans="8:10">
      <c r="H5478"/>
      <c r="I5478"/>
      <c r="J5478" s="68"/>
    </row>
    <row r="5479" spans="8:10">
      <c r="H5479"/>
      <c r="I5479"/>
      <c r="J5479" s="68"/>
    </row>
    <row r="5480" spans="8:10">
      <c r="H5480"/>
      <c r="I5480"/>
      <c r="J5480" s="68"/>
    </row>
    <row r="5481" spans="8:10">
      <c r="H5481"/>
      <c r="I5481"/>
      <c r="J5481" s="68"/>
    </row>
    <row r="5482" spans="8:10">
      <c r="H5482"/>
      <c r="I5482"/>
      <c r="J5482" s="68"/>
    </row>
    <row r="5483" spans="8:10">
      <c r="H5483"/>
      <c r="I5483"/>
      <c r="J5483" s="68"/>
    </row>
    <row r="5484" spans="8:10">
      <c r="H5484"/>
      <c r="I5484"/>
      <c r="J5484" s="68"/>
    </row>
    <row r="5485" spans="8:10">
      <c r="H5485"/>
      <c r="I5485"/>
      <c r="J5485" s="68"/>
    </row>
    <row r="5486" spans="8:10">
      <c r="H5486"/>
      <c r="I5486"/>
      <c r="J5486" s="68"/>
    </row>
    <row r="5487" spans="8:10">
      <c r="H5487"/>
      <c r="I5487"/>
      <c r="J5487" s="68"/>
    </row>
    <row r="5488" spans="8:10">
      <c r="H5488"/>
      <c r="I5488"/>
      <c r="J5488" s="68"/>
    </row>
    <row r="5489" spans="8:10">
      <c r="H5489"/>
      <c r="I5489"/>
      <c r="J5489" s="68"/>
    </row>
    <row r="5490" spans="8:10">
      <c r="H5490"/>
      <c r="I5490"/>
      <c r="J5490" s="68"/>
    </row>
    <row r="5491" spans="8:10">
      <c r="H5491"/>
      <c r="I5491"/>
      <c r="J5491" s="68"/>
    </row>
    <row r="5492" spans="8:10">
      <c r="H5492"/>
      <c r="I5492"/>
      <c r="J5492" s="68"/>
    </row>
    <row r="5493" spans="8:10">
      <c r="H5493"/>
      <c r="I5493"/>
      <c r="J5493" s="68"/>
    </row>
    <row r="5494" spans="8:10">
      <c r="H5494"/>
      <c r="I5494"/>
      <c r="J5494" s="68"/>
    </row>
    <row r="5495" spans="8:10">
      <c r="H5495"/>
      <c r="I5495"/>
      <c r="J5495" s="68"/>
    </row>
    <row r="5496" spans="8:10">
      <c r="H5496"/>
      <c r="I5496"/>
      <c r="J5496" s="68"/>
    </row>
    <row r="5497" spans="8:10">
      <c r="H5497"/>
      <c r="I5497"/>
      <c r="J5497" s="68"/>
    </row>
    <row r="5498" spans="8:10">
      <c r="H5498"/>
      <c r="I5498"/>
      <c r="J5498" s="68"/>
    </row>
    <row r="5499" spans="8:10">
      <c r="H5499"/>
      <c r="I5499"/>
      <c r="J5499" s="68"/>
    </row>
    <row r="5500" spans="8:10">
      <c r="H5500"/>
      <c r="I5500"/>
      <c r="J5500" s="68"/>
    </row>
    <row r="5501" spans="8:10">
      <c r="H5501"/>
      <c r="I5501"/>
      <c r="J5501" s="68"/>
    </row>
    <row r="5502" spans="8:10">
      <c r="H5502"/>
      <c r="I5502"/>
      <c r="J5502" s="68"/>
    </row>
    <row r="5503" spans="8:10">
      <c r="H5503"/>
      <c r="I5503"/>
      <c r="J5503" s="68"/>
    </row>
    <row r="5504" spans="8:10">
      <c r="H5504"/>
      <c r="I5504"/>
      <c r="J5504" s="68"/>
    </row>
    <row r="5505" spans="8:10">
      <c r="H5505"/>
      <c r="I5505"/>
      <c r="J5505" s="68"/>
    </row>
    <row r="5506" spans="8:10">
      <c r="H5506"/>
      <c r="I5506"/>
      <c r="J5506" s="68"/>
    </row>
    <row r="5507" spans="8:10">
      <c r="H5507"/>
      <c r="I5507"/>
      <c r="J5507" s="68"/>
    </row>
    <row r="5508" spans="8:10">
      <c r="H5508"/>
      <c r="I5508"/>
      <c r="J5508" s="68"/>
    </row>
    <row r="5509" spans="8:10">
      <c r="H5509"/>
      <c r="I5509"/>
      <c r="J5509" s="68"/>
    </row>
    <row r="5510" spans="8:10">
      <c r="H5510"/>
      <c r="I5510"/>
      <c r="J5510" s="68"/>
    </row>
    <row r="5511" spans="8:10">
      <c r="H5511"/>
      <c r="I5511"/>
      <c r="J5511" s="68"/>
    </row>
    <row r="5512" spans="8:10">
      <c r="H5512"/>
      <c r="I5512"/>
      <c r="J5512" s="68"/>
    </row>
    <row r="5513" spans="8:10">
      <c r="H5513"/>
      <c r="I5513"/>
      <c r="J5513" s="68"/>
    </row>
    <row r="5514" spans="8:10">
      <c r="H5514"/>
      <c r="I5514"/>
      <c r="J5514" s="68"/>
    </row>
    <row r="5515" spans="8:10">
      <c r="H5515"/>
      <c r="I5515"/>
      <c r="J5515" s="68"/>
    </row>
    <row r="5516" spans="8:10">
      <c r="H5516"/>
      <c r="I5516"/>
      <c r="J5516" s="68"/>
    </row>
    <row r="5517" spans="8:10">
      <c r="H5517"/>
      <c r="I5517"/>
      <c r="J5517" s="68"/>
    </row>
    <row r="5518" spans="8:10">
      <c r="H5518"/>
      <c r="I5518"/>
      <c r="J5518" s="68"/>
    </row>
    <row r="5519" spans="8:10">
      <c r="H5519"/>
      <c r="I5519"/>
      <c r="J5519" s="68"/>
    </row>
    <row r="5520" spans="8:10">
      <c r="H5520"/>
      <c r="I5520"/>
      <c r="J5520" s="68"/>
    </row>
    <row r="5521" spans="8:10">
      <c r="H5521"/>
      <c r="I5521"/>
      <c r="J5521" s="68"/>
    </row>
    <row r="5522" spans="8:10">
      <c r="H5522"/>
      <c r="I5522"/>
      <c r="J5522" s="68"/>
    </row>
    <row r="5523" spans="8:10">
      <c r="H5523"/>
      <c r="I5523"/>
      <c r="J5523" s="68"/>
    </row>
    <row r="5524" spans="8:10">
      <c r="H5524"/>
      <c r="I5524"/>
      <c r="J5524" s="68"/>
    </row>
    <row r="5525" spans="8:10">
      <c r="H5525"/>
      <c r="I5525"/>
      <c r="J5525" s="68"/>
    </row>
    <row r="5526" spans="8:10">
      <c r="H5526"/>
      <c r="I5526"/>
      <c r="J5526" s="68"/>
    </row>
    <row r="5527" spans="8:10">
      <c r="H5527"/>
      <c r="I5527"/>
      <c r="J5527" s="68"/>
    </row>
    <row r="5528" spans="8:10">
      <c r="H5528"/>
      <c r="I5528"/>
      <c r="J5528" s="68"/>
    </row>
    <row r="5529" spans="8:10">
      <c r="H5529"/>
      <c r="I5529"/>
      <c r="J5529" s="68"/>
    </row>
    <row r="5530" spans="8:10">
      <c r="H5530"/>
      <c r="I5530"/>
      <c r="J5530" s="68"/>
    </row>
    <row r="5531" spans="8:10">
      <c r="H5531"/>
      <c r="I5531"/>
      <c r="J5531" s="68"/>
    </row>
    <row r="5532" spans="8:10">
      <c r="H5532"/>
      <c r="I5532"/>
      <c r="J5532" s="68"/>
    </row>
    <row r="5533" spans="8:10">
      <c r="H5533"/>
      <c r="I5533"/>
      <c r="J5533" s="68"/>
    </row>
    <row r="5534" spans="8:10">
      <c r="H5534"/>
      <c r="I5534"/>
      <c r="J5534" s="68"/>
    </row>
    <row r="5535" spans="8:10">
      <c r="H5535"/>
      <c r="I5535"/>
      <c r="J5535" s="68"/>
    </row>
    <row r="5536" spans="8:10">
      <c r="H5536"/>
      <c r="I5536"/>
      <c r="J5536" s="68"/>
    </row>
    <row r="5537" spans="8:10">
      <c r="H5537"/>
      <c r="I5537"/>
      <c r="J5537" s="68"/>
    </row>
    <row r="5538" spans="8:10">
      <c r="H5538"/>
      <c r="I5538"/>
      <c r="J5538" s="68"/>
    </row>
    <row r="5539" spans="8:10">
      <c r="H5539"/>
      <c r="I5539"/>
      <c r="J5539" s="68"/>
    </row>
    <row r="5540" spans="8:10">
      <c r="H5540"/>
      <c r="I5540"/>
      <c r="J5540" s="68"/>
    </row>
    <row r="5541" spans="8:10">
      <c r="H5541"/>
      <c r="I5541"/>
      <c r="J5541" s="68"/>
    </row>
    <row r="5542" spans="8:10">
      <c r="H5542"/>
      <c r="I5542"/>
      <c r="J5542" s="68"/>
    </row>
    <row r="5543" spans="8:10">
      <c r="H5543"/>
      <c r="I5543"/>
      <c r="J5543" s="68"/>
    </row>
    <row r="5544" spans="8:10">
      <c r="H5544"/>
      <c r="I5544"/>
      <c r="J5544" s="68"/>
    </row>
    <row r="5545" spans="8:10">
      <c r="H5545"/>
      <c r="I5545"/>
      <c r="J5545" s="68"/>
    </row>
    <row r="5546" spans="8:10">
      <c r="H5546"/>
      <c r="I5546"/>
      <c r="J5546" s="68"/>
    </row>
    <row r="5547" spans="8:10">
      <c r="H5547"/>
      <c r="I5547"/>
      <c r="J5547" s="68"/>
    </row>
    <row r="5548" spans="8:10">
      <c r="H5548"/>
      <c r="I5548"/>
      <c r="J5548" s="68"/>
    </row>
    <row r="5549" spans="8:10">
      <c r="H5549"/>
      <c r="I5549"/>
      <c r="J5549" s="68"/>
    </row>
    <row r="5550" spans="8:10">
      <c r="H5550"/>
      <c r="I5550"/>
      <c r="J5550" s="68"/>
    </row>
    <row r="5551" spans="8:10">
      <c r="H5551"/>
      <c r="I5551"/>
      <c r="J5551" s="68"/>
    </row>
    <row r="5552" spans="8:10">
      <c r="H5552"/>
      <c r="I5552"/>
      <c r="J5552" s="68"/>
    </row>
    <row r="5553" spans="8:10">
      <c r="H5553"/>
      <c r="I5553"/>
      <c r="J5553" s="68"/>
    </row>
    <row r="5554" spans="8:10">
      <c r="H5554"/>
      <c r="I5554"/>
      <c r="J5554" s="68"/>
    </row>
    <row r="5555" spans="8:10">
      <c r="H5555"/>
      <c r="I5555"/>
      <c r="J5555" s="68"/>
    </row>
    <row r="5556" spans="8:10">
      <c r="H5556"/>
      <c r="I5556"/>
      <c r="J5556" s="68"/>
    </row>
    <row r="5557" spans="8:10">
      <c r="H5557"/>
      <c r="I5557"/>
      <c r="J5557" s="68"/>
    </row>
    <row r="5558" spans="8:10">
      <c r="H5558"/>
      <c r="I5558"/>
      <c r="J5558" s="68"/>
    </row>
    <row r="5559" spans="8:10">
      <c r="H5559"/>
      <c r="I5559"/>
      <c r="J5559" s="68"/>
    </row>
    <row r="5560" spans="8:10">
      <c r="H5560"/>
      <c r="I5560"/>
      <c r="J5560" s="68"/>
    </row>
    <row r="5561" spans="8:10">
      <c r="H5561"/>
      <c r="I5561"/>
      <c r="J5561" s="68"/>
    </row>
    <row r="5562" spans="8:10">
      <c r="H5562"/>
      <c r="I5562"/>
      <c r="J5562" s="68"/>
    </row>
    <row r="5563" spans="8:10">
      <c r="H5563"/>
      <c r="I5563"/>
      <c r="J5563" s="68"/>
    </row>
    <row r="5564" spans="8:10">
      <c r="H5564"/>
      <c r="I5564"/>
      <c r="J5564" s="68"/>
    </row>
    <row r="5565" spans="8:10">
      <c r="H5565"/>
      <c r="I5565"/>
      <c r="J5565" s="68"/>
    </row>
    <row r="5566" spans="8:10">
      <c r="H5566"/>
      <c r="I5566"/>
      <c r="J5566" s="68"/>
    </row>
    <row r="5567" spans="8:10">
      <c r="H5567"/>
      <c r="I5567"/>
      <c r="J5567" s="68"/>
    </row>
    <row r="5568" spans="8:10">
      <c r="H5568"/>
      <c r="I5568"/>
      <c r="J5568" s="68"/>
    </row>
    <row r="5569" spans="8:10">
      <c r="H5569"/>
      <c r="I5569"/>
      <c r="J5569" s="68"/>
    </row>
    <row r="5570" spans="8:10">
      <c r="H5570"/>
      <c r="I5570"/>
      <c r="J5570" s="68"/>
    </row>
    <row r="5571" spans="8:10">
      <c r="H5571"/>
      <c r="I5571"/>
      <c r="J5571" s="68"/>
    </row>
    <row r="5572" spans="8:10">
      <c r="H5572"/>
      <c r="I5572"/>
      <c r="J5572" s="68"/>
    </row>
    <row r="5573" spans="8:10">
      <c r="H5573"/>
      <c r="I5573"/>
      <c r="J5573" s="68"/>
    </row>
    <row r="5574" spans="8:10">
      <c r="H5574"/>
      <c r="I5574"/>
      <c r="J5574" s="68"/>
    </row>
    <row r="5575" spans="8:10">
      <c r="H5575"/>
      <c r="I5575"/>
      <c r="J5575" s="68"/>
    </row>
    <row r="5576" spans="8:10">
      <c r="H5576"/>
      <c r="I5576"/>
      <c r="J5576" s="68"/>
    </row>
    <row r="5577" spans="8:10">
      <c r="H5577"/>
      <c r="I5577"/>
      <c r="J5577" s="68"/>
    </row>
    <row r="5578" spans="8:10">
      <c r="H5578"/>
      <c r="I5578"/>
      <c r="J5578" s="68"/>
    </row>
    <row r="5579" spans="8:10">
      <c r="H5579"/>
      <c r="I5579"/>
      <c r="J5579" s="68"/>
    </row>
    <row r="5580" spans="8:10">
      <c r="H5580"/>
      <c r="I5580"/>
      <c r="J5580" s="68"/>
    </row>
    <row r="5581" spans="8:10">
      <c r="H5581"/>
      <c r="I5581"/>
      <c r="J5581" s="68"/>
    </row>
    <row r="5582" spans="8:10">
      <c r="H5582"/>
      <c r="I5582"/>
      <c r="J5582" s="68"/>
    </row>
    <row r="5583" spans="8:10">
      <c r="H5583"/>
      <c r="I5583"/>
      <c r="J5583" s="68"/>
    </row>
    <row r="5584" spans="8:10">
      <c r="H5584"/>
      <c r="I5584"/>
      <c r="J5584" s="68"/>
    </row>
    <row r="5585" spans="8:10">
      <c r="H5585"/>
      <c r="I5585"/>
      <c r="J5585" s="68"/>
    </row>
    <row r="5586" spans="8:10">
      <c r="H5586"/>
      <c r="I5586"/>
      <c r="J5586" s="68"/>
    </row>
    <row r="5587" spans="8:10">
      <c r="H5587"/>
      <c r="I5587"/>
      <c r="J5587" s="68"/>
    </row>
    <row r="5588" spans="8:10">
      <c r="H5588"/>
      <c r="I5588"/>
      <c r="J5588" s="68"/>
    </row>
    <row r="5589" spans="8:10">
      <c r="H5589"/>
      <c r="I5589"/>
      <c r="J5589" s="68"/>
    </row>
    <row r="5590" spans="8:10">
      <c r="H5590"/>
      <c r="I5590"/>
      <c r="J5590" s="68"/>
    </row>
    <row r="5591" spans="8:10">
      <c r="H5591"/>
      <c r="I5591"/>
      <c r="J5591" s="68"/>
    </row>
    <row r="5592" spans="8:10">
      <c r="H5592"/>
      <c r="I5592"/>
      <c r="J5592" s="68"/>
    </row>
    <row r="5593" spans="8:10">
      <c r="H5593"/>
      <c r="I5593"/>
      <c r="J5593" s="68"/>
    </row>
    <row r="5594" spans="8:10">
      <c r="H5594"/>
      <c r="I5594"/>
      <c r="J5594" s="68"/>
    </row>
    <row r="5595" spans="8:10">
      <c r="H5595"/>
      <c r="I5595"/>
      <c r="J5595" s="68"/>
    </row>
    <row r="5596" spans="8:10">
      <c r="H5596"/>
      <c r="I5596"/>
      <c r="J5596" s="68"/>
    </row>
    <row r="5597" spans="8:10">
      <c r="H5597"/>
      <c r="I5597"/>
      <c r="J5597" s="68"/>
    </row>
    <row r="5598" spans="8:10">
      <c r="H5598"/>
      <c r="I5598"/>
      <c r="J5598" s="68"/>
    </row>
    <row r="5599" spans="8:10">
      <c r="H5599"/>
      <c r="I5599"/>
      <c r="J5599" s="68"/>
    </row>
    <row r="5600" spans="8:10">
      <c r="H5600"/>
      <c r="I5600"/>
      <c r="J5600" s="68"/>
    </row>
    <row r="5601" spans="8:10">
      <c r="H5601"/>
      <c r="I5601"/>
      <c r="J5601" s="68"/>
    </row>
    <row r="5602" spans="8:10">
      <c r="H5602"/>
      <c r="I5602"/>
      <c r="J5602" s="68"/>
    </row>
    <row r="5603" spans="8:10">
      <c r="H5603"/>
      <c r="I5603"/>
      <c r="J5603" s="68"/>
    </row>
    <row r="5604" spans="8:10">
      <c r="H5604"/>
      <c r="I5604"/>
      <c r="J5604" s="68"/>
    </row>
    <row r="5605" spans="8:10">
      <c r="H5605"/>
      <c r="I5605"/>
      <c r="J5605" s="68"/>
    </row>
    <row r="5606" spans="8:10">
      <c r="H5606"/>
      <c r="I5606"/>
      <c r="J5606" s="68"/>
    </row>
    <row r="5607" spans="8:10">
      <c r="H5607"/>
      <c r="I5607"/>
      <c r="J5607" s="68"/>
    </row>
    <row r="5608" spans="8:10">
      <c r="H5608"/>
      <c r="I5608"/>
      <c r="J5608" s="68"/>
    </row>
    <row r="5609" spans="8:10">
      <c r="H5609"/>
      <c r="I5609"/>
      <c r="J5609" s="68"/>
    </row>
    <row r="5610" spans="8:10">
      <c r="H5610"/>
      <c r="I5610"/>
      <c r="J5610" s="68"/>
    </row>
    <row r="5611" spans="8:10">
      <c r="H5611"/>
      <c r="I5611"/>
      <c r="J5611" s="68"/>
    </row>
    <row r="5612" spans="8:10">
      <c r="H5612"/>
      <c r="I5612"/>
      <c r="J5612" s="68"/>
    </row>
    <row r="5613" spans="8:10">
      <c r="H5613"/>
      <c r="I5613"/>
      <c r="J5613" s="68"/>
    </row>
    <row r="5614" spans="8:10">
      <c r="H5614"/>
      <c r="I5614"/>
      <c r="J5614" s="68"/>
    </row>
    <row r="5615" spans="8:10">
      <c r="H5615"/>
      <c r="I5615"/>
      <c r="J5615" s="68"/>
    </row>
    <row r="5616" spans="8:10">
      <c r="H5616"/>
      <c r="I5616"/>
      <c r="J5616" s="68"/>
    </row>
    <row r="5617" spans="8:10">
      <c r="H5617"/>
      <c r="I5617"/>
      <c r="J5617" s="68"/>
    </row>
    <row r="5618" spans="8:10">
      <c r="H5618"/>
      <c r="I5618"/>
      <c r="J5618" s="68"/>
    </row>
    <row r="5619" spans="8:10">
      <c r="H5619"/>
      <c r="I5619"/>
      <c r="J5619" s="68"/>
    </row>
    <row r="5620" spans="8:10">
      <c r="H5620"/>
      <c r="I5620"/>
      <c r="J5620" s="68"/>
    </row>
    <row r="5621" spans="8:10">
      <c r="H5621"/>
      <c r="I5621"/>
      <c r="J5621" s="68"/>
    </row>
    <row r="5622" spans="8:10">
      <c r="H5622"/>
      <c r="I5622"/>
      <c r="J5622" s="68"/>
    </row>
    <row r="5623" spans="8:10">
      <c r="H5623"/>
      <c r="I5623"/>
      <c r="J5623" s="68"/>
    </row>
    <row r="5624" spans="8:10">
      <c r="H5624"/>
      <c r="I5624"/>
      <c r="J5624" s="68"/>
    </row>
    <row r="5625" spans="8:10">
      <c r="H5625"/>
      <c r="I5625"/>
      <c r="J5625" s="68"/>
    </row>
    <row r="5626" spans="8:10">
      <c r="H5626"/>
      <c r="I5626"/>
      <c r="J5626" s="68"/>
    </row>
    <row r="5627" spans="8:10">
      <c r="H5627"/>
      <c r="I5627"/>
      <c r="J5627" s="68"/>
    </row>
    <row r="5628" spans="8:10">
      <c r="H5628"/>
      <c r="I5628"/>
      <c r="J5628" s="68"/>
    </row>
    <row r="5629" spans="8:10">
      <c r="H5629"/>
      <c r="I5629"/>
      <c r="J5629" s="68"/>
    </row>
    <row r="5630" spans="8:10">
      <c r="H5630"/>
      <c r="I5630"/>
      <c r="J5630" s="68"/>
    </row>
    <row r="5631" spans="8:10">
      <c r="H5631"/>
      <c r="I5631"/>
      <c r="J5631" s="68"/>
    </row>
    <row r="5632" spans="8:10">
      <c r="H5632"/>
      <c r="I5632"/>
      <c r="J5632" s="68"/>
    </row>
    <row r="5633" spans="8:10">
      <c r="H5633"/>
      <c r="I5633"/>
      <c r="J5633" s="68"/>
    </row>
    <row r="5634" spans="8:10">
      <c r="H5634"/>
      <c r="I5634"/>
      <c r="J5634" s="68"/>
    </row>
    <row r="5635" spans="8:10">
      <c r="H5635"/>
      <c r="I5635"/>
      <c r="J5635" s="68"/>
    </row>
    <row r="5636" spans="8:10">
      <c r="H5636"/>
      <c r="I5636"/>
      <c r="J5636" s="68"/>
    </row>
    <row r="5637" spans="8:10">
      <c r="H5637"/>
      <c r="I5637"/>
      <c r="J5637" s="68"/>
    </row>
    <row r="5638" spans="8:10">
      <c r="H5638"/>
      <c r="I5638"/>
      <c r="J5638" s="68"/>
    </row>
    <row r="5639" spans="8:10">
      <c r="H5639"/>
      <c r="I5639"/>
      <c r="J5639" s="68"/>
    </row>
    <row r="5640" spans="8:10">
      <c r="H5640"/>
      <c r="I5640"/>
      <c r="J5640" s="68"/>
    </row>
    <row r="5641" spans="8:10">
      <c r="H5641"/>
      <c r="I5641"/>
      <c r="J5641" s="68"/>
    </row>
    <row r="5642" spans="8:10">
      <c r="H5642"/>
      <c r="I5642"/>
      <c r="J5642" s="68"/>
    </row>
    <row r="5643" spans="8:10">
      <c r="H5643"/>
      <c r="I5643"/>
      <c r="J5643" s="68"/>
    </row>
    <row r="5644" spans="8:10">
      <c r="H5644"/>
      <c r="I5644"/>
      <c r="J5644" s="68"/>
    </row>
    <row r="5645" spans="8:10">
      <c r="H5645"/>
      <c r="I5645"/>
      <c r="J5645" s="68"/>
    </row>
    <row r="5646" spans="8:10">
      <c r="H5646"/>
      <c r="I5646"/>
      <c r="J5646" s="68"/>
    </row>
    <row r="5647" spans="8:10">
      <c r="H5647"/>
      <c r="I5647"/>
      <c r="J5647" s="68"/>
    </row>
    <row r="5648" spans="8:10">
      <c r="H5648"/>
      <c r="I5648"/>
      <c r="J5648" s="68"/>
    </row>
    <row r="5649" spans="8:10">
      <c r="H5649"/>
      <c r="I5649"/>
      <c r="J5649" s="68"/>
    </row>
    <row r="5650" spans="8:10">
      <c r="H5650"/>
      <c r="I5650"/>
      <c r="J5650" s="68"/>
    </row>
    <row r="5651" spans="8:10">
      <c r="H5651"/>
      <c r="I5651"/>
      <c r="J5651" s="68"/>
    </row>
    <row r="5652" spans="8:10">
      <c r="H5652"/>
      <c r="I5652"/>
      <c r="J5652" s="68"/>
    </row>
    <row r="5653" spans="8:10">
      <c r="H5653"/>
      <c r="I5653"/>
      <c r="J5653" s="68"/>
    </row>
    <row r="5654" spans="8:10">
      <c r="H5654"/>
      <c r="I5654"/>
      <c r="J5654" s="68"/>
    </row>
    <row r="5655" spans="8:10">
      <c r="H5655"/>
      <c r="I5655"/>
      <c r="J5655" s="68"/>
    </row>
    <row r="5656" spans="8:10">
      <c r="H5656"/>
      <c r="I5656"/>
      <c r="J5656" s="68"/>
    </row>
    <row r="5657" spans="8:10">
      <c r="H5657"/>
      <c r="I5657"/>
      <c r="J5657" s="68"/>
    </row>
    <row r="5658" spans="8:10">
      <c r="H5658"/>
      <c r="I5658"/>
      <c r="J5658" s="68"/>
    </row>
    <row r="5659" spans="8:10">
      <c r="H5659"/>
      <c r="I5659"/>
      <c r="J5659" s="68"/>
    </row>
    <row r="5660" spans="8:10">
      <c r="H5660"/>
      <c r="I5660"/>
      <c r="J5660" s="68"/>
    </row>
    <row r="5661" spans="8:10">
      <c r="H5661"/>
      <c r="I5661"/>
      <c r="J5661" s="68"/>
    </row>
    <row r="5662" spans="8:10">
      <c r="H5662"/>
      <c r="I5662"/>
      <c r="J5662" s="68"/>
    </row>
    <row r="5663" spans="8:10">
      <c r="H5663"/>
      <c r="I5663"/>
      <c r="J5663" s="68"/>
    </row>
    <row r="5664" spans="8:10">
      <c r="H5664"/>
      <c r="I5664"/>
      <c r="J5664" s="68"/>
    </row>
    <row r="5665" spans="8:10">
      <c r="H5665"/>
      <c r="I5665"/>
      <c r="J5665" s="68"/>
    </row>
    <row r="5666" spans="8:10">
      <c r="H5666"/>
      <c r="I5666"/>
      <c r="J5666" s="68"/>
    </row>
    <row r="5667" spans="8:10">
      <c r="H5667"/>
      <c r="I5667"/>
      <c r="J5667" s="68"/>
    </row>
    <row r="5668" spans="8:10">
      <c r="H5668"/>
      <c r="I5668"/>
      <c r="J5668" s="68"/>
    </row>
    <row r="5669" spans="8:10">
      <c r="H5669"/>
      <c r="I5669"/>
      <c r="J5669" s="68"/>
    </row>
    <row r="5670" spans="8:10">
      <c r="H5670"/>
      <c r="I5670"/>
      <c r="J5670" s="68"/>
    </row>
    <row r="5671" spans="8:10">
      <c r="H5671"/>
      <c r="I5671"/>
      <c r="J5671" s="68"/>
    </row>
    <row r="5672" spans="8:10">
      <c r="H5672"/>
      <c r="I5672"/>
      <c r="J5672" s="68"/>
    </row>
    <row r="5673" spans="8:10">
      <c r="H5673"/>
      <c r="I5673"/>
      <c r="J5673" s="68"/>
    </row>
    <row r="5674" spans="8:10">
      <c r="H5674"/>
      <c r="I5674"/>
      <c r="J5674" s="68"/>
    </row>
    <row r="5675" spans="8:10">
      <c r="H5675"/>
      <c r="I5675"/>
      <c r="J5675" s="68"/>
    </row>
    <row r="5676" spans="8:10">
      <c r="H5676"/>
      <c r="I5676"/>
      <c r="J5676" s="68"/>
    </row>
    <row r="5677" spans="8:10">
      <c r="H5677"/>
      <c r="I5677"/>
      <c r="J5677" s="68"/>
    </row>
    <row r="5678" spans="8:10">
      <c r="H5678"/>
      <c r="I5678"/>
      <c r="J5678" s="68"/>
    </row>
    <row r="5679" spans="8:10">
      <c r="H5679"/>
      <c r="I5679"/>
      <c r="J5679" s="68"/>
    </row>
    <row r="5680" spans="8:10">
      <c r="H5680"/>
      <c r="I5680"/>
      <c r="J5680" s="68"/>
    </row>
    <row r="5681" spans="8:10">
      <c r="H5681"/>
      <c r="I5681"/>
      <c r="J5681" s="68"/>
    </row>
    <row r="5682" spans="8:10">
      <c r="H5682"/>
      <c r="I5682"/>
      <c r="J5682" s="68"/>
    </row>
    <row r="5683" spans="8:10">
      <c r="H5683"/>
      <c r="I5683"/>
      <c r="J5683" s="68"/>
    </row>
    <row r="5684" spans="8:10">
      <c r="H5684"/>
      <c r="I5684"/>
      <c r="J5684" s="68"/>
    </row>
    <row r="5685" spans="8:10">
      <c r="H5685"/>
      <c r="I5685"/>
      <c r="J5685" s="68"/>
    </row>
    <row r="5686" spans="8:10">
      <c r="H5686"/>
      <c r="I5686"/>
      <c r="J5686" s="68"/>
    </row>
    <row r="5687" spans="8:10">
      <c r="H5687"/>
      <c r="I5687"/>
      <c r="J5687" s="68"/>
    </row>
    <row r="5688" spans="8:10">
      <c r="H5688"/>
      <c r="I5688"/>
      <c r="J5688" s="68"/>
    </row>
    <row r="5689" spans="8:10">
      <c r="H5689"/>
      <c r="I5689"/>
      <c r="J5689" s="68"/>
    </row>
    <row r="5690" spans="8:10">
      <c r="H5690"/>
      <c r="I5690"/>
      <c r="J5690" s="68"/>
    </row>
    <row r="5691" spans="8:10">
      <c r="H5691"/>
      <c r="I5691"/>
      <c r="J5691" s="68"/>
    </row>
    <row r="5692" spans="8:10">
      <c r="H5692"/>
      <c r="I5692"/>
      <c r="J5692" s="68"/>
    </row>
    <row r="5693" spans="8:10">
      <c r="H5693"/>
      <c r="I5693"/>
      <c r="J5693" s="68"/>
    </row>
    <row r="5694" spans="8:10">
      <c r="H5694"/>
      <c r="I5694"/>
      <c r="J5694" s="68"/>
    </row>
    <row r="5695" spans="8:10">
      <c r="H5695"/>
      <c r="I5695"/>
      <c r="J5695" s="68"/>
    </row>
    <row r="5696" spans="8:10">
      <c r="H5696"/>
      <c r="I5696"/>
      <c r="J5696" s="68"/>
    </row>
    <row r="5697" spans="8:10">
      <c r="H5697"/>
      <c r="I5697"/>
      <c r="J5697" s="68"/>
    </row>
    <row r="5698" spans="8:10">
      <c r="H5698"/>
      <c r="I5698"/>
      <c r="J5698" s="68"/>
    </row>
    <row r="5699" spans="8:10">
      <c r="H5699"/>
      <c r="I5699"/>
      <c r="J5699" s="68"/>
    </row>
    <row r="5700" spans="8:10">
      <c r="H5700"/>
      <c r="I5700"/>
      <c r="J5700" s="68"/>
    </row>
    <row r="5701" spans="8:10">
      <c r="H5701"/>
      <c r="I5701"/>
      <c r="J5701" s="68"/>
    </row>
    <row r="5702" spans="8:10">
      <c r="H5702"/>
      <c r="I5702"/>
      <c r="J5702" s="68"/>
    </row>
    <row r="5703" spans="8:10">
      <c r="H5703"/>
      <c r="I5703"/>
      <c r="J5703" s="68"/>
    </row>
    <row r="5704" spans="8:10">
      <c r="H5704"/>
      <c r="I5704"/>
      <c r="J5704" s="68"/>
    </row>
    <row r="5705" spans="8:10">
      <c r="H5705"/>
      <c r="I5705"/>
      <c r="J5705" s="68"/>
    </row>
    <row r="5706" spans="8:10">
      <c r="H5706"/>
      <c r="I5706"/>
      <c r="J5706" s="68"/>
    </row>
    <row r="5707" spans="8:10">
      <c r="H5707"/>
      <c r="I5707"/>
      <c r="J5707" s="68"/>
    </row>
    <row r="5708" spans="8:10">
      <c r="H5708"/>
      <c r="I5708"/>
      <c r="J5708" s="68"/>
    </row>
    <row r="5709" spans="8:10">
      <c r="H5709"/>
      <c r="I5709"/>
      <c r="J5709" s="68"/>
    </row>
    <row r="5710" spans="8:10">
      <c r="H5710"/>
      <c r="I5710"/>
      <c r="J5710" s="68"/>
    </row>
    <row r="5711" spans="8:10">
      <c r="H5711"/>
      <c r="I5711"/>
      <c r="J5711" s="68"/>
    </row>
    <row r="5712" spans="8:10">
      <c r="H5712"/>
      <c r="I5712"/>
      <c r="J5712" s="68"/>
    </row>
    <row r="5713" spans="8:10">
      <c r="H5713"/>
      <c r="I5713"/>
      <c r="J5713" s="68"/>
    </row>
    <row r="5714" spans="8:10">
      <c r="H5714"/>
      <c r="I5714"/>
      <c r="J5714" s="68"/>
    </row>
    <row r="5715" spans="8:10">
      <c r="H5715"/>
      <c r="I5715"/>
      <c r="J5715" s="68"/>
    </row>
    <row r="5716" spans="8:10">
      <c r="H5716"/>
      <c r="I5716"/>
      <c r="J5716" s="68"/>
    </row>
    <row r="5717" spans="8:10">
      <c r="H5717"/>
      <c r="I5717"/>
      <c r="J5717" s="68"/>
    </row>
    <row r="5718" spans="8:10">
      <c r="H5718"/>
      <c r="I5718"/>
      <c r="J5718" s="68"/>
    </row>
    <row r="5719" spans="8:10">
      <c r="H5719"/>
      <c r="I5719"/>
      <c r="J5719" s="68"/>
    </row>
    <row r="5720" spans="8:10">
      <c r="H5720"/>
      <c r="I5720"/>
      <c r="J5720" s="68"/>
    </row>
    <row r="5721" spans="8:10">
      <c r="H5721"/>
      <c r="I5721"/>
      <c r="J5721" s="68"/>
    </row>
    <row r="5722" spans="8:10">
      <c r="H5722"/>
      <c r="I5722"/>
      <c r="J5722" s="68"/>
    </row>
    <row r="5723" spans="8:10">
      <c r="H5723"/>
      <c r="I5723"/>
      <c r="J5723" s="68"/>
    </row>
    <row r="5724" spans="8:10">
      <c r="H5724"/>
      <c r="I5724"/>
      <c r="J5724" s="68"/>
    </row>
    <row r="5725" spans="8:10">
      <c r="H5725"/>
      <c r="I5725"/>
      <c r="J5725" s="68"/>
    </row>
    <row r="5726" spans="8:10">
      <c r="H5726"/>
      <c r="I5726"/>
      <c r="J5726" s="68"/>
    </row>
    <row r="5727" spans="8:10">
      <c r="H5727"/>
      <c r="I5727"/>
      <c r="J5727" s="68"/>
    </row>
    <row r="5728" spans="8:10">
      <c r="H5728"/>
      <c r="I5728"/>
      <c r="J5728" s="68"/>
    </row>
    <row r="5729" spans="8:10">
      <c r="H5729"/>
      <c r="I5729"/>
      <c r="J5729" s="68"/>
    </row>
    <row r="5730" spans="8:10">
      <c r="H5730"/>
      <c r="I5730"/>
      <c r="J5730" s="68"/>
    </row>
    <row r="5731" spans="8:10">
      <c r="H5731"/>
      <c r="I5731"/>
      <c r="J5731" s="68"/>
    </row>
    <row r="5732" spans="8:10">
      <c r="H5732"/>
      <c r="I5732"/>
      <c r="J5732" s="68"/>
    </row>
    <row r="5733" spans="8:10">
      <c r="H5733"/>
      <c r="I5733"/>
      <c r="J5733" s="68"/>
    </row>
    <row r="5734" spans="8:10">
      <c r="H5734"/>
      <c r="I5734"/>
      <c r="J5734" s="68"/>
    </row>
    <row r="5735" spans="8:10">
      <c r="H5735"/>
      <c r="I5735"/>
      <c r="J5735" s="68"/>
    </row>
    <row r="5736" spans="8:10">
      <c r="H5736"/>
      <c r="I5736"/>
      <c r="J5736" s="68"/>
    </row>
    <row r="5737" spans="8:10">
      <c r="H5737"/>
      <c r="I5737"/>
      <c r="J5737" s="68"/>
    </row>
    <row r="5738" spans="8:10">
      <c r="H5738"/>
      <c r="I5738"/>
      <c r="J5738" s="68"/>
    </row>
    <row r="5739" spans="8:10">
      <c r="H5739"/>
      <c r="I5739"/>
      <c r="J5739" s="68"/>
    </row>
    <row r="5740" spans="8:10">
      <c r="H5740"/>
      <c r="I5740"/>
      <c r="J5740" s="68"/>
    </row>
    <row r="5741" spans="8:10">
      <c r="H5741"/>
      <c r="I5741"/>
      <c r="J5741" s="68"/>
    </row>
    <row r="5742" spans="8:10">
      <c r="H5742"/>
      <c r="I5742"/>
      <c r="J5742" s="68"/>
    </row>
    <row r="5743" spans="8:10">
      <c r="H5743"/>
      <c r="I5743"/>
      <c r="J5743" s="68"/>
    </row>
    <row r="5744" spans="8:10">
      <c r="H5744"/>
      <c r="I5744"/>
      <c r="J5744" s="68"/>
    </row>
    <row r="5745" spans="8:10">
      <c r="H5745"/>
      <c r="I5745"/>
      <c r="J5745" s="68"/>
    </row>
    <row r="5746" spans="8:10">
      <c r="H5746"/>
      <c r="I5746"/>
      <c r="J5746" s="68"/>
    </row>
    <row r="5747" spans="8:10">
      <c r="H5747"/>
      <c r="I5747"/>
      <c r="J5747" s="68"/>
    </row>
    <row r="5748" spans="8:10">
      <c r="H5748"/>
      <c r="I5748"/>
      <c r="J5748" s="68"/>
    </row>
    <row r="5749" spans="8:10">
      <c r="H5749"/>
      <c r="I5749"/>
      <c r="J5749" s="68"/>
    </row>
    <row r="5750" spans="8:10">
      <c r="H5750"/>
      <c r="I5750"/>
      <c r="J5750" s="68"/>
    </row>
    <row r="5751" spans="8:10">
      <c r="H5751"/>
      <c r="I5751"/>
      <c r="J5751" s="68"/>
    </row>
    <row r="5752" spans="8:10">
      <c r="H5752"/>
      <c r="I5752"/>
      <c r="J5752" s="68"/>
    </row>
    <row r="5753" spans="8:10">
      <c r="H5753"/>
      <c r="I5753"/>
      <c r="J5753" s="68"/>
    </row>
    <row r="5754" spans="8:10">
      <c r="H5754"/>
      <c r="I5754"/>
      <c r="J5754" s="68"/>
    </row>
    <row r="5755" spans="8:10">
      <c r="H5755"/>
      <c r="I5755"/>
      <c r="J5755" s="68"/>
    </row>
    <row r="5756" spans="8:10">
      <c r="H5756"/>
      <c r="I5756"/>
      <c r="J5756" s="68"/>
    </row>
    <row r="5757" spans="8:10">
      <c r="H5757"/>
      <c r="I5757"/>
      <c r="J5757" s="68"/>
    </row>
    <row r="5758" spans="8:10">
      <c r="H5758"/>
      <c r="I5758"/>
      <c r="J5758" s="68"/>
    </row>
    <row r="5759" spans="8:10">
      <c r="H5759"/>
      <c r="I5759"/>
      <c r="J5759" s="68"/>
    </row>
    <row r="5760" spans="8:10">
      <c r="H5760"/>
      <c r="I5760"/>
      <c r="J5760" s="68"/>
    </row>
    <row r="5761" spans="8:10">
      <c r="H5761"/>
      <c r="I5761"/>
      <c r="J5761" s="68"/>
    </row>
    <row r="5762" spans="8:10">
      <c r="H5762"/>
      <c r="I5762"/>
      <c r="J5762" s="68"/>
    </row>
    <row r="5763" spans="8:10">
      <c r="H5763"/>
      <c r="I5763"/>
      <c r="J5763" s="68"/>
    </row>
    <row r="5764" spans="8:10">
      <c r="H5764"/>
      <c r="I5764"/>
      <c r="J5764" s="68"/>
    </row>
    <row r="5765" spans="8:10">
      <c r="H5765"/>
      <c r="I5765"/>
      <c r="J5765" s="68"/>
    </row>
    <row r="5766" spans="8:10">
      <c r="H5766"/>
      <c r="I5766"/>
      <c r="J5766" s="68"/>
    </row>
    <row r="5767" spans="8:10">
      <c r="H5767"/>
      <c r="I5767"/>
      <c r="J5767" s="68"/>
    </row>
    <row r="5768" spans="8:10">
      <c r="H5768"/>
      <c r="I5768"/>
      <c r="J5768" s="68"/>
    </row>
    <row r="5769" spans="8:10">
      <c r="H5769"/>
      <c r="I5769"/>
      <c r="J5769" s="68"/>
    </row>
    <row r="5770" spans="8:10">
      <c r="H5770"/>
      <c r="I5770"/>
      <c r="J5770" s="68"/>
    </row>
    <row r="5771" spans="8:10">
      <c r="H5771"/>
      <c r="I5771"/>
      <c r="J5771" s="68"/>
    </row>
    <row r="5772" spans="8:10">
      <c r="H5772"/>
      <c r="I5772"/>
      <c r="J5772" s="68"/>
    </row>
    <row r="5773" spans="8:10">
      <c r="H5773"/>
      <c r="I5773"/>
      <c r="J5773" s="68"/>
    </row>
    <row r="5774" spans="8:10">
      <c r="H5774"/>
      <c r="I5774"/>
      <c r="J5774" s="68"/>
    </row>
    <row r="5775" spans="8:10">
      <c r="H5775"/>
      <c r="I5775"/>
      <c r="J5775" s="68"/>
    </row>
    <row r="5776" spans="8:10">
      <c r="H5776"/>
      <c r="I5776"/>
      <c r="J5776" s="68"/>
    </row>
    <row r="5777" spans="8:10">
      <c r="H5777"/>
      <c r="I5777"/>
      <c r="J5777" s="68"/>
    </row>
    <row r="5778" spans="8:10">
      <c r="H5778"/>
      <c r="I5778"/>
      <c r="J5778" s="68"/>
    </row>
    <row r="5779" spans="8:10">
      <c r="H5779"/>
      <c r="I5779"/>
      <c r="J5779" s="68"/>
    </row>
    <row r="5780" spans="8:10">
      <c r="H5780"/>
      <c r="I5780"/>
      <c r="J5780" s="68"/>
    </row>
    <row r="5781" spans="8:10">
      <c r="H5781"/>
      <c r="I5781"/>
      <c r="J5781" s="68"/>
    </row>
    <row r="5782" spans="8:10">
      <c r="H5782"/>
      <c r="I5782"/>
      <c r="J5782" s="68"/>
    </row>
    <row r="5783" spans="8:10">
      <c r="H5783"/>
      <c r="I5783"/>
      <c r="J5783" s="68"/>
    </row>
    <row r="5784" spans="8:10">
      <c r="H5784"/>
      <c r="I5784"/>
      <c r="J5784" s="68"/>
    </row>
    <row r="5785" spans="8:10">
      <c r="H5785"/>
      <c r="I5785"/>
      <c r="J5785" s="68"/>
    </row>
    <row r="5786" spans="8:10">
      <c r="H5786"/>
      <c r="I5786"/>
      <c r="J5786" s="68"/>
    </row>
    <row r="5787" spans="8:10">
      <c r="H5787"/>
      <c r="I5787"/>
      <c r="J5787" s="68"/>
    </row>
    <row r="5788" spans="8:10">
      <c r="H5788"/>
      <c r="I5788"/>
      <c r="J5788" s="68"/>
    </row>
    <row r="5789" spans="8:10">
      <c r="H5789"/>
      <c r="I5789"/>
      <c r="J5789" s="68"/>
    </row>
    <row r="5790" spans="8:10">
      <c r="H5790"/>
      <c r="I5790"/>
      <c r="J5790" s="68"/>
    </row>
    <row r="5791" spans="8:10">
      <c r="H5791"/>
      <c r="I5791"/>
      <c r="J5791" s="68"/>
    </row>
    <row r="5792" spans="8:10">
      <c r="H5792"/>
      <c r="I5792"/>
      <c r="J5792" s="68"/>
    </row>
    <row r="5793" spans="8:10">
      <c r="H5793"/>
      <c r="I5793"/>
      <c r="J5793" s="68"/>
    </row>
    <row r="5794" spans="8:10">
      <c r="H5794"/>
      <c r="I5794"/>
      <c r="J5794" s="68"/>
    </row>
    <row r="5795" spans="8:10">
      <c r="H5795"/>
      <c r="I5795"/>
      <c r="J5795" s="68"/>
    </row>
    <row r="5796" spans="8:10">
      <c r="H5796"/>
      <c r="I5796"/>
      <c r="J5796" s="68"/>
    </row>
    <row r="5797" spans="8:10">
      <c r="H5797"/>
      <c r="I5797"/>
      <c r="J5797" s="68"/>
    </row>
    <row r="5798" spans="8:10">
      <c r="H5798"/>
      <c r="I5798"/>
      <c r="J5798" s="68"/>
    </row>
    <row r="5799" spans="8:10">
      <c r="H5799"/>
      <c r="I5799"/>
      <c r="J5799" s="68"/>
    </row>
    <row r="5800" spans="8:10">
      <c r="H5800"/>
      <c r="I5800"/>
      <c r="J5800" s="68"/>
    </row>
    <row r="5801" spans="8:10">
      <c r="H5801"/>
      <c r="I5801"/>
      <c r="J5801" s="68"/>
    </row>
    <row r="5802" spans="8:10">
      <c r="H5802"/>
      <c r="I5802"/>
      <c r="J5802" s="68"/>
    </row>
    <row r="5803" spans="8:10">
      <c r="H5803"/>
      <c r="I5803"/>
      <c r="J5803" s="68"/>
    </row>
    <row r="5804" spans="8:10">
      <c r="H5804"/>
      <c r="I5804"/>
      <c r="J5804" s="68"/>
    </row>
    <row r="5805" spans="8:10">
      <c r="H5805"/>
      <c r="I5805"/>
      <c r="J5805" s="68"/>
    </row>
    <row r="5806" spans="8:10">
      <c r="H5806"/>
      <c r="I5806"/>
      <c r="J5806" s="68"/>
    </row>
    <row r="5807" spans="8:10">
      <c r="H5807"/>
      <c r="I5807"/>
      <c r="J5807" s="68"/>
    </row>
    <row r="5808" spans="8:10">
      <c r="H5808"/>
      <c r="I5808"/>
      <c r="J5808" s="68"/>
    </row>
    <row r="5809" spans="8:10">
      <c r="H5809"/>
      <c r="I5809"/>
      <c r="J5809" s="68"/>
    </row>
    <row r="5810" spans="8:10">
      <c r="H5810"/>
      <c r="I5810"/>
      <c r="J5810" s="68"/>
    </row>
    <row r="5811" spans="8:10">
      <c r="H5811"/>
      <c r="I5811"/>
      <c r="J5811" s="68"/>
    </row>
    <row r="5812" spans="8:10">
      <c r="H5812"/>
      <c r="I5812"/>
      <c r="J5812" s="68"/>
    </row>
    <row r="5813" spans="8:10">
      <c r="H5813"/>
      <c r="I5813"/>
      <c r="J5813" s="68"/>
    </row>
    <row r="5814" spans="8:10">
      <c r="H5814"/>
      <c r="I5814"/>
      <c r="J5814" s="68"/>
    </row>
    <row r="5815" spans="8:10">
      <c r="H5815"/>
      <c r="I5815"/>
      <c r="J5815" s="68"/>
    </row>
    <row r="5816" spans="8:10">
      <c r="H5816"/>
      <c r="I5816"/>
      <c r="J5816" s="68"/>
    </row>
    <row r="5817" spans="8:10">
      <c r="H5817"/>
      <c r="I5817"/>
      <c r="J5817" s="68"/>
    </row>
    <row r="5818" spans="8:10">
      <c r="H5818"/>
      <c r="I5818"/>
      <c r="J5818" s="68"/>
    </row>
    <row r="5819" spans="8:10">
      <c r="H5819"/>
      <c r="I5819"/>
      <c r="J5819" s="68"/>
    </row>
    <row r="5820" spans="8:10">
      <c r="H5820"/>
      <c r="I5820"/>
      <c r="J5820" s="68"/>
    </row>
    <row r="5821" spans="8:10">
      <c r="H5821"/>
      <c r="I5821"/>
      <c r="J5821" s="68"/>
    </row>
    <row r="5822" spans="8:10">
      <c r="H5822"/>
      <c r="I5822"/>
      <c r="J5822" s="68"/>
    </row>
    <row r="5823" spans="8:10">
      <c r="H5823"/>
      <c r="I5823"/>
      <c r="J5823" s="68"/>
    </row>
    <row r="5824" spans="8:10">
      <c r="H5824"/>
      <c r="I5824"/>
      <c r="J5824" s="68"/>
    </row>
    <row r="5825" spans="8:10">
      <c r="H5825"/>
      <c r="I5825"/>
      <c r="J5825" s="68"/>
    </row>
    <row r="5826" spans="8:10">
      <c r="H5826"/>
      <c r="I5826"/>
      <c r="J5826" s="68"/>
    </row>
    <row r="5827" spans="8:10">
      <c r="H5827"/>
      <c r="I5827"/>
      <c r="J5827" s="68"/>
    </row>
    <row r="5828" spans="8:10">
      <c r="H5828"/>
      <c r="I5828"/>
      <c r="J5828" s="68"/>
    </row>
    <row r="5829" spans="8:10">
      <c r="H5829"/>
      <c r="I5829"/>
      <c r="J5829" s="68"/>
    </row>
    <row r="5830" spans="8:10">
      <c r="H5830"/>
      <c r="I5830"/>
      <c r="J5830" s="68"/>
    </row>
    <row r="5831" spans="8:10">
      <c r="H5831"/>
      <c r="I5831"/>
      <c r="J5831" s="68"/>
    </row>
    <row r="5832" spans="8:10">
      <c r="H5832"/>
      <c r="I5832"/>
      <c r="J5832" s="68"/>
    </row>
    <row r="5833" spans="8:10">
      <c r="H5833"/>
      <c r="I5833"/>
      <c r="J5833" s="68"/>
    </row>
    <row r="5834" spans="8:10">
      <c r="H5834"/>
      <c r="I5834"/>
      <c r="J5834" s="68"/>
    </row>
    <row r="5835" spans="8:10">
      <c r="H5835"/>
      <c r="I5835"/>
      <c r="J5835" s="68"/>
    </row>
    <row r="5836" spans="8:10">
      <c r="H5836"/>
      <c r="I5836"/>
      <c r="J5836" s="68"/>
    </row>
    <row r="5837" spans="8:10">
      <c r="H5837"/>
      <c r="I5837"/>
      <c r="J5837" s="68"/>
    </row>
    <row r="5838" spans="8:10">
      <c r="H5838"/>
      <c r="I5838"/>
      <c r="J5838" s="68"/>
    </row>
    <row r="5839" spans="8:10">
      <c r="H5839"/>
      <c r="I5839"/>
      <c r="J5839" s="68"/>
    </row>
    <row r="5840" spans="8:10">
      <c r="H5840"/>
      <c r="I5840"/>
      <c r="J5840" s="68"/>
    </row>
    <row r="5841" spans="8:10">
      <c r="H5841"/>
      <c r="I5841"/>
      <c r="J5841" s="68"/>
    </row>
    <row r="5842" spans="8:10">
      <c r="H5842"/>
      <c r="I5842"/>
      <c r="J5842" s="68"/>
    </row>
    <row r="5843" spans="8:10">
      <c r="H5843"/>
      <c r="I5843"/>
      <c r="J5843" s="68"/>
    </row>
    <row r="5844" spans="8:10">
      <c r="H5844"/>
      <c r="I5844"/>
      <c r="J5844" s="68"/>
    </row>
    <row r="5845" spans="8:10">
      <c r="H5845"/>
      <c r="I5845"/>
      <c r="J5845" s="68"/>
    </row>
    <row r="5846" spans="8:10">
      <c r="H5846"/>
      <c r="I5846"/>
      <c r="J5846" s="68"/>
    </row>
    <row r="5847" spans="8:10">
      <c r="H5847"/>
      <c r="I5847"/>
      <c r="J5847" s="68"/>
    </row>
    <row r="5848" spans="8:10">
      <c r="H5848"/>
      <c r="I5848"/>
      <c r="J5848" s="68"/>
    </row>
    <row r="5849" spans="8:10">
      <c r="H5849"/>
      <c r="I5849"/>
      <c r="J5849" s="68"/>
    </row>
    <row r="5850" spans="8:10">
      <c r="H5850"/>
      <c r="I5850"/>
      <c r="J5850" s="68"/>
    </row>
    <row r="5851" spans="8:10">
      <c r="H5851"/>
      <c r="I5851"/>
      <c r="J5851" s="68"/>
    </row>
    <row r="5852" spans="8:10">
      <c r="H5852"/>
      <c r="I5852"/>
      <c r="J5852" s="68"/>
    </row>
    <row r="5853" spans="8:10">
      <c r="H5853"/>
      <c r="I5853"/>
      <c r="J5853" s="68"/>
    </row>
    <row r="5854" spans="8:10">
      <c r="H5854"/>
      <c r="I5854"/>
      <c r="J5854" s="68"/>
    </row>
    <row r="5855" spans="8:10">
      <c r="H5855"/>
      <c r="I5855"/>
      <c r="J5855" s="68"/>
    </row>
    <row r="5856" spans="8:10">
      <c r="H5856"/>
      <c r="I5856"/>
      <c r="J5856" s="68"/>
    </row>
    <row r="5857" spans="8:10">
      <c r="H5857"/>
      <c r="I5857"/>
      <c r="J5857" s="68"/>
    </row>
    <row r="5858" spans="8:10">
      <c r="H5858"/>
      <c r="I5858"/>
      <c r="J5858" s="68"/>
    </row>
    <row r="5859" spans="8:10">
      <c r="H5859"/>
      <c r="I5859"/>
      <c r="J5859" s="68"/>
    </row>
    <row r="5860" spans="8:10">
      <c r="H5860"/>
      <c r="I5860"/>
      <c r="J5860" s="68"/>
    </row>
    <row r="5861" spans="8:10">
      <c r="H5861"/>
      <c r="I5861"/>
      <c r="J5861" s="68"/>
    </row>
    <row r="5862" spans="8:10">
      <c r="H5862"/>
      <c r="I5862"/>
      <c r="J5862" s="68"/>
    </row>
    <row r="5863" spans="8:10">
      <c r="H5863"/>
      <c r="I5863"/>
      <c r="J5863" s="68"/>
    </row>
    <row r="5864" spans="8:10">
      <c r="H5864"/>
      <c r="I5864"/>
      <c r="J5864" s="68"/>
    </row>
    <row r="5865" spans="8:10">
      <c r="H5865"/>
      <c r="I5865"/>
      <c r="J5865" s="68"/>
    </row>
    <row r="5866" spans="8:10">
      <c r="H5866"/>
      <c r="I5866"/>
      <c r="J5866" s="68"/>
    </row>
    <row r="5867" spans="8:10">
      <c r="H5867"/>
      <c r="I5867"/>
      <c r="J5867" s="68"/>
    </row>
    <row r="5868" spans="8:10">
      <c r="H5868"/>
      <c r="I5868"/>
      <c r="J5868" s="68"/>
    </row>
    <row r="5869" spans="8:10">
      <c r="H5869"/>
      <c r="I5869"/>
      <c r="J5869" s="68"/>
    </row>
    <row r="5870" spans="8:10">
      <c r="H5870"/>
      <c r="I5870"/>
      <c r="J5870" s="68"/>
    </row>
    <row r="5871" spans="8:10">
      <c r="H5871"/>
      <c r="I5871"/>
      <c r="J5871" s="68"/>
    </row>
    <row r="5872" spans="8:10">
      <c r="H5872"/>
      <c r="I5872"/>
      <c r="J5872" s="68"/>
    </row>
    <row r="5873" spans="8:10">
      <c r="H5873"/>
      <c r="I5873"/>
      <c r="J5873" s="68"/>
    </row>
    <row r="5874" spans="8:10">
      <c r="H5874"/>
      <c r="I5874"/>
      <c r="J5874" s="68"/>
    </row>
    <row r="5875" spans="8:10">
      <c r="H5875"/>
      <c r="I5875"/>
      <c r="J5875" s="68"/>
    </row>
    <row r="5876" spans="8:10">
      <c r="H5876"/>
      <c r="I5876"/>
      <c r="J5876" s="68"/>
    </row>
    <row r="5877" spans="8:10">
      <c r="H5877"/>
      <c r="I5877"/>
      <c r="J5877" s="68"/>
    </row>
    <row r="5878" spans="8:10">
      <c r="H5878"/>
      <c r="I5878"/>
      <c r="J5878" s="68"/>
    </row>
    <row r="5879" spans="8:10">
      <c r="H5879"/>
      <c r="I5879"/>
      <c r="J5879" s="68"/>
    </row>
    <row r="5880" spans="8:10">
      <c r="H5880"/>
      <c r="I5880"/>
      <c r="J5880" s="68"/>
    </row>
    <row r="5881" spans="8:10">
      <c r="H5881"/>
      <c r="I5881"/>
      <c r="J5881" s="68"/>
    </row>
    <row r="5882" spans="8:10">
      <c r="H5882"/>
      <c r="I5882"/>
      <c r="J5882" s="68"/>
    </row>
    <row r="5883" spans="8:10">
      <c r="H5883"/>
      <c r="I5883"/>
      <c r="J5883" s="68"/>
    </row>
    <row r="5884" spans="8:10">
      <c r="H5884"/>
      <c r="I5884"/>
      <c r="J5884" s="68"/>
    </row>
    <row r="5885" spans="8:10">
      <c r="H5885"/>
      <c r="I5885"/>
      <c r="J5885" s="68"/>
    </row>
    <row r="5886" spans="8:10">
      <c r="H5886"/>
      <c r="I5886"/>
      <c r="J5886" s="68"/>
    </row>
    <row r="5887" spans="8:10">
      <c r="H5887"/>
      <c r="I5887"/>
      <c r="J5887" s="68"/>
    </row>
    <row r="5888" spans="8:10">
      <c r="H5888"/>
      <c r="I5888"/>
      <c r="J5888" s="68"/>
    </row>
    <row r="5889" spans="8:10">
      <c r="H5889"/>
      <c r="I5889"/>
      <c r="J5889" s="68"/>
    </row>
    <row r="5890" spans="8:10">
      <c r="H5890"/>
      <c r="I5890"/>
      <c r="J5890" s="68"/>
    </row>
    <row r="5891" spans="8:10">
      <c r="H5891"/>
      <c r="I5891"/>
      <c r="J5891" s="68"/>
    </row>
    <row r="5892" spans="8:10">
      <c r="H5892"/>
      <c r="I5892"/>
      <c r="J5892" s="68"/>
    </row>
    <row r="5893" spans="8:10">
      <c r="H5893"/>
      <c r="I5893"/>
      <c r="J5893" s="68"/>
    </row>
    <row r="5894" spans="8:10">
      <c r="H5894"/>
      <c r="I5894"/>
      <c r="J5894" s="68"/>
    </row>
    <row r="5895" spans="8:10">
      <c r="H5895"/>
      <c r="I5895"/>
      <c r="J5895" s="68"/>
    </row>
    <row r="5896" spans="8:10">
      <c r="H5896"/>
      <c r="I5896"/>
      <c r="J5896" s="68"/>
    </row>
    <row r="5897" spans="8:10">
      <c r="H5897"/>
      <c r="I5897"/>
      <c r="J5897" s="68"/>
    </row>
    <row r="5898" spans="8:10">
      <c r="H5898"/>
      <c r="I5898"/>
      <c r="J5898" s="68"/>
    </row>
    <row r="5899" spans="8:10">
      <c r="H5899"/>
      <c r="I5899"/>
      <c r="J5899" s="68"/>
    </row>
    <row r="5900" spans="8:10">
      <c r="H5900"/>
      <c r="I5900"/>
      <c r="J5900" s="68"/>
    </row>
    <row r="5901" spans="8:10">
      <c r="H5901"/>
      <c r="I5901"/>
      <c r="J5901" s="68"/>
    </row>
    <row r="5902" spans="8:10">
      <c r="H5902"/>
      <c r="I5902"/>
      <c r="J5902" s="68"/>
    </row>
    <row r="5903" spans="8:10">
      <c r="H5903"/>
      <c r="I5903"/>
      <c r="J5903" s="68"/>
    </row>
    <row r="5904" spans="8:10">
      <c r="H5904"/>
      <c r="I5904"/>
      <c r="J5904" s="68"/>
    </row>
    <row r="5905" spans="8:10">
      <c r="H5905"/>
      <c r="I5905"/>
      <c r="J5905" s="68"/>
    </row>
    <row r="5906" spans="8:10">
      <c r="H5906"/>
      <c r="I5906"/>
      <c r="J5906" s="68"/>
    </row>
    <row r="5907" spans="8:10">
      <c r="H5907"/>
      <c r="I5907"/>
      <c r="J5907" s="68"/>
    </row>
    <row r="5908" spans="8:10">
      <c r="H5908"/>
      <c r="I5908"/>
      <c r="J5908" s="68"/>
    </row>
    <row r="5909" spans="8:10">
      <c r="H5909"/>
      <c r="I5909"/>
      <c r="J5909" s="68"/>
    </row>
    <row r="5910" spans="8:10">
      <c r="H5910"/>
      <c r="I5910"/>
      <c r="J5910" s="68"/>
    </row>
    <row r="5911" spans="8:10">
      <c r="H5911"/>
      <c r="I5911"/>
      <c r="J5911" s="68"/>
    </row>
    <row r="5912" spans="8:10">
      <c r="H5912"/>
      <c r="I5912"/>
      <c r="J5912" s="68"/>
    </row>
    <row r="5913" spans="8:10">
      <c r="H5913"/>
      <c r="I5913"/>
      <c r="J5913" s="68"/>
    </row>
    <row r="5914" spans="8:10">
      <c r="H5914"/>
      <c r="I5914"/>
      <c r="J5914" s="68"/>
    </row>
    <row r="5915" spans="8:10">
      <c r="H5915"/>
      <c r="I5915"/>
      <c r="J5915" s="68"/>
    </row>
    <row r="5916" spans="8:10">
      <c r="H5916"/>
      <c r="I5916"/>
      <c r="J5916" s="68"/>
    </row>
    <row r="5917" spans="8:10">
      <c r="H5917"/>
      <c r="I5917"/>
      <c r="J5917" s="68"/>
    </row>
    <row r="5918" spans="8:10">
      <c r="H5918"/>
      <c r="I5918"/>
      <c r="J5918" s="68"/>
    </row>
    <row r="5919" spans="8:10">
      <c r="H5919"/>
      <c r="I5919"/>
      <c r="J5919" s="68"/>
    </row>
    <row r="5920" spans="8:10">
      <c r="H5920"/>
      <c r="I5920"/>
      <c r="J5920" s="68"/>
    </row>
    <row r="5921" spans="8:10">
      <c r="H5921"/>
      <c r="I5921"/>
      <c r="J5921" s="68"/>
    </row>
    <row r="5922" spans="8:10">
      <c r="H5922"/>
      <c r="I5922"/>
      <c r="J5922" s="68"/>
    </row>
    <row r="5923" spans="8:10">
      <c r="H5923"/>
      <c r="I5923"/>
      <c r="J5923" s="68"/>
    </row>
    <row r="5924" spans="8:10">
      <c r="H5924"/>
      <c r="I5924"/>
      <c r="J5924" s="68"/>
    </row>
    <row r="5925" spans="8:10">
      <c r="H5925"/>
      <c r="I5925"/>
      <c r="J5925" s="68"/>
    </row>
    <row r="5926" spans="8:10">
      <c r="H5926"/>
      <c r="I5926"/>
      <c r="J5926" s="68"/>
    </row>
    <row r="5927" spans="8:10">
      <c r="H5927"/>
      <c r="I5927"/>
      <c r="J5927" s="68"/>
    </row>
    <row r="5928" spans="8:10">
      <c r="H5928"/>
      <c r="I5928"/>
      <c r="J5928" s="68"/>
    </row>
    <row r="5929" spans="8:10">
      <c r="H5929"/>
      <c r="I5929"/>
      <c r="J5929" s="68"/>
    </row>
    <row r="5930" spans="8:10">
      <c r="H5930"/>
      <c r="I5930"/>
      <c r="J5930" s="68"/>
    </row>
    <row r="5931" spans="8:10">
      <c r="H5931"/>
      <c r="I5931"/>
      <c r="J5931" s="68"/>
    </row>
    <row r="5932" spans="8:10">
      <c r="H5932"/>
      <c r="I5932"/>
      <c r="J5932" s="68"/>
    </row>
    <row r="5933" spans="8:10">
      <c r="H5933"/>
      <c r="I5933"/>
      <c r="J5933" s="68"/>
    </row>
    <row r="5934" spans="8:10">
      <c r="H5934"/>
      <c r="I5934"/>
      <c r="J5934" s="68"/>
    </row>
    <row r="5935" spans="8:10">
      <c r="H5935"/>
      <c r="I5935"/>
      <c r="J5935" s="68"/>
    </row>
    <row r="5936" spans="8:10">
      <c r="H5936"/>
      <c r="I5936"/>
      <c r="J5936" s="68"/>
    </row>
    <row r="5937" spans="8:10">
      <c r="H5937"/>
      <c r="I5937"/>
      <c r="J5937" s="68"/>
    </row>
    <row r="5938" spans="8:10">
      <c r="H5938"/>
      <c r="I5938"/>
      <c r="J5938" s="68"/>
    </row>
    <row r="5939" spans="8:10">
      <c r="H5939"/>
      <c r="I5939"/>
      <c r="J5939" s="68"/>
    </row>
    <row r="5940" spans="8:10">
      <c r="H5940"/>
      <c r="I5940"/>
      <c r="J5940" s="68"/>
    </row>
    <row r="5941" spans="8:10">
      <c r="H5941"/>
      <c r="I5941"/>
      <c r="J5941" s="68"/>
    </row>
    <row r="5942" spans="8:10">
      <c r="H5942"/>
      <c r="I5942"/>
      <c r="J5942" s="68"/>
    </row>
    <row r="5943" spans="8:10">
      <c r="H5943"/>
      <c r="I5943"/>
      <c r="J5943" s="68"/>
    </row>
    <row r="5944" spans="8:10">
      <c r="H5944"/>
      <c r="I5944"/>
      <c r="J5944" s="68"/>
    </row>
    <row r="5945" spans="8:10">
      <c r="H5945"/>
      <c r="I5945"/>
      <c r="J5945" s="68"/>
    </row>
    <row r="5946" spans="8:10">
      <c r="H5946"/>
      <c r="I5946"/>
      <c r="J5946" s="68"/>
    </row>
    <row r="5947" spans="8:10">
      <c r="H5947"/>
      <c r="I5947"/>
      <c r="J5947" s="68"/>
    </row>
    <row r="5948" spans="8:10">
      <c r="H5948"/>
      <c r="I5948"/>
      <c r="J5948" s="68"/>
    </row>
    <row r="5949" spans="8:10">
      <c r="H5949"/>
      <c r="I5949"/>
      <c r="J5949" s="68"/>
    </row>
    <row r="5950" spans="8:10">
      <c r="H5950"/>
      <c r="I5950"/>
      <c r="J5950" s="68"/>
    </row>
    <row r="5951" spans="8:10">
      <c r="H5951"/>
      <c r="I5951"/>
      <c r="J5951" s="68"/>
    </row>
    <row r="5952" spans="8:10">
      <c r="H5952"/>
      <c r="I5952"/>
      <c r="J5952" s="68"/>
    </row>
    <row r="5953" spans="8:10">
      <c r="H5953"/>
      <c r="I5953"/>
      <c r="J5953" s="68"/>
    </row>
    <row r="5954" spans="8:10">
      <c r="H5954"/>
      <c r="I5954"/>
      <c r="J5954" s="68"/>
    </row>
    <row r="5955" spans="8:10">
      <c r="H5955"/>
      <c r="I5955"/>
      <c r="J5955" s="68"/>
    </row>
    <row r="5956" spans="8:10">
      <c r="H5956"/>
      <c r="I5956"/>
      <c r="J5956" s="68"/>
    </row>
    <row r="5957" spans="8:10">
      <c r="H5957"/>
      <c r="I5957"/>
      <c r="J5957" s="68"/>
    </row>
    <row r="5958" spans="8:10">
      <c r="H5958"/>
      <c r="I5958"/>
      <c r="J5958" s="68"/>
    </row>
    <row r="5959" spans="8:10">
      <c r="H5959"/>
      <c r="I5959"/>
      <c r="J5959" s="68"/>
    </row>
    <row r="5960" spans="8:10">
      <c r="H5960"/>
      <c r="I5960"/>
      <c r="J5960" s="68"/>
    </row>
    <row r="5961" spans="8:10">
      <c r="H5961"/>
      <c r="I5961"/>
      <c r="J5961" s="68"/>
    </row>
    <row r="5962" spans="8:10">
      <c r="H5962"/>
      <c r="I5962"/>
      <c r="J5962" s="68"/>
    </row>
    <row r="5963" spans="8:10">
      <c r="H5963"/>
      <c r="I5963"/>
      <c r="J5963" s="68"/>
    </row>
    <row r="5964" spans="8:10">
      <c r="H5964"/>
      <c r="I5964"/>
      <c r="J5964" s="68"/>
    </row>
    <row r="5965" spans="8:10">
      <c r="H5965"/>
      <c r="I5965"/>
      <c r="J5965" s="68"/>
    </row>
    <row r="5966" spans="8:10">
      <c r="H5966"/>
      <c r="I5966"/>
      <c r="J5966" s="68"/>
    </row>
    <row r="5967" spans="8:10">
      <c r="H5967"/>
      <c r="I5967"/>
      <c r="J5967" s="68"/>
    </row>
    <row r="5968" spans="8:10">
      <c r="H5968"/>
      <c r="I5968"/>
      <c r="J5968" s="68"/>
    </row>
    <row r="5969" spans="8:10">
      <c r="H5969"/>
      <c r="I5969"/>
      <c r="J5969" s="68"/>
    </row>
    <row r="5970" spans="8:10">
      <c r="H5970"/>
      <c r="I5970"/>
      <c r="J5970" s="68"/>
    </row>
    <row r="5971" spans="8:10">
      <c r="H5971"/>
      <c r="I5971"/>
      <c r="J5971" s="68"/>
    </row>
    <row r="5972" spans="8:10">
      <c r="H5972"/>
      <c r="I5972"/>
      <c r="J5972" s="68"/>
    </row>
    <row r="5973" spans="8:10">
      <c r="H5973"/>
      <c r="I5973"/>
      <c r="J5973" s="68"/>
    </row>
    <row r="5974" spans="8:10">
      <c r="H5974"/>
      <c r="I5974"/>
      <c r="J5974" s="68"/>
    </row>
    <row r="5975" spans="8:10">
      <c r="H5975"/>
      <c r="I5975"/>
      <c r="J5975" s="68"/>
    </row>
    <row r="5976" spans="8:10">
      <c r="H5976"/>
      <c r="I5976"/>
      <c r="J5976" s="68"/>
    </row>
    <row r="5977" spans="8:10">
      <c r="H5977"/>
      <c r="I5977"/>
      <c r="J5977" s="68"/>
    </row>
    <row r="5978" spans="8:10">
      <c r="H5978"/>
      <c r="I5978"/>
      <c r="J5978" s="68"/>
    </row>
    <row r="5979" spans="8:10">
      <c r="H5979"/>
      <c r="I5979"/>
      <c r="J5979" s="68"/>
    </row>
    <row r="5980" spans="8:10">
      <c r="H5980"/>
      <c r="I5980"/>
      <c r="J5980" s="68"/>
    </row>
    <row r="5981" spans="8:10">
      <c r="H5981"/>
      <c r="I5981"/>
      <c r="J5981" s="68"/>
    </row>
    <row r="5982" spans="8:10">
      <c r="H5982"/>
      <c r="I5982"/>
      <c r="J5982" s="68"/>
    </row>
    <row r="5983" spans="8:10">
      <c r="H5983"/>
      <c r="I5983"/>
      <c r="J5983" s="68"/>
    </row>
    <row r="5984" spans="8:10">
      <c r="H5984"/>
      <c r="I5984"/>
      <c r="J5984" s="68"/>
    </row>
    <row r="5985" spans="8:10">
      <c r="H5985"/>
      <c r="I5985"/>
      <c r="J5985" s="68"/>
    </row>
    <row r="5986" spans="8:10">
      <c r="H5986"/>
      <c r="I5986"/>
      <c r="J5986" s="68"/>
    </row>
    <row r="5987" spans="8:10">
      <c r="H5987"/>
      <c r="I5987"/>
      <c r="J5987" s="68"/>
    </row>
    <row r="5988" spans="8:10">
      <c r="H5988"/>
      <c r="I5988"/>
      <c r="J5988" s="68"/>
    </row>
    <row r="5989" spans="8:10">
      <c r="H5989"/>
      <c r="I5989"/>
      <c r="J5989" s="68"/>
    </row>
    <row r="5990" spans="8:10">
      <c r="H5990"/>
      <c r="I5990"/>
      <c r="J5990" s="68"/>
    </row>
    <row r="5991" spans="8:10">
      <c r="H5991"/>
      <c r="I5991"/>
      <c r="J5991" s="68"/>
    </row>
    <row r="5992" spans="8:10">
      <c r="H5992"/>
      <c r="I5992"/>
      <c r="J5992" s="68"/>
    </row>
    <row r="5993" spans="8:10">
      <c r="H5993"/>
      <c r="I5993"/>
      <c r="J5993" s="68"/>
    </row>
    <row r="5994" spans="8:10">
      <c r="H5994"/>
      <c r="I5994"/>
      <c r="J5994" s="68"/>
    </row>
    <row r="5995" spans="8:10">
      <c r="H5995"/>
      <c r="I5995"/>
      <c r="J5995" s="68"/>
    </row>
    <row r="5996" spans="8:10">
      <c r="H5996"/>
      <c r="I5996"/>
      <c r="J5996" s="68"/>
    </row>
    <row r="5997" spans="8:10">
      <c r="H5997"/>
      <c r="I5997"/>
      <c r="J5997" s="68"/>
    </row>
    <row r="5998" spans="8:10">
      <c r="H5998"/>
      <c r="I5998"/>
      <c r="J5998" s="68"/>
    </row>
    <row r="5999" spans="8:10">
      <c r="H5999"/>
      <c r="I5999"/>
      <c r="J5999" s="68"/>
    </row>
    <row r="6000" spans="8:10">
      <c r="H6000"/>
      <c r="I6000"/>
      <c r="J6000" s="68"/>
    </row>
    <row r="6001" spans="8:10">
      <c r="H6001"/>
      <c r="I6001"/>
      <c r="J6001" s="68"/>
    </row>
    <row r="6002" spans="8:10">
      <c r="H6002"/>
      <c r="I6002"/>
      <c r="J6002" s="68"/>
    </row>
    <row r="6003" spans="8:10">
      <c r="H6003"/>
      <c r="I6003"/>
      <c r="J6003" s="68"/>
    </row>
    <row r="6004" spans="8:10">
      <c r="H6004"/>
      <c r="I6004"/>
      <c r="J6004" s="68"/>
    </row>
    <row r="6005" spans="8:10">
      <c r="H6005"/>
      <c r="I6005"/>
      <c r="J6005" s="68"/>
    </row>
    <row r="6006" spans="8:10">
      <c r="H6006"/>
      <c r="I6006"/>
      <c r="J6006" s="68"/>
    </row>
    <row r="6007" spans="8:10">
      <c r="H6007"/>
      <c r="I6007"/>
      <c r="J6007" s="68"/>
    </row>
    <row r="6008" spans="8:10">
      <c r="H6008"/>
      <c r="I6008"/>
      <c r="J6008" s="68"/>
    </row>
    <row r="6009" spans="8:10">
      <c r="H6009"/>
      <c r="I6009"/>
      <c r="J6009" s="68"/>
    </row>
    <row r="6010" spans="8:10">
      <c r="H6010"/>
      <c r="I6010"/>
      <c r="J6010" s="68"/>
    </row>
    <row r="6011" spans="8:10">
      <c r="H6011"/>
      <c r="I6011"/>
      <c r="J6011" s="68"/>
    </row>
    <row r="6012" spans="8:10">
      <c r="H6012"/>
      <c r="I6012"/>
      <c r="J6012" s="68"/>
    </row>
    <row r="6013" spans="8:10">
      <c r="H6013"/>
      <c r="I6013"/>
      <c r="J6013" s="68"/>
    </row>
    <row r="6014" spans="8:10">
      <c r="H6014"/>
      <c r="I6014"/>
      <c r="J6014" s="68"/>
    </row>
    <row r="6015" spans="8:10">
      <c r="H6015"/>
      <c r="I6015"/>
      <c r="J6015" s="68"/>
    </row>
    <row r="6016" spans="8:10">
      <c r="H6016"/>
      <c r="I6016"/>
      <c r="J6016" s="68"/>
    </row>
    <row r="6017" spans="8:10">
      <c r="H6017"/>
      <c r="I6017"/>
      <c r="J6017" s="68"/>
    </row>
    <row r="6018" spans="8:10">
      <c r="H6018"/>
      <c r="I6018"/>
      <c r="J6018" s="68"/>
    </row>
    <row r="6019" spans="8:10">
      <c r="H6019"/>
      <c r="I6019"/>
      <c r="J6019" s="68"/>
    </row>
    <row r="6020" spans="8:10">
      <c r="H6020"/>
      <c r="I6020"/>
      <c r="J6020" s="68"/>
    </row>
    <row r="6021" spans="8:10">
      <c r="H6021"/>
      <c r="I6021"/>
      <c r="J6021" s="68"/>
    </row>
    <row r="6022" spans="8:10">
      <c r="H6022"/>
      <c r="I6022"/>
      <c r="J6022" s="68"/>
    </row>
    <row r="6023" spans="8:10">
      <c r="H6023"/>
      <c r="I6023"/>
      <c r="J6023" s="68"/>
    </row>
    <row r="6024" spans="8:10">
      <c r="H6024"/>
      <c r="I6024"/>
      <c r="J6024" s="68"/>
    </row>
    <row r="6025" spans="8:10">
      <c r="H6025"/>
      <c r="I6025"/>
      <c r="J6025" s="68"/>
    </row>
    <row r="6026" spans="8:10">
      <c r="H6026"/>
      <c r="I6026"/>
      <c r="J6026" s="68"/>
    </row>
    <row r="6027" spans="8:10">
      <c r="H6027"/>
      <c r="I6027"/>
      <c r="J6027" s="68"/>
    </row>
    <row r="6028" spans="8:10">
      <c r="H6028"/>
      <c r="I6028"/>
      <c r="J6028" s="68"/>
    </row>
    <row r="6029" spans="8:10">
      <c r="H6029"/>
      <c r="I6029"/>
      <c r="J6029" s="68"/>
    </row>
    <row r="6030" spans="8:10">
      <c r="H6030"/>
      <c r="I6030"/>
      <c r="J6030" s="68"/>
    </row>
    <row r="6031" spans="8:10">
      <c r="H6031"/>
      <c r="I6031"/>
      <c r="J6031" s="68"/>
    </row>
    <row r="6032" spans="8:10">
      <c r="H6032"/>
      <c r="I6032"/>
      <c r="J6032" s="68"/>
    </row>
    <row r="6033" spans="8:10">
      <c r="H6033"/>
      <c r="I6033"/>
      <c r="J6033" s="68"/>
    </row>
    <row r="6034" spans="8:10">
      <c r="H6034"/>
      <c r="I6034"/>
      <c r="J6034" s="68"/>
    </row>
    <row r="6035" spans="8:10">
      <c r="H6035"/>
      <c r="I6035"/>
      <c r="J6035" s="68"/>
    </row>
    <row r="6036" spans="8:10">
      <c r="H6036"/>
      <c r="I6036"/>
      <c r="J6036" s="68"/>
    </row>
    <row r="6037" spans="8:10">
      <c r="H6037"/>
      <c r="I6037"/>
      <c r="J6037" s="68"/>
    </row>
    <row r="6038" spans="8:10">
      <c r="H6038"/>
      <c r="I6038"/>
      <c r="J6038" s="68"/>
    </row>
    <row r="6039" spans="8:10">
      <c r="H6039"/>
      <c r="I6039"/>
      <c r="J6039" s="68"/>
    </row>
    <row r="6040" spans="8:10">
      <c r="H6040"/>
      <c r="I6040"/>
      <c r="J6040" s="68"/>
    </row>
    <row r="6041" spans="8:10">
      <c r="H6041"/>
      <c r="I6041"/>
      <c r="J6041" s="68"/>
    </row>
    <row r="6042" spans="8:10">
      <c r="H6042"/>
      <c r="I6042"/>
      <c r="J6042" s="68"/>
    </row>
    <row r="6043" spans="8:10">
      <c r="H6043"/>
      <c r="I6043"/>
      <c r="J6043" s="68"/>
    </row>
    <row r="6044" spans="8:10">
      <c r="H6044"/>
      <c r="I6044"/>
      <c r="J6044" s="68"/>
    </row>
    <row r="6045" spans="8:10">
      <c r="H6045"/>
      <c r="I6045"/>
      <c r="J6045" s="68"/>
    </row>
    <row r="6046" spans="8:10">
      <c r="H6046"/>
      <c r="I6046"/>
      <c r="J6046" s="68"/>
    </row>
    <row r="6047" spans="8:10">
      <c r="H6047"/>
      <c r="I6047"/>
      <c r="J6047" s="68"/>
    </row>
    <row r="6048" spans="8:10">
      <c r="H6048"/>
      <c r="I6048"/>
      <c r="J6048" s="68"/>
    </row>
    <row r="6049" spans="8:10">
      <c r="H6049"/>
      <c r="I6049"/>
      <c r="J6049" s="68"/>
    </row>
    <row r="6050" spans="8:10">
      <c r="H6050"/>
      <c r="I6050"/>
      <c r="J6050" s="68"/>
    </row>
    <row r="6051" spans="8:10">
      <c r="H6051"/>
      <c r="I6051"/>
      <c r="J6051" s="68"/>
    </row>
    <row r="6052" spans="8:10">
      <c r="H6052"/>
      <c r="I6052"/>
      <c r="J6052" s="68"/>
    </row>
    <row r="6053" spans="8:10">
      <c r="H6053"/>
      <c r="I6053"/>
      <c r="J6053" s="68"/>
    </row>
    <row r="6054" spans="8:10">
      <c r="H6054"/>
      <c r="I6054"/>
      <c r="J6054" s="68"/>
    </row>
    <row r="6055" spans="8:10">
      <c r="H6055"/>
      <c r="I6055"/>
      <c r="J6055" s="68"/>
    </row>
    <row r="6056" spans="8:10">
      <c r="H6056"/>
      <c r="I6056"/>
      <c r="J6056" s="68"/>
    </row>
    <row r="6057" spans="8:10">
      <c r="H6057"/>
      <c r="I6057"/>
      <c r="J6057" s="68"/>
    </row>
    <row r="6058" spans="8:10">
      <c r="H6058"/>
      <c r="I6058"/>
      <c r="J6058" s="68"/>
    </row>
    <row r="6059" spans="8:10">
      <c r="H6059"/>
      <c r="I6059"/>
      <c r="J6059" s="68"/>
    </row>
    <row r="6060" spans="8:10">
      <c r="H6060"/>
      <c r="I6060"/>
      <c r="J6060" s="68"/>
    </row>
    <row r="6061" spans="8:10">
      <c r="H6061"/>
      <c r="I6061"/>
      <c r="J6061" s="68"/>
    </row>
    <row r="6062" spans="8:10">
      <c r="H6062"/>
      <c r="I6062"/>
      <c r="J6062" s="68"/>
    </row>
    <row r="6063" spans="8:10">
      <c r="H6063"/>
      <c r="I6063"/>
      <c r="J6063" s="68"/>
    </row>
    <row r="6064" spans="8:10">
      <c r="H6064"/>
      <c r="I6064"/>
      <c r="J6064" s="68"/>
    </row>
    <row r="6065" spans="8:10">
      <c r="H6065"/>
      <c r="I6065"/>
      <c r="J6065" s="68"/>
    </row>
    <row r="6066" spans="8:10">
      <c r="H6066"/>
      <c r="I6066"/>
      <c r="J6066" s="68"/>
    </row>
    <row r="6067" spans="8:10">
      <c r="H6067"/>
      <c r="I6067"/>
      <c r="J6067" s="68"/>
    </row>
    <row r="6068" spans="8:10">
      <c r="H6068"/>
      <c r="I6068"/>
      <c r="J6068" s="68"/>
    </row>
    <row r="6069" spans="8:10">
      <c r="H6069"/>
      <c r="I6069"/>
      <c r="J6069" s="68"/>
    </row>
    <row r="6070" spans="8:10">
      <c r="H6070"/>
      <c r="I6070"/>
      <c r="J6070" s="68"/>
    </row>
    <row r="6071" spans="8:10">
      <c r="H6071"/>
      <c r="I6071"/>
      <c r="J6071" s="68"/>
    </row>
    <row r="6072" spans="8:10">
      <c r="H6072"/>
      <c r="I6072"/>
      <c r="J6072" s="68"/>
    </row>
    <row r="6073" spans="8:10">
      <c r="H6073"/>
      <c r="I6073"/>
      <c r="J6073" s="68"/>
    </row>
    <row r="6074" spans="8:10">
      <c r="H6074"/>
      <c r="I6074"/>
      <c r="J6074" s="68"/>
    </row>
    <row r="6075" spans="8:10">
      <c r="H6075"/>
      <c r="I6075"/>
      <c r="J6075" s="68"/>
    </row>
    <row r="6076" spans="8:10">
      <c r="H6076"/>
      <c r="I6076"/>
      <c r="J6076" s="68"/>
    </row>
    <row r="6077" spans="8:10">
      <c r="H6077"/>
      <c r="I6077"/>
      <c r="J6077" s="68"/>
    </row>
    <row r="6078" spans="8:10">
      <c r="H6078"/>
      <c r="I6078"/>
      <c r="J6078" s="68"/>
    </row>
    <row r="6079" spans="8:10">
      <c r="H6079"/>
      <c r="I6079"/>
      <c r="J6079" s="68"/>
    </row>
    <row r="6080" spans="8:10">
      <c r="H6080"/>
      <c r="I6080"/>
      <c r="J6080" s="68"/>
    </row>
    <row r="6081" spans="8:10">
      <c r="H6081"/>
      <c r="I6081"/>
      <c r="J6081" s="68"/>
    </row>
    <row r="6082" spans="8:10">
      <c r="H6082"/>
      <c r="I6082"/>
      <c r="J6082" s="68"/>
    </row>
    <row r="6083" spans="8:10">
      <c r="H6083"/>
      <c r="I6083"/>
      <c r="J6083" s="68"/>
    </row>
    <row r="6084" spans="8:10">
      <c r="H6084"/>
      <c r="I6084"/>
      <c r="J6084" s="68"/>
    </row>
    <row r="6085" spans="8:10">
      <c r="H6085"/>
      <c r="I6085"/>
      <c r="J6085" s="68"/>
    </row>
    <row r="6086" spans="8:10">
      <c r="H6086"/>
      <c r="I6086"/>
      <c r="J6086" s="68"/>
    </row>
    <row r="6087" spans="8:10">
      <c r="H6087"/>
      <c r="I6087"/>
      <c r="J6087" s="68"/>
    </row>
    <row r="6088" spans="8:10">
      <c r="H6088"/>
      <c r="I6088"/>
      <c r="J6088" s="68"/>
    </row>
    <row r="6089" spans="8:10">
      <c r="H6089"/>
      <c r="I6089"/>
      <c r="J6089" s="68"/>
    </row>
    <row r="6090" spans="8:10">
      <c r="H6090"/>
      <c r="I6090"/>
      <c r="J6090" s="68"/>
    </row>
    <row r="6091" spans="8:10">
      <c r="H6091"/>
      <c r="I6091"/>
      <c r="J6091" s="68"/>
    </row>
    <row r="6092" spans="8:10">
      <c r="H6092"/>
      <c r="I6092"/>
      <c r="J6092" s="68"/>
    </row>
    <row r="6093" spans="8:10">
      <c r="H6093"/>
      <c r="I6093"/>
      <c r="J6093" s="68"/>
    </row>
    <row r="6094" spans="8:10">
      <c r="H6094"/>
      <c r="I6094"/>
      <c r="J6094" s="68"/>
    </row>
    <row r="6095" spans="8:10">
      <c r="H6095"/>
      <c r="I6095"/>
      <c r="J6095" s="68"/>
    </row>
    <row r="6096" spans="8:10">
      <c r="H6096"/>
      <c r="I6096"/>
      <c r="J6096" s="68"/>
    </row>
    <row r="6097" spans="8:10">
      <c r="H6097"/>
      <c r="I6097"/>
      <c r="J6097" s="68"/>
    </row>
    <row r="6098" spans="8:10">
      <c r="H6098"/>
      <c r="I6098"/>
      <c r="J6098" s="68"/>
    </row>
    <row r="6099" spans="8:10">
      <c r="H6099"/>
      <c r="I6099"/>
      <c r="J6099" s="68"/>
    </row>
    <row r="6100" spans="8:10">
      <c r="H6100"/>
      <c r="I6100"/>
      <c r="J6100" s="68"/>
    </row>
    <row r="6101" spans="8:10">
      <c r="H6101"/>
      <c r="I6101"/>
      <c r="J6101" s="68"/>
    </row>
    <row r="6102" spans="8:10">
      <c r="H6102"/>
      <c r="I6102"/>
      <c r="J6102" s="68"/>
    </row>
    <row r="6103" spans="8:10">
      <c r="H6103"/>
      <c r="I6103"/>
      <c r="J6103" s="68"/>
    </row>
    <row r="6104" spans="8:10">
      <c r="H6104"/>
      <c r="I6104"/>
      <c r="J6104" s="68"/>
    </row>
    <row r="6105" spans="8:10">
      <c r="H6105"/>
      <c r="I6105"/>
      <c r="J6105" s="68"/>
    </row>
    <row r="6106" spans="8:10">
      <c r="H6106"/>
      <c r="I6106"/>
      <c r="J6106" s="68"/>
    </row>
    <row r="6107" spans="8:10">
      <c r="H6107"/>
      <c r="I6107"/>
      <c r="J6107" s="68"/>
    </row>
    <row r="6108" spans="8:10">
      <c r="H6108"/>
      <c r="I6108"/>
      <c r="J6108" s="68"/>
    </row>
    <row r="6109" spans="8:10">
      <c r="H6109"/>
      <c r="I6109"/>
      <c r="J6109" s="68"/>
    </row>
    <row r="6110" spans="8:10">
      <c r="H6110"/>
      <c r="I6110"/>
      <c r="J6110" s="68"/>
    </row>
    <row r="6111" spans="8:10">
      <c r="H6111"/>
      <c r="I6111"/>
      <c r="J6111" s="68"/>
    </row>
    <row r="6112" spans="8:10">
      <c r="H6112"/>
      <c r="I6112"/>
      <c r="J6112" s="68"/>
    </row>
    <row r="6113" spans="8:10">
      <c r="H6113"/>
      <c r="I6113"/>
      <c r="J6113" s="68"/>
    </row>
    <row r="6114" spans="8:10">
      <c r="H6114"/>
      <c r="I6114"/>
      <c r="J6114" s="68"/>
    </row>
    <row r="6115" spans="8:10">
      <c r="H6115"/>
      <c r="I6115"/>
      <c r="J6115" s="68"/>
    </row>
    <row r="6116" spans="8:10">
      <c r="H6116"/>
      <c r="I6116"/>
      <c r="J6116" s="68"/>
    </row>
    <row r="6117" spans="8:10">
      <c r="H6117"/>
      <c r="I6117"/>
      <c r="J6117" s="68"/>
    </row>
    <row r="6118" spans="8:10">
      <c r="H6118"/>
      <c r="I6118"/>
      <c r="J6118" s="68"/>
    </row>
    <row r="6119" spans="8:10">
      <c r="H6119"/>
      <c r="I6119"/>
      <c r="J6119" s="68"/>
    </row>
    <row r="6120" spans="8:10">
      <c r="H6120"/>
      <c r="I6120"/>
      <c r="J6120" s="68"/>
    </row>
    <row r="6121" spans="8:10">
      <c r="H6121"/>
      <c r="I6121"/>
      <c r="J6121" s="68"/>
    </row>
    <row r="6122" spans="8:10">
      <c r="H6122"/>
      <c r="I6122"/>
      <c r="J6122" s="68"/>
    </row>
    <row r="6123" spans="8:10">
      <c r="H6123"/>
      <c r="I6123"/>
      <c r="J6123" s="68"/>
    </row>
    <row r="6124" spans="8:10">
      <c r="H6124"/>
      <c r="I6124"/>
      <c r="J6124" s="68"/>
    </row>
    <row r="6125" spans="8:10">
      <c r="H6125"/>
      <c r="I6125"/>
      <c r="J6125" s="68"/>
    </row>
    <row r="6126" spans="8:10">
      <c r="H6126"/>
      <c r="I6126"/>
      <c r="J6126" s="68"/>
    </row>
    <row r="6127" spans="8:10">
      <c r="H6127"/>
      <c r="I6127"/>
      <c r="J6127" s="68"/>
    </row>
    <row r="6128" spans="8:10">
      <c r="H6128"/>
      <c r="I6128"/>
      <c r="J6128" s="68"/>
    </row>
    <row r="6129" spans="8:10">
      <c r="H6129"/>
      <c r="I6129"/>
      <c r="J6129" s="68"/>
    </row>
    <row r="6130" spans="8:10">
      <c r="H6130"/>
      <c r="I6130"/>
      <c r="J6130" s="68"/>
    </row>
    <row r="6131" spans="8:10">
      <c r="H6131"/>
      <c r="I6131"/>
      <c r="J6131" s="68"/>
    </row>
    <row r="6132" spans="8:10">
      <c r="H6132"/>
      <c r="I6132"/>
      <c r="J6132" s="68"/>
    </row>
    <row r="6133" spans="8:10">
      <c r="H6133"/>
      <c r="I6133"/>
      <c r="J6133" s="68"/>
    </row>
    <row r="6134" spans="8:10">
      <c r="H6134"/>
      <c r="I6134"/>
      <c r="J6134" s="68"/>
    </row>
    <row r="6135" spans="8:10">
      <c r="H6135"/>
      <c r="I6135"/>
      <c r="J6135" s="68"/>
    </row>
    <row r="6136" spans="8:10">
      <c r="H6136"/>
      <c r="I6136"/>
      <c r="J6136" s="68"/>
    </row>
    <row r="6137" spans="8:10">
      <c r="H6137"/>
      <c r="I6137"/>
      <c r="J6137" s="68"/>
    </row>
    <row r="6138" spans="8:10">
      <c r="H6138"/>
      <c r="I6138"/>
      <c r="J6138" s="68"/>
    </row>
    <row r="6139" spans="8:10">
      <c r="H6139"/>
      <c r="I6139"/>
      <c r="J6139" s="68"/>
    </row>
    <row r="6140" spans="8:10">
      <c r="H6140"/>
      <c r="I6140"/>
      <c r="J6140" s="68"/>
    </row>
    <row r="6141" spans="8:10">
      <c r="H6141"/>
      <c r="I6141"/>
      <c r="J6141" s="68"/>
    </row>
    <row r="6142" spans="8:10">
      <c r="H6142"/>
      <c r="I6142"/>
      <c r="J6142" s="68"/>
    </row>
    <row r="6143" spans="8:10">
      <c r="H6143"/>
      <c r="I6143"/>
      <c r="J6143" s="68"/>
    </row>
    <row r="6144" spans="8:10">
      <c r="H6144"/>
      <c r="I6144"/>
      <c r="J6144" s="68"/>
    </row>
    <row r="6145" spans="8:10">
      <c r="H6145"/>
      <c r="I6145"/>
      <c r="J6145" s="68"/>
    </row>
    <row r="6146" spans="8:10">
      <c r="H6146"/>
      <c r="I6146"/>
      <c r="J6146" s="68"/>
    </row>
    <row r="6147" spans="8:10">
      <c r="H6147"/>
      <c r="I6147"/>
      <c r="J6147" s="68"/>
    </row>
    <row r="6148" spans="8:10">
      <c r="H6148"/>
      <c r="I6148"/>
      <c r="J6148" s="68"/>
    </row>
    <row r="6149" spans="8:10">
      <c r="H6149"/>
      <c r="I6149"/>
      <c r="J6149" s="68"/>
    </row>
    <row r="6150" spans="8:10">
      <c r="H6150"/>
      <c r="I6150"/>
      <c r="J6150" s="68"/>
    </row>
    <row r="6151" spans="8:10">
      <c r="H6151"/>
      <c r="I6151"/>
      <c r="J6151" s="68"/>
    </row>
    <row r="6152" spans="8:10">
      <c r="H6152"/>
      <c r="I6152"/>
      <c r="J6152" s="68"/>
    </row>
    <row r="6153" spans="8:10">
      <c r="H6153"/>
      <c r="I6153"/>
      <c r="J6153" s="68"/>
    </row>
    <row r="6154" spans="8:10">
      <c r="H6154"/>
      <c r="I6154"/>
      <c r="J6154" s="68"/>
    </row>
    <row r="6155" spans="8:10">
      <c r="H6155"/>
      <c r="I6155"/>
      <c r="J6155" s="68"/>
    </row>
    <row r="6156" spans="8:10">
      <c r="H6156"/>
      <c r="I6156"/>
      <c r="J6156" s="68"/>
    </row>
    <row r="6157" spans="8:10">
      <c r="H6157"/>
      <c r="I6157"/>
      <c r="J6157" s="68"/>
    </row>
    <row r="6158" spans="8:10">
      <c r="H6158"/>
      <c r="I6158"/>
      <c r="J6158" s="68"/>
    </row>
    <row r="6159" spans="8:10">
      <c r="H6159"/>
      <c r="I6159"/>
      <c r="J6159" s="68"/>
    </row>
    <row r="6160" spans="8:10">
      <c r="H6160"/>
      <c r="I6160"/>
      <c r="J6160" s="68"/>
    </row>
    <row r="6161" spans="8:10">
      <c r="H6161"/>
      <c r="I6161"/>
      <c r="J6161" s="68"/>
    </row>
    <row r="6162" spans="8:10">
      <c r="H6162"/>
      <c r="I6162"/>
      <c r="J6162" s="68"/>
    </row>
    <row r="6163" spans="8:10">
      <c r="H6163"/>
      <c r="I6163"/>
      <c r="J6163" s="68"/>
    </row>
    <row r="6164" spans="8:10">
      <c r="H6164"/>
      <c r="I6164"/>
      <c r="J6164" s="68"/>
    </row>
    <row r="6165" spans="8:10">
      <c r="H6165"/>
      <c r="I6165"/>
      <c r="J6165" s="68"/>
    </row>
    <row r="6166" spans="8:10">
      <c r="H6166"/>
      <c r="I6166"/>
      <c r="J6166" s="68"/>
    </row>
    <row r="6167" spans="8:10">
      <c r="H6167"/>
      <c r="I6167"/>
      <c r="J6167" s="68"/>
    </row>
    <row r="6168" spans="8:10">
      <c r="H6168"/>
      <c r="I6168"/>
      <c r="J6168" s="68"/>
    </row>
    <row r="6169" spans="8:10">
      <c r="H6169"/>
      <c r="I6169"/>
      <c r="J6169" s="68"/>
    </row>
    <row r="6170" spans="8:10">
      <c r="H6170"/>
      <c r="I6170"/>
      <c r="J6170" s="68"/>
    </row>
    <row r="6171" spans="8:10">
      <c r="H6171"/>
      <c r="I6171"/>
      <c r="J6171" s="68"/>
    </row>
    <row r="6172" spans="8:10">
      <c r="H6172"/>
      <c r="I6172"/>
      <c r="J6172" s="68"/>
    </row>
    <row r="6173" spans="8:10">
      <c r="H6173"/>
      <c r="I6173"/>
      <c r="J6173" s="68"/>
    </row>
    <row r="6174" spans="8:10">
      <c r="H6174"/>
      <c r="I6174"/>
      <c r="J6174" s="68"/>
    </row>
    <row r="6175" spans="8:10">
      <c r="H6175"/>
      <c r="I6175"/>
      <c r="J6175" s="68"/>
    </row>
    <row r="6176" spans="8:10">
      <c r="H6176"/>
      <c r="I6176"/>
      <c r="J6176" s="68"/>
    </row>
    <row r="6177" spans="8:10">
      <c r="H6177"/>
      <c r="I6177"/>
      <c r="J6177" s="68"/>
    </row>
    <row r="6178" spans="8:10">
      <c r="H6178"/>
      <c r="I6178"/>
      <c r="J6178" s="68"/>
    </row>
    <row r="6179" spans="8:10">
      <c r="H6179"/>
      <c r="I6179"/>
      <c r="J6179" s="68"/>
    </row>
    <row r="6180" spans="8:10">
      <c r="H6180"/>
      <c r="I6180"/>
      <c r="J6180" s="68"/>
    </row>
    <row r="6181" spans="8:10">
      <c r="H6181"/>
      <c r="I6181"/>
      <c r="J6181" s="68"/>
    </row>
    <row r="6182" spans="8:10">
      <c r="H6182"/>
      <c r="I6182"/>
      <c r="J6182" s="68"/>
    </row>
    <row r="6183" spans="8:10">
      <c r="H6183"/>
      <c r="I6183"/>
      <c r="J6183" s="68"/>
    </row>
    <row r="6184" spans="8:10">
      <c r="H6184"/>
      <c r="I6184"/>
      <c r="J6184" s="68"/>
    </row>
    <row r="6185" spans="8:10">
      <c r="H6185"/>
      <c r="I6185"/>
      <c r="J6185" s="68"/>
    </row>
    <row r="6186" spans="8:10">
      <c r="H6186"/>
      <c r="I6186"/>
      <c r="J6186" s="68"/>
    </row>
    <row r="6187" spans="8:10">
      <c r="H6187"/>
      <c r="I6187"/>
      <c r="J6187" s="68"/>
    </row>
    <row r="6188" spans="8:10">
      <c r="H6188"/>
      <c r="I6188"/>
      <c r="J6188" s="68"/>
    </row>
    <row r="6189" spans="8:10">
      <c r="H6189"/>
      <c r="I6189"/>
      <c r="J6189" s="68"/>
    </row>
    <row r="6190" spans="8:10">
      <c r="H6190"/>
      <c r="I6190"/>
      <c r="J6190" s="68"/>
    </row>
    <row r="6191" spans="8:10">
      <c r="H6191"/>
      <c r="I6191"/>
      <c r="J6191" s="68"/>
    </row>
    <row r="6192" spans="8:10">
      <c r="H6192"/>
      <c r="I6192"/>
      <c r="J6192" s="68"/>
    </row>
    <row r="6193" spans="8:10">
      <c r="H6193"/>
      <c r="I6193"/>
      <c r="J6193" s="68"/>
    </row>
    <row r="6194" spans="8:10">
      <c r="H6194"/>
      <c r="I6194"/>
      <c r="J6194" s="68"/>
    </row>
    <row r="6195" spans="8:10">
      <c r="H6195"/>
      <c r="I6195"/>
      <c r="J6195" s="68"/>
    </row>
    <row r="6196" spans="8:10">
      <c r="H6196"/>
      <c r="I6196"/>
      <c r="J6196" s="68"/>
    </row>
    <row r="6197" spans="8:10">
      <c r="H6197"/>
      <c r="I6197"/>
      <c r="J6197" s="68"/>
    </row>
    <row r="6198" spans="8:10">
      <c r="H6198"/>
      <c r="I6198"/>
      <c r="J6198" s="68"/>
    </row>
    <row r="6199" spans="8:10">
      <c r="H6199"/>
      <c r="I6199"/>
      <c r="J6199" s="68"/>
    </row>
    <row r="6200" spans="8:10">
      <c r="H6200"/>
      <c r="I6200"/>
      <c r="J6200" s="68"/>
    </row>
    <row r="6201" spans="8:10">
      <c r="H6201"/>
      <c r="I6201"/>
      <c r="J6201" s="68"/>
    </row>
    <row r="6202" spans="8:10">
      <c r="H6202"/>
      <c r="I6202"/>
      <c r="J6202" s="68"/>
    </row>
    <row r="6203" spans="8:10">
      <c r="H6203"/>
      <c r="I6203"/>
      <c r="J6203" s="68"/>
    </row>
    <row r="6204" spans="8:10">
      <c r="H6204"/>
      <c r="I6204"/>
      <c r="J6204" s="68"/>
    </row>
    <row r="6205" spans="8:10">
      <c r="H6205"/>
      <c r="I6205"/>
      <c r="J6205" s="68"/>
    </row>
    <row r="6206" spans="8:10">
      <c r="H6206"/>
      <c r="I6206"/>
      <c r="J6206" s="68"/>
    </row>
    <row r="6207" spans="8:10">
      <c r="H6207"/>
      <c r="I6207"/>
      <c r="J6207" s="68"/>
    </row>
    <row r="6208" spans="8:10">
      <c r="H6208"/>
      <c r="I6208"/>
      <c r="J6208" s="68"/>
    </row>
    <row r="6209" spans="8:10">
      <c r="H6209"/>
      <c r="I6209"/>
      <c r="J6209" s="68"/>
    </row>
    <row r="6210" spans="8:10">
      <c r="H6210"/>
      <c r="I6210"/>
      <c r="J6210" s="68"/>
    </row>
    <row r="6211" spans="8:10">
      <c r="H6211"/>
      <c r="I6211"/>
      <c r="J6211" s="68"/>
    </row>
    <row r="6212" spans="8:10">
      <c r="H6212"/>
      <c r="I6212"/>
      <c r="J6212" s="68"/>
    </row>
    <row r="6213" spans="8:10">
      <c r="H6213"/>
      <c r="I6213"/>
      <c r="J6213" s="68"/>
    </row>
    <row r="6214" spans="8:10">
      <c r="H6214"/>
      <c r="I6214"/>
      <c r="J6214" s="68"/>
    </row>
    <row r="6215" spans="8:10">
      <c r="H6215"/>
      <c r="I6215"/>
      <c r="J6215" s="68"/>
    </row>
    <row r="6216" spans="8:10">
      <c r="H6216"/>
      <c r="I6216"/>
      <c r="J6216" s="68"/>
    </row>
    <row r="6217" spans="8:10">
      <c r="H6217"/>
      <c r="I6217"/>
      <c r="J6217" s="68"/>
    </row>
    <row r="6218" spans="8:10">
      <c r="H6218"/>
      <c r="I6218"/>
      <c r="J6218" s="68"/>
    </row>
    <row r="6219" spans="8:10">
      <c r="H6219"/>
      <c r="I6219"/>
      <c r="J6219" s="68"/>
    </row>
    <row r="6220" spans="8:10">
      <c r="H6220"/>
      <c r="I6220"/>
      <c r="J6220" s="68"/>
    </row>
    <row r="6221" spans="8:10">
      <c r="H6221"/>
      <c r="I6221"/>
      <c r="J6221" s="68"/>
    </row>
    <row r="6222" spans="8:10">
      <c r="H6222"/>
      <c r="I6222"/>
      <c r="J6222" s="68"/>
    </row>
    <row r="6223" spans="8:10">
      <c r="H6223"/>
      <c r="I6223"/>
      <c r="J6223" s="68"/>
    </row>
    <row r="6224" spans="8:10">
      <c r="H6224"/>
      <c r="I6224"/>
      <c r="J6224" s="68"/>
    </row>
    <row r="6225" spans="8:10">
      <c r="H6225"/>
      <c r="I6225"/>
      <c r="J6225" s="68"/>
    </row>
    <row r="6226" spans="8:10">
      <c r="H6226"/>
      <c r="I6226"/>
      <c r="J6226" s="68"/>
    </row>
    <row r="6227" spans="8:10">
      <c r="H6227"/>
      <c r="I6227"/>
      <c r="J6227" s="68"/>
    </row>
    <row r="6228" spans="8:10">
      <c r="H6228"/>
      <c r="I6228"/>
      <c r="J6228" s="68"/>
    </row>
    <row r="6229" spans="8:10">
      <c r="H6229"/>
      <c r="I6229"/>
      <c r="J6229" s="68"/>
    </row>
    <row r="6230" spans="8:10">
      <c r="H6230"/>
      <c r="I6230"/>
      <c r="J6230" s="68"/>
    </row>
    <row r="6231" spans="8:10">
      <c r="H6231"/>
      <c r="I6231"/>
      <c r="J6231" s="68"/>
    </row>
    <row r="6232" spans="8:10">
      <c r="H6232"/>
      <c r="I6232"/>
      <c r="J6232" s="68"/>
    </row>
    <row r="6233" spans="8:10">
      <c r="H6233"/>
      <c r="I6233"/>
      <c r="J6233" s="68"/>
    </row>
    <row r="6234" spans="8:10">
      <c r="H6234"/>
      <c r="I6234"/>
      <c r="J6234" s="68"/>
    </row>
    <row r="6235" spans="8:10">
      <c r="H6235"/>
      <c r="I6235"/>
      <c r="J6235" s="68"/>
    </row>
    <row r="6236" spans="8:10">
      <c r="H6236"/>
      <c r="I6236"/>
      <c r="J6236" s="68"/>
    </row>
    <row r="6237" spans="8:10">
      <c r="H6237"/>
      <c r="I6237"/>
      <c r="J6237" s="68"/>
    </row>
    <row r="6238" spans="8:10">
      <c r="H6238"/>
      <c r="I6238"/>
      <c r="J6238" s="68"/>
    </row>
    <row r="6239" spans="8:10">
      <c r="H6239"/>
      <c r="I6239"/>
      <c r="J6239" s="68"/>
    </row>
    <row r="6240" spans="8:10">
      <c r="H6240"/>
      <c r="I6240"/>
      <c r="J6240" s="68"/>
    </row>
    <row r="6241" spans="8:10">
      <c r="H6241"/>
      <c r="I6241"/>
      <c r="J6241" s="68"/>
    </row>
    <row r="6242" spans="8:10">
      <c r="H6242"/>
      <c r="I6242"/>
      <c r="J6242" s="68"/>
    </row>
    <row r="6243" spans="8:10">
      <c r="H6243"/>
      <c r="I6243"/>
      <c r="J6243" s="68"/>
    </row>
    <row r="6244" spans="8:10">
      <c r="H6244"/>
      <c r="I6244"/>
      <c r="J6244" s="68"/>
    </row>
    <row r="6245" spans="8:10">
      <c r="H6245"/>
      <c r="I6245"/>
      <c r="J6245" s="68"/>
    </row>
    <row r="6246" spans="8:10">
      <c r="H6246"/>
      <c r="I6246"/>
      <c r="J6246" s="68"/>
    </row>
    <row r="6247" spans="8:10">
      <c r="H6247"/>
      <c r="I6247"/>
      <c r="J6247" s="68"/>
    </row>
    <row r="6248" spans="8:10">
      <c r="H6248"/>
      <c r="I6248"/>
      <c r="J6248" s="68"/>
    </row>
    <row r="6249" spans="8:10">
      <c r="H6249"/>
      <c r="I6249"/>
      <c r="J6249" s="68"/>
    </row>
    <row r="6250" spans="8:10">
      <c r="H6250"/>
      <c r="I6250"/>
      <c r="J6250" s="68"/>
    </row>
    <row r="6251" spans="8:10">
      <c r="H6251"/>
      <c r="I6251"/>
      <c r="J6251" s="68"/>
    </row>
    <row r="6252" spans="8:10">
      <c r="H6252"/>
      <c r="I6252"/>
      <c r="J6252" s="68"/>
    </row>
    <row r="6253" spans="8:10">
      <c r="H6253"/>
      <c r="I6253"/>
      <c r="J6253" s="68"/>
    </row>
    <row r="6254" spans="8:10">
      <c r="H6254"/>
      <c r="I6254"/>
      <c r="J6254" s="68"/>
    </row>
    <row r="6255" spans="8:10">
      <c r="H6255"/>
      <c r="I6255"/>
      <c r="J6255" s="68"/>
    </row>
    <row r="6256" spans="8:10">
      <c r="H6256"/>
      <c r="I6256"/>
      <c r="J6256" s="68"/>
    </row>
    <row r="6257" spans="8:10">
      <c r="H6257"/>
      <c r="I6257"/>
      <c r="J6257" s="68"/>
    </row>
    <row r="6258" spans="8:10">
      <c r="H6258"/>
      <c r="I6258"/>
      <c r="J6258" s="68"/>
    </row>
    <row r="6259" spans="8:10">
      <c r="H6259"/>
      <c r="I6259"/>
      <c r="J6259" s="68"/>
    </row>
    <row r="6260" spans="8:10">
      <c r="H6260"/>
      <c r="I6260"/>
      <c r="J6260" s="68"/>
    </row>
    <row r="6261" spans="8:10">
      <c r="H6261"/>
      <c r="I6261"/>
      <c r="J6261" s="68"/>
    </row>
    <row r="6262" spans="8:10">
      <c r="H6262"/>
      <c r="I6262"/>
      <c r="J6262" s="68"/>
    </row>
    <row r="6263" spans="8:10">
      <c r="H6263"/>
      <c r="I6263"/>
      <c r="J6263" s="68"/>
    </row>
    <row r="6264" spans="8:10">
      <c r="H6264"/>
      <c r="I6264"/>
      <c r="J6264" s="68"/>
    </row>
    <row r="6265" spans="8:10">
      <c r="H6265"/>
      <c r="I6265"/>
      <c r="J6265" s="68"/>
    </row>
    <row r="6266" spans="8:10">
      <c r="H6266"/>
      <c r="I6266"/>
      <c r="J6266" s="68"/>
    </row>
    <row r="6267" spans="8:10">
      <c r="H6267"/>
      <c r="I6267"/>
      <c r="J6267" s="68"/>
    </row>
    <row r="6268" spans="8:10">
      <c r="H6268"/>
      <c r="I6268"/>
      <c r="J6268" s="68"/>
    </row>
    <row r="6269" spans="8:10">
      <c r="H6269"/>
      <c r="I6269"/>
      <c r="J6269" s="68"/>
    </row>
    <row r="6270" spans="8:10">
      <c r="H6270"/>
      <c r="I6270"/>
      <c r="J6270" s="68"/>
    </row>
    <row r="6271" spans="8:10">
      <c r="H6271"/>
      <c r="I6271"/>
      <c r="J6271" s="68"/>
    </row>
    <row r="6272" spans="8:10">
      <c r="H6272"/>
      <c r="I6272"/>
      <c r="J6272" s="68"/>
    </row>
    <row r="6273" spans="8:10">
      <c r="H6273"/>
      <c r="I6273"/>
      <c r="J6273" s="68"/>
    </row>
    <row r="6274" spans="8:10">
      <c r="H6274"/>
      <c r="I6274"/>
      <c r="J6274" s="68"/>
    </row>
    <row r="6275" spans="8:10">
      <c r="H6275"/>
      <c r="I6275"/>
      <c r="J6275" s="68"/>
    </row>
    <row r="6276" spans="8:10">
      <c r="H6276"/>
      <c r="I6276"/>
      <c r="J6276" s="68"/>
    </row>
    <row r="6277" spans="8:10">
      <c r="H6277"/>
      <c r="I6277"/>
      <c r="J6277" s="68"/>
    </row>
    <row r="6278" spans="8:10">
      <c r="H6278"/>
      <c r="I6278"/>
      <c r="J6278" s="68"/>
    </row>
    <row r="6279" spans="8:10">
      <c r="H6279"/>
      <c r="I6279"/>
      <c r="J6279" s="68"/>
    </row>
    <row r="6280" spans="8:10">
      <c r="H6280"/>
      <c r="I6280"/>
      <c r="J6280" s="68"/>
    </row>
    <row r="6281" spans="8:10">
      <c r="H6281"/>
      <c r="I6281"/>
      <c r="J6281" s="68"/>
    </row>
    <row r="6282" spans="8:10">
      <c r="H6282"/>
      <c r="I6282"/>
      <c r="J6282" s="68"/>
    </row>
    <row r="6283" spans="8:10">
      <c r="H6283"/>
      <c r="I6283"/>
      <c r="J6283" s="68"/>
    </row>
    <row r="6284" spans="8:10">
      <c r="H6284"/>
      <c r="I6284"/>
      <c r="J6284" s="68"/>
    </row>
    <row r="6285" spans="8:10">
      <c r="H6285"/>
      <c r="I6285"/>
      <c r="J6285" s="68"/>
    </row>
    <row r="6286" spans="8:10">
      <c r="H6286"/>
      <c r="I6286"/>
      <c r="J6286" s="68"/>
    </row>
    <row r="6287" spans="8:10">
      <c r="H6287"/>
      <c r="I6287"/>
      <c r="J6287" s="68"/>
    </row>
    <row r="6288" spans="8:10">
      <c r="H6288"/>
      <c r="I6288"/>
      <c r="J6288" s="68"/>
    </row>
    <row r="6289" spans="8:10">
      <c r="H6289"/>
      <c r="I6289"/>
      <c r="J6289" s="68"/>
    </row>
    <row r="6290" spans="8:10">
      <c r="H6290"/>
      <c r="I6290"/>
      <c r="J6290" s="68"/>
    </row>
    <row r="6291" spans="8:10">
      <c r="H6291"/>
      <c r="I6291"/>
      <c r="J6291" s="68"/>
    </row>
    <row r="6292" spans="8:10">
      <c r="H6292"/>
      <c r="I6292"/>
      <c r="J6292" s="68"/>
    </row>
    <row r="6293" spans="8:10">
      <c r="H6293"/>
      <c r="I6293"/>
      <c r="J6293" s="68"/>
    </row>
    <row r="6294" spans="8:10">
      <c r="H6294"/>
      <c r="I6294"/>
      <c r="J6294" s="68"/>
    </row>
    <row r="6295" spans="8:10">
      <c r="H6295"/>
      <c r="I6295"/>
      <c r="J6295" s="68"/>
    </row>
    <row r="6296" spans="8:10">
      <c r="H6296"/>
      <c r="I6296"/>
      <c r="J6296" s="68"/>
    </row>
    <row r="6297" spans="8:10">
      <c r="H6297"/>
      <c r="I6297"/>
      <c r="J6297" s="68"/>
    </row>
    <row r="6298" spans="8:10">
      <c r="H6298"/>
      <c r="I6298"/>
      <c r="J6298" s="68"/>
    </row>
    <row r="6299" spans="8:10">
      <c r="H6299"/>
      <c r="I6299"/>
      <c r="J6299" s="68"/>
    </row>
    <row r="6300" spans="8:10">
      <c r="H6300"/>
      <c r="I6300"/>
      <c r="J6300" s="68"/>
    </row>
    <row r="6301" spans="8:10">
      <c r="H6301"/>
      <c r="I6301"/>
      <c r="J6301" s="68"/>
    </row>
    <row r="6302" spans="8:10">
      <c r="H6302"/>
      <c r="I6302"/>
      <c r="J6302" s="68"/>
    </row>
    <row r="6303" spans="8:10">
      <c r="H6303"/>
      <c r="I6303"/>
      <c r="J6303" s="68"/>
    </row>
    <row r="6304" spans="8:10">
      <c r="H6304"/>
      <c r="I6304"/>
      <c r="J6304" s="68"/>
    </row>
    <row r="6305" spans="8:10">
      <c r="H6305"/>
      <c r="I6305"/>
      <c r="J6305" s="68"/>
    </row>
    <row r="6306" spans="8:10">
      <c r="H6306"/>
      <c r="I6306"/>
      <c r="J6306" s="68"/>
    </row>
    <row r="6307" spans="8:10">
      <c r="H6307"/>
      <c r="I6307"/>
      <c r="J6307" s="68"/>
    </row>
    <row r="6308" spans="8:10">
      <c r="H6308"/>
      <c r="I6308"/>
      <c r="J6308" s="68"/>
    </row>
    <row r="6309" spans="8:10">
      <c r="H6309"/>
      <c r="I6309"/>
      <c r="J6309" s="68"/>
    </row>
    <row r="6310" spans="8:10">
      <c r="H6310"/>
      <c r="I6310"/>
      <c r="J6310" s="68"/>
    </row>
    <row r="6311" spans="8:10">
      <c r="H6311"/>
      <c r="I6311"/>
      <c r="J6311" s="68"/>
    </row>
    <row r="6312" spans="8:10">
      <c r="H6312"/>
      <c r="I6312"/>
      <c r="J6312" s="68"/>
    </row>
    <row r="6313" spans="8:10">
      <c r="H6313"/>
      <c r="I6313"/>
      <c r="J6313" s="68"/>
    </row>
    <row r="6314" spans="8:10">
      <c r="H6314"/>
      <c r="I6314"/>
      <c r="J6314" s="68"/>
    </row>
    <row r="6315" spans="8:10">
      <c r="H6315"/>
      <c r="I6315"/>
      <c r="J6315" s="68"/>
    </row>
    <row r="6316" spans="8:10">
      <c r="H6316"/>
      <c r="I6316"/>
      <c r="J6316" s="68"/>
    </row>
    <row r="6317" spans="8:10">
      <c r="H6317"/>
      <c r="I6317"/>
      <c r="J6317" s="68"/>
    </row>
    <row r="6318" spans="8:10">
      <c r="H6318"/>
      <c r="I6318"/>
      <c r="J6318" s="68"/>
    </row>
    <row r="6319" spans="8:10">
      <c r="H6319"/>
      <c r="I6319"/>
      <c r="J6319" s="68"/>
    </row>
    <row r="6320" spans="8:10">
      <c r="H6320"/>
      <c r="I6320"/>
      <c r="J6320" s="68"/>
    </row>
    <row r="6321" spans="8:10">
      <c r="H6321"/>
      <c r="I6321"/>
      <c r="J6321" s="68"/>
    </row>
    <row r="6322" spans="8:10">
      <c r="H6322"/>
      <c r="I6322"/>
      <c r="J6322" s="68"/>
    </row>
    <row r="6323" spans="8:10">
      <c r="H6323"/>
      <c r="I6323"/>
      <c r="J6323" s="68"/>
    </row>
    <row r="6324" spans="8:10">
      <c r="H6324"/>
      <c r="I6324"/>
      <c r="J6324" s="68"/>
    </row>
    <row r="6325" spans="8:10">
      <c r="H6325"/>
      <c r="I6325"/>
      <c r="J6325" s="68"/>
    </row>
    <row r="6326" spans="8:10">
      <c r="H6326"/>
      <c r="I6326"/>
      <c r="J6326" s="68"/>
    </row>
    <row r="6327" spans="8:10">
      <c r="H6327"/>
      <c r="I6327"/>
      <c r="J6327" s="68"/>
    </row>
    <row r="6328" spans="8:10">
      <c r="H6328"/>
      <c r="I6328"/>
      <c r="J6328" s="68"/>
    </row>
    <row r="6329" spans="8:10">
      <c r="H6329"/>
      <c r="I6329"/>
      <c r="J6329" s="68"/>
    </row>
    <row r="6330" spans="8:10">
      <c r="H6330"/>
      <c r="I6330"/>
      <c r="J6330" s="68"/>
    </row>
    <row r="6331" spans="8:10">
      <c r="H6331"/>
      <c r="I6331"/>
      <c r="J6331" s="68"/>
    </row>
    <row r="6332" spans="8:10">
      <c r="H6332"/>
      <c r="I6332"/>
      <c r="J6332" s="68"/>
    </row>
    <row r="6333" spans="8:10">
      <c r="H6333"/>
      <c r="I6333"/>
      <c r="J6333" s="68"/>
    </row>
    <row r="6334" spans="8:10">
      <c r="H6334"/>
      <c r="I6334"/>
      <c r="J6334" s="68"/>
    </row>
    <row r="6335" spans="8:10">
      <c r="H6335"/>
      <c r="I6335"/>
      <c r="J6335" s="68"/>
    </row>
    <row r="6336" spans="8:10">
      <c r="H6336"/>
      <c r="I6336"/>
      <c r="J6336" s="68"/>
    </row>
    <row r="6337" spans="8:10">
      <c r="H6337"/>
      <c r="I6337"/>
      <c r="J6337" s="68"/>
    </row>
    <row r="6338" spans="8:10">
      <c r="H6338"/>
      <c r="I6338"/>
      <c r="J6338" s="68"/>
    </row>
    <row r="6339" spans="8:10">
      <c r="H6339"/>
      <c r="I6339"/>
      <c r="J6339" s="68"/>
    </row>
    <row r="6340" spans="8:10">
      <c r="H6340"/>
      <c r="I6340"/>
      <c r="J6340" s="68"/>
    </row>
    <row r="6341" spans="8:10">
      <c r="H6341"/>
      <c r="I6341"/>
      <c r="J6341" s="68"/>
    </row>
    <row r="6342" spans="8:10">
      <c r="H6342"/>
      <c r="I6342"/>
      <c r="J6342" s="68"/>
    </row>
    <row r="6343" spans="8:10">
      <c r="H6343"/>
      <c r="I6343"/>
      <c r="J6343" s="68"/>
    </row>
    <row r="6344" spans="8:10">
      <c r="H6344"/>
      <c r="I6344"/>
      <c r="J6344" s="68"/>
    </row>
    <row r="6345" spans="8:10">
      <c r="H6345"/>
      <c r="I6345"/>
      <c r="J6345" s="68"/>
    </row>
    <row r="6346" spans="8:10">
      <c r="H6346"/>
      <c r="I6346"/>
      <c r="J6346" s="68"/>
    </row>
    <row r="6347" spans="8:10">
      <c r="H6347"/>
      <c r="I6347"/>
      <c r="J6347" s="68"/>
    </row>
    <row r="6348" spans="8:10">
      <c r="H6348"/>
      <c r="I6348"/>
      <c r="J6348" s="68"/>
    </row>
    <row r="6349" spans="8:10">
      <c r="H6349"/>
      <c r="I6349"/>
      <c r="J6349" s="68"/>
    </row>
    <row r="6350" spans="8:10">
      <c r="H6350"/>
      <c r="I6350"/>
      <c r="J6350" s="68"/>
    </row>
    <row r="6351" spans="8:10">
      <c r="H6351"/>
      <c r="I6351"/>
      <c r="J6351" s="68"/>
    </row>
    <row r="6352" spans="8:10">
      <c r="H6352"/>
      <c r="I6352"/>
      <c r="J6352" s="68"/>
    </row>
    <row r="6353" spans="8:10">
      <c r="H6353"/>
      <c r="I6353"/>
      <c r="J6353" s="68"/>
    </row>
    <row r="6354" spans="8:10">
      <c r="H6354"/>
      <c r="I6354"/>
      <c r="J6354" s="68"/>
    </row>
    <row r="6355" spans="8:10">
      <c r="H6355"/>
      <c r="I6355"/>
      <c r="J6355" s="68"/>
    </row>
    <row r="6356" spans="8:10">
      <c r="H6356"/>
      <c r="I6356"/>
      <c r="J6356" s="68"/>
    </row>
    <row r="6357" spans="8:10">
      <c r="H6357"/>
      <c r="I6357"/>
      <c r="J6357" s="68"/>
    </row>
    <row r="6358" spans="8:10">
      <c r="H6358"/>
      <c r="I6358"/>
      <c r="J6358" s="68"/>
    </row>
    <row r="6359" spans="8:10">
      <c r="H6359"/>
      <c r="I6359"/>
      <c r="J6359" s="68"/>
    </row>
    <row r="6360" spans="8:10">
      <c r="H6360"/>
      <c r="I6360"/>
      <c r="J6360" s="68"/>
    </row>
    <row r="6361" spans="8:10">
      <c r="H6361"/>
      <c r="I6361"/>
      <c r="J6361" s="68"/>
    </row>
    <row r="6362" spans="8:10">
      <c r="H6362"/>
      <c r="I6362"/>
      <c r="J6362" s="68"/>
    </row>
    <row r="6363" spans="8:10">
      <c r="H6363"/>
      <c r="I6363"/>
      <c r="J6363" s="68"/>
    </row>
    <row r="6364" spans="8:10">
      <c r="H6364"/>
      <c r="I6364"/>
      <c r="J6364" s="68"/>
    </row>
    <row r="6365" spans="8:10">
      <c r="H6365"/>
      <c r="I6365"/>
      <c r="J6365" s="68"/>
    </row>
    <row r="6366" spans="8:10">
      <c r="H6366"/>
      <c r="I6366"/>
      <c r="J6366" s="68"/>
    </row>
    <row r="6367" spans="8:10">
      <c r="H6367"/>
      <c r="I6367"/>
      <c r="J6367" s="68"/>
    </row>
    <row r="6368" spans="8:10">
      <c r="H6368"/>
      <c r="I6368"/>
      <c r="J6368" s="68"/>
    </row>
    <row r="6369" spans="8:10">
      <c r="H6369"/>
      <c r="I6369"/>
      <c r="J6369" s="68"/>
    </row>
    <row r="6370" spans="8:10">
      <c r="H6370"/>
      <c r="I6370"/>
      <c r="J6370" s="68"/>
    </row>
    <row r="6371" spans="8:10">
      <c r="H6371"/>
      <c r="I6371"/>
      <c r="J6371" s="68"/>
    </row>
    <row r="6372" spans="8:10">
      <c r="H6372"/>
      <c r="I6372"/>
      <c r="J6372" s="68"/>
    </row>
    <row r="6373" spans="8:10">
      <c r="H6373"/>
      <c r="I6373"/>
      <c r="J6373" s="68"/>
    </row>
    <row r="6374" spans="8:10">
      <c r="H6374"/>
      <c r="I6374"/>
      <c r="J6374" s="68"/>
    </row>
    <row r="6375" spans="8:10">
      <c r="H6375"/>
      <c r="I6375"/>
      <c r="J6375" s="68"/>
    </row>
    <row r="6376" spans="8:10">
      <c r="H6376"/>
      <c r="I6376"/>
      <c r="J6376" s="68"/>
    </row>
    <row r="6377" spans="8:10">
      <c r="H6377"/>
      <c r="I6377"/>
      <c r="J6377" s="68"/>
    </row>
    <row r="6378" spans="8:10">
      <c r="H6378"/>
      <c r="I6378"/>
      <c r="J6378" s="68"/>
    </row>
    <row r="6379" spans="8:10">
      <c r="H6379"/>
      <c r="I6379"/>
      <c r="J6379" s="68"/>
    </row>
    <row r="6380" spans="8:10">
      <c r="H6380"/>
      <c r="I6380"/>
      <c r="J6380" s="68"/>
    </row>
    <row r="6381" spans="8:10">
      <c r="H6381"/>
      <c r="I6381"/>
      <c r="J6381" s="68"/>
    </row>
    <row r="6382" spans="8:10">
      <c r="H6382"/>
      <c r="I6382"/>
      <c r="J6382" s="68"/>
    </row>
    <row r="6383" spans="8:10">
      <c r="H6383"/>
      <c r="I6383"/>
      <c r="J6383" s="68"/>
    </row>
    <row r="6384" spans="8:10">
      <c r="H6384"/>
      <c r="I6384"/>
      <c r="J6384" s="68"/>
    </row>
    <row r="6385" spans="8:10">
      <c r="H6385"/>
      <c r="I6385"/>
      <c r="J6385" s="68"/>
    </row>
    <row r="6386" spans="8:10">
      <c r="H6386"/>
      <c r="I6386"/>
      <c r="J6386" s="68"/>
    </row>
    <row r="6387" spans="8:10">
      <c r="H6387"/>
      <c r="I6387"/>
      <c r="J6387" s="68"/>
    </row>
    <row r="6388" spans="8:10">
      <c r="H6388"/>
      <c r="I6388"/>
      <c r="J6388" s="68"/>
    </row>
    <row r="6389" spans="8:10">
      <c r="H6389"/>
      <c r="I6389"/>
      <c r="J6389" s="68"/>
    </row>
    <row r="6390" spans="8:10">
      <c r="H6390"/>
      <c r="I6390"/>
      <c r="J6390" s="68"/>
    </row>
    <row r="6391" spans="8:10">
      <c r="H6391"/>
      <c r="I6391"/>
      <c r="J6391" s="68"/>
    </row>
    <row r="6392" spans="8:10">
      <c r="H6392"/>
      <c r="I6392"/>
      <c r="J6392" s="68"/>
    </row>
    <row r="6393" spans="8:10">
      <c r="H6393"/>
      <c r="I6393"/>
      <c r="J6393" s="68"/>
    </row>
    <row r="6394" spans="8:10">
      <c r="H6394"/>
      <c r="I6394"/>
      <c r="J6394" s="68"/>
    </row>
    <row r="6395" spans="8:10">
      <c r="H6395"/>
      <c r="I6395"/>
      <c r="J6395" s="68"/>
    </row>
    <row r="6396" spans="8:10">
      <c r="H6396"/>
      <c r="I6396"/>
      <c r="J6396" s="68"/>
    </row>
    <row r="6397" spans="8:10">
      <c r="H6397"/>
      <c r="I6397"/>
      <c r="J6397" s="68"/>
    </row>
    <row r="6398" spans="8:10">
      <c r="H6398"/>
      <c r="I6398"/>
      <c r="J6398" s="68"/>
    </row>
    <row r="6399" spans="8:10">
      <c r="H6399"/>
      <c r="I6399"/>
      <c r="J6399" s="68"/>
    </row>
    <row r="6400" spans="8:10">
      <c r="H6400"/>
      <c r="I6400"/>
      <c r="J6400" s="68"/>
    </row>
    <row r="6401" spans="8:10">
      <c r="H6401"/>
      <c r="I6401"/>
      <c r="J6401" s="68"/>
    </row>
    <row r="6402" spans="8:10">
      <c r="H6402"/>
      <c r="I6402"/>
      <c r="J6402" s="68"/>
    </row>
    <row r="6403" spans="8:10">
      <c r="H6403"/>
      <c r="I6403"/>
      <c r="J6403" s="68"/>
    </row>
    <row r="6404" spans="8:10">
      <c r="H6404"/>
      <c r="I6404"/>
      <c r="J6404" s="68"/>
    </row>
    <row r="6405" spans="8:10">
      <c r="H6405"/>
      <c r="I6405"/>
      <c r="J6405" s="68"/>
    </row>
    <row r="6406" spans="8:10">
      <c r="H6406"/>
      <c r="I6406"/>
      <c r="J6406" s="68"/>
    </row>
    <row r="6407" spans="8:10">
      <c r="H6407"/>
      <c r="I6407"/>
      <c r="J6407" s="68"/>
    </row>
    <row r="6408" spans="8:10">
      <c r="H6408"/>
      <c r="I6408"/>
      <c r="J6408" s="68"/>
    </row>
    <row r="6409" spans="8:10">
      <c r="H6409"/>
      <c r="I6409"/>
      <c r="J6409" s="68"/>
    </row>
    <row r="6410" spans="8:10">
      <c r="H6410"/>
      <c r="I6410"/>
      <c r="J6410" s="68"/>
    </row>
    <row r="6411" spans="8:10">
      <c r="H6411"/>
      <c r="I6411"/>
      <c r="J6411" s="68"/>
    </row>
    <row r="6412" spans="8:10">
      <c r="H6412"/>
      <c r="I6412"/>
      <c r="J6412" s="68"/>
    </row>
    <row r="6413" spans="8:10">
      <c r="H6413"/>
      <c r="I6413"/>
      <c r="J6413" s="68"/>
    </row>
    <row r="6414" spans="8:10">
      <c r="H6414"/>
      <c r="I6414"/>
      <c r="J6414" s="68"/>
    </row>
    <row r="6415" spans="8:10">
      <c r="H6415"/>
      <c r="I6415"/>
      <c r="J6415" s="68"/>
    </row>
    <row r="6416" spans="8:10">
      <c r="H6416"/>
      <c r="I6416"/>
      <c r="J6416" s="68"/>
    </row>
    <row r="6417" spans="8:10">
      <c r="H6417"/>
      <c r="I6417"/>
      <c r="J6417" s="68"/>
    </row>
    <row r="6418" spans="8:10">
      <c r="H6418"/>
      <c r="I6418"/>
      <c r="J6418" s="68"/>
    </row>
    <row r="6419" spans="8:10">
      <c r="H6419"/>
      <c r="I6419"/>
      <c r="J6419" s="68"/>
    </row>
    <row r="6420" spans="8:10">
      <c r="H6420"/>
      <c r="I6420"/>
      <c r="J6420" s="68"/>
    </row>
    <row r="6421" spans="8:10">
      <c r="H6421"/>
      <c r="I6421"/>
      <c r="J6421" s="68"/>
    </row>
    <row r="6422" spans="8:10">
      <c r="H6422"/>
      <c r="I6422"/>
      <c r="J6422" s="68"/>
    </row>
    <row r="6423" spans="8:10">
      <c r="H6423"/>
      <c r="I6423"/>
      <c r="J6423" s="68"/>
    </row>
    <row r="6424" spans="8:10">
      <c r="H6424"/>
      <c r="I6424"/>
      <c r="J6424" s="68"/>
    </row>
    <row r="6425" spans="8:10">
      <c r="H6425"/>
      <c r="I6425"/>
      <c r="J6425" s="68"/>
    </row>
    <row r="6426" spans="8:10">
      <c r="H6426"/>
      <c r="I6426"/>
      <c r="J6426" s="68"/>
    </row>
    <row r="6427" spans="8:10">
      <c r="H6427"/>
      <c r="I6427"/>
      <c r="J6427" s="68"/>
    </row>
    <row r="6428" spans="8:10">
      <c r="H6428"/>
      <c r="I6428"/>
      <c r="J6428" s="68"/>
    </row>
    <row r="6429" spans="8:10">
      <c r="H6429"/>
      <c r="I6429"/>
      <c r="J6429" s="68"/>
    </row>
    <row r="6430" spans="8:10">
      <c r="H6430"/>
      <c r="I6430"/>
      <c r="J6430" s="68"/>
    </row>
    <row r="6431" spans="8:10">
      <c r="H6431"/>
      <c r="I6431"/>
      <c r="J6431" s="68"/>
    </row>
    <row r="6432" spans="8:10">
      <c r="H6432"/>
      <c r="I6432"/>
      <c r="J6432" s="68"/>
    </row>
    <row r="6433" spans="8:10">
      <c r="H6433"/>
      <c r="I6433"/>
      <c r="J6433" s="68"/>
    </row>
    <row r="6434" spans="8:10">
      <c r="H6434"/>
      <c r="I6434"/>
      <c r="J6434" s="68"/>
    </row>
    <row r="6435" spans="8:10">
      <c r="H6435"/>
      <c r="I6435"/>
      <c r="J6435" s="68"/>
    </row>
    <row r="6436" spans="8:10">
      <c r="H6436"/>
      <c r="I6436"/>
      <c r="J6436" s="68"/>
    </row>
    <row r="6437" spans="8:10">
      <c r="H6437"/>
      <c r="I6437"/>
      <c r="J6437" s="68"/>
    </row>
    <row r="6438" spans="8:10">
      <c r="H6438"/>
      <c r="I6438"/>
      <c r="J6438" s="68"/>
    </row>
    <row r="6439" spans="8:10">
      <c r="H6439"/>
      <c r="I6439"/>
      <c r="J6439" s="68"/>
    </row>
    <row r="6440" spans="8:10">
      <c r="H6440"/>
      <c r="I6440"/>
      <c r="J6440" s="68"/>
    </row>
    <row r="6441" spans="8:10">
      <c r="H6441"/>
      <c r="I6441"/>
      <c r="J6441" s="68"/>
    </row>
    <row r="6442" spans="8:10">
      <c r="H6442"/>
      <c r="I6442"/>
      <c r="J6442" s="68"/>
    </row>
    <row r="6443" spans="8:10">
      <c r="H6443"/>
      <c r="I6443"/>
      <c r="J6443" s="68"/>
    </row>
    <row r="6444" spans="8:10">
      <c r="H6444"/>
      <c r="I6444"/>
      <c r="J6444" s="68"/>
    </row>
    <row r="6445" spans="8:10">
      <c r="H6445"/>
      <c r="I6445"/>
      <c r="J6445" s="68"/>
    </row>
    <row r="6446" spans="8:10">
      <c r="H6446"/>
      <c r="I6446"/>
      <c r="J6446" s="68"/>
    </row>
    <row r="6447" spans="8:10">
      <c r="H6447"/>
      <c r="I6447"/>
      <c r="J6447" s="68"/>
    </row>
    <row r="6448" spans="8:10">
      <c r="H6448"/>
      <c r="I6448"/>
      <c r="J6448" s="68"/>
    </row>
    <row r="6449" spans="8:10">
      <c r="H6449"/>
      <c r="I6449"/>
      <c r="J6449" s="68"/>
    </row>
    <row r="6450" spans="8:10">
      <c r="H6450"/>
      <c r="I6450"/>
      <c r="J6450" s="68"/>
    </row>
    <row r="6451" spans="8:10">
      <c r="H6451"/>
      <c r="I6451"/>
      <c r="J6451" s="68"/>
    </row>
    <row r="6452" spans="8:10">
      <c r="H6452"/>
      <c r="I6452"/>
      <c r="J6452" s="68"/>
    </row>
    <row r="6453" spans="8:10">
      <c r="H6453"/>
      <c r="I6453"/>
      <c r="J6453" s="68"/>
    </row>
    <row r="6454" spans="8:10">
      <c r="H6454"/>
      <c r="I6454"/>
      <c r="J6454" s="68"/>
    </row>
    <row r="6455" spans="8:10">
      <c r="H6455"/>
      <c r="I6455"/>
      <c r="J6455" s="68"/>
    </row>
    <row r="6456" spans="8:10">
      <c r="H6456"/>
      <c r="I6456"/>
      <c r="J6456" s="68"/>
    </row>
    <row r="6457" spans="8:10">
      <c r="H6457"/>
      <c r="I6457"/>
      <c r="J6457" s="68"/>
    </row>
    <row r="6458" spans="8:10">
      <c r="H6458"/>
      <c r="I6458"/>
      <c r="J6458" s="68"/>
    </row>
    <row r="6459" spans="8:10">
      <c r="H6459"/>
      <c r="I6459"/>
      <c r="J6459" s="68"/>
    </row>
    <row r="6460" spans="8:10">
      <c r="H6460"/>
      <c r="I6460"/>
      <c r="J6460" s="68"/>
    </row>
    <row r="6461" spans="8:10">
      <c r="H6461"/>
      <c r="I6461"/>
      <c r="J6461" s="68"/>
    </row>
    <row r="6462" spans="8:10">
      <c r="H6462"/>
      <c r="I6462"/>
      <c r="J6462" s="68"/>
    </row>
    <row r="6463" spans="8:10">
      <c r="H6463"/>
      <c r="I6463"/>
      <c r="J6463" s="68"/>
    </row>
    <row r="6464" spans="8:10">
      <c r="H6464"/>
      <c r="I6464"/>
      <c r="J6464" s="68"/>
    </row>
    <row r="6465" spans="8:10">
      <c r="H6465"/>
      <c r="I6465"/>
      <c r="J6465" s="68"/>
    </row>
    <row r="6466" spans="8:10">
      <c r="H6466"/>
      <c r="I6466"/>
      <c r="J6466" s="68"/>
    </row>
    <row r="6467" spans="8:10">
      <c r="H6467"/>
      <c r="I6467"/>
      <c r="J6467" s="68"/>
    </row>
    <row r="6468" spans="8:10">
      <c r="H6468"/>
      <c r="I6468"/>
      <c r="J6468" s="68"/>
    </row>
    <row r="6469" spans="8:10">
      <c r="H6469"/>
      <c r="I6469"/>
      <c r="J6469" s="68"/>
    </row>
    <row r="6470" spans="8:10">
      <c r="H6470"/>
      <c r="I6470"/>
      <c r="J6470" s="68"/>
    </row>
    <row r="6471" spans="8:10">
      <c r="H6471"/>
      <c r="I6471"/>
      <c r="J6471" s="68"/>
    </row>
    <row r="6472" spans="8:10">
      <c r="H6472"/>
      <c r="I6472"/>
      <c r="J6472" s="68"/>
    </row>
    <row r="6473" spans="8:10">
      <c r="H6473"/>
      <c r="I6473"/>
      <c r="J6473" s="68"/>
    </row>
    <row r="6474" spans="8:10">
      <c r="H6474"/>
      <c r="I6474"/>
      <c r="J6474" s="68"/>
    </row>
    <row r="6475" spans="8:10">
      <c r="H6475"/>
      <c r="I6475"/>
      <c r="J6475" s="68"/>
    </row>
    <row r="6476" spans="8:10">
      <c r="H6476"/>
      <c r="I6476"/>
      <c r="J6476" s="68"/>
    </row>
    <row r="6477" spans="8:10">
      <c r="H6477"/>
      <c r="I6477"/>
      <c r="J6477" s="68"/>
    </row>
    <row r="6478" spans="8:10">
      <c r="H6478"/>
      <c r="I6478"/>
      <c r="J6478" s="68"/>
    </row>
    <row r="6479" spans="8:10">
      <c r="H6479"/>
      <c r="I6479"/>
      <c r="J6479" s="68"/>
    </row>
    <row r="6480" spans="8:10">
      <c r="H6480"/>
      <c r="I6480"/>
      <c r="J6480" s="68"/>
    </row>
    <row r="6481" spans="8:10">
      <c r="H6481"/>
      <c r="I6481"/>
      <c r="J6481" s="68"/>
    </row>
    <row r="6482" spans="8:10">
      <c r="H6482"/>
      <c r="I6482"/>
      <c r="J6482" s="68"/>
    </row>
    <row r="6483" spans="8:10">
      <c r="H6483"/>
      <c r="I6483"/>
      <c r="J6483" s="68"/>
    </row>
    <row r="6484" spans="8:10">
      <c r="H6484"/>
      <c r="I6484"/>
      <c r="J6484" s="68"/>
    </row>
    <row r="6485" spans="8:10">
      <c r="H6485"/>
      <c r="I6485"/>
      <c r="J6485" s="68"/>
    </row>
    <row r="6486" spans="8:10">
      <c r="H6486"/>
      <c r="I6486"/>
      <c r="J6486" s="68"/>
    </row>
    <row r="6487" spans="8:10">
      <c r="H6487"/>
      <c r="I6487"/>
      <c r="J6487" s="68"/>
    </row>
    <row r="6488" spans="8:10">
      <c r="H6488"/>
      <c r="I6488"/>
      <c r="J6488" s="68"/>
    </row>
    <row r="6489" spans="8:10">
      <c r="H6489"/>
      <c r="I6489"/>
      <c r="J6489" s="68"/>
    </row>
    <row r="6490" spans="8:10">
      <c r="H6490"/>
      <c r="I6490"/>
      <c r="J6490" s="68"/>
    </row>
    <row r="6491" spans="8:10">
      <c r="H6491"/>
      <c r="I6491"/>
      <c r="J6491" s="68"/>
    </row>
    <row r="6492" spans="8:10">
      <c r="H6492"/>
      <c r="I6492"/>
      <c r="J6492" s="68"/>
    </row>
    <row r="6493" spans="8:10">
      <c r="H6493"/>
      <c r="I6493"/>
      <c r="J6493" s="68"/>
    </row>
    <row r="6494" spans="8:10">
      <c r="H6494"/>
      <c r="I6494"/>
      <c r="J6494" s="68"/>
    </row>
    <row r="6495" spans="8:10">
      <c r="H6495"/>
      <c r="I6495"/>
      <c r="J6495" s="68"/>
    </row>
    <row r="6496" spans="8:10">
      <c r="H6496"/>
      <c r="I6496"/>
      <c r="J6496" s="68"/>
    </row>
    <row r="6497" spans="8:10">
      <c r="H6497"/>
      <c r="I6497"/>
      <c r="J6497" s="68"/>
    </row>
    <row r="6498" spans="8:10">
      <c r="H6498"/>
      <c r="I6498"/>
      <c r="J6498" s="68"/>
    </row>
    <row r="6499" spans="8:10">
      <c r="H6499"/>
      <c r="I6499"/>
      <c r="J6499" s="68"/>
    </row>
    <row r="6500" spans="8:10">
      <c r="H6500"/>
      <c r="I6500"/>
      <c r="J6500" s="68"/>
    </row>
    <row r="6501" spans="8:10">
      <c r="H6501"/>
      <c r="I6501"/>
      <c r="J6501" s="68"/>
    </row>
    <row r="6502" spans="8:10">
      <c r="H6502"/>
      <c r="I6502"/>
      <c r="J6502" s="68"/>
    </row>
    <row r="6503" spans="8:10">
      <c r="H6503"/>
      <c r="I6503"/>
      <c r="J6503" s="68"/>
    </row>
    <row r="6504" spans="8:10">
      <c r="H6504"/>
      <c r="I6504"/>
      <c r="J6504" s="68"/>
    </row>
    <row r="6505" spans="8:10">
      <c r="H6505"/>
      <c r="I6505"/>
      <c r="J6505" s="68"/>
    </row>
    <row r="6506" spans="8:10">
      <c r="H6506"/>
      <c r="I6506"/>
      <c r="J6506" s="68"/>
    </row>
    <row r="6507" spans="8:10">
      <c r="H6507"/>
      <c r="I6507"/>
      <c r="J6507" s="68"/>
    </row>
    <row r="6508" spans="8:10">
      <c r="H6508"/>
      <c r="I6508"/>
      <c r="J6508" s="68"/>
    </row>
    <row r="6509" spans="8:10">
      <c r="H6509"/>
      <c r="I6509"/>
      <c r="J6509" s="68"/>
    </row>
    <row r="6510" spans="8:10">
      <c r="H6510"/>
      <c r="I6510"/>
      <c r="J6510" s="68"/>
    </row>
    <row r="6511" spans="8:10">
      <c r="H6511"/>
      <c r="I6511"/>
      <c r="J6511" s="68"/>
    </row>
    <row r="6512" spans="8:10">
      <c r="H6512"/>
      <c r="I6512"/>
      <c r="J6512" s="68"/>
    </row>
    <row r="6513" spans="8:10">
      <c r="H6513"/>
      <c r="I6513"/>
      <c r="J6513" s="68"/>
    </row>
    <row r="6514" spans="8:10">
      <c r="H6514"/>
      <c r="I6514"/>
      <c r="J6514" s="68"/>
    </row>
    <row r="6515" spans="8:10">
      <c r="H6515"/>
      <c r="I6515"/>
      <c r="J6515" s="68"/>
    </row>
    <row r="6516" spans="8:10">
      <c r="H6516"/>
      <c r="I6516"/>
      <c r="J6516" s="68"/>
    </row>
    <row r="6517" spans="8:10">
      <c r="H6517"/>
      <c r="I6517"/>
      <c r="J6517" s="68"/>
    </row>
    <row r="6518" spans="8:10">
      <c r="H6518"/>
      <c r="I6518"/>
      <c r="J6518" s="68"/>
    </row>
    <row r="6519" spans="8:10">
      <c r="H6519"/>
      <c r="I6519"/>
      <c r="J6519" s="68"/>
    </row>
    <row r="6520" spans="8:10">
      <c r="H6520"/>
      <c r="I6520"/>
      <c r="J6520" s="68"/>
    </row>
    <row r="6521" spans="8:10">
      <c r="H6521"/>
      <c r="I6521"/>
      <c r="J6521" s="68"/>
    </row>
    <row r="6522" spans="8:10">
      <c r="H6522"/>
      <c r="I6522"/>
      <c r="J6522" s="68"/>
    </row>
    <row r="6523" spans="8:10">
      <c r="H6523"/>
      <c r="I6523"/>
      <c r="J6523" s="68"/>
    </row>
    <row r="6524" spans="8:10">
      <c r="H6524"/>
      <c r="I6524"/>
      <c r="J6524" s="68"/>
    </row>
    <row r="6525" spans="8:10">
      <c r="H6525"/>
      <c r="I6525"/>
      <c r="J6525" s="68"/>
    </row>
    <row r="6526" spans="8:10">
      <c r="H6526"/>
      <c r="I6526"/>
      <c r="J6526" s="68"/>
    </row>
    <row r="6527" spans="8:10">
      <c r="H6527"/>
      <c r="I6527"/>
      <c r="J6527" s="68"/>
    </row>
    <row r="6528" spans="8:10">
      <c r="H6528"/>
      <c r="I6528"/>
      <c r="J6528" s="68"/>
    </row>
    <row r="6529" spans="8:10">
      <c r="H6529"/>
      <c r="I6529"/>
      <c r="J6529" s="68"/>
    </row>
    <row r="6530" spans="8:10">
      <c r="H6530"/>
      <c r="I6530"/>
      <c r="J6530" s="68"/>
    </row>
    <row r="6531" spans="8:10">
      <c r="H6531"/>
      <c r="I6531"/>
      <c r="J6531" s="68"/>
    </row>
    <row r="6532" spans="8:10">
      <c r="H6532"/>
      <c r="I6532"/>
      <c r="J6532" s="68"/>
    </row>
    <row r="6533" spans="8:10">
      <c r="H6533"/>
      <c r="I6533"/>
      <c r="J6533" s="68"/>
    </row>
    <row r="6534" spans="8:10">
      <c r="H6534"/>
      <c r="I6534"/>
      <c r="J6534" s="68"/>
    </row>
    <row r="6535" spans="8:10">
      <c r="H6535"/>
      <c r="I6535"/>
      <c r="J6535" s="68"/>
    </row>
    <row r="6536" spans="8:10">
      <c r="H6536"/>
      <c r="I6536"/>
      <c r="J6536" s="68"/>
    </row>
    <row r="6537" spans="8:10">
      <c r="H6537"/>
      <c r="I6537"/>
      <c r="J6537" s="68"/>
    </row>
    <row r="6538" spans="8:10">
      <c r="H6538"/>
      <c r="I6538"/>
      <c r="J6538" s="68"/>
    </row>
    <row r="6539" spans="8:10">
      <c r="H6539"/>
      <c r="I6539"/>
      <c r="J6539" s="68"/>
    </row>
    <row r="6540" spans="8:10">
      <c r="H6540"/>
      <c r="I6540"/>
      <c r="J6540" s="68"/>
    </row>
    <row r="6541" spans="8:10">
      <c r="H6541"/>
      <c r="I6541"/>
      <c r="J6541" s="68"/>
    </row>
    <row r="6542" spans="8:10">
      <c r="H6542"/>
      <c r="I6542"/>
      <c r="J6542" s="68"/>
    </row>
    <row r="6543" spans="8:10">
      <c r="H6543"/>
      <c r="I6543"/>
      <c r="J6543" s="68"/>
    </row>
    <row r="6544" spans="8:10">
      <c r="H6544"/>
      <c r="I6544"/>
      <c r="J6544" s="68"/>
    </row>
    <row r="6545" spans="8:10">
      <c r="H6545"/>
      <c r="I6545"/>
      <c r="J6545" s="68"/>
    </row>
    <row r="6546" spans="8:10">
      <c r="H6546"/>
      <c r="I6546"/>
      <c r="J6546" s="68"/>
    </row>
    <row r="6547" spans="8:10">
      <c r="H6547"/>
      <c r="I6547"/>
      <c r="J6547" s="68"/>
    </row>
    <row r="6548" spans="8:10">
      <c r="H6548"/>
      <c r="I6548"/>
      <c r="J6548" s="68"/>
    </row>
    <row r="6549" spans="8:10">
      <c r="H6549"/>
      <c r="I6549"/>
      <c r="J6549" s="68"/>
    </row>
    <row r="6550" spans="8:10">
      <c r="H6550"/>
      <c r="I6550"/>
      <c r="J6550" s="68"/>
    </row>
    <row r="6551" spans="8:10">
      <c r="H6551"/>
      <c r="I6551"/>
      <c r="J6551" s="68"/>
    </row>
    <row r="6552" spans="8:10">
      <c r="H6552"/>
      <c r="I6552"/>
      <c r="J6552" s="68"/>
    </row>
    <row r="6553" spans="8:10">
      <c r="H6553"/>
      <c r="I6553"/>
      <c r="J6553" s="68"/>
    </row>
    <row r="6554" spans="8:10">
      <c r="H6554"/>
      <c r="I6554"/>
      <c r="J6554" s="68"/>
    </row>
    <row r="6555" spans="8:10">
      <c r="H6555"/>
      <c r="I6555"/>
      <c r="J6555" s="68"/>
    </row>
    <row r="6556" spans="8:10">
      <c r="H6556"/>
      <c r="I6556"/>
      <c r="J6556" s="68"/>
    </row>
    <row r="6557" spans="8:10">
      <c r="H6557"/>
      <c r="I6557"/>
      <c r="J6557" s="68"/>
    </row>
    <row r="6558" spans="8:10">
      <c r="H6558"/>
      <c r="I6558"/>
      <c r="J6558" s="68"/>
    </row>
    <row r="6559" spans="8:10">
      <c r="H6559"/>
      <c r="I6559"/>
      <c r="J6559" s="68"/>
    </row>
    <row r="6560" spans="8:10">
      <c r="H6560"/>
      <c r="I6560"/>
      <c r="J6560" s="68"/>
    </row>
    <row r="6561" spans="8:10">
      <c r="H6561"/>
      <c r="I6561"/>
      <c r="J6561" s="68"/>
    </row>
    <row r="6562" spans="8:10">
      <c r="H6562"/>
      <c r="I6562"/>
      <c r="J6562" s="68"/>
    </row>
    <row r="6563" spans="8:10">
      <c r="H6563"/>
      <c r="I6563"/>
      <c r="J6563" s="68"/>
    </row>
    <row r="6564" spans="8:10">
      <c r="H6564"/>
      <c r="I6564"/>
      <c r="J6564" s="68"/>
    </row>
    <row r="6565" spans="8:10">
      <c r="H6565"/>
      <c r="I6565"/>
      <c r="J6565" s="68"/>
    </row>
    <row r="6566" spans="8:10">
      <c r="H6566"/>
      <c r="I6566"/>
      <c r="J6566" s="68"/>
    </row>
    <row r="6567" spans="8:10">
      <c r="H6567"/>
      <c r="I6567"/>
      <c r="J6567" s="68"/>
    </row>
    <row r="6568" spans="8:10">
      <c r="H6568"/>
      <c r="I6568"/>
      <c r="J6568" s="68"/>
    </row>
    <row r="6569" spans="8:10">
      <c r="H6569"/>
      <c r="I6569"/>
      <c r="J6569" s="68"/>
    </row>
    <row r="6570" spans="8:10">
      <c r="H6570"/>
      <c r="I6570"/>
      <c r="J6570" s="68"/>
    </row>
    <row r="6571" spans="8:10">
      <c r="H6571"/>
      <c r="I6571"/>
      <c r="J6571" s="68"/>
    </row>
    <row r="6572" spans="8:10">
      <c r="H6572"/>
      <c r="I6572"/>
      <c r="J6572" s="68"/>
    </row>
    <row r="6573" spans="8:10">
      <c r="H6573"/>
      <c r="I6573"/>
      <c r="J6573" s="68"/>
    </row>
    <row r="6574" spans="8:10">
      <c r="H6574"/>
      <c r="I6574"/>
      <c r="J6574" s="68"/>
    </row>
    <row r="6575" spans="8:10">
      <c r="H6575"/>
      <c r="I6575"/>
      <c r="J6575" s="68"/>
    </row>
    <row r="6576" spans="8:10">
      <c r="H6576"/>
      <c r="I6576"/>
      <c r="J6576" s="68"/>
    </row>
    <row r="6577" spans="8:10">
      <c r="H6577"/>
      <c r="I6577"/>
      <c r="J6577" s="68"/>
    </row>
    <row r="6578" spans="8:10">
      <c r="H6578"/>
      <c r="I6578"/>
      <c r="J6578" s="68"/>
    </row>
    <row r="6579" spans="8:10">
      <c r="H6579"/>
      <c r="I6579"/>
      <c r="J6579" s="68"/>
    </row>
    <row r="6580" spans="8:10">
      <c r="H6580"/>
      <c r="I6580"/>
      <c r="J6580" s="68"/>
    </row>
    <row r="6581" spans="8:10">
      <c r="H6581"/>
      <c r="I6581"/>
      <c r="J6581" s="68"/>
    </row>
    <row r="6582" spans="8:10">
      <c r="H6582"/>
      <c r="I6582"/>
      <c r="J6582" s="68"/>
    </row>
    <row r="6583" spans="8:10">
      <c r="H6583"/>
      <c r="I6583"/>
      <c r="J6583" s="68"/>
    </row>
    <row r="6584" spans="8:10">
      <c r="H6584"/>
      <c r="I6584"/>
      <c r="J6584" s="68"/>
    </row>
    <row r="6585" spans="8:10">
      <c r="H6585"/>
      <c r="I6585"/>
      <c r="J6585" s="68"/>
    </row>
    <row r="6586" spans="8:10">
      <c r="H6586"/>
      <c r="I6586"/>
      <c r="J6586" s="68"/>
    </row>
    <row r="6587" spans="8:10">
      <c r="H6587"/>
      <c r="I6587"/>
      <c r="J6587" s="68"/>
    </row>
    <row r="6588" spans="8:10">
      <c r="H6588"/>
      <c r="I6588"/>
      <c r="J6588" s="68"/>
    </row>
    <row r="6589" spans="8:10">
      <c r="H6589"/>
      <c r="I6589"/>
      <c r="J6589" s="68"/>
    </row>
    <row r="6590" spans="8:10">
      <c r="H6590"/>
      <c r="I6590"/>
      <c r="J6590" s="68"/>
    </row>
    <row r="6591" spans="8:10">
      <c r="H6591"/>
      <c r="I6591"/>
      <c r="J6591" s="68"/>
    </row>
    <row r="6592" spans="8:10">
      <c r="H6592"/>
      <c r="I6592"/>
      <c r="J6592" s="68"/>
    </row>
    <row r="6593" spans="8:10">
      <c r="H6593"/>
      <c r="I6593"/>
      <c r="J6593" s="68"/>
    </row>
    <row r="6594" spans="8:10">
      <c r="H6594"/>
      <c r="I6594"/>
      <c r="J6594" s="68"/>
    </row>
    <row r="6595" spans="8:10">
      <c r="H6595"/>
      <c r="I6595"/>
      <c r="J6595" s="68"/>
    </row>
    <row r="6596" spans="8:10">
      <c r="H6596"/>
      <c r="I6596"/>
      <c r="J6596" s="68"/>
    </row>
    <row r="6597" spans="8:10">
      <c r="H6597"/>
      <c r="I6597"/>
      <c r="J6597" s="68"/>
    </row>
    <row r="6598" spans="8:10">
      <c r="H6598"/>
      <c r="I6598"/>
      <c r="J6598" s="68"/>
    </row>
    <row r="6599" spans="8:10">
      <c r="H6599"/>
      <c r="I6599"/>
      <c r="J6599" s="68"/>
    </row>
    <row r="6600" spans="8:10">
      <c r="H6600"/>
      <c r="I6600"/>
      <c r="J6600" s="68"/>
    </row>
    <row r="6601" spans="8:10">
      <c r="H6601"/>
      <c r="I6601"/>
      <c r="J6601" s="68"/>
    </row>
    <row r="6602" spans="8:10">
      <c r="H6602"/>
      <c r="I6602"/>
      <c r="J6602" s="68"/>
    </row>
    <row r="6603" spans="8:10">
      <c r="H6603"/>
      <c r="I6603"/>
      <c r="J6603" s="68"/>
    </row>
    <row r="6604" spans="8:10">
      <c r="H6604"/>
      <c r="I6604"/>
      <c r="J6604" s="68"/>
    </row>
    <row r="6605" spans="8:10">
      <c r="H6605"/>
      <c r="I6605"/>
      <c r="J6605" s="68"/>
    </row>
    <row r="6606" spans="8:10">
      <c r="H6606"/>
      <c r="I6606"/>
      <c r="J6606" s="68"/>
    </row>
    <row r="6607" spans="8:10">
      <c r="H6607"/>
      <c r="I6607"/>
      <c r="J6607" s="68"/>
    </row>
    <row r="6608" spans="8:10">
      <c r="H6608"/>
      <c r="I6608"/>
      <c r="J6608" s="68"/>
    </row>
    <row r="6609" spans="8:10">
      <c r="H6609"/>
      <c r="I6609"/>
      <c r="J6609" s="68"/>
    </row>
    <row r="6610" spans="8:10">
      <c r="H6610"/>
      <c r="I6610"/>
      <c r="J6610" s="68"/>
    </row>
    <row r="6611" spans="8:10">
      <c r="H6611"/>
      <c r="I6611"/>
      <c r="J6611" s="68"/>
    </row>
    <row r="6612" spans="8:10">
      <c r="H6612"/>
      <c r="I6612"/>
      <c r="J6612" s="68"/>
    </row>
    <row r="6613" spans="8:10">
      <c r="H6613"/>
      <c r="I6613"/>
      <c r="J6613" s="68"/>
    </row>
    <row r="6614" spans="8:10">
      <c r="H6614"/>
      <c r="I6614"/>
      <c r="J6614" s="68"/>
    </row>
    <row r="6615" spans="8:10">
      <c r="H6615"/>
      <c r="I6615"/>
      <c r="J6615" s="68"/>
    </row>
    <row r="6616" spans="8:10">
      <c r="H6616"/>
      <c r="I6616"/>
      <c r="J6616" s="68"/>
    </row>
    <row r="6617" spans="8:10">
      <c r="H6617"/>
      <c r="I6617"/>
      <c r="J6617" s="68"/>
    </row>
    <row r="6618" spans="8:10">
      <c r="H6618"/>
      <c r="I6618"/>
      <c r="J6618" s="68"/>
    </row>
    <row r="6619" spans="8:10">
      <c r="H6619"/>
      <c r="I6619"/>
      <c r="J6619" s="68"/>
    </row>
    <row r="6620" spans="8:10">
      <c r="H6620"/>
      <c r="I6620"/>
      <c r="J6620" s="68"/>
    </row>
    <row r="6621" spans="8:10">
      <c r="H6621"/>
      <c r="I6621"/>
      <c r="J6621" s="68"/>
    </row>
    <row r="6622" spans="8:10">
      <c r="H6622"/>
      <c r="I6622"/>
      <c r="J6622" s="68"/>
    </row>
    <row r="6623" spans="8:10">
      <c r="H6623"/>
      <c r="I6623"/>
      <c r="J6623" s="68"/>
    </row>
    <row r="6624" spans="8:10">
      <c r="H6624"/>
      <c r="I6624"/>
      <c r="J6624" s="68"/>
    </row>
    <row r="6625" spans="8:10">
      <c r="H6625"/>
      <c r="I6625"/>
      <c r="J6625" s="68"/>
    </row>
    <row r="6626" spans="8:10">
      <c r="H6626"/>
      <c r="I6626"/>
      <c r="J6626" s="68"/>
    </row>
    <row r="6627" spans="8:10">
      <c r="H6627"/>
      <c r="I6627"/>
      <c r="J6627" s="68"/>
    </row>
    <row r="6628" spans="8:10">
      <c r="H6628"/>
      <c r="I6628"/>
      <c r="J6628" s="68"/>
    </row>
    <row r="6629" spans="8:10">
      <c r="H6629"/>
      <c r="I6629"/>
      <c r="J6629" s="68"/>
    </row>
    <row r="6630" spans="8:10">
      <c r="H6630"/>
      <c r="I6630"/>
      <c r="J6630" s="68"/>
    </row>
    <row r="6631" spans="8:10">
      <c r="H6631"/>
      <c r="I6631"/>
      <c r="J6631" s="68"/>
    </row>
    <row r="6632" spans="8:10">
      <c r="H6632"/>
      <c r="I6632"/>
      <c r="J6632" s="68"/>
    </row>
    <row r="6633" spans="8:10">
      <c r="H6633"/>
      <c r="I6633"/>
      <c r="J6633" s="68"/>
    </row>
    <row r="6634" spans="8:10">
      <c r="H6634"/>
      <c r="I6634"/>
      <c r="J6634" s="68"/>
    </row>
    <row r="6635" spans="8:10">
      <c r="H6635"/>
      <c r="I6635"/>
      <c r="J6635" s="68"/>
    </row>
    <row r="6636" spans="8:10">
      <c r="H6636"/>
      <c r="I6636"/>
      <c r="J6636" s="68"/>
    </row>
    <row r="6637" spans="8:10">
      <c r="H6637"/>
      <c r="I6637"/>
      <c r="J6637" s="68"/>
    </row>
    <row r="6638" spans="8:10">
      <c r="H6638"/>
      <c r="I6638"/>
      <c r="J6638" s="68"/>
    </row>
    <row r="6639" spans="8:10">
      <c r="H6639"/>
      <c r="I6639"/>
      <c r="J6639" s="68"/>
    </row>
    <row r="6640" spans="8:10">
      <c r="H6640"/>
      <c r="I6640"/>
      <c r="J6640" s="68"/>
    </row>
    <row r="6641" spans="8:10">
      <c r="H6641"/>
      <c r="I6641"/>
      <c r="J6641" s="68"/>
    </row>
    <row r="6642" spans="8:10">
      <c r="H6642"/>
      <c r="I6642"/>
      <c r="J6642" s="68"/>
    </row>
    <row r="6643" spans="8:10">
      <c r="H6643"/>
      <c r="I6643"/>
      <c r="J6643" s="68"/>
    </row>
    <row r="6644" spans="8:10">
      <c r="H6644"/>
      <c r="I6644"/>
      <c r="J6644" s="68"/>
    </row>
    <row r="6645" spans="8:10">
      <c r="H6645"/>
      <c r="I6645"/>
      <c r="J6645" s="68"/>
    </row>
    <row r="6646" spans="8:10">
      <c r="H6646"/>
      <c r="I6646"/>
      <c r="J6646" s="68"/>
    </row>
    <row r="6647" spans="8:10">
      <c r="H6647"/>
      <c r="I6647"/>
      <c r="J6647" s="68"/>
    </row>
    <row r="6648" spans="8:10">
      <c r="H6648"/>
      <c r="I6648"/>
      <c r="J6648" s="68"/>
    </row>
    <row r="6649" spans="8:10">
      <c r="H6649"/>
      <c r="I6649"/>
      <c r="J6649" s="68"/>
    </row>
    <row r="6650" spans="8:10">
      <c r="H6650"/>
      <c r="I6650"/>
      <c r="J6650" s="68"/>
    </row>
    <row r="6651" spans="8:10">
      <c r="H6651"/>
      <c r="I6651"/>
      <c r="J6651" s="68"/>
    </row>
    <row r="6652" spans="8:10">
      <c r="H6652"/>
      <c r="I6652"/>
      <c r="J6652" s="68"/>
    </row>
    <row r="6653" spans="8:10">
      <c r="H6653"/>
      <c r="I6653"/>
      <c r="J6653" s="68"/>
    </row>
    <row r="6654" spans="8:10">
      <c r="H6654"/>
      <c r="I6654"/>
      <c r="J6654" s="68"/>
    </row>
    <row r="6655" spans="8:10">
      <c r="H6655"/>
      <c r="I6655"/>
      <c r="J6655" s="68"/>
    </row>
    <row r="6656" spans="8:10">
      <c r="H6656"/>
      <c r="I6656"/>
      <c r="J6656" s="68"/>
    </row>
    <row r="6657" spans="8:10">
      <c r="H6657"/>
      <c r="I6657"/>
      <c r="J6657" s="68"/>
    </row>
    <row r="6658" spans="8:10">
      <c r="H6658"/>
      <c r="I6658"/>
      <c r="J6658" s="68"/>
    </row>
    <row r="6659" spans="8:10">
      <c r="H6659"/>
      <c r="I6659"/>
      <c r="J6659" s="68"/>
    </row>
    <row r="6660" spans="8:10">
      <c r="H6660"/>
      <c r="I6660"/>
      <c r="J6660" s="68"/>
    </row>
    <row r="6661" spans="8:10">
      <c r="H6661"/>
      <c r="I6661"/>
      <c r="J6661" s="68"/>
    </row>
    <row r="6662" spans="8:10">
      <c r="H6662"/>
      <c r="I6662"/>
      <c r="J6662" s="68"/>
    </row>
    <row r="6663" spans="8:10">
      <c r="H6663"/>
      <c r="I6663"/>
      <c r="J6663" s="68"/>
    </row>
    <row r="6664" spans="8:10">
      <c r="H6664"/>
      <c r="I6664"/>
      <c r="J6664" s="68"/>
    </row>
    <row r="6665" spans="8:10">
      <c r="H6665"/>
      <c r="I6665"/>
      <c r="J6665" s="68"/>
    </row>
    <row r="6666" spans="8:10">
      <c r="H6666"/>
      <c r="I6666"/>
      <c r="J6666" s="68"/>
    </row>
    <row r="6667" spans="8:10">
      <c r="H6667"/>
      <c r="I6667"/>
      <c r="J6667" s="68"/>
    </row>
    <row r="6668" spans="8:10">
      <c r="H6668"/>
      <c r="I6668"/>
      <c r="J6668" s="68"/>
    </row>
    <row r="6669" spans="8:10">
      <c r="H6669"/>
      <c r="I6669"/>
      <c r="J6669" s="68"/>
    </row>
    <row r="6670" spans="8:10">
      <c r="H6670"/>
      <c r="I6670"/>
      <c r="J6670" s="68"/>
    </row>
    <row r="6671" spans="8:10">
      <c r="H6671"/>
      <c r="I6671"/>
      <c r="J6671" s="68"/>
    </row>
    <row r="6672" spans="8:10">
      <c r="H6672"/>
      <c r="I6672"/>
      <c r="J6672" s="68"/>
    </row>
    <row r="6673" spans="8:10">
      <c r="H6673"/>
      <c r="I6673"/>
      <c r="J6673" s="68"/>
    </row>
    <row r="6674" spans="8:10">
      <c r="H6674"/>
      <c r="I6674"/>
      <c r="J6674" s="68"/>
    </row>
    <row r="6675" spans="8:10">
      <c r="H6675"/>
      <c r="I6675"/>
      <c r="J6675" s="68"/>
    </row>
    <row r="6676" spans="8:10">
      <c r="H6676"/>
      <c r="I6676"/>
      <c r="J6676" s="68"/>
    </row>
    <row r="6677" spans="8:10">
      <c r="H6677"/>
      <c r="I6677"/>
      <c r="J6677" s="68"/>
    </row>
    <row r="6678" spans="8:10">
      <c r="H6678"/>
      <c r="I6678"/>
      <c r="J6678" s="68"/>
    </row>
    <row r="6679" spans="8:10">
      <c r="H6679"/>
      <c r="I6679"/>
      <c r="J6679" s="68"/>
    </row>
    <row r="6680" spans="8:10">
      <c r="H6680"/>
      <c r="I6680"/>
      <c r="J6680" s="68"/>
    </row>
    <row r="6681" spans="8:10">
      <c r="H6681"/>
      <c r="I6681"/>
      <c r="J6681" s="68"/>
    </row>
    <row r="6682" spans="8:10">
      <c r="H6682"/>
      <c r="I6682"/>
      <c r="J6682" s="68"/>
    </row>
    <row r="6683" spans="8:10">
      <c r="H6683"/>
      <c r="I6683"/>
      <c r="J6683" s="68"/>
    </row>
    <row r="6684" spans="8:10">
      <c r="H6684"/>
      <c r="I6684"/>
      <c r="J6684" s="68"/>
    </row>
    <row r="6685" spans="8:10">
      <c r="H6685"/>
      <c r="I6685"/>
      <c r="J6685" s="68"/>
    </row>
    <row r="6686" spans="8:10">
      <c r="H6686"/>
      <c r="I6686"/>
      <c r="J6686" s="68"/>
    </row>
    <row r="6687" spans="8:10">
      <c r="H6687"/>
      <c r="I6687"/>
      <c r="J6687" s="68"/>
    </row>
    <row r="6688" spans="8:10">
      <c r="H6688"/>
      <c r="I6688"/>
      <c r="J6688" s="68"/>
    </row>
    <row r="6689" spans="8:10">
      <c r="H6689"/>
      <c r="I6689"/>
      <c r="J6689" s="68"/>
    </row>
    <row r="6690" spans="8:10">
      <c r="H6690"/>
      <c r="I6690"/>
      <c r="J6690" s="68"/>
    </row>
    <row r="6691" spans="8:10">
      <c r="H6691"/>
      <c r="I6691"/>
      <c r="J6691" s="68"/>
    </row>
    <row r="6692" spans="8:10">
      <c r="H6692"/>
      <c r="I6692"/>
      <c r="J6692" s="68"/>
    </row>
    <row r="6693" spans="8:10">
      <c r="H6693"/>
      <c r="I6693"/>
      <c r="J6693" s="68"/>
    </row>
    <row r="6694" spans="8:10">
      <c r="H6694"/>
      <c r="I6694"/>
      <c r="J6694" s="68"/>
    </row>
    <row r="6695" spans="8:10">
      <c r="H6695"/>
      <c r="I6695"/>
      <c r="J6695" s="68"/>
    </row>
    <row r="6696" spans="8:10">
      <c r="H6696"/>
      <c r="I6696"/>
      <c r="J6696" s="68"/>
    </row>
    <row r="6697" spans="8:10">
      <c r="H6697"/>
      <c r="I6697"/>
      <c r="J6697" s="68"/>
    </row>
    <row r="6698" spans="8:10">
      <c r="H6698"/>
      <c r="I6698"/>
      <c r="J6698" s="68"/>
    </row>
    <row r="6699" spans="8:10">
      <c r="H6699"/>
      <c r="I6699"/>
      <c r="J6699" s="68"/>
    </row>
    <row r="6700" spans="8:10">
      <c r="H6700"/>
      <c r="I6700"/>
      <c r="J6700" s="68"/>
    </row>
    <row r="6701" spans="8:10">
      <c r="H6701"/>
      <c r="I6701"/>
      <c r="J6701" s="68"/>
    </row>
    <row r="6702" spans="8:10">
      <c r="H6702"/>
      <c r="I6702"/>
      <c r="J6702" s="68"/>
    </row>
    <row r="6703" spans="8:10">
      <c r="H6703"/>
      <c r="I6703"/>
      <c r="J6703" s="68"/>
    </row>
    <row r="6704" spans="8:10">
      <c r="H6704"/>
      <c r="I6704"/>
      <c r="J6704" s="68"/>
    </row>
    <row r="6705" spans="8:10">
      <c r="H6705"/>
      <c r="I6705"/>
      <c r="J6705" s="68"/>
    </row>
    <row r="6706" spans="8:10">
      <c r="H6706"/>
      <c r="I6706"/>
      <c r="J6706" s="68"/>
    </row>
    <row r="6707" spans="8:10">
      <c r="H6707"/>
      <c r="I6707"/>
      <c r="J6707" s="68"/>
    </row>
    <row r="6708" spans="8:10">
      <c r="H6708"/>
      <c r="I6708"/>
      <c r="J6708" s="68"/>
    </row>
    <row r="6709" spans="8:10">
      <c r="H6709"/>
      <c r="I6709"/>
      <c r="J6709" s="68"/>
    </row>
    <row r="6710" spans="8:10">
      <c r="H6710"/>
      <c r="I6710"/>
      <c r="J6710" s="68"/>
    </row>
    <row r="6711" spans="8:10">
      <c r="H6711"/>
      <c r="I6711"/>
      <c r="J6711" s="68"/>
    </row>
    <row r="6712" spans="8:10">
      <c r="H6712"/>
      <c r="I6712"/>
      <c r="J6712" s="68"/>
    </row>
    <row r="6713" spans="8:10">
      <c r="H6713"/>
      <c r="I6713"/>
      <c r="J6713" s="68"/>
    </row>
    <row r="6714" spans="8:10">
      <c r="H6714"/>
      <c r="I6714"/>
      <c r="J6714" s="68"/>
    </row>
    <row r="6715" spans="8:10">
      <c r="H6715"/>
      <c r="I6715"/>
      <c r="J6715" s="68"/>
    </row>
    <row r="6716" spans="8:10">
      <c r="H6716"/>
      <c r="I6716"/>
      <c r="J6716" s="68"/>
    </row>
    <row r="6717" spans="8:10">
      <c r="H6717"/>
      <c r="I6717"/>
      <c r="J6717" s="68"/>
    </row>
    <row r="6718" spans="8:10">
      <c r="H6718"/>
      <c r="I6718"/>
      <c r="J6718" s="68"/>
    </row>
    <row r="6719" spans="8:10">
      <c r="H6719"/>
      <c r="I6719"/>
      <c r="J6719" s="68"/>
    </row>
    <row r="6720" spans="8:10">
      <c r="H6720"/>
      <c r="I6720"/>
      <c r="J6720" s="68"/>
    </row>
    <row r="6721" spans="8:10">
      <c r="H6721"/>
      <c r="I6721"/>
      <c r="J6721" s="68"/>
    </row>
    <row r="6722" spans="8:10">
      <c r="H6722"/>
      <c r="I6722"/>
      <c r="J6722" s="68"/>
    </row>
    <row r="6723" spans="8:10">
      <c r="H6723"/>
      <c r="I6723"/>
      <c r="J6723" s="68"/>
    </row>
    <row r="6724" spans="8:10">
      <c r="H6724"/>
      <c r="I6724"/>
      <c r="J6724" s="68"/>
    </row>
    <row r="6725" spans="8:10">
      <c r="H6725"/>
      <c r="I6725"/>
      <c r="J6725" s="68"/>
    </row>
    <row r="6726" spans="8:10">
      <c r="H6726"/>
      <c r="I6726"/>
      <c r="J6726" s="68"/>
    </row>
    <row r="6727" spans="8:10">
      <c r="H6727"/>
      <c r="I6727"/>
      <c r="J6727" s="68"/>
    </row>
    <row r="6728" spans="8:10">
      <c r="H6728"/>
      <c r="I6728"/>
      <c r="J6728" s="68"/>
    </row>
    <row r="6729" spans="8:10">
      <c r="H6729"/>
      <c r="I6729"/>
      <c r="J6729" s="68"/>
    </row>
    <row r="6730" spans="8:10">
      <c r="H6730"/>
      <c r="I6730"/>
      <c r="J6730" s="68"/>
    </row>
    <row r="6731" spans="8:10">
      <c r="H6731"/>
      <c r="I6731"/>
      <c r="J6731" s="68"/>
    </row>
    <row r="6732" spans="8:10">
      <c r="H6732"/>
      <c r="I6732"/>
      <c r="J6732" s="68"/>
    </row>
    <row r="6733" spans="8:10">
      <c r="H6733"/>
      <c r="I6733"/>
      <c r="J6733" s="68"/>
    </row>
    <row r="6734" spans="8:10">
      <c r="H6734"/>
      <c r="I6734"/>
      <c r="J6734" s="68"/>
    </row>
    <row r="6735" spans="8:10">
      <c r="H6735"/>
      <c r="I6735"/>
      <c r="J6735" s="68"/>
    </row>
    <row r="6736" spans="8:10">
      <c r="H6736"/>
      <c r="I6736"/>
      <c r="J6736" s="68"/>
    </row>
    <row r="6737" spans="8:10">
      <c r="H6737"/>
      <c r="I6737"/>
      <c r="J6737" s="68"/>
    </row>
    <row r="6738" spans="8:10">
      <c r="H6738"/>
      <c r="I6738"/>
      <c r="J6738" s="68"/>
    </row>
    <row r="6739" spans="8:10">
      <c r="H6739"/>
      <c r="I6739"/>
      <c r="J6739" s="68"/>
    </row>
    <row r="6740" spans="8:10">
      <c r="H6740"/>
      <c r="I6740"/>
      <c r="J6740" s="68"/>
    </row>
    <row r="6741" spans="8:10">
      <c r="H6741"/>
      <c r="I6741"/>
      <c r="J6741" s="68"/>
    </row>
    <row r="6742" spans="8:10">
      <c r="H6742"/>
      <c r="I6742"/>
      <c r="J6742" s="68"/>
    </row>
    <row r="6743" spans="8:10">
      <c r="H6743"/>
      <c r="I6743"/>
      <c r="J6743" s="68"/>
    </row>
    <row r="6744" spans="8:10">
      <c r="H6744"/>
      <c r="I6744"/>
      <c r="J6744" s="68"/>
    </row>
    <row r="6745" spans="8:10">
      <c r="H6745"/>
      <c r="I6745"/>
      <c r="J6745" s="68"/>
    </row>
    <row r="6746" spans="8:10">
      <c r="H6746"/>
      <c r="I6746"/>
      <c r="J6746" s="68"/>
    </row>
    <row r="6747" spans="8:10">
      <c r="H6747"/>
      <c r="I6747"/>
      <c r="J6747" s="68"/>
    </row>
    <row r="6748" spans="8:10">
      <c r="H6748"/>
      <c r="I6748"/>
      <c r="J6748" s="68"/>
    </row>
    <row r="6749" spans="8:10">
      <c r="H6749"/>
      <c r="I6749"/>
      <c r="J6749" s="68"/>
    </row>
    <row r="6750" spans="8:10">
      <c r="H6750"/>
      <c r="I6750"/>
      <c r="J6750" s="68"/>
    </row>
    <row r="6751" spans="8:10">
      <c r="H6751"/>
      <c r="I6751"/>
      <c r="J6751" s="68"/>
    </row>
    <row r="6752" spans="8:10">
      <c r="H6752"/>
      <c r="I6752"/>
      <c r="J6752" s="68"/>
    </row>
    <row r="6753" spans="8:10">
      <c r="H6753"/>
      <c r="I6753"/>
      <c r="J6753" s="68"/>
    </row>
    <row r="6754" spans="8:10">
      <c r="H6754"/>
      <c r="I6754"/>
      <c r="J6754" s="68"/>
    </row>
    <row r="6755" spans="8:10">
      <c r="H6755"/>
      <c r="I6755"/>
      <c r="J6755" s="68"/>
    </row>
    <row r="6756" spans="8:10">
      <c r="H6756"/>
      <c r="I6756"/>
      <c r="J6756" s="68"/>
    </row>
    <row r="6757" spans="8:10">
      <c r="H6757"/>
      <c r="I6757"/>
      <c r="J6757" s="68"/>
    </row>
    <row r="6758" spans="8:10">
      <c r="H6758"/>
      <c r="I6758"/>
      <c r="J6758" s="68"/>
    </row>
    <row r="6759" spans="8:10">
      <c r="H6759"/>
      <c r="I6759"/>
      <c r="J6759" s="68"/>
    </row>
    <row r="6760" spans="8:10">
      <c r="H6760"/>
      <c r="I6760"/>
      <c r="J6760" s="68"/>
    </row>
    <row r="6761" spans="8:10">
      <c r="H6761"/>
      <c r="I6761"/>
      <c r="J6761" s="68"/>
    </row>
    <row r="6762" spans="8:10">
      <c r="H6762"/>
      <c r="I6762"/>
      <c r="J6762" s="68"/>
    </row>
    <row r="6763" spans="8:10">
      <c r="H6763"/>
      <c r="I6763"/>
      <c r="J6763" s="68"/>
    </row>
    <row r="6764" spans="8:10">
      <c r="H6764"/>
      <c r="I6764"/>
      <c r="J6764" s="68"/>
    </row>
    <row r="6765" spans="8:10">
      <c r="H6765"/>
      <c r="I6765"/>
      <c r="J6765" s="68"/>
    </row>
    <row r="6766" spans="8:10">
      <c r="H6766"/>
      <c r="I6766"/>
      <c r="J6766" s="68"/>
    </row>
    <row r="6767" spans="8:10">
      <c r="H6767"/>
      <c r="I6767"/>
      <c r="J6767" s="68"/>
    </row>
    <row r="6768" spans="8:10">
      <c r="H6768"/>
      <c r="I6768"/>
      <c r="J6768" s="68"/>
    </row>
    <row r="6769" spans="8:10">
      <c r="H6769"/>
      <c r="I6769"/>
      <c r="J6769" s="68"/>
    </row>
    <row r="6770" spans="8:10">
      <c r="H6770"/>
      <c r="I6770"/>
      <c r="J6770" s="68"/>
    </row>
    <row r="6771" spans="8:10">
      <c r="H6771"/>
      <c r="I6771"/>
      <c r="J6771" s="68"/>
    </row>
    <row r="6772" spans="8:10">
      <c r="H6772"/>
      <c r="I6772"/>
      <c r="J6772" s="68"/>
    </row>
    <row r="6773" spans="8:10">
      <c r="H6773"/>
      <c r="I6773"/>
      <c r="J6773" s="68"/>
    </row>
    <row r="6774" spans="8:10">
      <c r="H6774"/>
      <c r="I6774"/>
      <c r="J6774" s="68"/>
    </row>
    <row r="6775" spans="8:10">
      <c r="H6775"/>
      <c r="I6775"/>
      <c r="J6775" s="68"/>
    </row>
    <row r="6776" spans="8:10">
      <c r="H6776"/>
      <c r="I6776"/>
      <c r="J6776" s="68"/>
    </row>
    <row r="6777" spans="8:10">
      <c r="H6777"/>
      <c r="I6777"/>
      <c r="J6777" s="68"/>
    </row>
    <row r="6778" spans="8:10">
      <c r="H6778"/>
      <c r="I6778"/>
      <c r="J6778" s="68"/>
    </row>
    <row r="6779" spans="8:10">
      <c r="H6779"/>
      <c r="I6779"/>
      <c r="J6779" s="68"/>
    </row>
    <row r="6780" spans="8:10">
      <c r="H6780"/>
      <c r="I6780"/>
      <c r="J6780" s="68"/>
    </row>
    <row r="6781" spans="8:10">
      <c r="H6781"/>
      <c r="I6781"/>
      <c r="J6781" s="68"/>
    </row>
    <row r="6782" spans="8:10">
      <c r="H6782"/>
      <c r="I6782"/>
      <c r="J6782" s="68"/>
    </row>
    <row r="6783" spans="8:10">
      <c r="H6783"/>
      <c r="I6783"/>
      <c r="J6783" s="68"/>
    </row>
    <row r="6784" spans="8:10">
      <c r="H6784"/>
      <c r="I6784"/>
      <c r="J6784" s="68"/>
    </row>
    <row r="6785" spans="8:10">
      <c r="H6785"/>
      <c r="I6785"/>
      <c r="J6785" s="68"/>
    </row>
    <row r="6786" spans="8:10">
      <c r="H6786"/>
      <c r="I6786"/>
      <c r="J6786" s="68"/>
    </row>
    <row r="6787" spans="8:10">
      <c r="H6787"/>
      <c r="I6787"/>
      <c r="J6787" s="68"/>
    </row>
    <row r="6788" spans="8:10">
      <c r="H6788"/>
      <c r="I6788"/>
      <c r="J6788" s="68"/>
    </row>
    <row r="6789" spans="8:10">
      <c r="H6789"/>
      <c r="I6789"/>
      <c r="J6789" s="68"/>
    </row>
    <row r="6790" spans="8:10">
      <c r="H6790"/>
      <c r="I6790"/>
      <c r="J6790" s="68"/>
    </row>
    <row r="6791" spans="8:10">
      <c r="H6791"/>
      <c r="I6791"/>
      <c r="J6791" s="68"/>
    </row>
    <row r="6792" spans="8:10">
      <c r="H6792"/>
      <c r="I6792"/>
      <c r="J6792" s="68"/>
    </row>
    <row r="6793" spans="8:10">
      <c r="H6793"/>
      <c r="I6793"/>
      <c r="J6793" s="68"/>
    </row>
    <row r="6794" spans="8:10">
      <c r="H6794"/>
      <c r="I6794"/>
      <c r="J6794" s="68"/>
    </row>
    <row r="6795" spans="8:10">
      <c r="H6795"/>
      <c r="I6795"/>
      <c r="J6795" s="68"/>
    </row>
    <row r="6796" spans="8:10">
      <c r="H6796"/>
      <c r="I6796"/>
      <c r="J6796" s="68"/>
    </row>
    <row r="6797" spans="8:10">
      <c r="H6797"/>
      <c r="I6797"/>
      <c r="J6797" s="68"/>
    </row>
    <row r="6798" spans="8:10">
      <c r="H6798"/>
      <c r="I6798"/>
      <c r="J6798" s="68"/>
    </row>
    <row r="6799" spans="8:10">
      <c r="H6799"/>
      <c r="I6799"/>
      <c r="J6799" s="68"/>
    </row>
    <row r="6800" spans="8:10">
      <c r="H6800"/>
      <c r="I6800"/>
      <c r="J6800" s="68"/>
    </row>
    <row r="6801" spans="8:10">
      <c r="H6801"/>
      <c r="I6801"/>
      <c r="J6801" s="68"/>
    </row>
    <row r="6802" spans="8:10">
      <c r="H6802"/>
      <c r="I6802"/>
      <c r="J6802" s="68"/>
    </row>
    <row r="6803" spans="8:10">
      <c r="H6803"/>
      <c r="I6803"/>
      <c r="J6803" s="68"/>
    </row>
    <row r="6804" spans="8:10">
      <c r="H6804"/>
      <c r="I6804"/>
      <c r="J6804" s="68"/>
    </row>
    <row r="6805" spans="8:10">
      <c r="H6805"/>
      <c r="I6805"/>
      <c r="J6805" s="68"/>
    </row>
    <row r="6806" spans="8:10">
      <c r="H6806"/>
      <c r="I6806"/>
      <c r="J6806" s="68"/>
    </row>
    <row r="6807" spans="8:10">
      <c r="H6807"/>
      <c r="I6807"/>
      <c r="J6807" s="68"/>
    </row>
    <row r="6808" spans="8:10">
      <c r="H6808"/>
      <c r="I6808"/>
      <c r="J6808" s="68"/>
    </row>
    <row r="6809" spans="8:10">
      <c r="H6809"/>
      <c r="I6809"/>
      <c r="J6809" s="68"/>
    </row>
    <row r="6810" spans="8:10">
      <c r="H6810"/>
      <c r="I6810"/>
      <c r="J6810" s="68"/>
    </row>
    <row r="6811" spans="8:10">
      <c r="H6811"/>
      <c r="I6811"/>
      <c r="J6811" s="68"/>
    </row>
    <row r="6812" spans="8:10">
      <c r="H6812"/>
      <c r="I6812"/>
      <c r="J6812" s="68"/>
    </row>
    <row r="6813" spans="8:10">
      <c r="H6813"/>
      <c r="I6813"/>
      <c r="J6813" s="68"/>
    </row>
    <row r="6814" spans="8:10">
      <c r="H6814"/>
      <c r="I6814"/>
      <c r="J6814" s="68"/>
    </row>
    <row r="6815" spans="8:10">
      <c r="H6815"/>
      <c r="I6815"/>
      <c r="J6815" s="68"/>
    </row>
    <row r="6816" spans="8:10">
      <c r="H6816"/>
      <c r="I6816"/>
      <c r="J6816" s="68"/>
    </row>
    <row r="6817" spans="8:10">
      <c r="H6817"/>
      <c r="I6817"/>
      <c r="J6817" s="68"/>
    </row>
    <row r="6818" spans="8:10">
      <c r="H6818"/>
      <c r="I6818"/>
      <c r="J6818" s="68"/>
    </row>
    <row r="6819" spans="8:10">
      <c r="H6819"/>
      <c r="I6819"/>
      <c r="J6819" s="68"/>
    </row>
    <row r="6820" spans="8:10">
      <c r="H6820"/>
      <c r="I6820"/>
      <c r="J6820" s="68"/>
    </row>
    <row r="6821" spans="8:10">
      <c r="H6821"/>
      <c r="I6821"/>
      <c r="J6821" s="68"/>
    </row>
    <row r="6822" spans="8:10">
      <c r="H6822"/>
      <c r="I6822"/>
      <c r="J6822" s="68"/>
    </row>
    <row r="6823" spans="8:10">
      <c r="H6823"/>
      <c r="I6823"/>
      <c r="J6823" s="68"/>
    </row>
    <row r="6824" spans="8:10">
      <c r="H6824"/>
      <c r="I6824"/>
      <c r="J6824" s="68"/>
    </row>
    <row r="6825" spans="8:10">
      <c r="H6825"/>
      <c r="I6825"/>
      <c r="J6825" s="68"/>
    </row>
    <row r="6826" spans="8:10">
      <c r="H6826"/>
      <c r="I6826"/>
      <c r="J6826" s="68"/>
    </row>
    <row r="6827" spans="8:10">
      <c r="H6827"/>
      <c r="I6827"/>
      <c r="J6827" s="68"/>
    </row>
    <row r="6828" spans="8:10">
      <c r="H6828"/>
      <c r="I6828"/>
      <c r="J6828" s="68"/>
    </row>
    <row r="6829" spans="8:10">
      <c r="H6829"/>
      <c r="I6829"/>
      <c r="J6829" s="68"/>
    </row>
    <row r="6830" spans="8:10">
      <c r="H6830"/>
      <c r="I6830"/>
      <c r="J6830" s="68"/>
    </row>
    <row r="6831" spans="8:10">
      <c r="H6831"/>
      <c r="I6831"/>
      <c r="J6831" s="68"/>
    </row>
    <row r="6832" spans="8:10">
      <c r="H6832"/>
      <c r="I6832"/>
      <c r="J6832" s="68"/>
    </row>
    <row r="6833" spans="8:10">
      <c r="H6833"/>
      <c r="I6833"/>
      <c r="J6833" s="68"/>
    </row>
    <row r="6834" spans="8:10">
      <c r="H6834"/>
      <c r="I6834"/>
      <c r="J6834" s="68"/>
    </row>
    <row r="6835" spans="8:10">
      <c r="H6835"/>
      <c r="I6835"/>
      <c r="J6835" s="68"/>
    </row>
    <row r="6836" spans="8:10">
      <c r="H6836"/>
      <c r="I6836"/>
      <c r="J6836" s="68"/>
    </row>
    <row r="6837" spans="8:10">
      <c r="H6837"/>
      <c r="I6837"/>
      <c r="J6837" s="68"/>
    </row>
    <row r="6838" spans="8:10">
      <c r="H6838"/>
      <c r="I6838"/>
      <c r="J6838" s="68"/>
    </row>
    <row r="6839" spans="8:10">
      <c r="H6839"/>
      <c r="I6839"/>
      <c r="J6839" s="68"/>
    </row>
    <row r="6840" spans="8:10">
      <c r="H6840"/>
      <c r="I6840"/>
      <c r="J6840" s="68"/>
    </row>
    <row r="6841" spans="8:10">
      <c r="H6841"/>
      <c r="I6841"/>
      <c r="J6841" s="68"/>
    </row>
    <row r="6842" spans="8:10">
      <c r="H6842"/>
      <c r="I6842"/>
      <c r="J6842" s="68"/>
    </row>
    <row r="6843" spans="8:10">
      <c r="H6843"/>
      <c r="I6843"/>
      <c r="J6843" s="68"/>
    </row>
    <row r="6844" spans="8:10">
      <c r="H6844"/>
      <c r="I6844"/>
      <c r="J6844" s="68"/>
    </row>
    <row r="6845" spans="8:10">
      <c r="H6845"/>
      <c r="I6845"/>
      <c r="J6845" s="68"/>
    </row>
    <row r="6846" spans="8:10">
      <c r="H6846"/>
      <c r="I6846"/>
      <c r="J6846" s="68"/>
    </row>
    <row r="6847" spans="8:10">
      <c r="H6847"/>
      <c r="I6847"/>
      <c r="J6847" s="68"/>
    </row>
    <row r="6848" spans="8:10">
      <c r="H6848"/>
      <c r="I6848"/>
      <c r="J6848" s="68"/>
    </row>
    <row r="6849" spans="8:10">
      <c r="H6849"/>
      <c r="I6849"/>
      <c r="J6849" s="68"/>
    </row>
    <row r="6850" spans="8:10">
      <c r="H6850"/>
      <c r="I6850"/>
      <c r="J6850" s="68"/>
    </row>
    <row r="6851" spans="8:10">
      <c r="H6851"/>
      <c r="I6851"/>
      <c r="J6851" s="68"/>
    </row>
    <row r="6852" spans="8:10">
      <c r="H6852"/>
      <c r="I6852"/>
      <c r="J6852" s="68"/>
    </row>
    <row r="6853" spans="8:10">
      <c r="H6853"/>
      <c r="I6853"/>
      <c r="J6853" s="68"/>
    </row>
    <row r="6854" spans="8:10">
      <c r="H6854"/>
      <c r="I6854"/>
      <c r="J6854" s="68"/>
    </row>
    <row r="6855" spans="8:10">
      <c r="H6855"/>
      <c r="I6855"/>
      <c r="J6855" s="68"/>
    </row>
    <row r="6856" spans="8:10">
      <c r="H6856"/>
      <c r="I6856"/>
      <c r="J6856" s="68"/>
    </row>
    <row r="6857" spans="8:10">
      <c r="H6857"/>
      <c r="I6857"/>
      <c r="J6857" s="68"/>
    </row>
    <row r="6858" spans="8:10">
      <c r="H6858"/>
      <c r="I6858"/>
      <c r="J6858" s="68"/>
    </row>
    <row r="6859" spans="8:10">
      <c r="H6859"/>
      <c r="I6859"/>
      <c r="J6859" s="68"/>
    </row>
    <row r="6860" spans="8:10">
      <c r="H6860"/>
      <c r="I6860"/>
      <c r="J6860" s="68"/>
    </row>
    <row r="6861" spans="8:10">
      <c r="H6861"/>
      <c r="I6861"/>
      <c r="J6861" s="68"/>
    </row>
    <row r="6862" spans="8:10">
      <c r="H6862"/>
      <c r="I6862"/>
      <c r="J6862" s="68"/>
    </row>
    <row r="6863" spans="8:10">
      <c r="H6863"/>
      <c r="I6863"/>
      <c r="J6863" s="68"/>
    </row>
    <row r="6864" spans="8:10">
      <c r="H6864"/>
      <c r="I6864"/>
      <c r="J6864" s="68"/>
    </row>
    <row r="6865" spans="8:10">
      <c r="H6865"/>
      <c r="I6865"/>
      <c r="J6865" s="68"/>
    </row>
    <row r="6866" spans="8:10">
      <c r="H6866"/>
      <c r="I6866"/>
      <c r="J6866" s="68"/>
    </row>
    <row r="6867" spans="8:10">
      <c r="H6867"/>
      <c r="I6867"/>
      <c r="J6867" s="68"/>
    </row>
    <row r="6868" spans="8:10">
      <c r="H6868"/>
      <c r="I6868"/>
      <c r="J6868" s="68"/>
    </row>
    <row r="6869" spans="8:10">
      <c r="H6869"/>
      <c r="I6869"/>
      <c r="J6869" s="68"/>
    </row>
    <row r="6870" spans="8:10">
      <c r="H6870"/>
      <c r="I6870"/>
      <c r="J6870" s="68"/>
    </row>
    <row r="6871" spans="8:10">
      <c r="H6871"/>
      <c r="I6871"/>
      <c r="J6871" s="68"/>
    </row>
    <row r="6872" spans="8:10">
      <c r="H6872"/>
      <c r="I6872"/>
      <c r="J6872" s="68"/>
    </row>
    <row r="6873" spans="8:10">
      <c r="H6873"/>
      <c r="I6873"/>
      <c r="J6873" s="68"/>
    </row>
    <row r="6874" spans="8:10">
      <c r="H6874"/>
      <c r="I6874"/>
      <c r="J6874" s="68"/>
    </row>
    <row r="6875" spans="8:10">
      <c r="H6875"/>
      <c r="I6875"/>
      <c r="J6875" s="68"/>
    </row>
    <row r="6876" spans="8:10">
      <c r="H6876"/>
      <c r="I6876"/>
      <c r="J6876" s="68"/>
    </row>
    <row r="6877" spans="8:10">
      <c r="H6877"/>
      <c r="I6877"/>
      <c r="J6877" s="68"/>
    </row>
    <row r="6878" spans="8:10">
      <c r="H6878"/>
      <c r="I6878"/>
      <c r="J6878" s="68"/>
    </row>
    <row r="6879" spans="8:10">
      <c r="H6879"/>
      <c r="I6879"/>
      <c r="J6879" s="68"/>
    </row>
    <row r="6880" spans="8:10">
      <c r="H6880"/>
      <c r="I6880"/>
      <c r="J6880" s="68"/>
    </row>
    <row r="6881" spans="8:10">
      <c r="H6881"/>
      <c r="I6881"/>
      <c r="J6881" s="68"/>
    </row>
    <row r="6882" spans="8:10">
      <c r="H6882"/>
      <c r="I6882"/>
      <c r="J6882" s="68"/>
    </row>
    <row r="6883" spans="8:10">
      <c r="H6883"/>
      <c r="I6883"/>
      <c r="J6883" s="68"/>
    </row>
    <row r="6884" spans="8:10">
      <c r="H6884"/>
      <c r="I6884"/>
      <c r="J6884" s="68"/>
    </row>
    <row r="6885" spans="8:10">
      <c r="H6885"/>
      <c r="I6885"/>
      <c r="J6885" s="68"/>
    </row>
    <row r="6886" spans="8:10">
      <c r="H6886"/>
      <c r="I6886"/>
      <c r="J6886" s="68"/>
    </row>
    <row r="6887" spans="8:10">
      <c r="H6887"/>
      <c r="I6887"/>
      <c r="J6887" s="68"/>
    </row>
    <row r="6888" spans="8:10">
      <c r="H6888"/>
      <c r="I6888"/>
      <c r="J6888" s="68"/>
    </row>
    <row r="6889" spans="8:10">
      <c r="H6889"/>
      <c r="I6889"/>
      <c r="J6889" s="68"/>
    </row>
    <row r="6890" spans="8:10">
      <c r="H6890"/>
      <c r="I6890"/>
      <c r="J6890" s="68"/>
    </row>
    <row r="6891" spans="8:10">
      <c r="H6891"/>
      <c r="I6891"/>
      <c r="J6891" s="68"/>
    </row>
    <row r="6892" spans="8:10">
      <c r="H6892"/>
      <c r="I6892"/>
      <c r="J6892" s="68"/>
    </row>
    <row r="6893" spans="8:10">
      <c r="H6893"/>
      <c r="I6893"/>
      <c r="J6893" s="68"/>
    </row>
    <row r="6894" spans="8:10">
      <c r="H6894"/>
      <c r="I6894"/>
      <c r="J6894" s="68"/>
    </row>
    <row r="6895" spans="8:10">
      <c r="H6895"/>
      <c r="I6895"/>
      <c r="J6895" s="68"/>
    </row>
    <row r="6896" spans="8:10">
      <c r="H6896"/>
      <c r="I6896"/>
      <c r="J6896" s="68"/>
    </row>
    <row r="6897" spans="8:10">
      <c r="H6897"/>
      <c r="I6897"/>
      <c r="J6897" s="68"/>
    </row>
    <row r="6898" spans="8:10">
      <c r="H6898"/>
      <c r="I6898"/>
      <c r="J6898" s="68"/>
    </row>
    <row r="6899" spans="8:10">
      <c r="H6899"/>
      <c r="I6899"/>
      <c r="J6899" s="68"/>
    </row>
    <row r="6900" spans="8:10">
      <c r="H6900"/>
      <c r="I6900"/>
      <c r="J6900" s="68"/>
    </row>
    <row r="6901" spans="8:10">
      <c r="H6901"/>
      <c r="I6901"/>
      <c r="J6901" s="68"/>
    </row>
    <row r="6902" spans="8:10">
      <c r="H6902"/>
      <c r="I6902"/>
      <c r="J6902" s="68"/>
    </row>
    <row r="6903" spans="8:10">
      <c r="H6903"/>
      <c r="I6903"/>
      <c r="J6903" s="68"/>
    </row>
    <row r="6904" spans="8:10">
      <c r="H6904"/>
      <c r="I6904"/>
      <c r="J6904" s="68"/>
    </row>
    <row r="6905" spans="8:10">
      <c r="H6905"/>
      <c r="I6905"/>
      <c r="J6905" s="68"/>
    </row>
    <row r="6906" spans="8:10">
      <c r="H6906"/>
      <c r="I6906"/>
      <c r="J6906" s="68"/>
    </row>
    <row r="6907" spans="8:10">
      <c r="H6907"/>
      <c r="I6907"/>
      <c r="J6907" s="68"/>
    </row>
    <row r="6908" spans="8:10">
      <c r="H6908"/>
      <c r="I6908"/>
      <c r="J6908" s="68"/>
    </row>
    <row r="6909" spans="8:10">
      <c r="H6909"/>
      <c r="I6909"/>
      <c r="J6909" s="68"/>
    </row>
    <row r="6910" spans="8:10">
      <c r="H6910"/>
      <c r="I6910"/>
      <c r="J6910" s="68"/>
    </row>
    <row r="6911" spans="8:10">
      <c r="H6911"/>
      <c r="I6911"/>
      <c r="J6911" s="68"/>
    </row>
    <row r="6912" spans="8:10">
      <c r="H6912"/>
      <c r="I6912"/>
      <c r="J6912" s="68"/>
    </row>
    <row r="6913" spans="8:10">
      <c r="H6913"/>
      <c r="I6913"/>
      <c r="J6913" s="68"/>
    </row>
    <row r="6914" spans="8:10">
      <c r="H6914"/>
      <c r="I6914"/>
      <c r="J6914" s="68"/>
    </row>
    <row r="6915" spans="8:10">
      <c r="H6915"/>
      <c r="I6915"/>
      <c r="J6915" s="68"/>
    </row>
    <row r="6916" spans="8:10">
      <c r="H6916"/>
      <c r="I6916"/>
      <c r="J6916" s="68"/>
    </row>
    <row r="6917" spans="8:10">
      <c r="H6917"/>
      <c r="I6917"/>
      <c r="J6917" s="68"/>
    </row>
    <row r="6918" spans="8:10">
      <c r="H6918"/>
      <c r="I6918"/>
      <c r="J6918" s="68"/>
    </row>
    <row r="6919" spans="8:10">
      <c r="H6919"/>
      <c r="I6919"/>
      <c r="J6919" s="68"/>
    </row>
    <row r="6920" spans="8:10">
      <c r="H6920"/>
      <c r="I6920"/>
      <c r="J6920" s="68"/>
    </row>
    <row r="6921" spans="8:10">
      <c r="H6921"/>
      <c r="I6921"/>
      <c r="J6921" s="68"/>
    </row>
    <row r="6922" spans="8:10">
      <c r="H6922"/>
      <c r="I6922"/>
      <c r="J6922" s="68"/>
    </row>
    <row r="6923" spans="8:10">
      <c r="H6923"/>
      <c r="I6923"/>
      <c r="J6923" s="68"/>
    </row>
    <row r="6924" spans="8:10">
      <c r="H6924"/>
      <c r="I6924"/>
      <c r="J6924" s="68"/>
    </row>
    <row r="6925" spans="8:10">
      <c r="H6925"/>
      <c r="I6925"/>
      <c r="J6925" s="68"/>
    </row>
    <row r="6926" spans="8:10">
      <c r="H6926"/>
      <c r="I6926"/>
      <c r="J6926" s="68"/>
    </row>
    <row r="6927" spans="8:10">
      <c r="H6927"/>
      <c r="I6927"/>
      <c r="J6927" s="68"/>
    </row>
    <row r="6928" spans="8:10">
      <c r="H6928"/>
      <c r="I6928"/>
      <c r="J6928" s="68"/>
    </row>
    <row r="6929" spans="8:10">
      <c r="H6929"/>
      <c r="I6929"/>
      <c r="J6929" s="68"/>
    </row>
    <row r="6930" spans="8:10">
      <c r="H6930"/>
      <c r="I6930"/>
      <c r="J6930" s="68"/>
    </row>
    <row r="6931" spans="8:10">
      <c r="H6931"/>
      <c r="I6931"/>
      <c r="J6931" s="68"/>
    </row>
    <row r="6932" spans="8:10">
      <c r="H6932"/>
      <c r="I6932"/>
      <c r="J6932" s="68"/>
    </row>
    <row r="6933" spans="8:10">
      <c r="H6933"/>
      <c r="I6933"/>
      <c r="J6933" s="68"/>
    </row>
    <row r="6934" spans="8:10">
      <c r="H6934"/>
      <c r="I6934"/>
      <c r="J6934" s="68"/>
    </row>
    <row r="6935" spans="8:10">
      <c r="H6935"/>
      <c r="I6935"/>
      <c r="J6935" s="68"/>
    </row>
    <row r="6936" spans="8:10">
      <c r="H6936"/>
      <c r="I6936"/>
      <c r="J6936" s="68"/>
    </row>
    <row r="6937" spans="8:10">
      <c r="H6937"/>
      <c r="I6937"/>
      <c r="J6937" s="68"/>
    </row>
    <row r="6938" spans="8:10">
      <c r="H6938"/>
      <c r="I6938"/>
      <c r="J6938" s="68"/>
    </row>
    <row r="6939" spans="8:10">
      <c r="H6939"/>
      <c r="I6939"/>
      <c r="J6939" s="68"/>
    </row>
    <row r="6940" spans="8:10">
      <c r="H6940"/>
      <c r="I6940"/>
      <c r="J6940" s="68"/>
    </row>
    <row r="6941" spans="8:10">
      <c r="H6941"/>
      <c r="I6941"/>
      <c r="J6941" s="68"/>
    </row>
    <row r="6942" spans="8:10">
      <c r="H6942"/>
      <c r="I6942"/>
      <c r="J6942" s="68"/>
    </row>
    <row r="6943" spans="8:10">
      <c r="H6943"/>
      <c r="I6943"/>
      <c r="J6943" s="68"/>
    </row>
    <row r="6944" spans="8:10">
      <c r="H6944"/>
      <c r="I6944"/>
      <c r="J6944" s="68"/>
    </row>
    <row r="6945" spans="8:10">
      <c r="H6945"/>
      <c r="I6945"/>
      <c r="J6945" s="68"/>
    </row>
    <row r="6946" spans="8:10">
      <c r="H6946"/>
      <c r="I6946"/>
      <c r="J6946" s="68"/>
    </row>
    <row r="6947" spans="8:10">
      <c r="H6947"/>
      <c r="I6947"/>
      <c r="J6947" s="68"/>
    </row>
    <row r="6948" spans="8:10">
      <c r="H6948"/>
      <c r="I6948"/>
      <c r="J6948" s="68"/>
    </row>
    <row r="6949" spans="8:10">
      <c r="H6949"/>
      <c r="I6949"/>
      <c r="J6949" s="68"/>
    </row>
    <row r="6950" spans="8:10">
      <c r="H6950"/>
      <c r="I6950"/>
      <c r="J6950" s="68"/>
    </row>
    <row r="6951" spans="8:10">
      <c r="H6951"/>
      <c r="I6951"/>
      <c r="J6951" s="68"/>
    </row>
    <row r="6952" spans="8:10">
      <c r="H6952"/>
      <c r="I6952"/>
      <c r="J6952" s="68"/>
    </row>
    <row r="6953" spans="8:10">
      <c r="H6953"/>
      <c r="I6953"/>
      <c r="J6953" s="68"/>
    </row>
    <row r="6954" spans="8:10">
      <c r="H6954"/>
      <c r="I6954"/>
      <c r="J6954" s="68"/>
    </row>
    <row r="6955" spans="8:10">
      <c r="H6955"/>
      <c r="I6955"/>
      <c r="J6955" s="68"/>
    </row>
    <row r="6956" spans="8:10">
      <c r="H6956"/>
      <c r="I6956"/>
      <c r="J6956" s="68"/>
    </row>
    <row r="6957" spans="8:10">
      <c r="H6957"/>
      <c r="I6957"/>
      <c r="J6957" s="68"/>
    </row>
    <row r="6958" spans="8:10">
      <c r="H6958"/>
      <c r="I6958"/>
      <c r="J6958" s="68"/>
    </row>
    <row r="6959" spans="8:10">
      <c r="H6959"/>
      <c r="I6959"/>
      <c r="J6959" s="68"/>
    </row>
    <row r="6960" spans="8:10">
      <c r="H6960"/>
      <c r="I6960"/>
      <c r="J6960" s="68"/>
    </row>
    <row r="6961" spans="8:10">
      <c r="H6961"/>
      <c r="I6961"/>
      <c r="J6961" s="68"/>
    </row>
    <row r="6962" spans="8:10">
      <c r="H6962"/>
      <c r="I6962"/>
      <c r="J6962" s="68"/>
    </row>
    <row r="6963" spans="8:10">
      <c r="H6963"/>
      <c r="I6963"/>
      <c r="J6963" s="68"/>
    </row>
    <row r="6964" spans="8:10">
      <c r="H6964"/>
      <c r="I6964"/>
      <c r="J6964" s="68"/>
    </row>
    <row r="6965" spans="8:10">
      <c r="H6965"/>
      <c r="I6965"/>
      <c r="J6965" s="68"/>
    </row>
    <row r="6966" spans="8:10">
      <c r="H6966"/>
      <c r="I6966"/>
      <c r="J6966" s="68"/>
    </row>
    <row r="6967" spans="8:10">
      <c r="H6967"/>
      <c r="I6967"/>
      <c r="J6967" s="68"/>
    </row>
    <row r="6968" spans="8:10">
      <c r="H6968"/>
      <c r="I6968"/>
      <c r="J6968" s="68"/>
    </row>
    <row r="6969" spans="8:10">
      <c r="H6969"/>
      <c r="I6969"/>
      <c r="J6969" s="68"/>
    </row>
    <row r="6970" spans="8:10">
      <c r="H6970"/>
      <c r="I6970"/>
      <c r="J6970" s="68"/>
    </row>
    <row r="6971" spans="8:10">
      <c r="H6971"/>
      <c r="I6971"/>
      <c r="J6971" s="68"/>
    </row>
    <row r="6972" spans="8:10">
      <c r="H6972"/>
      <c r="I6972"/>
      <c r="J6972" s="68"/>
    </row>
    <row r="6973" spans="8:10">
      <c r="H6973"/>
      <c r="I6973"/>
      <c r="J6973" s="68"/>
    </row>
    <row r="6974" spans="8:10">
      <c r="H6974"/>
      <c r="I6974"/>
      <c r="J6974" s="68"/>
    </row>
    <row r="6975" spans="8:10">
      <c r="H6975"/>
      <c r="I6975"/>
      <c r="J6975" s="68"/>
    </row>
    <row r="6976" spans="8:10">
      <c r="H6976"/>
      <c r="I6976"/>
      <c r="J6976" s="68"/>
    </row>
    <row r="6977" spans="8:10">
      <c r="H6977"/>
      <c r="I6977"/>
      <c r="J6977" s="68"/>
    </row>
    <row r="6978" spans="8:10">
      <c r="H6978"/>
      <c r="I6978"/>
      <c r="J6978" s="68"/>
    </row>
    <row r="6979" spans="8:10">
      <c r="H6979"/>
      <c r="I6979"/>
      <c r="J6979" s="68"/>
    </row>
    <row r="6980" spans="8:10">
      <c r="H6980"/>
      <c r="I6980"/>
      <c r="J6980" s="68"/>
    </row>
    <row r="6981" spans="8:10">
      <c r="H6981"/>
      <c r="I6981"/>
      <c r="J6981" s="68"/>
    </row>
    <row r="6982" spans="8:10">
      <c r="H6982"/>
      <c r="I6982"/>
      <c r="J6982" s="68"/>
    </row>
    <row r="6983" spans="8:10">
      <c r="H6983"/>
      <c r="I6983"/>
      <c r="J6983" s="68"/>
    </row>
    <row r="6984" spans="8:10">
      <c r="H6984"/>
      <c r="I6984"/>
      <c r="J6984" s="68"/>
    </row>
    <row r="6985" spans="8:10">
      <c r="H6985"/>
      <c r="I6985"/>
      <c r="J6985" s="68"/>
    </row>
    <row r="6986" spans="8:10">
      <c r="H6986"/>
      <c r="I6986"/>
      <c r="J6986" s="68"/>
    </row>
    <row r="6987" spans="8:10">
      <c r="H6987"/>
      <c r="I6987"/>
      <c r="J6987" s="68"/>
    </row>
    <row r="6988" spans="8:10">
      <c r="H6988"/>
      <c r="I6988"/>
      <c r="J6988" s="68"/>
    </row>
    <row r="6989" spans="8:10">
      <c r="H6989"/>
      <c r="I6989"/>
      <c r="J6989" s="68"/>
    </row>
    <row r="6990" spans="8:10">
      <c r="H6990"/>
      <c r="I6990"/>
      <c r="J6990" s="68"/>
    </row>
    <row r="6991" spans="8:10">
      <c r="H6991"/>
      <c r="I6991"/>
      <c r="J6991" s="68"/>
    </row>
    <row r="6992" spans="8:10">
      <c r="H6992"/>
      <c r="I6992"/>
      <c r="J6992" s="68"/>
    </row>
    <row r="6993" spans="8:10">
      <c r="H6993"/>
      <c r="I6993"/>
      <c r="J6993" s="68"/>
    </row>
    <row r="6994" spans="8:10">
      <c r="H6994"/>
      <c r="I6994"/>
      <c r="J6994" s="68"/>
    </row>
    <row r="6995" spans="8:10">
      <c r="H6995"/>
      <c r="I6995"/>
      <c r="J6995" s="68"/>
    </row>
    <row r="6996" spans="8:10">
      <c r="H6996"/>
      <c r="I6996"/>
      <c r="J6996" s="68"/>
    </row>
    <row r="6997" spans="8:10">
      <c r="H6997"/>
      <c r="I6997"/>
      <c r="J6997" s="68"/>
    </row>
    <row r="6998" spans="8:10">
      <c r="H6998"/>
      <c r="I6998"/>
      <c r="J6998" s="68"/>
    </row>
    <row r="6999" spans="8:10">
      <c r="H6999"/>
      <c r="I6999"/>
      <c r="J6999" s="68"/>
    </row>
    <row r="7000" spans="8:10">
      <c r="H7000"/>
      <c r="I7000"/>
      <c r="J7000" s="68"/>
    </row>
    <row r="7001" spans="8:10">
      <c r="H7001"/>
      <c r="I7001"/>
      <c r="J7001" s="68"/>
    </row>
    <row r="7002" spans="8:10">
      <c r="H7002"/>
      <c r="I7002"/>
      <c r="J7002" s="68"/>
    </row>
    <row r="7003" spans="8:10">
      <c r="H7003"/>
      <c r="I7003"/>
      <c r="J7003" s="68"/>
    </row>
    <row r="7004" spans="8:10">
      <c r="H7004"/>
      <c r="I7004"/>
      <c r="J7004" s="68"/>
    </row>
    <row r="7005" spans="8:10">
      <c r="H7005"/>
      <c r="I7005"/>
      <c r="J7005" s="68"/>
    </row>
    <row r="7006" spans="8:10">
      <c r="H7006"/>
      <c r="I7006"/>
      <c r="J7006" s="68"/>
    </row>
    <row r="7007" spans="8:10">
      <c r="H7007"/>
      <c r="I7007"/>
      <c r="J7007" s="68"/>
    </row>
    <row r="7008" spans="8:10">
      <c r="H7008"/>
      <c r="I7008"/>
      <c r="J7008" s="68"/>
    </row>
    <row r="7009" spans="8:10">
      <c r="H7009"/>
      <c r="I7009"/>
      <c r="J7009" s="68"/>
    </row>
    <row r="7010" spans="8:10">
      <c r="H7010"/>
      <c r="I7010"/>
      <c r="J7010" s="68"/>
    </row>
    <row r="7011" spans="8:10">
      <c r="H7011"/>
      <c r="I7011"/>
      <c r="J7011" s="68"/>
    </row>
    <row r="7012" spans="8:10">
      <c r="H7012"/>
      <c r="I7012"/>
      <c r="J7012" s="68"/>
    </row>
    <row r="7013" spans="8:10">
      <c r="H7013"/>
      <c r="I7013"/>
      <c r="J7013" s="68"/>
    </row>
    <row r="7014" spans="8:10">
      <c r="H7014"/>
      <c r="I7014"/>
      <c r="J7014" s="68"/>
    </row>
    <row r="7015" spans="8:10">
      <c r="H7015"/>
      <c r="I7015"/>
      <c r="J7015" s="68"/>
    </row>
    <row r="7016" spans="8:10">
      <c r="H7016"/>
      <c r="I7016"/>
      <c r="J7016" s="68"/>
    </row>
    <row r="7017" spans="8:10">
      <c r="H7017"/>
      <c r="I7017"/>
      <c r="J7017" s="68"/>
    </row>
    <row r="7018" spans="8:10">
      <c r="H7018"/>
      <c r="I7018"/>
      <c r="J7018" s="68"/>
    </row>
    <row r="7019" spans="8:10">
      <c r="H7019"/>
      <c r="I7019"/>
      <c r="J7019" s="68"/>
    </row>
    <row r="7020" spans="8:10">
      <c r="H7020"/>
      <c r="I7020"/>
      <c r="J7020" s="68"/>
    </row>
    <row r="7021" spans="8:10">
      <c r="H7021"/>
      <c r="I7021"/>
      <c r="J7021" s="68"/>
    </row>
    <row r="7022" spans="8:10">
      <c r="H7022"/>
      <c r="I7022"/>
      <c r="J7022" s="68"/>
    </row>
    <row r="7023" spans="8:10">
      <c r="H7023"/>
      <c r="I7023"/>
      <c r="J7023" s="68"/>
    </row>
    <row r="7024" spans="8:10">
      <c r="H7024"/>
      <c r="I7024"/>
      <c r="J7024" s="68"/>
    </row>
    <row r="7025" spans="8:10">
      <c r="H7025"/>
      <c r="I7025"/>
      <c r="J7025" s="68"/>
    </row>
    <row r="7026" spans="8:10">
      <c r="H7026"/>
      <c r="I7026"/>
      <c r="J7026" s="68"/>
    </row>
    <row r="7027" spans="8:10">
      <c r="H7027"/>
      <c r="I7027"/>
      <c r="J7027" s="68"/>
    </row>
    <row r="7028" spans="8:10">
      <c r="H7028"/>
      <c r="I7028"/>
      <c r="J7028" s="68"/>
    </row>
    <row r="7029" spans="8:10">
      <c r="H7029"/>
      <c r="I7029"/>
      <c r="J7029" s="68"/>
    </row>
    <row r="7030" spans="8:10">
      <c r="H7030"/>
      <c r="I7030"/>
      <c r="J7030" s="68"/>
    </row>
    <row r="7031" spans="8:10">
      <c r="H7031"/>
      <c r="I7031"/>
      <c r="J7031" s="68"/>
    </row>
    <row r="7032" spans="8:10">
      <c r="H7032"/>
      <c r="I7032"/>
      <c r="J7032" s="68"/>
    </row>
    <row r="7033" spans="8:10">
      <c r="H7033"/>
      <c r="I7033"/>
      <c r="J7033" s="68"/>
    </row>
    <row r="7034" spans="8:10">
      <c r="H7034"/>
      <c r="I7034"/>
      <c r="J7034" s="68"/>
    </row>
    <row r="7035" spans="8:10">
      <c r="H7035"/>
      <c r="I7035"/>
      <c r="J7035" s="68"/>
    </row>
    <row r="7036" spans="8:10">
      <c r="H7036"/>
      <c r="I7036"/>
      <c r="J7036" s="68"/>
    </row>
    <row r="7037" spans="8:10">
      <c r="H7037"/>
      <c r="I7037"/>
      <c r="J7037" s="68"/>
    </row>
    <row r="7038" spans="8:10">
      <c r="H7038"/>
      <c r="I7038"/>
      <c r="J7038" s="68"/>
    </row>
    <row r="7039" spans="8:10">
      <c r="H7039"/>
      <c r="I7039"/>
      <c r="J7039" s="68"/>
    </row>
    <row r="7040" spans="8:10">
      <c r="H7040"/>
      <c r="I7040"/>
      <c r="J7040" s="68"/>
    </row>
    <row r="7041" spans="8:10">
      <c r="H7041"/>
      <c r="I7041"/>
      <c r="J7041" s="68"/>
    </row>
    <row r="7042" spans="8:10">
      <c r="H7042"/>
      <c r="I7042"/>
      <c r="J7042" s="68"/>
    </row>
    <row r="7043" spans="8:10">
      <c r="H7043"/>
      <c r="I7043"/>
      <c r="J7043" s="68"/>
    </row>
    <row r="7044" spans="8:10">
      <c r="H7044"/>
      <c r="I7044"/>
      <c r="J7044" s="68"/>
    </row>
    <row r="7045" spans="8:10">
      <c r="H7045"/>
      <c r="I7045"/>
      <c r="J7045" s="68"/>
    </row>
    <row r="7046" spans="8:10">
      <c r="H7046"/>
      <c r="I7046"/>
      <c r="J7046" s="68"/>
    </row>
    <row r="7047" spans="8:10">
      <c r="H7047"/>
      <c r="I7047"/>
      <c r="J7047" s="68"/>
    </row>
    <row r="7048" spans="8:10">
      <c r="H7048"/>
      <c r="I7048"/>
      <c r="J7048" s="68"/>
    </row>
    <row r="7049" spans="8:10">
      <c r="H7049"/>
      <c r="I7049"/>
      <c r="J7049" s="68"/>
    </row>
    <row r="7050" spans="8:10">
      <c r="H7050"/>
      <c r="I7050"/>
      <c r="J7050" s="68"/>
    </row>
    <row r="7051" spans="8:10">
      <c r="H7051"/>
      <c r="I7051"/>
      <c r="J7051" s="68"/>
    </row>
    <row r="7052" spans="8:10">
      <c r="H7052"/>
      <c r="I7052"/>
      <c r="J7052" s="68"/>
    </row>
    <row r="7053" spans="8:10">
      <c r="H7053"/>
      <c r="I7053"/>
      <c r="J7053" s="68"/>
    </row>
    <row r="7054" spans="8:10">
      <c r="H7054"/>
      <c r="I7054"/>
      <c r="J7054" s="68"/>
    </row>
    <row r="7055" spans="8:10">
      <c r="H7055"/>
      <c r="I7055"/>
      <c r="J7055" s="68"/>
    </row>
    <row r="7056" spans="8:10">
      <c r="H7056"/>
      <c r="I7056"/>
      <c r="J7056" s="68"/>
    </row>
    <row r="7057" spans="8:10">
      <c r="H7057"/>
      <c r="I7057"/>
      <c r="J7057" s="68"/>
    </row>
    <row r="7058" spans="8:10">
      <c r="H7058"/>
      <c r="I7058"/>
      <c r="J7058" s="68"/>
    </row>
    <row r="7059" spans="8:10">
      <c r="H7059"/>
      <c r="I7059"/>
      <c r="J7059" s="68"/>
    </row>
    <row r="7060" spans="8:10">
      <c r="H7060"/>
      <c r="I7060"/>
      <c r="J7060" s="68"/>
    </row>
    <row r="7061" spans="8:10">
      <c r="H7061"/>
      <c r="I7061"/>
      <c r="J7061" s="68"/>
    </row>
    <row r="7062" spans="8:10">
      <c r="H7062"/>
      <c r="I7062"/>
      <c r="J7062" s="68"/>
    </row>
    <row r="7063" spans="8:10">
      <c r="H7063"/>
      <c r="I7063"/>
      <c r="J7063" s="68"/>
    </row>
    <row r="7064" spans="8:10">
      <c r="H7064"/>
      <c r="I7064"/>
      <c r="J7064" s="68"/>
    </row>
    <row r="7065" spans="8:10">
      <c r="H7065"/>
      <c r="I7065"/>
      <c r="J7065" s="68"/>
    </row>
    <row r="7066" spans="8:10">
      <c r="H7066"/>
      <c r="I7066"/>
      <c r="J7066" s="68"/>
    </row>
    <row r="7067" spans="8:10">
      <c r="H7067"/>
      <c r="I7067"/>
      <c r="J7067" s="68"/>
    </row>
    <row r="7068" spans="8:10">
      <c r="H7068"/>
      <c r="I7068"/>
      <c r="J7068" s="68"/>
    </row>
    <row r="7069" spans="8:10">
      <c r="H7069"/>
      <c r="I7069"/>
      <c r="J7069" s="68"/>
    </row>
    <row r="7070" spans="8:10">
      <c r="H7070"/>
      <c r="I7070"/>
      <c r="J7070" s="68"/>
    </row>
    <row r="7071" spans="8:10">
      <c r="H7071"/>
      <c r="I7071"/>
      <c r="J7071" s="68"/>
    </row>
    <row r="7072" spans="8:10">
      <c r="H7072"/>
      <c r="I7072"/>
      <c r="J7072" s="68"/>
    </row>
    <row r="7073" spans="8:10">
      <c r="H7073"/>
      <c r="I7073"/>
      <c r="J7073" s="68"/>
    </row>
    <row r="7074" spans="8:10">
      <c r="H7074"/>
      <c r="I7074"/>
      <c r="J7074" s="68"/>
    </row>
    <row r="7075" spans="8:10">
      <c r="H7075"/>
      <c r="I7075"/>
      <c r="J7075" s="68"/>
    </row>
    <row r="7076" spans="8:10">
      <c r="H7076"/>
      <c r="I7076"/>
      <c r="J7076" s="68"/>
    </row>
    <row r="7077" spans="8:10">
      <c r="H7077"/>
      <c r="I7077"/>
      <c r="J7077" s="68"/>
    </row>
    <row r="7078" spans="8:10">
      <c r="H7078"/>
      <c r="I7078"/>
      <c r="J7078" s="68"/>
    </row>
    <row r="7079" spans="8:10">
      <c r="H7079"/>
      <c r="I7079"/>
      <c r="J7079" s="68"/>
    </row>
    <row r="7080" spans="8:10">
      <c r="H7080"/>
      <c r="I7080"/>
      <c r="J7080" s="68"/>
    </row>
    <row r="7081" spans="8:10">
      <c r="H7081"/>
      <c r="I7081"/>
      <c r="J7081" s="68"/>
    </row>
    <row r="7082" spans="8:10">
      <c r="H7082"/>
      <c r="I7082"/>
      <c r="J7082" s="68"/>
    </row>
    <row r="7083" spans="8:10">
      <c r="H7083"/>
      <c r="I7083"/>
      <c r="J7083" s="68"/>
    </row>
    <row r="7084" spans="8:10">
      <c r="H7084"/>
      <c r="I7084"/>
      <c r="J7084" s="68"/>
    </row>
    <row r="7085" spans="8:10">
      <c r="H7085"/>
      <c r="I7085"/>
      <c r="J7085" s="68"/>
    </row>
    <row r="7086" spans="8:10">
      <c r="H7086"/>
      <c r="I7086"/>
      <c r="J7086" s="68"/>
    </row>
    <row r="7087" spans="8:10">
      <c r="H7087"/>
      <c r="I7087"/>
      <c r="J7087" s="68"/>
    </row>
    <row r="7088" spans="8:10">
      <c r="H7088"/>
      <c r="I7088"/>
      <c r="J7088" s="68"/>
    </row>
    <row r="7089" spans="8:10">
      <c r="H7089"/>
      <c r="I7089"/>
      <c r="J7089" s="68"/>
    </row>
    <row r="7090" spans="8:10">
      <c r="H7090"/>
      <c r="I7090"/>
      <c r="J7090" s="68"/>
    </row>
    <row r="7091" spans="8:10">
      <c r="H7091"/>
      <c r="I7091"/>
      <c r="J7091" s="68"/>
    </row>
    <row r="7092" spans="8:10">
      <c r="H7092"/>
      <c r="I7092"/>
      <c r="J7092" s="68"/>
    </row>
    <row r="7093" spans="8:10">
      <c r="H7093"/>
      <c r="I7093"/>
      <c r="J7093" s="68"/>
    </row>
    <row r="7094" spans="8:10">
      <c r="H7094"/>
      <c r="I7094"/>
      <c r="J7094" s="68"/>
    </row>
    <row r="7095" spans="8:10">
      <c r="H7095"/>
      <c r="I7095"/>
      <c r="J7095" s="68"/>
    </row>
    <row r="7096" spans="8:10">
      <c r="H7096"/>
      <c r="I7096"/>
      <c r="J7096" s="68"/>
    </row>
    <row r="7097" spans="8:10">
      <c r="H7097"/>
      <c r="I7097"/>
      <c r="J7097" s="68"/>
    </row>
    <row r="7098" spans="8:10">
      <c r="H7098"/>
      <c r="I7098"/>
      <c r="J7098" s="68"/>
    </row>
    <row r="7099" spans="8:10">
      <c r="H7099"/>
      <c r="I7099"/>
      <c r="J7099" s="68"/>
    </row>
    <row r="7100" spans="8:10">
      <c r="H7100"/>
      <c r="I7100"/>
      <c r="J7100" s="68"/>
    </row>
    <row r="7101" spans="8:10">
      <c r="H7101"/>
      <c r="I7101"/>
      <c r="J7101" s="68"/>
    </row>
    <row r="7102" spans="8:10">
      <c r="H7102"/>
      <c r="I7102"/>
      <c r="J7102" s="68"/>
    </row>
    <row r="7103" spans="8:10">
      <c r="H7103"/>
      <c r="I7103"/>
      <c r="J7103" s="68"/>
    </row>
    <row r="7104" spans="8:10">
      <c r="H7104"/>
      <c r="I7104"/>
      <c r="J7104" s="68"/>
    </row>
    <row r="7105" spans="8:10">
      <c r="H7105"/>
      <c r="I7105"/>
      <c r="J7105" s="68"/>
    </row>
    <row r="7106" spans="8:10">
      <c r="H7106"/>
      <c r="I7106"/>
      <c r="J7106" s="68"/>
    </row>
    <row r="7107" spans="8:10">
      <c r="H7107"/>
      <c r="I7107"/>
      <c r="J7107" s="68"/>
    </row>
    <row r="7108" spans="8:10">
      <c r="H7108"/>
      <c r="I7108"/>
      <c r="J7108" s="68"/>
    </row>
    <row r="7109" spans="8:10">
      <c r="H7109"/>
      <c r="I7109"/>
      <c r="J7109" s="68"/>
    </row>
    <row r="7110" spans="8:10">
      <c r="H7110"/>
      <c r="I7110"/>
      <c r="J7110" s="68"/>
    </row>
    <row r="7111" spans="8:10">
      <c r="H7111"/>
      <c r="I7111"/>
      <c r="J7111" s="68"/>
    </row>
    <row r="7112" spans="8:10">
      <c r="H7112"/>
      <c r="I7112"/>
      <c r="J7112" s="68"/>
    </row>
    <row r="7113" spans="8:10">
      <c r="H7113"/>
      <c r="I7113"/>
      <c r="J7113" s="68"/>
    </row>
    <row r="7114" spans="8:10">
      <c r="H7114"/>
      <c r="I7114"/>
      <c r="J7114" s="68"/>
    </row>
    <row r="7115" spans="8:10">
      <c r="H7115"/>
      <c r="I7115"/>
      <c r="J7115" s="68"/>
    </row>
    <row r="7116" spans="8:10">
      <c r="H7116"/>
      <c r="I7116"/>
      <c r="J7116" s="68"/>
    </row>
    <row r="7117" spans="8:10">
      <c r="H7117"/>
      <c r="I7117"/>
      <c r="J7117" s="68"/>
    </row>
    <row r="7118" spans="8:10">
      <c r="H7118"/>
      <c r="I7118"/>
      <c r="J7118" s="68"/>
    </row>
    <row r="7119" spans="8:10">
      <c r="H7119"/>
      <c r="I7119"/>
      <c r="J7119" s="68"/>
    </row>
    <row r="7120" spans="8:10">
      <c r="H7120"/>
      <c r="I7120"/>
      <c r="J7120" s="68"/>
    </row>
    <row r="7121" spans="8:10">
      <c r="H7121"/>
      <c r="I7121"/>
      <c r="J7121" s="68"/>
    </row>
    <row r="7122" spans="8:10">
      <c r="H7122"/>
      <c r="I7122"/>
      <c r="J7122" s="68"/>
    </row>
    <row r="7123" spans="8:10">
      <c r="H7123"/>
      <c r="I7123"/>
      <c r="J7123" s="68"/>
    </row>
    <row r="7124" spans="8:10">
      <c r="H7124"/>
      <c r="I7124"/>
      <c r="J7124" s="68"/>
    </row>
    <row r="7125" spans="8:10">
      <c r="H7125"/>
      <c r="I7125"/>
      <c r="J7125" s="68"/>
    </row>
    <row r="7126" spans="8:10">
      <c r="H7126"/>
      <c r="I7126"/>
      <c r="J7126" s="68"/>
    </row>
    <row r="7127" spans="8:10">
      <c r="H7127"/>
      <c r="I7127"/>
      <c r="J7127" s="68"/>
    </row>
    <row r="7128" spans="8:10">
      <c r="H7128"/>
      <c r="I7128"/>
      <c r="J7128" s="68"/>
    </row>
    <row r="7129" spans="8:10">
      <c r="H7129"/>
      <c r="I7129"/>
      <c r="J7129" s="68"/>
    </row>
    <row r="7130" spans="8:10">
      <c r="H7130"/>
      <c r="I7130"/>
      <c r="J7130" s="68"/>
    </row>
    <row r="7131" spans="8:10">
      <c r="H7131"/>
      <c r="I7131"/>
      <c r="J7131" s="68"/>
    </row>
    <row r="7132" spans="8:10">
      <c r="H7132"/>
      <c r="I7132"/>
      <c r="J7132" s="68"/>
    </row>
    <row r="7133" spans="8:10">
      <c r="H7133"/>
      <c r="I7133"/>
      <c r="J7133" s="68"/>
    </row>
    <row r="7134" spans="8:10">
      <c r="H7134"/>
      <c r="I7134"/>
      <c r="J7134" s="68"/>
    </row>
    <row r="7135" spans="8:10">
      <c r="H7135"/>
      <c r="I7135"/>
      <c r="J7135" s="68"/>
    </row>
    <row r="7136" spans="8:10">
      <c r="H7136"/>
      <c r="I7136"/>
      <c r="J7136" s="68"/>
    </row>
    <row r="7137" spans="8:10">
      <c r="H7137"/>
      <c r="I7137"/>
      <c r="J7137" s="68"/>
    </row>
    <row r="7138" spans="8:10">
      <c r="H7138"/>
      <c r="I7138"/>
      <c r="J7138" s="68"/>
    </row>
    <row r="7139" spans="8:10">
      <c r="H7139"/>
      <c r="I7139"/>
      <c r="J7139" s="68"/>
    </row>
    <row r="7140" spans="8:10">
      <c r="H7140"/>
      <c r="I7140"/>
      <c r="J7140" s="68"/>
    </row>
    <row r="7141" spans="8:10">
      <c r="H7141"/>
      <c r="I7141"/>
      <c r="J7141" s="68"/>
    </row>
    <row r="7142" spans="8:10">
      <c r="H7142"/>
      <c r="I7142"/>
      <c r="J7142" s="68"/>
    </row>
    <row r="7143" spans="8:10">
      <c r="H7143"/>
      <c r="I7143"/>
      <c r="J7143" s="68"/>
    </row>
    <row r="7144" spans="8:10">
      <c r="H7144"/>
      <c r="I7144"/>
      <c r="J7144" s="68"/>
    </row>
    <row r="7145" spans="8:10">
      <c r="H7145"/>
      <c r="I7145"/>
      <c r="J7145" s="68"/>
    </row>
    <row r="7146" spans="8:10">
      <c r="H7146"/>
      <c r="I7146"/>
      <c r="J7146" s="68"/>
    </row>
    <row r="7147" spans="8:10">
      <c r="H7147"/>
      <c r="I7147"/>
      <c r="J7147" s="68"/>
    </row>
    <row r="7148" spans="8:10">
      <c r="H7148"/>
      <c r="I7148"/>
      <c r="J7148" s="68"/>
    </row>
    <row r="7149" spans="8:10">
      <c r="H7149"/>
      <c r="I7149"/>
      <c r="J7149" s="68"/>
    </row>
    <row r="7150" spans="8:10">
      <c r="H7150"/>
      <c r="I7150"/>
      <c r="J7150" s="68"/>
    </row>
    <row r="7151" spans="8:10">
      <c r="H7151"/>
      <c r="I7151"/>
      <c r="J7151" s="68"/>
    </row>
    <row r="7152" spans="8:10">
      <c r="H7152"/>
      <c r="I7152"/>
      <c r="J7152" s="68"/>
    </row>
    <row r="7153" spans="8:10">
      <c r="H7153"/>
      <c r="I7153"/>
      <c r="J7153" s="68"/>
    </row>
    <row r="7154" spans="8:10">
      <c r="H7154"/>
      <c r="I7154"/>
      <c r="J7154" s="68"/>
    </row>
    <row r="7155" spans="8:10">
      <c r="H7155"/>
      <c r="I7155"/>
      <c r="J7155" s="68"/>
    </row>
    <row r="7156" spans="8:10">
      <c r="H7156"/>
      <c r="I7156"/>
      <c r="J7156" s="68"/>
    </row>
    <row r="7157" spans="8:10">
      <c r="H7157"/>
      <c r="I7157"/>
      <c r="J7157" s="68"/>
    </row>
    <row r="7158" spans="8:10">
      <c r="H7158"/>
      <c r="I7158"/>
      <c r="J7158" s="68"/>
    </row>
    <row r="7159" spans="8:10">
      <c r="H7159"/>
      <c r="I7159"/>
      <c r="J7159" s="68"/>
    </row>
    <row r="7160" spans="8:10">
      <c r="H7160"/>
      <c r="I7160"/>
      <c r="J7160" s="68"/>
    </row>
    <row r="7161" spans="8:10">
      <c r="H7161"/>
      <c r="I7161"/>
      <c r="J7161" s="68"/>
    </row>
    <row r="7162" spans="8:10">
      <c r="H7162"/>
      <c r="I7162"/>
      <c r="J7162" s="68"/>
    </row>
    <row r="7163" spans="8:10">
      <c r="H7163"/>
      <c r="I7163"/>
      <c r="J7163" s="68"/>
    </row>
    <row r="7164" spans="8:10">
      <c r="H7164"/>
      <c r="I7164"/>
      <c r="J7164" s="68"/>
    </row>
    <row r="7165" spans="8:10">
      <c r="H7165"/>
      <c r="I7165"/>
      <c r="J7165" s="68"/>
    </row>
    <row r="7166" spans="8:10">
      <c r="H7166"/>
      <c r="I7166"/>
      <c r="J7166" s="68"/>
    </row>
    <row r="7167" spans="8:10">
      <c r="H7167"/>
      <c r="I7167"/>
      <c r="J7167" s="68"/>
    </row>
    <row r="7168" spans="8:10">
      <c r="H7168"/>
      <c r="I7168"/>
      <c r="J7168" s="68"/>
    </row>
    <row r="7169" spans="8:10">
      <c r="H7169"/>
      <c r="I7169"/>
      <c r="J7169" s="68"/>
    </row>
    <row r="7170" spans="8:10">
      <c r="H7170"/>
      <c r="I7170"/>
      <c r="J7170" s="68"/>
    </row>
    <row r="7171" spans="8:10">
      <c r="H7171"/>
      <c r="I7171"/>
      <c r="J7171" s="68"/>
    </row>
    <row r="7172" spans="8:10">
      <c r="H7172"/>
      <c r="I7172"/>
      <c r="J7172" s="68"/>
    </row>
    <row r="7173" spans="8:10">
      <c r="H7173"/>
      <c r="I7173"/>
      <c r="J7173" s="68"/>
    </row>
    <row r="7174" spans="8:10">
      <c r="H7174"/>
      <c r="I7174"/>
      <c r="J7174" s="68"/>
    </row>
    <row r="7175" spans="8:10">
      <c r="H7175"/>
      <c r="I7175"/>
      <c r="J7175" s="68"/>
    </row>
    <row r="7176" spans="8:10">
      <c r="H7176"/>
      <c r="I7176"/>
      <c r="J7176" s="68"/>
    </row>
    <row r="7177" spans="8:10">
      <c r="H7177"/>
      <c r="I7177"/>
      <c r="J7177" s="68"/>
    </row>
    <row r="7178" spans="8:10">
      <c r="H7178"/>
      <c r="I7178"/>
      <c r="J7178" s="68"/>
    </row>
    <row r="7179" spans="8:10">
      <c r="H7179"/>
      <c r="I7179"/>
      <c r="J7179" s="68"/>
    </row>
    <row r="7180" spans="8:10">
      <c r="H7180"/>
      <c r="I7180"/>
      <c r="J7180" s="68"/>
    </row>
    <row r="7181" spans="8:10">
      <c r="H7181"/>
      <c r="I7181"/>
      <c r="J7181" s="68"/>
    </row>
    <row r="7182" spans="8:10">
      <c r="H7182"/>
      <c r="I7182"/>
      <c r="J7182" s="68"/>
    </row>
    <row r="7183" spans="8:10">
      <c r="H7183"/>
      <c r="I7183"/>
      <c r="J7183" s="68"/>
    </row>
    <row r="7184" spans="8:10">
      <c r="H7184"/>
      <c r="I7184"/>
      <c r="J7184" s="68"/>
    </row>
    <row r="7185" spans="8:10">
      <c r="H7185"/>
      <c r="I7185"/>
      <c r="J7185" s="68"/>
    </row>
    <row r="7186" spans="8:10">
      <c r="H7186"/>
      <c r="I7186"/>
      <c r="J7186" s="68"/>
    </row>
    <row r="7187" spans="8:10">
      <c r="H7187"/>
      <c r="I7187"/>
      <c r="J7187" s="68"/>
    </row>
    <row r="7188" spans="8:10">
      <c r="H7188"/>
      <c r="I7188"/>
      <c r="J7188" s="68"/>
    </row>
    <row r="7189" spans="8:10">
      <c r="H7189"/>
      <c r="I7189"/>
      <c r="J7189" s="68"/>
    </row>
    <row r="7190" spans="8:10">
      <c r="H7190"/>
      <c r="I7190"/>
      <c r="J7190" s="68"/>
    </row>
    <row r="7191" spans="8:10">
      <c r="H7191"/>
      <c r="I7191"/>
      <c r="J7191" s="68"/>
    </row>
    <row r="7192" spans="8:10">
      <c r="H7192"/>
      <c r="I7192"/>
      <c r="J7192" s="68"/>
    </row>
    <row r="7193" spans="8:10">
      <c r="H7193"/>
      <c r="I7193"/>
      <c r="J7193" s="68"/>
    </row>
    <row r="7194" spans="8:10">
      <c r="H7194"/>
      <c r="I7194"/>
      <c r="J7194" s="68"/>
    </row>
    <row r="7195" spans="8:10">
      <c r="H7195"/>
      <c r="I7195"/>
      <c r="J7195" s="68"/>
    </row>
    <row r="7196" spans="8:10">
      <c r="H7196"/>
      <c r="I7196"/>
      <c r="J7196" s="68"/>
    </row>
    <row r="7197" spans="8:10">
      <c r="H7197"/>
      <c r="I7197"/>
      <c r="J7197" s="68"/>
    </row>
    <row r="7198" spans="8:10">
      <c r="H7198"/>
      <c r="I7198"/>
      <c r="J7198" s="68"/>
    </row>
    <row r="7199" spans="8:10">
      <c r="H7199"/>
      <c r="I7199"/>
      <c r="J7199" s="68"/>
    </row>
    <row r="7200" spans="8:10">
      <c r="H7200"/>
      <c r="I7200"/>
      <c r="J7200" s="68"/>
    </row>
    <row r="7201" spans="8:10">
      <c r="H7201"/>
      <c r="I7201"/>
      <c r="J7201" s="68"/>
    </row>
    <row r="7202" spans="8:10">
      <c r="H7202"/>
      <c r="I7202"/>
      <c r="J7202" s="68"/>
    </row>
    <row r="7203" spans="8:10">
      <c r="H7203"/>
      <c r="I7203"/>
      <c r="J7203" s="68"/>
    </row>
    <row r="7204" spans="8:10">
      <c r="H7204"/>
      <c r="I7204"/>
      <c r="J7204" s="68"/>
    </row>
    <row r="7205" spans="8:10">
      <c r="H7205"/>
      <c r="I7205"/>
      <c r="J7205" s="68"/>
    </row>
    <row r="7206" spans="8:10">
      <c r="H7206"/>
      <c r="I7206"/>
      <c r="J7206" s="68"/>
    </row>
    <row r="7207" spans="8:10">
      <c r="H7207"/>
      <c r="I7207"/>
      <c r="J7207" s="68"/>
    </row>
    <row r="7208" spans="8:10">
      <c r="H7208"/>
      <c r="I7208"/>
      <c r="J7208" s="68"/>
    </row>
    <row r="7209" spans="8:10">
      <c r="H7209"/>
      <c r="I7209"/>
      <c r="J7209" s="68"/>
    </row>
    <row r="7210" spans="8:10">
      <c r="H7210"/>
      <c r="I7210"/>
      <c r="J7210" s="68"/>
    </row>
    <row r="7211" spans="8:10">
      <c r="H7211"/>
      <c r="I7211"/>
      <c r="J7211" s="68"/>
    </row>
    <row r="7212" spans="8:10">
      <c r="H7212"/>
      <c r="I7212"/>
      <c r="J7212" s="68"/>
    </row>
    <row r="7213" spans="8:10">
      <c r="H7213"/>
      <c r="I7213"/>
      <c r="J7213" s="68"/>
    </row>
    <row r="7214" spans="8:10">
      <c r="H7214"/>
      <c r="I7214"/>
      <c r="J7214" s="68"/>
    </row>
    <row r="7215" spans="8:10">
      <c r="H7215"/>
      <c r="I7215"/>
      <c r="J7215" s="68"/>
    </row>
    <row r="7216" spans="8:10">
      <c r="H7216"/>
      <c r="I7216"/>
      <c r="J7216" s="68"/>
    </row>
    <row r="7217" spans="8:10">
      <c r="H7217"/>
      <c r="I7217"/>
      <c r="J7217" s="68"/>
    </row>
    <row r="7218" spans="8:10">
      <c r="H7218"/>
      <c r="I7218"/>
      <c r="J7218" s="68"/>
    </row>
    <row r="7219" spans="8:10">
      <c r="H7219"/>
      <c r="I7219"/>
      <c r="J7219" s="68"/>
    </row>
    <row r="7220" spans="8:10">
      <c r="H7220"/>
      <c r="I7220"/>
      <c r="J7220" s="68"/>
    </row>
    <row r="7221" spans="8:10">
      <c r="H7221"/>
      <c r="I7221"/>
      <c r="J7221" s="68"/>
    </row>
    <row r="7222" spans="8:10">
      <c r="H7222"/>
      <c r="I7222"/>
      <c r="J7222" s="68"/>
    </row>
    <row r="7223" spans="8:10">
      <c r="H7223"/>
      <c r="I7223"/>
      <c r="J7223" s="68"/>
    </row>
    <row r="7224" spans="8:10">
      <c r="H7224"/>
      <c r="I7224"/>
      <c r="J7224" s="68"/>
    </row>
    <row r="7225" spans="8:10">
      <c r="H7225"/>
      <c r="I7225"/>
      <c r="J7225" s="68"/>
    </row>
    <row r="7226" spans="8:10">
      <c r="H7226"/>
      <c r="I7226"/>
      <c r="J7226" s="68"/>
    </row>
    <row r="7227" spans="8:10">
      <c r="H7227"/>
      <c r="I7227"/>
      <c r="J7227" s="68"/>
    </row>
    <row r="7228" spans="8:10">
      <c r="H7228"/>
      <c r="I7228"/>
      <c r="J7228" s="68"/>
    </row>
    <row r="7229" spans="8:10">
      <c r="H7229"/>
      <c r="I7229"/>
      <c r="J7229" s="68"/>
    </row>
    <row r="7230" spans="8:10">
      <c r="H7230"/>
      <c r="I7230"/>
      <c r="J7230" s="68"/>
    </row>
    <row r="7231" spans="8:10">
      <c r="H7231"/>
      <c r="I7231"/>
      <c r="J7231" s="68"/>
    </row>
    <row r="7232" spans="8:10">
      <c r="H7232"/>
      <c r="I7232"/>
      <c r="J7232" s="68"/>
    </row>
    <row r="7233" spans="8:10">
      <c r="H7233"/>
      <c r="I7233"/>
      <c r="J7233" s="68"/>
    </row>
    <row r="7234" spans="8:10">
      <c r="H7234"/>
      <c r="I7234"/>
      <c r="J7234" s="68"/>
    </row>
    <row r="7235" spans="8:10">
      <c r="H7235"/>
      <c r="I7235"/>
      <c r="J7235" s="68"/>
    </row>
    <row r="7236" spans="8:10">
      <c r="H7236"/>
      <c r="I7236"/>
      <c r="J7236" s="68"/>
    </row>
    <row r="7237" spans="8:10">
      <c r="H7237"/>
      <c r="I7237"/>
      <c r="J7237" s="68"/>
    </row>
    <row r="7238" spans="8:10">
      <c r="H7238"/>
      <c r="I7238"/>
      <c r="J7238" s="68"/>
    </row>
    <row r="7239" spans="8:10">
      <c r="H7239"/>
      <c r="I7239"/>
      <c r="J7239" s="68"/>
    </row>
    <row r="7240" spans="8:10">
      <c r="H7240"/>
      <c r="I7240"/>
      <c r="J7240" s="68"/>
    </row>
    <row r="7241" spans="8:10">
      <c r="H7241"/>
      <c r="I7241"/>
      <c r="J7241" s="68"/>
    </row>
    <row r="7242" spans="8:10">
      <c r="H7242"/>
      <c r="I7242"/>
      <c r="J7242" s="68"/>
    </row>
    <row r="7243" spans="8:10">
      <c r="H7243"/>
      <c r="I7243"/>
      <c r="J7243" s="68"/>
    </row>
    <row r="7244" spans="8:10">
      <c r="H7244"/>
      <c r="I7244"/>
      <c r="J7244" s="68"/>
    </row>
    <row r="7245" spans="8:10">
      <c r="H7245"/>
      <c r="I7245"/>
      <c r="J7245" s="68"/>
    </row>
    <row r="7246" spans="8:10">
      <c r="H7246"/>
      <c r="I7246"/>
      <c r="J7246" s="68"/>
    </row>
    <row r="7247" spans="8:10">
      <c r="H7247"/>
      <c r="I7247"/>
      <c r="J7247" s="68"/>
    </row>
    <row r="7248" spans="8:10">
      <c r="H7248"/>
      <c r="I7248"/>
      <c r="J7248" s="68"/>
    </row>
    <row r="7249" spans="8:10">
      <c r="H7249"/>
      <c r="I7249"/>
      <c r="J7249" s="68"/>
    </row>
    <row r="7250" spans="8:10">
      <c r="H7250"/>
      <c r="I7250"/>
      <c r="J7250" s="68"/>
    </row>
    <row r="7251" spans="8:10">
      <c r="H7251"/>
      <c r="I7251"/>
      <c r="J7251" s="68"/>
    </row>
    <row r="7252" spans="8:10">
      <c r="H7252"/>
      <c r="I7252"/>
      <c r="J7252" s="68"/>
    </row>
    <row r="7253" spans="8:10">
      <c r="H7253"/>
      <c r="I7253"/>
      <c r="J7253" s="68"/>
    </row>
    <row r="7254" spans="8:10">
      <c r="H7254"/>
      <c r="I7254"/>
      <c r="J7254" s="68"/>
    </row>
    <row r="7255" spans="8:10">
      <c r="H7255"/>
      <c r="I7255"/>
      <c r="J7255" s="68"/>
    </row>
    <row r="7256" spans="8:10">
      <c r="H7256"/>
      <c r="I7256"/>
      <c r="J7256" s="68"/>
    </row>
    <row r="7257" spans="8:10">
      <c r="H7257"/>
      <c r="I7257"/>
      <c r="J7257" s="68"/>
    </row>
    <row r="7258" spans="8:10">
      <c r="H7258"/>
      <c r="I7258"/>
      <c r="J7258" s="68"/>
    </row>
    <row r="7259" spans="8:10">
      <c r="H7259"/>
      <c r="I7259"/>
      <c r="J7259" s="68"/>
    </row>
    <row r="7260" spans="8:10">
      <c r="H7260"/>
      <c r="I7260"/>
      <c r="J7260" s="68"/>
    </row>
    <row r="7261" spans="8:10">
      <c r="H7261"/>
      <c r="I7261"/>
      <c r="J7261" s="68"/>
    </row>
    <row r="7262" spans="8:10">
      <c r="H7262"/>
      <c r="I7262"/>
      <c r="J7262" s="68"/>
    </row>
    <row r="7263" spans="8:10">
      <c r="H7263"/>
      <c r="I7263"/>
      <c r="J7263" s="68"/>
    </row>
    <row r="7264" spans="8:10">
      <c r="H7264"/>
      <c r="I7264"/>
      <c r="J7264" s="68"/>
    </row>
    <row r="7265" spans="8:10">
      <c r="H7265"/>
      <c r="I7265"/>
      <c r="J7265" s="68"/>
    </row>
    <row r="7266" spans="8:10">
      <c r="H7266"/>
      <c r="I7266"/>
      <c r="J7266" s="68"/>
    </row>
    <row r="7267" spans="8:10">
      <c r="H7267"/>
      <c r="I7267"/>
      <c r="J7267" s="68"/>
    </row>
    <row r="7268" spans="8:10">
      <c r="H7268"/>
      <c r="I7268"/>
      <c r="J7268" s="68"/>
    </row>
    <row r="7269" spans="8:10">
      <c r="H7269"/>
      <c r="I7269"/>
      <c r="J7269" s="68"/>
    </row>
    <row r="7270" spans="8:10">
      <c r="H7270"/>
      <c r="I7270"/>
      <c r="J7270" s="68"/>
    </row>
    <row r="7271" spans="8:10">
      <c r="H7271"/>
      <c r="I7271"/>
      <c r="J7271" s="68"/>
    </row>
    <row r="7272" spans="8:10">
      <c r="H7272"/>
      <c r="I7272"/>
      <c r="J7272" s="68"/>
    </row>
    <row r="7273" spans="8:10">
      <c r="H7273"/>
      <c r="I7273"/>
      <c r="J7273" s="68"/>
    </row>
    <row r="7274" spans="8:10">
      <c r="H7274"/>
      <c r="I7274"/>
      <c r="J7274" s="68"/>
    </row>
    <row r="7275" spans="8:10">
      <c r="H7275"/>
      <c r="I7275"/>
      <c r="J7275" s="68"/>
    </row>
    <row r="7276" spans="8:10">
      <c r="H7276"/>
      <c r="I7276"/>
      <c r="J7276" s="68"/>
    </row>
    <row r="7277" spans="8:10">
      <c r="H7277"/>
      <c r="I7277"/>
      <c r="J7277" s="68"/>
    </row>
    <row r="7278" spans="8:10">
      <c r="H7278"/>
      <c r="I7278"/>
      <c r="J7278" s="68"/>
    </row>
    <row r="7279" spans="8:10">
      <c r="H7279"/>
      <c r="I7279"/>
      <c r="J7279" s="68"/>
    </row>
    <row r="7280" spans="8:10">
      <c r="H7280"/>
      <c r="I7280"/>
      <c r="J7280" s="68"/>
    </row>
    <row r="7281" spans="8:10">
      <c r="H7281"/>
      <c r="I7281"/>
      <c r="J7281" s="68"/>
    </row>
    <row r="7282" spans="8:10">
      <c r="H7282"/>
      <c r="I7282"/>
      <c r="J7282" s="68"/>
    </row>
    <row r="7283" spans="8:10">
      <c r="H7283"/>
      <c r="I7283"/>
      <c r="J7283" s="68"/>
    </row>
    <row r="7284" spans="8:10">
      <c r="H7284"/>
      <c r="I7284"/>
      <c r="J7284" s="68"/>
    </row>
    <row r="7285" spans="8:10">
      <c r="H7285"/>
      <c r="I7285"/>
      <c r="J7285" s="68"/>
    </row>
    <row r="7286" spans="8:10">
      <c r="H7286"/>
      <c r="I7286"/>
      <c r="J7286" s="68"/>
    </row>
    <row r="7287" spans="8:10">
      <c r="H7287"/>
      <c r="I7287"/>
      <c r="J7287" s="68"/>
    </row>
    <row r="7288" spans="8:10">
      <c r="H7288"/>
      <c r="I7288"/>
      <c r="J7288" s="68"/>
    </row>
    <row r="7289" spans="8:10">
      <c r="H7289"/>
      <c r="I7289"/>
      <c r="J7289" s="68"/>
    </row>
    <row r="7290" spans="8:10">
      <c r="H7290"/>
      <c r="I7290"/>
      <c r="J7290" s="68"/>
    </row>
    <row r="7291" spans="8:10">
      <c r="H7291"/>
      <c r="I7291"/>
      <c r="J7291" s="68"/>
    </row>
    <row r="7292" spans="8:10">
      <c r="H7292"/>
      <c r="I7292"/>
      <c r="J7292" s="68"/>
    </row>
    <row r="7293" spans="8:10">
      <c r="H7293"/>
      <c r="I7293"/>
      <c r="J7293" s="68"/>
    </row>
    <row r="7294" spans="8:10">
      <c r="H7294"/>
      <c r="I7294"/>
      <c r="J7294" s="68"/>
    </row>
    <row r="7295" spans="8:10">
      <c r="H7295"/>
      <c r="I7295"/>
      <c r="J7295" s="68"/>
    </row>
    <row r="7296" spans="8:10">
      <c r="H7296"/>
      <c r="I7296"/>
      <c r="J7296" s="68"/>
    </row>
    <row r="7297" spans="8:10">
      <c r="H7297"/>
      <c r="I7297"/>
      <c r="J7297" s="68"/>
    </row>
    <row r="7298" spans="8:10">
      <c r="H7298"/>
      <c r="I7298"/>
      <c r="J7298" s="68"/>
    </row>
    <row r="7299" spans="8:10">
      <c r="H7299"/>
      <c r="I7299"/>
      <c r="J7299" s="68"/>
    </row>
    <row r="7300" spans="8:10">
      <c r="H7300"/>
      <c r="I7300"/>
      <c r="J7300" s="68"/>
    </row>
    <row r="7301" spans="8:10">
      <c r="H7301"/>
      <c r="I7301"/>
      <c r="J7301" s="68"/>
    </row>
    <row r="7302" spans="8:10">
      <c r="H7302"/>
      <c r="I7302"/>
      <c r="J7302" s="68"/>
    </row>
    <row r="7303" spans="8:10">
      <c r="H7303"/>
      <c r="I7303"/>
      <c r="J7303" s="68"/>
    </row>
    <row r="7304" spans="8:10">
      <c r="H7304"/>
      <c r="I7304"/>
      <c r="J7304" s="68"/>
    </row>
    <row r="7305" spans="8:10">
      <c r="H7305"/>
      <c r="I7305"/>
      <c r="J7305" s="68"/>
    </row>
    <row r="7306" spans="8:10">
      <c r="H7306"/>
      <c r="I7306"/>
      <c r="J7306" s="68"/>
    </row>
    <row r="7307" spans="8:10">
      <c r="H7307"/>
      <c r="I7307"/>
      <c r="J7307" s="68"/>
    </row>
    <row r="7308" spans="8:10">
      <c r="H7308"/>
      <c r="I7308"/>
      <c r="J7308" s="68"/>
    </row>
    <row r="7309" spans="8:10">
      <c r="H7309"/>
      <c r="I7309"/>
      <c r="J7309" s="68"/>
    </row>
    <row r="7310" spans="8:10">
      <c r="H7310"/>
      <c r="I7310"/>
      <c r="J7310" s="68"/>
    </row>
    <row r="7311" spans="8:10">
      <c r="H7311"/>
      <c r="I7311"/>
      <c r="J7311" s="68"/>
    </row>
    <row r="7312" spans="8:10">
      <c r="H7312"/>
      <c r="I7312"/>
      <c r="J7312" s="68"/>
    </row>
    <row r="7313" spans="8:10">
      <c r="H7313"/>
      <c r="I7313"/>
      <c r="J7313" s="68"/>
    </row>
    <row r="7314" spans="8:10">
      <c r="H7314"/>
      <c r="I7314"/>
      <c r="J7314" s="68"/>
    </row>
    <row r="7315" spans="8:10">
      <c r="H7315"/>
      <c r="I7315"/>
      <c r="J7315" s="68"/>
    </row>
    <row r="7316" spans="8:10">
      <c r="H7316"/>
      <c r="I7316"/>
      <c r="J7316" s="68"/>
    </row>
    <row r="7317" spans="8:10">
      <c r="H7317"/>
      <c r="I7317"/>
      <c r="J7317" s="68"/>
    </row>
    <row r="7318" spans="8:10">
      <c r="H7318"/>
      <c r="I7318"/>
      <c r="J7318" s="68"/>
    </row>
    <row r="7319" spans="8:10">
      <c r="H7319"/>
      <c r="I7319"/>
      <c r="J7319" s="68"/>
    </row>
    <row r="7320" spans="8:10">
      <c r="H7320"/>
      <c r="I7320"/>
      <c r="J7320" s="68"/>
    </row>
    <row r="7321" spans="8:10">
      <c r="H7321"/>
      <c r="I7321"/>
      <c r="J7321" s="68"/>
    </row>
    <row r="7322" spans="8:10">
      <c r="H7322"/>
      <c r="I7322"/>
      <c r="J7322" s="68"/>
    </row>
    <row r="7323" spans="8:10">
      <c r="H7323"/>
      <c r="I7323"/>
      <c r="J7323" s="68"/>
    </row>
    <row r="7324" spans="8:10">
      <c r="H7324"/>
      <c r="I7324"/>
      <c r="J7324" s="68"/>
    </row>
    <row r="7325" spans="8:10">
      <c r="H7325"/>
      <c r="I7325"/>
      <c r="J7325" s="68"/>
    </row>
    <row r="7326" spans="8:10">
      <c r="H7326"/>
      <c r="I7326"/>
      <c r="J7326" s="68"/>
    </row>
    <row r="7327" spans="8:10">
      <c r="H7327"/>
      <c r="I7327"/>
      <c r="J7327" s="68"/>
    </row>
    <row r="7328" spans="8:10">
      <c r="H7328"/>
      <c r="I7328"/>
      <c r="J7328" s="68"/>
    </row>
    <row r="7329" spans="8:10">
      <c r="H7329"/>
      <c r="I7329"/>
      <c r="J7329" s="68"/>
    </row>
    <row r="7330" spans="8:10">
      <c r="H7330"/>
      <c r="I7330"/>
      <c r="J7330" s="68"/>
    </row>
    <row r="7331" spans="8:10">
      <c r="H7331"/>
      <c r="I7331"/>
      <c r="J7331" s="68"/>
    </row>
    <row r="7332" spans="8:10">
      <c r="H7332"/>
      <c r="I7332"/>
      <c r="J7332" s="68"/>
    </row>
    <row r="7333" spans="8:10">
      <c r="H7333"/>
      <c r="I7333"/>
      <c r="J7333" s="68"/>
    </row>
    <row r="7334" spans="8:10">
      <c r="H7334"/>
      <c r="I7334"/>
      <c r="J7334" s="68"/>
    </row>
    <row r="7335" spans="8:10">
      <c r="H7335"/>
      <c r="I7335"/>
      <c r="J7335" s="68"/>
    </row>
    <row r="7336" spans="8:10">
      <c r="H7336"/>
      <c r="I7336"/>
      <c r="J7336" s="68"/>
    </row>
    <row r="7337" spans="8:10">
      <c r="H7337"/>
      <c r="I7337"/>
      <c r="J7337" s="68"/>
    </row>
    <row r="7338" spans="8:10">
      <c r="H7338"/>
      <c r="I7338"/>
      <c r="J7338" s="68"/>
    </row>
    <row r="7339" spans="8:10">
      <c r="H7339"/>
      <c r="I7339"/>
      <c r="J7339" s="68"/>
    </row>
    <row r="7340" spans="8:10">
      <c r="H7340"/>
      <c r="I7340"/>
      <c r="J7340" s="68"/>
    </row>
    <row r="7341" spans="8:10">
      <c r="H7341"/>
      <c r="I7341"/>
      <c r="J7341" s="68"/>
    </row>
    <row r="7342" spans="8:10">
      <c r="H7342"/>
      <c r="I7342"/>
      <c r="J7342" s="68"/>
    </row>
    <row r="7343" spans="8:10">
      <c r="H7343"/>
      <c r="I7343"/>
      <c r="J7343" s="68"/>
    </row>
    <row r="7344" spans="8:10">
      <c r="H7344"/>
      <c r="I7344"/>
      <c r="J7344" s="68"/>
    </row>
    <row r="7345" spans="8:10">
      <c r="H7345"/>
      <c r="I7345"/>
      <c r="J7345" s="68"/>
    </row>
    <row r="7346" spans="8:10">
      <c r="H7346"/>
      <c r="I7346"/>
      <c r="J7346" s="68"/>
    </row>
    <row r="7347" spans="8:10">
      <c r="H7347"/>
      <c r="I7347"/>
      <c r="J7347" s="68"/>
    </row>
    <row r="7348" spans="8:10">
      <c r="H7348"/>
      <c r="I7348"/>
      <c r="J7348" s="68"/>
    </row>
    <row r="7349" spans="8:10">
      <c r="H7349"/>
      <c r="I7349"/>
      <c r="J7349" s="68"/>
    </row>
    <row r="7350" spans="8:10">
      <c r="H7350"/>
      <c r="I7350"/>
      <c r="J7350" s="68"/>
    </row>
    <row r="7351" spans="8:10">
      <c r="H7351"/>
      <c r="I7351"/>
      <c r="J7351" s="68"/>
    </row>
    <row r="7352" spans="8:10">
      <c r="H7352"/>
      <c r="I7352"/>
      <c r="J7352" s="68"/>
    </row>
    <row r="7353" spans="8:10">
      <c r="H7353"/>
      <c r="I7353"/>
      <c r="J7353" s="68"/>
    </row>
    <row r="7354" spans="8:10">
      <c r="H7354"/>
      <c r="I7354"/>
      <c r="J7354" s="68"/>
    </row>
    <row r="7355" spans="8:10">
      <c r="H7355"/>
      <c r="I7355"/>
      <c r="J7355" s="68"/>
    </row>
    <row r="7356" spans="8:10">
      <c r="H7356"/>
      <c r="I7356"/>
      <c r="J7356" s="68"/>
    </row>
    <row r="7357" spans="8:10">
      <c r="H7357"/>
      <c r="I7357"/>
      <c r="J7357" s="68"/>
    </row>
    <row r="7358" spans="8:10">
      <c r="H7358"/>
      <c r="I7358"/>
      <c r="J7358" s="68"/>
    </row>
    <row r="7359" spans="8:10">
      <c r="H7359"/>
      <c r="I7359"/>
      <c r="J7359" s="68"/>
    </row>
    <row r="7360" spans="8:10">
      <c r="H7360"/>
      <c r="I7360"/>
      <c r="J7360" s="68"/>
    </row>
    <row r="7361" spans="8:10">
      <c r="H7361"/>
      <c r="I7361"/>
      <c r="J7361" s="68"/>
    </row>
    <row r="7362" spans="8:10">
      <c r="H7362"/>
      <c r="I7362"/>
      <c r="J7362" s="68"/>
    </row>
    <row r="7363" spans="8:10">
      <c r="H7363"/>
      <c r="I7363"/>
      <c r="J7363" s="68"/>
    </row>
    <row r="7364" spans="8:10">
      <c r="H7364"/>
      <c r="I7364"/>
      <c r="J7364" s="68"/>
    </row>
    <row r="7365" spans="8:10">
      <c r="H7365"/>
      <c r="I7365"/>
      <c r="J7365" s="68"/>
    </row>
    <row r="7366" spans="8:10">
      <c r="H7366"/>
      <c r="I7366"/>
      <c r="J7366" s="68"/>
    </row>
    <row r="7367" spans="8:10">
      <c r="H7367"/>
      <c r="I7367"/>
      <c r="J7367" s="68"/>
    </row>
    <row r="7368" spans="8:10">
      <c r="H7368"/>
      <c r="I7368"/>
      <c r="J7368" s="68"/>
    </row>
    <row r="7369" spans="8:10">
      <c r="H7369"/>
      <c r="I7369"/>
      <c r="J7369" s="68"/>
    </row>
    <row r="7370" spans="8:10">
      <c r="H7370"/>
      <c r="I7370"/>
      <c r="J7370" s="68"/>
    </row>
    <row r="7371" spans="8:10">
      <c r="H7371"/>
      <c r="I7371"/>
      <c r="J7371" s="68"/>
    </row>
    <row r="7372" spans="8:10">
      <c r="H7372"/>
      <c r="I7372"/>
      <c r="J7372" s="68"/>
    </row>
    <row r="7373" spans="8:10">
      <c r="H7373"/>
      <c r="I7373"/>
      <c r="J7373" s="68"/>
    </row>
    <row r="7374" spans="8:10">
      <c r="H7374"/>
      <c r="I7374"/>
      <c r="J7374" s="68"/>
    </row>
    <row r="7375" spans="8:10">
      <c r="H7375"/>
      <c r="I7375"/>
      <c r="J7375" s="68"/>
    </row>
    <row r="7376" spans="8:10">
      <c r="H7376"/>
      <c r="I7376"/>
      <c r="J7376" s="68"/>
    </row>
    <row r="7377" spans="8:10">
      <c r="H7377"/>
      <c r="I7377"/>
      <c r="J7377" s="68"/>
    </row>
    <row r="7378" spans="8:10">
      <c r="H7378"/>
      <c r="I7378"/>
      <c r="J7378" s="68"/>
    </row>
    <row r="7379" spans="8:10">
      <c r="H7379"/>
      <c r="I7379"/>
      <c r="J7379" s="68"/>
    </row>
    <row r="7380" spans="8:10">
      <c r="H7380"/>
      <c r="I7380"/>
      <c r="J7380" s="68"/>
    </row>
    <row r="7381" spans="8:10">
      <c r="H7381"/>
      <c r="I7381"/>
      <c r="J7381" s="68"/>
    </row>
    <row r="7382" spans="8:10">
      <c r="H7382"/>
      <c r="I7382"/>
      <c r="J7382" s="68"/>
    </row>
    <row r="7383" spans="8:10">
      <c r="H7383"/>
      <c r="I7383"/>
      <c r="J7383" s="68"/>
    </row>
    <row r="7384" spans="8:10">
      <c r="H7384"/>
      <c r="I7384"/>
      <c r="J7384" s="68"/>
    </row>
    <row r="7385" spans="8:10">
      <c r="H7385"/>
      <c r="I7385"/>
      <c r="J7385" s="68"/>
    </row>
    <row r="7386" spans="8:10">
      <c r="H7386"/>
      <c r="I7386"/>
      <c r="J7386" s="68"/>
    </row>
    <row r="7387" spans="8:10">
      <c r="H7387"/>
      <c r="I7387"/>
      <c r="J7387" s="68"/>
    </row>
    <row r="7388" spans="8:10">
      <c r="H7388"/>
      <c r="I7388"/>
      <c r="J7388" s="68"/>
    </row>
    <row r="7389" spans="8:10">
      <c r="H7389"/>
      <c r="I7389"/>
      <c r="J7389" s="68"/>
    </row>
    <row r="7390" spans="8:10">
      <c r="H7390"/>
      <c r="I7390"/>
      <c r="J7390" s="68"/>
    </row>
    <row r="7391" spans="8:10">
      <c r="H7391"/>
      <c r="I7391"/>
      <c r="J7391" s="68"/>
    </row>
    <row r="7392" spans="8:10">
      <c r="H7392"/>
      <c r="I7392"/>
      <c r="J7392" s="68"/>
    </row>
    <row r="7393" spans="8:10">
      <c r="H7393"/>
      <c r="I7393"/>
      <c r="J7393" s="68"/>
    </row>
    <row r="7394" spans="8:10">
      <c r="H7394"/>
      <c r="I7394"/>
      <c r="J7394" s="68"/>
    </row>
    <row r="7395" spans="8:10">
      <c r="H7395"/>
      <c r="I7395"/>
      <c r="J7395" s="68"/>
    </row>
    <row r="7396" spans="8:10">
      <c r="H7396"/>
      <c r="I7396"/>
      <c r="J7396" s="68"/>
    </row>
    <row r="7397" spans="8:10">
      <c r="H7397"/>
      <c r="I7397"/>
      <c r="J7397" s="68"/>
    </row>
    <row r="7398" spans="8:10">
      <c r="H7398"/>
      <c r="I7398"/>
      <c r="J7398" s="68"/>
    </row>
    <row r="7399" spans="8:10">
      <c r="H7399"/>
      <c r="I7399"/>
      <c r="J7399" s="68"/>
    </row>
    <row r="7400" spans="8:10">
      <c r="H7400"/>
      <c r="I7400"/>
      <c r="J7400" s="68"/>
    </row>
    <row r="7401" spans="8:10">
      <c r="H7401"/>
      <c r="I7401"/>
      <c r="J7401" s="68"/>
    </row>
    <row r="7402" spans="8:10">
      <c r="H7402"/>
      <c r="I7402"/>
      <c r="J7402" s="68"/>
    </row>
    <row r="7403" spans="8:10">
      <c r="H7403"/>
      <c r="I7403"/>
      <c r="J7403" s="68"/>
    </row>
    <row r="7404" spans="8:10">
      <c r="H7404"/>
      <c r="I7404"/>
      <c r="J7404" s="68"/>
    </row>
    <row r="7405" spans="8:10">
      <c r="H7405"/>
      <c r="I7405"/>
      <c r="J7405" s="68"/>
    </row>
    <row r="7406" spans="8:10">
      <c r="H7406"/>
      <c r="I7406"/>
      <c r="J7406" s="68"/>
    </row>
    <row r="7407" spans="8:10">
      <c r="H7407"/>
      <c r="I7407"/>
      <c r="J7407" s="68"/>
    </row>
    <row r="7408" spans="8:10">
      <c r="H7408"/>
      <c r="I7408"/>
      <c r="J7408" s="68"/>
    </row>
    <row r="7409" spans="8:10">
      <c r="H7409"/>
      <c r="I7409"/>
      <c r="J7409" s="68"/>
    </row>
    <row r="7410" spans="8:10">
      <c r="H7410"/>
      <c r="I7410"/>
      <c r="J7410" s="68"/>
    </row>
    <row r="7411" spans="8:10">
      <c r="H7411"/>
      <c r="I7411"/>
      <c r="J7411" s="68"/>
    </row>
    <row r="7412" spans="8:10">
      <c r="H7412"/>
      <c r="I7412"/>
      <c r="J7412" s="68"/>
    </row>
    <row r="7413" spans="8:10">
      <c r="H7413"/>
      <c r="I7413"/>
      <c r="J7413" s="68"/>
    </row>
    <row r="7414" spans="8:10">
      <c r="H7414"/>
      <c r="I7414"/>
      <c r="J7414" s="68"/>
    </row>
    <row r="7415" spans="8:10">
      <c r="H7415"/>
      <c r="I7415"/>
      <c r="J7415" s="68"/>
    </row>
    <row r="7416" spans="8:10">
      <c r="H7416"/>
      <c r="I7416"/>
      <c r="J7416" s="68"/>
    </row>
    <row r="7417" spans="8:10">
      <c r="H7417"/>
      <c r="I7417"/>
      <c r="J7417" s="68"/>
    </row>
    <row r="7418" spans="8:10">
      <c r="H7418"/>
      <c r="I7418"/>
      <c r="J7418" s="68"/>
    </row>
    <row r="7419" spans="8:10">
      <c r="H7419"/>
      <c r="I7419"/>
      <c r="J7419" s="68"/>
    </row>
    <row r="7420" spans="8:10">
      <c r="H7420"/>
      <c r="I7420"/>
      <c r="J7420" s="68"/>
    </row>
    <row r="7421" spans="8:10">
      <c r="H7421"/>
      <c r="I7421"/>
      <c r="J7421" s="68"/>
    </row>
    <row r="7422" spans="8:10">
      <c r="H7422"/>
      <c r="I7422"/>
      <c r="J7422" s="68"/>
    </row>
    <row r="7423" spans="8:10">
      <c r="H7423"/>
      <c r="I7423"/>
      <c r="J7423" s="68"/>
    </row>
    <row r="7424" spans="8:10">
      <c r="H7424"/>
      <c r="I7424"/>
      <c r="J7424" s="68"/>
    </row>
    <row r="7425" spans="8:10">
      <c r="H7425"/>
      <c r="I7425"/>
      <c r="J7425" s="68"/>
    </row>
    <row r="7426" spans="8:10">
      <c r="H7426"/>
      <c r="I7426"/>
      <c r="J7426" s="68"/>
    </row>
    <row r="7427" spans="8:10">
      <c r="H7427"/>
      <c r="I7427"/>
      <c r="J7427" s="68"/>
    </row>
    <row r="7428" spans="8:10">
      <c r="H7428"/>
      <c r="I7428"/>
      <c r="J7428" s="68"/>
    </row>
    <row r="7429" spans="8:10">
      <c r="H7429"/>
      <c r="I7429"/>
      <c r="J7429" s="68"/>
    </row>
    <row r="7430" spans="8:10">
      <c r="H7430"/>
      <c r="I7430"/>
      <c r="J7430" s="68"/>
    </row>
    <row r="7431" spans="8:10">
      <c r="H7431"/>
      <c r="I7431"/>
      <c r="J7431" s="68"/>
    </row>
    <row r="7432" spans="8:10">
      <c r="H7432"/>
      <c r="I7432"/>
      <c r="J7432" s="68"/>
    </row>
    <row r="7433" spans="8:10">
      <c r="H7433"/>
      <c r="I7433"/>
      <c r="J7433" s="68"/>
    </row>
    <row r="7434" spans="8:10">
      <c r="H7434"/>
      <c r="I7434"/>
      <c r="J7434" s="68"/>
    </row>
    <row r="7435" spans="8:10">
      <c r="H7435"/>
      <c r="I7435"/>
      <c r="J7435" s="68"/>
    </row>
    <row r="7436" spans="8:10">
      <c r="H7436"/>
      <c r="I7436"/>
      <c r="J7436" s="68"/>
    </row>
    <row r="7437" spans="8:10">
      <c r="H7437"/>
      <c r="I7437"/>
      <c r="J7437" s="68"/>
    </row>
    <row r="7438" spans="8:10">
      <c r="H7438"/>
      <c r="I7438"/>
      <c r="J7438" s="68"/>
    </row>
    <row r="7439" spans="8:10">
      <c r="H7439"/>
      <c r="I7439"/>
      <c r="J7439" s="68"/>
    </row>
    <row r="7440" spans="8:10">
      <c r="H7440"/>
      <c r="I7440"/>
      <c r="J7440" s="68"/>
    </row>
    <row r="7441" spans="8:10">
      <c r="H7441"/>
      <c r="I7441"/>
      <c r="J7441" s="68"/>
    </row>
    <row r="7442" spans="8:10">
      <c r="H7442"/>
      <c r="I7442"/>
      <c r="J7442" s="68"/>
    </row>
    <row r="7443" spans="8:10">
      <c r="H7443"/>
      <c r="I7443"/>
      <c r="J7443" s="68"/>
    </row>
    <row r="7444" spans="8:10">
      <c r="H7444"/>
      <c r="I7444"/>
      <c r="J7444" s="68"/>
    </row>
    <row r="7445" spans="8:10">
      <c r="H7445"/>
      <c r="I7445"/>
      <c r="J7445" s="68"/>
    </row>
    <row r="7446" spans="8:10">
      <c r="H7446"/>
      <c r="I7446"/>
      <c r="J7446" s="68"/>
    </row>
    <row r="7447" spans="8:10">
      <c r="H7447"/>
      <c r="I7447"/>
      <c r="J7447" s="68"/>
    </row>
    <row r="7448" spans="8:10">
      <c r="H7448"/>
      <c r="I7448"/>
      <c r="J7448" s="68"/>
    </row>
    <row r="7449" spans="8:10">
      <c r="H7449"/>
      <c r="I7449"/>
      <c r="J7449" s="68"/>
    </row>
    <row r="7450" spans="8:10">
      <c r="H7450"/>
      <c r="I7450"/>
      <c r="J7450" s="68"/>
    </row>
    <row r="7451" spans="8:10">
      <c r="H7451"/>
      <c r="I7451"/>
      <c r="J7451" s="68"/>
    </row>
    <row r="7452" spans="8:10">
      <c r="H7452"/>
      <c r="I7452"/>
      <c r="J7452" s="68"/>
    </row>
    <row r="7453" spans="8:10">
      <c r="H7453"/>
      <c r="I7453"/>
      <c r="J7453" s="68"/>
    </row>
    <row r="7454" spans="8:10">
      <c r="H7454"/>
      <c r="I7454"/>
      <c r="J7454" s="68"/>
    </row>
    <row r="7455" spans="8:10">
      <c r="H7455"/>
      <c r="I7455"/>
      <c r="J7455" s="68"/>
    </row>
    <row r="7456" spans="8:10">
      <c r="H7456"/>
      <c r="I7456"/>
      <c r="J7456" s="68"/>
    </row>
    <row r="7457" spans="8:10">
      <c r="H7457"/>
      <c r="I7457"/>
      <c r="J7457" s="68"/>
    </row>
    <row r="7458" spans="8:10">
      <c r="H7458"/>
      <c r="I7458"/>
      <c r="J7458" s="68"/>
    </row>
    <row r="7459" spans="8:10">
      <c r="H7459"/>
      <c r="I7459"/>
      <c r="J7459" s="68"/>
    </row>
    <row r="7460" spans="8:10">
      <c r="H7460"/>
      <c r="I7460"/>
      <c r="J7460" s="68"/>
    </row>
    <row r="7461" spans="8:10">
      <c r="H7461"/>
      <c r="I7461"/>
      <c r="J7461" s="68"/>
    </row>
    <row r="7462" spans="8:10">
      <c r="H7462"/>
      <c r="I7462"/>
      <c r="J7462" s="68"/>
    </row>
    <row r="7463" spans="8:10">
      <c r="H7463"/>
      <c r="I7463"/>
      <c r="J7463" s="68"/>
    </row>
    <row r="7464" spans="8:10">
      <c r="H7464"/>
      <c r="I7464"/>
      <c r="J7464" s="68"/>
    </row>
    <row r="7465" spans="8:10">
      <c r="H7465"/>
      <c r="I7465"/>
      <c r="J7465" s="68"/>
    </row>
    <row r="7466" spans="8:10">
      <c r="H7466"/>
      <c r="I7466"/>
      <c r="J7466" s="68"/>
    </row>
    <row r="7467" spans="8:10">
      <c r="H7467"/>
      <c r="I7467"/>
      <c r="J7467" s="68"/>
    </row>
    <row r="7468" spans="8:10">
      <c r="H7468"/>
      <c r="I7468"/>
      <c r="J7468" s="68"/>
    </row>
    <row r="7469" spans="8:10">
      <c r="H7469"/>
      <c r="I7469"/>
      <c r="J7469" s="68"/>
    </row>
    <row r="7470" spans="8:10">
      <c r="H7470"/>
      <c r="I7470"/>
      <c r="J7470" s="68"/>
    </row>
    <row r="7471" spans="8:10">
      <c r="H7471"/>
      <c r="I7471"/>
      <c r="J7471" s="68"/>
    </row>
    <row r="7472" spans="8:10">
      <c r="H7472"/>
      <c r="I7472"/>
      <c r="J7472" s="68"/>
    </row>
    <row r="7473" spans="8:10">
      <c r="H7473"/>
      <c r="I7473"/>
      <c r="J7473" s="68"/>
    </row>
    <row r="7474" spans="8:10">
      <c r="H7474"/>
      <c r="I7474"/>
      <c r="J7474" s="68"/>
    </row>
    <row r="7475" spans="8:10">
      <c r="H7475"/>
      <c r="I7475"/>
      <c r="J7475" s="68"/>
    </row>
    <row r="7476" spans="8:10">
      <c r="H7476"/>
      <c r="I7476"/>
      <c r="J7476" s="68"/>
    </row>
    <row r="7477" spans="8:10">
      <c r="H7477"/>
      <c r="I7477"/>
      <c r="J7477" s="68"/>
    </row>
    <row r="7478" spans="8:10">
      <c r="H7478"/>
      <c r="I7478"/>
      <c r="J7478" s="68"/>
    </row>
    <row r="7479" spans="8:10">
      <c r="H7479"/>
      <c r="I7479"/>
      <c r="J7479" s="68"/>
    </row>
    <row r="7480" spans="8:10">
      <c r="H7480"/>
      <c r="I7480"/>
      <c r="J7480" s="68"/>
    </row>
    <row r="7481" spans="8:10">
      <c r="H7481"/>
      <c r="I7481"/>
      <c r="J7481" s="68"/>
    </row>
    <row r="7482" spans="8:10">
      <c r="H7482"/>
      <c r="I7482"/>
      <c r="J7482" s="68"/>
    </row>
    <row r="7483" spans="8:10">
      <c r="H7483"/>
      <c r="I7483"/>
      <c r="J7483" s="68"/>
    </row>
    <row r="7484" spans="8:10">
      <c r="H7484"/>
      <c r="I7484"/>
      <c r="J7484" s="68"/>
    </row>
    <row r="7485" spans="8:10">
      <c r="H7485"/>
      <c r="I7485"/>
      <c r="J7485" s="68"/>
    </row>
    <row r="7486" spans="8:10">
      <c r="H7486"/>
      <c r="I7486"/>
      <c r="J7486" s="68"/>
    </row>
    <row r="7487" spans="8:10">
      <c r="H7487"/>
      <c r="I7487"/>
      <c r="J7487" s="68"/>
    </row>
    <row r="7488" spans="8:10">
      <c r="H7488"/>
      <c r="I7488"/>
      <c r="J7488" s="68"/>
    </row>
    <row r="7489" spans="8:10">
      <c r="H7489"/>
      <c r="I7489"/>
      <c r="J7489" s="68"/>
    </row>
    <row r="7490" spans="8:10">
      <c r="H7490"/>
      <c r="I7490"/>
      <c r="J7490" s="68"/>
    </row>
    <row r="7491" spans="8:10">
      <c r="H7491"/>
      <c r="I7491"/>
      <c r="J7491" s="68"/>
    </row>
    <row r="7492" spans="8:10">
      <c r="H7492"/>
      <c r="I7492"/>
      <c r="J7492" s="68"/>
    </row>
    <row r="7493" spans="8:10">
      <c r="H7493"/>
      <c r="I7493"/>
      <c r="J7493" s="68"/>
    </row>
    <row r="7494" spans="8:10">
      <c r="H7494"/>
      <c r="I7494"/>
      <c r="J7494" s="68"/>
    </row>
    <row r="7495" spans="8:10">
      <c r="H7495"/>
      <c r="I7495"/>
      <c r="J7495" s="68"/>
    </row>
    <row r="7496" spans="8:10">
      <c r="H7496"/>
      <c r="I7496"/>
      <c r="J7496" s="68"/>
    </row>
    <row r="7497" spans="8:10">
      <c r="H7497"/>
      <c r="I7497"/>
      <c r="J7497" s="68"/>
    </row>
    <row r="7498" spans="8:10">
      <c r="H7498"/>
      <c r="I7498"/>
      <c r="J7498" s="68"/>
    </row>
    <row r="7499" spans="8:10">
      <c r="H7499"/>
      <c r="I7499"/>
      <c r="J7499" s="68"/>
    </row>
    <row r="7500" spans="8:10">
      <c r="H7500"/>
      <c r="I7500"/>
      <c r="J7500" s="68"/>
    </row>
    <row r="7501" spans="8:10">
      <c r="H7501"/>
      <c r="I7501"/>
      <c r="J7501" s="68"/>
    </row>
    <row r="7502" spans="8:10">
      <c r="H7502"/>
      <c r="I7502"/>
      <c r="J7502" s="68"/>
    </row>
    <row r="7503" spans="8:10">
      <c r="H7503"/>
      <c r="I7503"/>
      <c r="J7503" s="68"/>
    </row>
    <row r="7504" spans="8:10">
      <c r="H7504"/>
      <c r="I7504"/>
      <c r="J7504" s="68"/>
    </row>
    <row r="7505" spans="8:10">
      <c r="H7505"/>
      <c r="I7505"/>
      <c r="J7505" s="68"/>
    </row>
    <row r="7506" spans="8:10">
      <c r="H7506"/>
      <c r="I7506"/>
      <c r="J7506" s="68"/>
    </row>
    <row r="7507" spans="8:10">
      <c r="H7507"/>
      <c r="I7507"/>
      <c r="J7507" s="68"/>
    </row>
    <row r="7508" spans="8:10">
      <c r="H7508"/>
      <c r="I7508"/>
      <c r="J7508" s="68"/>
    </row>
    <row r="7509" spans="8:10">
      <c r="H7509"/>
      <c r="I7509"/>
      <c r="J7509" s="68"/>
    </row>
    <row r="7510" spans="8:10">
      <c r="H7510"/>
      <c r="I7510"/>
      <c r="J7510" s="68"/>
    </row>
    <row r="7511" spans="8:10">
      <c r="H7511"/>
      <c r="I7511"/>
      <c r="J7511" s="68"/>
    </row>
    <row r="7512" spans="8:10">
      <c r="H7512"/>
      <c r="I7512"/>
      <c r="J7512" s="68"/>
    </row>
    <row r="7513" spans="8:10">
      <c r="H7513"/>
      <c r="I7513"/>
      <c r="J7513" s="68"/>
    </row>
    <row r="7514" spans="8:10">
      <c r="H7514"/>
      <c r="I7514"/>
      <c r="J7514" s="68"/>
    </row>
    <row r="7515" spans="8:10">
      <c r="H7515"/>
      <c r="I7515"/>
      <c r="J7515" s="68"/>
    </row>
    <row r="7516" spans="8:10">
      <c r="H7516"/>
      <c r="I7516"/>
      <c r="J7516" s="68"/>
    </row>
    <row r="7517" spans="8:10">
      <c r="H7517"/>
      <c r="I7517"/>
      <c r="J7517" s="68"/>
    </row>
    <row r="7518" spans="8:10">
      <c r="H7518"/>
      <c r="I7518"/>
      <c r="J7518" s="68"/>
    </row>
    <row r="7519" spans="8:10">
      <c r="H7519"/>
      <c r="I7519"/>
      <c r="J7519" s="68"/>
    </row>
    <row r="7520" spans="8:10">
      <c r="H7520"/>
      <c r="I7520"/>
      <c r="J7520" s="68"/>
    </row>
    <row r="7521" spans="8:10">
      <c r="H7521"/>
      <c r="I7521"/>
      <c r="J7521" s="68"/>
    </row>
    <row r="7522" spans="8:10">
      <c r="H7522"/>
      <c r="I7522"/>
      <c r="J7522" s="68"/>
    </row>
    <row r="7523" spans="8:10">
      <c r="H7523"/>
      <c r="I7523"/>
      <c r="J7523" s="68"/>
    </row>
    <row r="7524" spans="8:10">
      <c r="H7524"/>
      <c r="I7524"/>
      <c r="J7524" s="68"/>
    </row>
    <row r="7525" spans="8:10">
      <c r="H7525"/>
      <c r="I7525"/>
      <c r="J7525" s="68"/>
    </row>
    <row r="7526" spans="8:10">
      <c r="H7526"/>
      <c r="I7526"/>
      <c r="J7526" s="68"/>
    </row>
    <row r="7527" spans="8:10">
      <c r="H7527"/>
      <c r="I7527"/>
      <c r="J7527" s="68"/>
    </row>
    <row r="7528" spans="8:10">
      <c r="H7528"/>
      <c r="I7528"/>
      <c r="J7528" s="68"/>
    </row>
    <row r="7529" spans="8:10">
      <c r="H7529"/>
      <c r="I7529"/>
      <c r="J7529" s="68"/>
    </row>
    <row r="7530" spans="8:10">
      <c r="H7530"/>
      <c r="I7530"/>
      <c r="J7530" s="68"/>
    </row>
    <row r="7531" spans="8:10">
      <c r="H7531"/>
      <c r="I7531"/>
      <c r="J7531" s="68"/>
    </row>
    <row r="7532" spans="8:10">
      <c r="H7532"/>
      <c r="I7532"/>
      <c r="J7532" s="68"/>
    </row>
    <row r="7533" spans="8:10">
      <c r="H7533"/>
      <c r="I7533"/>
      <c r="J7533" s="68"/>
    </row>
    <row r="7534" spans="8:10">
      <c r="H7534"/>
      <c r="I7534"/>
      <c r="J7534" s="68"/>
    </row>
    <row r="7535" spans="8:10">
      <c r="H7535"/>
      <c r="I7535"/>
      <c r="J7535" s="68"/>
    </row>
    <row r="7536" spans="8:10">
      <c r="H7536"/>
      <c r="I7536"/>
      <c r="J7536" s="68"/>
    </row>
    <row r="7537" spans="8:10">
      <c r="H7537"/>
      <c r="I7537"/>
      <c r="J7537" s="68"/>
    </row>
    <row r="7538" spans="8:10">
      <c r="H7538"/>
      <c r="I7538"/>
      <c r="J7538" s="68"/>
    </row>
    <row r="7539" spans="8:10">
      <c r="H7539"/>
      <c r="I7539"/>
      <c r="J7539" s="68"/>
    </row>
    <row r="7540" spans="8:10">
      <c r="H7540"/>
      <c r="I7540"/>
      <c r="J7540" s="68"/>
    </row>
    <row r="7541" spans="8:10">
      <c r="H7541"/>
      <c r="I7541"/>
      <c r="J7541" s="68"/>
    </row>
    <row r="7542" spans="8:10">
      <c r="H7542"/>
      <c r="I7542"/>
      <c r="J7542" s="68"/>
    </row>
    <row r="7543" spans="8:10">
      <c r="H7543"/>
      <c r="I7543"/>
      <c r="J7543" s="68"/>
    </row>
    <row r="7544" spans="8:10">
      <c r="H7544"/>
      <c r="I7544"/>
      <c r="J7544" s="68"/>
    </row>
    <row r="7545" spans="8:10">
      <c r="H7545"/>
      <c r="I7545"/>
      <c r="J7545" s="68"/>
    </row>
    <row r="7546" spans="8:10">
      <c r="H7546"/>
      <c r="I7546"/>
      <c r="J7546" s="68"/>
    </row>
    <row r="7547" spans="8:10">
      <c r="H7547"/>
      <c r="I7547"/>
      <c r="J7547" s="68"/>
    </row>
    <row r="7548" spans="8:10">
      <c r="H7548"/>
      <c r="I7548"/>
      <c r="J7548" s="68"/>
    </row>
    <row r="7549" spans="8:10">
      <c r="H7549"/>
      <c r="I7549"/>
      <c r="J7549" s="68"/>
    </row>
    <row r="7550" spans="8:10">
      <c r="H7550"/>
      <c r="I7550"/>
      <c r="J7550" s="68"/>
    </row>
    <row r="7551" spans="8:10">
      <c r="H7551"/>
      <c r="I7551"/>
      <c r="J7551" s="68"/>
    </row>
    <row r="7552" spans="8:10">
      <c r="H7552"/>
      <c r="I7552"/>
      <c r="J7552" s="68"/>
    </row>
    <row r="7553" spans="8:10">
      <c r="H7553"/>
      <c r="I7553"/>
      <c r="J7553" s="68"/>
    </row>
    <row r="7554" spans="8:10">
      <c r="H7554"/>
      <c r="I7554"/>
      <c r="J7554" s="68"/>
    </row>
    <row r="7555" spans="8:10">
      <c r="H7555"/>
      <c r="I7555"/>
      <c r="J7555" s="68"/>
    </row>
    <row r="7556" spans="8:10">
      <c r="H7556"/>
      <c r="I7556"/>
      <c r="J7556" s="68"/>
    </row>
    <row r="7557" spans="8:10">
      <c r="H7557"/>
      <c r="I7557"/>
      <c r="J7557" s="68"/>
    </row>
    <row r="7558" spans="8:10">
      <c r="H7558"/>
      <c r="I7558"/>
      <c r="J7558" s="68"/>
    </row>
    <row r="7559" spans="8:10">
      <c r="H7559"/>
      <c r="I7559"/>
      <c r="J7559" s="68"/>
    </row>
    <row r="7560" spans="8:10">
      <c r="H7560"/>
      <c r="I7560"/>
      <c r="J7560" s="68"/>
    </row>
    <row r="7561" spans="8:10">
      <c r="H7561"/>
      <c r="I7561"/>
      <c r="J7561" s="68"/>
    </row>
    <row r="7562" spans="8:10">
      <c r="H7562"/>
      <c r="I7562"/>
      <c r="J7562" s="68"/>
    </row>
    <row r="7563" spans="8:10">
      <c r="H7563"/>
      <c r="I7563"/>
      <c r="J7563" s="68"/>
    </row>
    <row r="7564" spans="8:10">
      <c r="H7564"/>
      <c r="I7564"/>
      <c r="J7564" s="68"/>
    </row>
    <row r="7565" spans="8:10">
      <c r="H7565"/>
      <c r="I7565"/>
      <c r="J7565" s="68"/>
    </row>
    <row r="7566" spans="8:10">
      <c r="H7566"/>
      <c r="I7566"/>
      <c r="J7566" s="68"/>
    </row>
    <row r="7567" spans="8:10">
      <c r="H7567"/>
      <c r="I7567"/>
      <c r="J7567" s="68"/>
    </row>
    <row r="7568" spans="8:10">
      <c r="H7568"/>
      <c r="I7568"/>
      <c r="J7568" s="68"/>
    </row>
    <row r="7569" spans="8:10">
      <c r="H7569"/>
      <c r="I7569"/>
      <c r="J7569" s="68"/>
    </row>
    <row r="7570" spans="8:10">
      <c r="H7570"/>
      <c r="I7570"/>
      <c r="J7570" s="68"/>
    </row>
    <row r="7571" spans="8:10">
      <c r="H7571"/>
      <c r="I7571"/>
      <c r="J7571" s="68"/>
    </row>
    <row r="7572" spans="8:10">
      <c r="H7572"/>
      <c r="I7572"/>
      <c r="J7572" s="68"/>
    </row>
    <row r="7573" spans="8:10">
      <c r="H7573"/>
      <c r="I7573"/>
      <c r="J7573" s="68"/>
    </row>
    <row r="7574" spans="8:10">
      <c r="H7574"/>
      <c r="I7574"/>
      <c r="J7574" s="68"/>
    </row>
    <row r="7575" spans="8:10">
      <c r="H7575"/>
      <c r="I7575"/>
      <c r="J7575" s="68"/>
    </row>
    <row r="7576" spans="8:10">
      <c r="H7576"/>
      <c r="I7576"/>
      <c r="J7576" s="68"/>
    </row>
    <row r="7577" spans="8:10">
      <c r="H7577"/>
      <c r="I7577"/>
      <c r="J7577" s="68"/>
    </row>
    <row r="7578" spans="8:10">
      <c r="H7578"/>
      <c r="I7578"/>
      <c r="J7578" s="68"/>
    </row>
    <row r="7579" spans="8:10">
      <c r="H7579"/>
      <c r="I7579"/>
      <c r="J7579" s="68"/>
    </row>
    <row r="7580" spans="8:10">
      <c r="H7580"/>
      <c r="I7580"/>
      <c r="J7580" s="68"/>
    </row>
    <row r="7581" spans="8:10">
      <c r="H7581"/>
      <c r="I7581"/>
      <c r="J7581" s="68"/>
    </row>
    <row r="7582" spans="8:10">
      <c r="H7582"/>
      <c r="I7582"/>
      <c r="J7582" s="68"/>
    </row>
    <row r="7583" spans="8:10">
      <c r="H7583"/>
      <c r="I7583"/>
      <c r="J7583" s="68"/>
    </row>
    <row r="7584" spans="8:10">
      <c r="H7584"/>
      <c r="I7584"/>
      <c r="J7584" s="68"/>
    </row>
    <row r="7585" spans="8:10">
      <c r="H7585"/>
      <c r="I7585"/>
      <c r="J7585" s="68"/>
    </row>
    <row r="7586" spans="8:10">
      <c r="H7586"/>
      <c r="I7586"/>
      <c r="J7586" s="68"/>
    </row>
    <row r="7587" spans="8:10">
      <c r="H7587"/>
      <c r="I7587"/>
      <c r="J7587" s="68"/>
    </row>
    <row r="7588" spans="8:10">
      <c r="H7588"/>
      <c r="I7588"/>
      <c r="J7588" s="68"/>
    </row>
    <row r="7589" spans="8:10">
      <c r="H7589"/>
      <c r="I7589"/>
      <c r="J7589" s="68"/>
    </row>
    <row r="7590" spans="8:10">
      <c r="H7590"/>
      <c r="I7590"/>
      <c r="J7590" s="68"/>
    </row>
    <row r="7591" spans="8:10">
      <c r="H7591"/>
      <c r="I7591"/>
      <c r="J7591" s="68"/>
    </row>
    <row r="7592" spans="8:10">
      <c r="H7592"/>
      <c r="I7592"/>
      <c r="J7592" s="68"/>
    </row>
    <row r="7593" spans="8:10">
      <c r="H7593"/>
      <c r="I7593"/>
      <c r="J7593" s="68"/>
    </row>
    <row r="7594" spans="8:10">
      <c r="H7594"/>
      <c r="I7594"/>
      <c r="J7594" s="68"/>
    </row>
    <row r="7595" spans="8:10">
      <c r="H7595"/>
      <c r="I7595"/>
      <c r="J7595" s="68"/>
    </row>
    <row r="7596" spans="8:10">
      <c r="H7596"/>
      <c r="I7596"/>
      <c r="J7596" s="68"/>
    </row>
    <row r="7597" spans="8:10">
      <c r="H7597"/>
      <c r="I7597"/>
      <c r="J7597" s="68"/>
    </row>
    <row r="7598" spans="8:10">
      <c r="H7598"/>
      <c r="I7598"/>
      <c r="J7598" s="68"/>
    </row>
    <row r="7599" spans="8:10">
      <c r="H7599"/>
      <c r="I7599"/>
      <c r="J7599" s="68"/>
    </row>
    <row r="7600" spans="8:10">
      <c r="H7600"/>
      <c r="I7600"/>
      <c r="J7600" s="68"/>
    </row>
    <row r="7601" spans="8:10">
      <c r="H7601"/>
      <c r="I7601"/>
      <c r="J7601" s="68"/>
    </row>
    <row r="7602" spans="8:10">
      <c r="H7602"/>
      <c r="I7602"/>
      <c r="J7602" s="68"/>
    </row>
    <row r="7603" spans="8:10">
      <c r="H7603"/>
      <c r="I7603"/>
      <c r="J7603" s="68"/>
    </row>
    <row r="7604" spans="8:10">
      <c r="H7604"/>
      <c r="I7604"/>
      <c r="J7604" s="68"/>
    </row>
    <row r="7605" spans="8:10">
      <c r="H7605"/>
      <c r="I7605"/>
      <c r="J7605" s="68"/>
    </row>
    <row r="7606" spans="8:10">
      <c r="H7606"/>
      <c r="I7606"/>
      <c r="J7606" s="68"/>
    </row>
    <row r="7607" spans="8:10">
      <c r="H7607"/>
      <c r="I7607"/>
      <c r="J7607" s="68"/>
    </row>
    <row r="7608" spans="8:10">
      <c r="H7608"/>
      <c r="I7608"/>
      <c r="J7608" s="68"/>
    </row>
    <row r="7609" spans="8:10">
      <c r="H7609"/>
      <c r="I7609"/>
      <c r="J7609" s="68"/>
    </row>
    <row r="7610" spans="8:10">
      <c r="H7610"/>
      <c r="I7610"/>
      <c r="J7610" s="68"/>
    </row>
    <row r="7611" spans="8:10">
      <c r="H7611"/>
      <c r="I7611"/>
      <c r="J7611" s="68"/>
    </row>
    <row r="7612" spans="8:10">
      <c r="H7612"/>
      <c r="I7612"/>
      <c r="J7612" s="68"/>
    </row>
    <row r="7613" spans="8:10">
      <c r="H7613"/>
      <c r="I7613"/>
      <c r="J7613" s="68"/>
    </row>
    <row r="7614" spans="8:10">
      <c r="H7614"/>
      <c r="I7614"/>
      <c r="J7614" s="68"/>
    </row>
    <row r="7615" spans="8:10">
      <c r="H7615"/>
      <c r="I7615"/>
      <c r="J7615" s="68"/>
    </row>
    <row r="7616" spans="8:10">
      <c r="H7616"/>
      <c r="I7616"/>
      <c r="J7616" s="68"/>
    </row>
    <row r="7617" spans="8:10">
      <c r="H7617"/>
      <c r="I7617"/>
      <c r="J7617" s="68"/>
    </row>
    <row r="7618" spans="8:10">
      <c r="H7618"/>
      <c r="I7618"/>
      <c r="J7618" s="68"/>
    </row>
    <row r="7619" spans="8:10">
      <c r="H7619"/>
      <c r="I7619"/>
      <c r="J7619" s="68"/>
    </row>
    <row r="7620" spans="8:10">
      <c r="H7620"/>
      <c r="I7620"/>
      <c r="J7620" s="68"/>
    </row>
    <row r="7621" spans="8:10">
      <c r="H7621"/>
      <c r="I7621"/>
      <c r="J7621" s="68"/>
    </row>
    <row r="7622" spans="8:10">
      <c r="H7622"/>
      <c r="I7622"/>
      <c r="J7622" s="68"/>
    </row>
    <row r="7623" spans="8:10">
      <c r="H7623"/>
      <c r="I7623"/>
      <c r="J7623" s="68"/>
    </row>
    <row r="7624" spans="8:10">
      <c r="H7624"/>
      <c r="I7624"/>
      <c r="J7624" s="68"/>
    </row>
    <row r="7625" spans="8:10">
      <c r="H7625"/>
      <c r="I7625"/>
      <c r="J7625" s="68"/>
    </row>
    <row r="7626" spans="8:10">
      <c r="H7626"/>
      <c r="I7626"/>
      <c r="J7626" s="68"/>
    </row>
    <row r="7627" spans="8:10">
      <c r="H7627"/>
      <c r="I7627"/>
      <c r="J7627" s="68"/>
    </row>
    <row r="7628" spans="8:10">
      <c r="H7628"/>
      <c r="I7628"/>
      <c r="J7628" s="68"/>
    </row>
    <row r="7629" spans="8:10">
      <c r="H7629"/>
      <c r="I7629"/>
      <c r="J7629" s="68"/>
    </row>
    <row r="7630" spans="8:10">
      <c r="H7630"/>
      <c r="I7630"/>
      <c r="J7630" s="68"/>
    </row>
    <row r="7631" spans="8:10">
      <c r="H7631"/>
      <c r="I7631"/>
      <c r="J7631" s="68"/>
    </row>
    <row r="7632" spans="8:10">
      <c r="H7632"/>
      <c r="I7632"/>
      <c r="J7632" s="68"/>
    </row>
    <row r="7633" spans="8:10">
      <c r="H7633"/>
      <c r="I7633"/>
      <c r="J7633" s="68"/>
    </row>
    <row r="7634" spans="8:10">
      <c r="H7634"/>
      <c r="I7634"/>
      <c r="J7634" s="68"/>
    </row>
    <row r="7635" spans="8:10">
      <c r="H7635"/>
      <c r="I7635"/>
      <c r="J7635" s="68"/>
    </row>
    <row r="7636" spans="8:10">
      <c r="H7636"/>
      <c r="I7636"/>
      <c r="J7636" s="68"/>
    </row>
    <row r="7637" spans="8:10">
      <c r="H7637"/>
      <c r="I7637"/>
      <c r="J7637" s="68"/>
    </row>
    <row r="7638" spans="8:10">
      <c r="H7638"/>
      <c r="I7638"/>
      <c r="J7638" s="68"/>
    </row>
    <row r="7639" spans="8:10">
      <c r="H7639"/>
      <c r="I7639"/>
      <c r="J7639" s="68"/>
    </row>
    <row r="7640" spans="8:10">
      <c r="H7640"/>
      <c r="I7640"/>
      <c r="J7640" s="68"/>
    </row>
    <row r="7641" spans="8:10">
      <c r="H7641"/>
      <c r="I7641"/>
      <c r="J7641" s="68"/>
    </row>
    <row r="7642" spans="8:10">
      <c r="H7642"/>
      <c r="I7642"/>
      <c r="J7642" s="68"/>
    </row>
    <row r="7643" spans="8:10">
      <c r="H7643"/>
      <c r="I7643"/>
      <c r="J7643" s="68"/>
    </row>
    <row r="7644" spans="8:10">
      <c r="H7644"/>
      <c r="I7644"/>
      <c r="J7644" s="68"/>
    </row>
    <row r="7645" spans="8:10">
      <c r="H7645"/>
      <c r="I7645"/>
      <c r="J7645" s="68"/>
    </row>
    <row r="7646" spans="8:10">
      <c r="H7646"/>
      <c r="I7646"/>
      <c r="J7646" s="68"/>
    </row>
    <row r="7647" spans="8:10">
      <c r="H7647"/>
      <c r="I7647"/>
      <c r="J7647" s="68"/>
    </row>
    <row r="7648" spans="8:10">
      <c r="H7648"/>
      <c r="I7648"/>
      <c r="J7648" s="68"/>
    </row>
    <row r="7649" spans="8:10">
      <c r="H7649"/>
      <c r="I7649"/>
      <c r="J7649" s="68"/>
    </row>
    <row r="7650" spans="8:10">
      <c r="H7650"/>
      <c r="I7650"/>
      <c r="J7650" s="68"/>
    </row>
    <row r="7651" spans="8:10">
      <c r="H7651"/>
      <c r="I7651"/>
      <c r="J7651" s="68"/>
    </row>
    <row r="7652" spans="8:10">
      <c r="H7652"/>
      <c r="I7652"/>
      <c r="J7652" s="68"/>
    </row>
    <row r="7653" spans="8:10">
      <c r="H7653"/>
      <c r="I7653"/>
      <c r="J7653" s="68"/>
    </row>
    <row r="7654" spans="8:10">
      <c r="H7654"/>
      <c r="I7654"/>
      <c r="J7654" s="68"/>
    </row>
    <row r="7655" spans="8:10">
      <c r="H7655"/>
      <c r="I7655"/>
      <c r="J7655" s="68"/>
    </row>
    <row r="7656" spans="8:10">
      <c r="H7656"/>
      <c r="I7656"/>
      <c r="J7656" s="68"/>
    </row>
    <row r="7657" spans="8:10">
      <c r="H7657"/>
      <c r="I7657"/>
      <c r="J7657" s="68"/>
    </row>
    <row r="7658" spans="8:10">
      <c r="H7658"/>
      <c r="I7658"/>
      <c r="J7658" s="68"/>
    </row>
    <row r="7659" spans="8:10">
      <c r="H7659"/>
      <c r="I7659"/>
      <c r="J7659" s="68"/>
    </row>
    <row r="7660" spans="8:10">
      <c r="H7660"/>
      <c r="I7660"/>
      <c r="J7660" s="68"/>
    </row>
    <row r="7661" spans="8:10">
      <c r="H7661"/>
      <c r="I7661"/>
      <c r="J7661" s="68"/>
    </row>
    <row r="7662" spans="8:10">
      <c r="H7662"/>
      <c r="I7662"/>
      <c r="J7662" s="68"/>
    </row>
    <row r="7663" spans="8:10">
      <c r="H7663"/>
      <c r="I7663"/>
      <c r="J7663" s="68"/>
    </row>
    <row r="7664" spans="8:10">
      <c r="H7664"/>
      <c r="I7664"/>
      <c r="J7664" s="68"/>
    </row>
    <row r="7665" spans="8:10">
      <c r="H7665"/>
      <c r="I7665"/>
      <c r="J7665" s="68"/>
    </row>
    <row r="7666" spans="8:10">
      <c r="H7666"/>
      <c r="I7666"/>
      <c r="J7666" s="68"/>
    </row>
    <row r="7667" spans="8:10">
      <c r="H7667"/>
      <c r="I7667"/>
      <c r="J7667" s="68"/>
    </row>
    <row r="7668" spans="8:10">
      <c r="H7668"/>
      <c r="I7668"/>
      <c r="J7668" s="68"/>
    </row>
    <row r="7669" spans="8:10">
      <c r="H7669"/>
      <c r="I7669"/>
      <c r="J7669" s="68"/>
    </row>
    <row r="7670" spans="8:10">
      <c r="H7670"/>
      <c r="I7670"/>
      <c r="J7670" s="68"/>
    </row>
    <row r="7671" spans="8:10">
      <c r="H7671"/>
      <c r="I7671"/>
      <c r="J7671" s="68"/>
    </row>
    <row r="7672" spans="8:10">
      <c r="H7672"/>
      <c r="I7672"/>
      <c r="J7672" s="68"/>
    </row>
    <row r="7673" spans="8:10">
      <c r="H7673"/>
      <c r="I7673"/>
      <c r="J7673" s="68"/>
    </row>
    <row r="7674" spans="8:10">
      <c r="H7674"/>
      <c r="I7674"/>
      <c r="J7674" s="68"/>
    </row>
    <row r="7675" spans="8:10">
      <c r="H7675"/>
      <c r="I7675"/>
      <c r="J7675" s="68"/>
    </row>
    <row r="7676" spans="8:10">
      <c r="H7676"/>
      <c r="I7676"/>
      <c r="J7676" s="68"/>
    </row>
    <row r="7677" spans="8:10">
      <c r="H7677"/>
      <c r="I7677"/>
      <c r="J7677" s="68"/>
    </row>
    <row r="7678" spans="8:10">
      <c r="H7678"/>
      <c r="I7678"/>
      <c r="J7678" s="68"/>
    </row>
    <row r="7679" spans="8:10">
      <c r="H7679"/>
      <c r="I7679"/>
      <c r="J7679" s="68"/>
    </row>
    <row r="7680" spans="8:10">
      <c r="H7680"/>
      <c r="I7680"/>
      <c r="J7680" s="68"/>
    </row>
    <row r="7681" spans="8:10">
      <c r="H7681"/>
      <c r="I7681"/>
      <c r="J7681" s="68"/>
    </row>
    <row r="7682" spans="8:10">
      <c r="H7682"/>
      <c r="I7682"/>
      <c r="J7682" s="68"/>
    </row>
    <row r="7683" spans="8:10">
      <c r="H7683"/>
      <c r="I7683"/>
      <c r="J7683" s="68"/>
    </row>
    <row r="7684" spans="8:10">
      <c r="H7684"/>
      <c r="I7684"/>
      <c r="J7684" s="68"/>
    </row>
    <row r="7685" spans="8:10">
      <c r="H7685"/>
      <c r="I7685"/>
      <c r="J7685" s="68"/>
    </row>
    <row r="7686" spans="8:10">
      <c r="H7686"/>
      <c r="I7686"/>
      <c r="J7686" s="68"/>
    </row>
    <row r="7687" spans="8:10">
      <c r="H7687"/>
      <c r="I7687"/>
      <c r="J7687" s="68"/>
    </row>
    <row r="7688" spans="8:10">
      <c r="H7688"/>
      <c r="I7688"/>
      <c r="J7688" s="68"/>
    </row>
    <row r="7689" spans="8:10">
      <c r="H7689"/>
      <c r="I7689"/>
      <c r="J7689" s="68"/>
    </row>
    <row r="7690" spans="8:10">
      <c r="H7690"/>
      <c r="I7690"/>
      <c r="J7690" s="68"/>
    </row>
    <row r="7691" spans="8:10">
      <c r="H7691"/>
      <c r="I7691"/>
      <c r="J7691" s="68"/>
    </row>
    <row r="7692" spans="8:10">
      <c r="H7692"/>
      <c r="I7692"/>
      <c r="J7692" s="68"/>
    </row>
    <row r="7693" spans="8:10">
      <c r="H7693"/>
      <c r="I7693"/>
      <c r="J7693" s="68"/>
    </row>
    <row r="7694" spans="8:10">
      <c r="H7694"/>
      <c r="I7694"/>
      <c r="J7694" s="68"/>
    </row>
    <row r="7695" spans="8:10">
      <c r="H7695"/>
      <c r="I7695"/>
      <c r="J7695" s="68"/>
    </row>
    <row r="7696" spans="8:10">
      <c r="H7696"/>
      <c r="I7696"/>
      <c r="J7696" s="68"/>
    </row>
    <row r="7697" spans="8:10">
      <c r="H7697"/>
      <c r="I7697"/>
      <c r="J7697" s="68"/>
    </row>
    <row r="7698" spans="8:10">
      <c r="H7698"/>
      <c r="I7698"/>
      <c r="J7698" s="68"/>
    </row>
    <row r="7699" spans="8:10">
      <c r="H7699"/>
      <c r="I7699"/>
      <c r="J7699" s="68"/>
    </row>
    <row r="7700" spans="8:10">
      <c r="H7700"/>
      <c r="I7700"/>
      <c r="J7700" s="68"/>
    </row>
    <row r="7701" spans="8:10">
      <c r="H7701"/>
      <c r="I7701"/>
      <c r="J7701" s="68"/>
    </row>
    <row r="7702" spans="8:10">
      <c r="H7702"/>
      <c r="I7702"/>
      <c r="J7702" s="68"/>
    </row>
    <row r="7703" spans="8:10">
      <c r="H7703"/>
      <c r="I7703"/>
      <c r="J7703" s="68"/>
    </row>
    <row r="7704" spans="8:10">
      <c r="H7704"/>
      <c r="I7704"/>
      <c r="J7704" s="68"/>
    </row>
    <row r="7705" spans="8:10">
      <c r="H7705"/>
      <c r="I7705"/>
      <c r="J7705" s="68"/>
    </row>
    <row r="7706" spans="8:10">
      <c r="H7706"/>
      <c r="I7706"/>
      <c r="J7706" s="68"/>
    </row>
    <row r="7707" spans="8:10">
      <c r="H7707"/>
      <c r="I7707"/>
      <c r="J7707" s="68"/>
    </row>
    <row r="7708" spans="8:10">
      <c r="H7708"/>
      <c r="I7708"/>
      <c r="J7708" s="68"/>
    </row>
    <row r="7709" spans="8:10">
      <c r="H7709"/>
      <c r="I7709"/>
      <c r="J7709" s="68"/>
    </row>
    <row r="7710" spans="8:10">
      <c r="H7710"/>
      <c r="I7710"/>
      <c r="J7710" s="68"/>
    </row>
    <row r="7711" spans="8:10">
      <c r="H7711"/>
      <c r="I7711"/>
      <c r="J7711" s="68"/>
    </row>
    <row r="7712" spans="8:10">
      <c r="H7712"/>
      <c r="I7712"/>
      <c r="J7712" s="68"/>
    </row>
    <row r="7713" spans="8:10">
      <c r="H7713"/>
      <c r="I7713"/>
      <c r="J7713" s="68"/>
    </row>
    <row r="7714" spans="8:10">
      <c r="H7714"/>
      <c r="I7714"/>
      <c r="J7714" s="68"/>
    </row>
    <row r="7715" spans="8:10">
      <c r="H7715"/>
      <c r="I7715"/>
      <c r="J7715" s="68"/>
    </row>
    <row r="7716" spans="8:10">
      <c r="H7716"/>
      <c r="I7716"/>
      <c r="J7716" s="68"/>
    </row>
    <row r="7717" spans="8:10">
      <c r="H7717"/>
      <c r="I7717"/>
      <c r="J7717" s="68"/>
    </row>
    <row r="7718" spans="8:10">
      <c r="H7718"/>
      <c r="I7718"/>
      <c r="J7718" s="68"/>
    </row>
    <row r="7719" spans="8:10">
      <c r="H7719"/>
      <c r="I7719"/>
      <c r="J7719" s="68"/>
    </row>
    <row r="7720" spans="8:10">
      <c r="H7720"/>
      <c r="I7720"/>
      <c r="J7720" s="68"/>
    </row>
    <row r="7721" spans="8:10">
      <c r="H7721"/>
      <c r="I7721"/>
      <c r="J7721" s="68"/>
    </row>
    <row r="7722" spans="8:10">
      <c r="H7722"/>
      <c r="I7722"/>
      <c r="J7722" s="68"/>
    </row>
    <row r="7723" spans="8:10">
      <c r="H7723"/>
      <c r="I7723"/>
      <c r="J7723" s="68"/>
    </row>
    <row r="7724" spans="8:10">
      <c r="H7724"/>
      <c r="I7724"/>
      <c r="J7724" s="68"/>
    </row>
    <row r="7725" spans="8:10">
      <c r="H7725"/>
      <c r="I7725"/>
      <c r="J7725" s="68"/>
    </row>
    <row r="7726" spans="8:10">
      <c r="H7726"/>
      <c r="I7726"/>
      <c r="J7726" s="68"/>
    </row>
    <row r="7727" spans="8:10">
      <c r="H7727"/>
      <c r="I7727"/>
      <c r="J7727" s="68"/>
    </row>
    <row r="7728" spans="8:10">
      <c r="H7728"/>
      <c r="I7728"/>
      <c r="J7728" s="68"/>
    </row>
    <row r="7729" spans="8:10">
      <c r="H7729"/>
      <c r="I7729"/>
      <c r="J7729" s="68"/>
    </row>
    <row r="7730" spans="8:10">
      <c r="H7730"/>
      <c r="I7730"/>
      <c r="J7730" s="68"/>
    </row>
    <row r="7731" spans="8:10">
      <c r="H7731"/>
      <c r="I7731"/>
      <c r="J7731" s="68"/>
    </row>
    <row r="7732" spans="8:10">
      <c r="H7732"/>
      <c r="I7732"/>
      <c r="J7732" s="68"/>
    </row>
    <row r="7733" spans="8:10">
      <c r="H7733"/>
      <c r="I7733"/>
      <c r="J7733" s="68"/>
    </row>
    <row r="7734" spans="8:10">
      <c r="H7734"/>
      <c r="I7734"/>
      <c r="J7734" s="68"/>
    </row>
    <row r="7735" spans="8:10">
      <c r="H7735"/>
      <c r="I7735"/>
      <c r="J7735" s="68"/>
    </row>
    <row r="7736" spans="8:10">
      <c r="H7736"/>
      <c r="I7736"/>
      <c r="J7736" s="68"/>
    </row>
    <row r="7737" spans="8:10">
      <c r="H7737"/>
      <c r="I7737"/>
      <c r="J7737" s="68"/>
    </row>
    <row r="7738" spans="8:10">
      <c r="H7738"/>
      <c r="I7738"/>
      <c r="J7738" s="68"/>
    </row>
    <row r="7739" spans="8:10">
      <c r="H7739"/>
      <c r="I7739"/>
      <c r="J7739" s="68"/>
    </row>
    <row r="7740" spans="8:10">
      <c r="H7740"/>
      <c r="I7740"/>
      <c r="J7740" s="68"/>
    </row>
    <row r="7741" spans="8:10">
      <c r="H7741"/>
      <c r="I7741"/>
      <c r="J7741" s="68"/>
    </row>
    <row r="7742" spans="8:10">
      <c r="H7742"/>
      <c r="I7742"/>
      <c r="J7742" s="68"/>
    </row>
    <row r="7743" spans="8:10">
      <c r="H7743"/>
      <c r="I7743"/>
      <c r="J7743" s="68"/>
    </row>
    <row r="7744" spans="8:10">
      <c r="H7744"/>
      <c r="I7744"/>
      <c r="J7744" s="68"/>
    </row>
    <row r="7745" spans="8:10">
      <c r="H7745"/>
      <c r="I7745"/>
      <c r="J7745" s="68"/>
    </row>
    <row r="7746" spans="8:10">
      <c r="H7746"/>
      <c r="I7746"/>
      <c r="J7746" s="68"/>
    </row>
    <row r="7747" spans="8:10">
      <c r="H7747"/>
      <c r="I7747"/>
      <c r="J7747" s="68"/>
    </row>
    <row r="7748" spans="8:10">
      <c r="H7748"/>
      <c r="I7748"/>
      <c r="J7748" s="68"/>
    </row>
    <row r="7749" spans="8:10">
      <c r="H7749"/>
      <c r="I7749"/>
      <c r="J7749" s="68"/>
    </row>
    <row r="7750" spans="8:10">
      <c r="H7750"/>
      <c r="I7750"/>
      <c r="J7750" s="68"/>
    </row>
    <row r="7751" spans="8:10">
      <c r="H7751"/>
      <c r="I7751"/>
      <c r="J7751" s="68"/>
    </row>
    <row r="7752" spans="8:10">
      <c r="H7752"/>
      <c r="I7752"/>
      <c r="J7752" s="68"/>
    </row>
    <row r="7753" spans="8:10">
      <c r="H7753"/>
      <c r="I7753"/>
      <c r="J7753" s="68"/>
    </row>
    <row r="7754" spans="8:10">
      <c r="H7754"/>
      <c r="I7754"/>
      <c r="J7754" s="68"/>
    </row>
    <row r="7755" spans="8:10">
      <c r="H7755"/>
      <c r="I7755"/>
      <c r="J7755" s="68"/>
    </row>
    <row r="7756" spans="8:10">
      <c r="H7756"/>
      <c r="I7756"/>
      <c r="J7756" s="68"/>
    </row>
    <row r="7757" spans="8:10">
      <c r="H7757"/>
      <c r="I7757"/>
      <c r="J7757" s="68"/>
    </row>
    <row r="7758" spans="8:10">
      <c r="H7758"/>
      <c r="I7758"/>
      <c r="J7758" s="68"/>
    </row>
    <row r="7759" spans="8:10">
      <c r="H7759"/>
      <c r="I7759"/>
      <c r="J7759" s="68"/>
    </row>
    <row r="7760" spans="8:10">
      <c r="H7760"/>
      <c r="I7760"/>
      <c r="J7760" s="68"/>
    </row>
    <row r="7761" spans="8:10">
      <c r="H7761"/>
      <c r="I7761"/>
      <c r="J7761" s="68"/>
    </row>
    <row r="7762" spans="8:10">
      <c r="H7762"/>
      <c r="I7762"/>
      <c r="J7762" s="68"/>
    </row>
    <row r="7763" spans="8:10">
      <c r="H7763"/>
      <c r="I7763"/>
      <c r="J7763" s="68"/>
    </row>
    <row r="7764" spans="8:10">
      <c r="H7764"/>
      <c r="I7764"/>
      <c r="J7764" s="68"/>
    </row>
    <row r="7765" spans="8:10">
      <c r="H7765"/>
      <c r="I7765"/>
      <c r="J7765" s="68"/>
    </row>
    <row r="7766" spans="8:10">
      <c r="H7766"/>
      <c r="I7766"/>
      <c r="J7766" s="68"/>
    </row>
    <row r="7767" spans="8:10">
      <c r="H7767"/>
      <c r="I7767"/>
      <c r="J7767" s="68"/>
    </row>
    <row r="7768" spans="8:10">
      <c r="H7768"/>
      <c r="I7768"/>
      <c r="J7768" s="68"/>
    </row>
    <row r="7769" spans="8:10">
      <c r="H7769"/>
      <c r="I7769"/>
      <c r="J7769" s="68"/>
    </row>
    <row r="7770" spans="8:10">
      <c r="H7770"/>
      <c r="I7770"/>
      <c r="J7770" s="68"/>
    </row>
    <row r="7771" spans="8:10">
      <c r="H7771"/>
      <c r="I7771"/>
      <c r="J7771" s="68"/>
    </row>
    <row r="7772" spans="8:10">
      <c r="H7772"/>
      <c r="I7772"/>
      <c r="J7772" s="68"/>
    </row>
    <row r="7773" spans="8:10">
      <c r="H7773"/>
      <c r="I7773"/>
      <c r="J7773" s="68"/>
    </row>
    <row r="7774" spans="8:10">
      <c r="H7774"/>
      <c r="I7774"/>
      <c r="J7774" s="68"/>
    </row>
    <row r="7775" spans="8:10">
      <c r="H7775"/>
      <c r="I7775"/>
      <c r="J7775" s="68"/>
    </row>
    <row r="7776" spans="8:10">
      <c r="H7776"/>
      <c r="I7776"/>
      <c r="J7776" s="68"/>
    </row>
    <row r="7777" spans="8:10">
      <c r="H7777"/>
      <c r="I7777"/>
      <c r="J7777" s="68"/>
    </row>
    <row r="7778" spans="8:10">
      <c r="H7778"/>
      <c r="I7778"/>
      <c r="J7778" s="68"/>
    </row>
    <row r="7779" spans="8:10">
      <c r="H7779"/>
      <c r="I7779"/>
      <c r="J7779" s="68"/>
    </row>
    <row r="7780" spans="8:10">
      <c r="H7780"/>
      <c r="I7780"/>
      <c r="J7780" s="68"/>
    </row>
    <row r="7781" spans="8:10">
      <c r="H7781"/>
      <c r="I7781"/>
      <c r="J7781" s="68"/>
    </row>
    <row r="7782" spans="8:10">
      <c r="H7782"/>
      <c r="I7782"/>
      <c r="J7782" s="68"/>
    </row>
    <row r="7783" spans="8:10">
      <c r="H7783"/>
      <c r="I7783"/>
      <c r="J7783" s="68"/>
    </row>
    <row r="7784" spans="8:10">
      <c r="H7784"/>
      <c r="I7784"/>
      <c r="J7784" s="68"/>
    </row>
    <row r="7785" spans="8:10">
      <c r="H7785"/>
      <c r="I7785"/>
      <c r="J7785" s="68"/>
    </row>
    <row r="7786" spans="8:10">
      <c r="H7786"/>
      <c r="I7786"/>
      <c r="J7786" s="68"/>
    </row>
    <row r="7787" spans="8:10">
      <c r="H7787"/>
      <c r="I7787"/>
      <c r="J7787" s="68"/>
    </row>
    <row r="7788" spans="8:10">
      <c r="H7788"/>
      <c r="I7788"/>
      <c r="J7788" s="68"/>
    </row>
    <row r="7789" spans="8:10">
      <c r="H7789"/>
      <c r="I7789"/>
      <c r="J7789" s="68"/>
    </row>
    <row r="7790" spans="8:10">
      <c r="H7790"/>
      <c r="I7790"/>
      <c r="J7790" s="68"/>
    </row>
    <row r="7791" spans="8:10">
      <c r="H7791"/>
      <c r="I7791"/>
      <c r="J7791" s="68"/>
    </row>
    <row r="7792" spans="8:10">
      <c r="H7792"/>
      <c r="I7792"/>
      <c r="J7792" s="68"/>
    </row>
    <row r="7793" spans="8:10">
      <c r="H7793"/>
      <c r="I7793"/>
      <c r="J7793" s="68"/>
    </row>
    <row r="7794" spans="8:10">
      <c r="H7794"/>
      <c r="I7794"/>
      <c r="J7794" s="68"/>
    </row>
    <row r="7795" spans="8:10">
      <c r="H7795"/>
      <c r="I7795"/>
      <c r="J7795" s="68"/>
    </row>
    <row r="7796" spans="8:10">
      <c r="H7796"/>
      <c r="I7796"/>
      <c r="J7796" s="68"/>
    </row>
    <row r="7797" spans="8:10">
      <c r="H7797"/>
      <c r="I7797"/>
      <c r="J7797" s="68"/>
    </row>
    <row r="7798" spans="8:10">
      <c r="H7798"/>
      <c r="I7798"/>
      <c r="J7798" s="68"/>
    </row>
    <row r="7799" spans="8:10">
      <c r="H7799"/>
      <c r="I7799"/>
      <c r="J7799" s="68"/>
    </row>
    <row r="7800" spans="8:10">
      <c r="H7800"/>
      <c r="I7800"/>
      <c r="J7800" s="68"/>
    </row>
    <row r="7801" spans="8:10">
      <c r="H7801"/>
      <c r="I7801"/>
      <c r="J7801" s="68"/>
    </row>
    <row r="7802" spans="8:10">
      <c r="H7802"/>
      <c r="I7802"/>
      <c r="J7802" s="68"/>
    </row>
    <row r="7803" spans="8:10">
      <c r="H7803"/>
      <c r="I7803"/>
      <c r="J7803" s="68"/>
    </row>
    <row r="7804" spans="8:10">
      <c r="H7804"/>
      <c r="I7804"/>
      <c r="J7804" s="68"/>
    </row>
    <row r="7805" spans="8:10">
      <c r="H7805"/>
      <c r="I7805"/>
      <c r="J7805" s="68"/>
    </row>
    <row r="7806" spans="8:10">
      <c r="H7806"/>
      <c r="I7806"/>
      <c r="J7806" s="68"/>
    </row>
    <row r="7807" spans="8:10">
      <c r="H7807"/>
      <c r="I7807"/>
      <c r="J7807" s="68"/>
    </row>
    <row r="7808" spans="8:10">
      <c r="H7808"/>
      <c r="I7808"/>
      <c r="J7808" s="68"/>
    </row>
    <row r="7809" spans="8:10">
      <c r="H7809"/>
      <c r="I7809"/>
      <c r="J7809" s="68"/>
    </row>
    <row r="7810" spans="8:10">
      <c r="H7810"/>
      <c r="I7810"/>
      <c r="J7810" s="68"/>
    </row>
    <row r="7811" spans="8:10">
      <c r="H7811"/>
      <c r="I7811"/>
      <c r="J7811" s="68"/>
    </row>
    <row r="7812" spans="8:10">
      <c r="H7812"/>
      <c r="I7812"/>
      <c r="J7812" s="68"/>
    </row>
    <row r="7813" spans="8:10">
      <c r="H7813"/>
      <c r="I7813"/>
      <c r="J7813" s="68"/>
    </row>
    <row r="7814" spans="8:10">
      <c r="H7814"/>
      <c r="I7814"/>
      <c r="J7814" s="68"/>
    </row>
    <row r="7815" spans="8:10">
      <c r="H7815"/>
      <c r="I7815"/>
      <c r="J7815" s="68"/>
    </row>
    <row r="7816" spans="8:10">
      <c r="H7816"/>
      <c r="I7816"/>
      <c r="J7816" s="68"/>
    </row>
    <row r="7817" spans="8:10">
      <c r="H7817"/>
      <c r="I7817"/>
      <c r="J7817" s="68"/>
    </row>
    <row r="7818" spans="8:10">
      <c r="H7818"/>
      <c r="I7818"/>
      <c r="J7818" s="68"/>
    </row>
    <row r="7819" spans="8:10">
      <c r="H7819"/>
      <c r="I7819"/>
      <c r="J7819" s="68"/>
    </row>
    <row r="7820" spans="8:10">
      <c r="H7820"/>
      <c r="I7820"/>
      <c r="J7820" s="68"/>
    </row>
    <row r="7821" spans="8:10">
      <c r="H7821"/>
      <c r="I7821"/>
      <c r="J7821" s="68"/>
    </row>
    <row r="7822" spans="8:10">
      <c r="H7822"/>
      <c r="I7822"/>
      <c r="J7822" s="68"/>
    </row>
    <row r="7823" spans="8:10">
      <c r="H7823"/>
      <c r="I7823"/>
      <c r="J7823" s="68"/>
    </row>
    <row r="7824" spans="8:10">
      <c r="H7824"/>
      <c r="I7824"/>
      <c r="J7824" s="68"/>
    </row>
    <row r="7825" spans="8:10">
      <c r="H7825"/>
      <c r="I7825"/>
      <c r="J7825" s="68"/>
    </row>
    <row r="7826" spans="8:10">
      <c r="H7826"/>
      <c r="I7826"/>
      <c r="J7826" s="68"/>
    </row>
    <row r="7827" spans="8:10">
      <c r="H7827"/>
      <c r="I7827"/>
      <c r="J7827" s="68"/>
    </row>
    <row r="7828" spans="8:10">
      <c r="H7828"/>
      <c r="I7828"/>
      <c r="J7828" s="68"/>
    </row>
    <row r="7829" spans="8:10">
      <c r="H7829"/>
      <c r="I7829"/>
      <c r="J7829" s="68"/>
    </row>
    <row r="7830" spans="8:10">
      <c r="H7830"/>
      <c r="I7830"/>
      <c r="J7830" s="68"/>
    </row>
    <row r="7831" spans="8:10">
      <c r="H7831"/>
      <c r="I7831"/>
      <c r="J7831" s="68"/>
    </row>
    <row r="7832" spans="8:10">
      <c r="H7832"/>
      <c r="I7832"/>
      <c r="J7832" s="68"/>
    </row>
    <row r="7833" spans="8:10">
      <c r="H7833"/>
      <c r="I7833"/>
      <c r="J7833" s="68"/>
    </row>
    <row r="7834" spans="8:10">
      <c r="H7834"/>
      <c r="I7834"/>
      <c r="J7834" s="68"/>
    </row>
    <row r="7835" spans="8:10">
      <c r="H7835"/>
      <c r="I7835"/>
      <c r="J7835" s="68"/>
    </row>
    <row r="7836" spans="8:10">
      <c r="H7836"/>
      <c r="I7836"/>
      <c r="J7836" s="68"/>
    </row>
    <row r="7837" spans="8:10">
      <c r="H7837"/>
      <c r="I7837"/>
      <c r="J7837" s="68"/>
    </row>
    <row r="7838" spans="8:10">
      <c r="H7838"/>
      <c r="I7838"/>
      <c r="J7838" s="68"/>
    </row>
    <row r="7839" spans="8:10">
      <c r="H7839"/>
      <c r="I7839"/>
      <c r="J7839" s="68"/>
    </row>
    <row r="7840" spans="8:10">
      <c r="H7840"/>
      <c r="I7840"/>
      <c r="J7840" s="68"/>
    </row>
    <row r="7841" spans="8:10">
      <c r="H7841"/>
      <c r="I7841"/>
      <c r="J7841" s="68"/>
    </row>
    <row r="7842" spans="8:10">
      <c r="H7842"/>
      <c r="I7842"/>
      <c r="J7842" s="68"/>
    </row>
    <row r="7843" spans="8:10">
      <c r="H7843"/>
      <c r="I7843"/>
      <c r="J7843" s="68"/>
    </row>
    <row r="7844" spans="8:10">
      <c r="H7844"/>
      <c r="I7844"/>
      <c r="J7844" s="68"/>
    </row>
    <row r="7845" spans="8:10">
      <c r="H7845"/>
      <c r="I7845"/>
      <c r="J7845" s="68"/>
    </row>
    <row r="7846" spans="8:10">
      <c r="H7846"/>
      <c r="I7846"/>
      <c r="J7846" s="68"/>
    </row>
    <row r="7847" spans="8:10">
      <c r="H7847"/>
      <c r="I7847"/>
      <c r="J7847" s="68"/>
    </row>
    <row r="7848" spans="8:10">
      <c r="H7848"/>
      <c r="I7848"/>
      <c r="J7848" s="68"/>
    </row>
    <row r="7849" spans="8:10">
      <c r="H7849"/>
      <c r="I7849"/>
      <c r="J7849" s="68"/>
    </row>
    <row r="7850" spans="8:10">
      <c r="H7850"/>
      <c r="I7850"/>
      <c r="J7850" s="68"/>
    </row>
    <row r="7851" spans="8:10">
      <c r="H7851"/>
      <c r="I7851"/>
      <c r="J7851" s="68"/>
    </row>
    <row r="7852" spans="8:10">
      <c r="H7852"/>
      <c r="I7852"/>
      <c r="J7852" s="68"/>
    </row>
    <row r="7853" spans="8:10">
      <c r="H7853"/>
      <c r="I7853"/>
      <c r="J7853" s="68"/>
    </row>
    <row r="7854" spans="8:10">
      <c r="H7854"/>
      <c r="I7854"/>
      <c r="J7854" s="68"/>
    </row>
    <row r="7855" spans="8:10">
      <c r="H7855"/>
      <c r="I7855"/>
      <c r="J7855" s="68"/>
    </row>
    <row r="7856" spans="8:10">
      <c r="H7856"/>
      <c r="I7856"/>
      <c r="J7856" s="68"/>
    </row>
    <row r="7857" spans="8:10">
      <c r="H7857"/>
      <c r="I7857"/>
      <c r="J7857" s="68"/>
    </row>
    <row r="7858" spans="8:10">
      <c r="H7858"/>
      <c r="I7858"/>
      <c r="J7858" s="68"/>
    </row>
    <row r="7859" spans="8:10">
      <c r="H7859"/>
      <c r="I7859"/>
      <c r="J7859" s="68"/>
    </row>
    <row r="7860" spans="8:10">
      <c r="H7860"/>
      <c r="I7860"/>
      <c r="J7860" s="68"/>
    </row>
    <row r="7861" spans="8:10">
      <c r="H7861"/>
      <c r="I7861"/>
      <c r="J7861" s="68"/>
    </row>
    <row r="7862" spans="8:10">
      <c r="H7862"/>
      <c r="I7862"/>
      <c r="J7862" s="68"/>
    </row>
    <row r="7863" spans="8:10">
      <c r="H7863"/>
      <c r="I7863"/>
      <c r="J7863" s="68"/>
    </row>
    <row r="7864" spans="8:10">
      <c r="H7864"/>
      <c r="I7864"/>
      <c r="J7864" s="68"/>
    </row>
    <row r="7865" spans="8:10">
      <c r="H7865"/>
      <c r="I7865"/>
      <c r="J7865" s="68"/>
    </row>
    <row r="7866" spans="8:10">
      <c r="H7866"/>
      <c r="I7866"/>
      <c r="J7866" s="68"/>
    </row>
    <row r="7867" spans="8:10">
      <c r="H7867"/>
      <c r="I7867"/>
      <c r="J7867" s="68"/>
    </row>
    <row r="7868" spans="8:10">
      <c r="H7868"/>
      <c r="I7868"/>
      <c r="J7868" s="68"/>
    </row>
    <row r="7869" spans="8:10">
      <c r="H7869"/>
      <c r="I7869"/>
      <c r="J7869" s="68"/>
    </row>
    <row r="7870" spans="8:10">
      <c r="H7870"/>
      <c r="I7870"/>
      <c r="J7870" s="68"/>
    </row>
    <row r="7871" spans="8:10">
      <c r="H7871"/>
      <c r="I7871"/>
      <c r="J7871" s="68"/>
    </row>
    <row r="7872" spans="8:10">
      <c r="H7872"/>
      <c r="I7872"/>
      <c r="J7872" s="68"/>
    </row>
    <row r="7873" spans="8:10">
      <c r="H7873"/>
      <c r="I7873"/>
      <c r="J7873" s="68"/>
    </row>
    <row r="7874" spans="8:10">
      <c r="H7874"/>
      <c r="I7874"/>
      <c r="J7874" s="68"/>
    </row>
    <row r="7875" spans="8:10">
      <c r="H7875"/>
      <c r="I7875"/>
      <c r="J7875" s="68"/>
    </row>
    <row r="7876" spans="8:10">
      <c r="H7876"/>
      <c r="I7876"/>
      <c r="J7876" s="68"/>
    </row>
    <row r="7877" spans="8:10">
      <c r="H7877"/>
      <c r="I7877"/>
      <c r="J7877" s="68"/>
    </row>
    <row r="7878" spans="8:10">
      <c r="H7878"/>
      <c r="I7878"/>
      <c r="J7878" s="68"/>
    </row>
    <row r="7879" spans="8:10">
      <c r="H7879"/>
      <c r="I7879"/>
      <c r="J7879" s="68"/>
    </row>
    <row r="7880" spans="8:10">
      <c r="H7880"/>
      <c r="I7880"/>
      <c r="J7880" s="68"/>
    </row>
    <row r="7881" spans="8:10">
      <c r="H7881"/>
      <c r="I7881"/>
      <c r="J7881" s="68"/>
    </row>
    <row r="7882" spans="8:10">
      <c r="H7882"/>
      <c r="I7882"/>
      <c r="J7882" s="68"/>
    </row>
    <row r="7883" spans="8:10">
      <c r="H7883"/>
      <c r="I7883"/>
      <c r="J7883" s="68"/>
    </row>
    <row r="7884" spans="8:10">
      <c r="H7884"/>
      <c r="I7884"/>
      <c r="J7884" s="68"/>
    </row>
    <row r="7885" spans="8:10">
      <c r="H7885"/>
      <c r="I7885"/>
      <c r="J7885" s="68"/>
    </row>
    <row r="7886" spans="8:10">
      <c r="H7886"/>
      <c r="I7886"/>
      <c r="J7886" s="68"/>
    </row>
    <row r="7887" spans="8:10">
      <c r="H7887"/>
      <c r="I7887"/>
      <c r="J7887" s="68"/>
    </row>
    <row r="7888" spans="8:10">
      <c r="H7888"/>
      <c r="I7888"/>
      <c r="J7888" s="68"/>
    </row>
    <row r="7889" spans="8:10">
      <c r="H7889"/>
      <c r="I7889"/>
      <c r="J7889" s="68"/>
    </row>
    <row r="7890" spans="8:10">
      <c r="H7890"/>
      <c r="I7890"/>
      <c r="J7890" s="68"/>
    </row>
    <row r="7891" spans="8:10">
      <c r="H7891"/>
      <c r="I7891"/>
      <c r="J7891" s="68"/>
    </row>
    <row r="7892" spans="8:10">
      <c r="H7892"/>
      <c r="I7892"/>
      <c r="J7892" s="68"/>
    </row>
    <row r="7893" spans="8:10">
      <c r="H7893"/>
      <c r="I7893"/>
      <c r="J7893" s="68"/>
    </row>
    <row r="7894" spans="8:10">
      <c r="H7894"/>
      <c r="I7894"/>
      <c r="J7894" s="68"/>
    </row>
    <row r="7895" spans="8:10">
      <c r="H7895"/>
      <c r="I7895"/>
      <c r="J7895" s="68"/>
    </row>
    <row r="7896" spans="8:10">
      <c r="H7896"/>
      <c r="I7896"/>
      <c r="J7896" s="68"/>
    </row>
    <row r="7897" spans="8:10">
      <c r="H7897"/>
      <c r="I7897"/>
      <c r="J7897" s="68"/>
    </row>
    <row r="7898" spans="8:10">
      <c r="H7898"/>
      <c r="I7898"/>
      <c r="J7898" s="68"/>
    </row>
    <row r="7899" spans="8:10">
      <c r="H7899"/>
      <c r="I7899"/>
      <c r="J7899" s="68"/>
    </row>
    <row r="7900" spans="8:10">
      <c r="H7900"/>
      <c r="I7900"/>
      <c r="J7900" s="68"/>
    </row>
    <row r="7901" spans="8:10">
      <c r="H7901"/>
      <c r="I7901"/>
      <c r="J7901" s="68"/>
    </row>
    <row r="7902" spans="8:10">
      <c r="H7902"/>
      <c r="I7902"/>
      <c r="J7902" s="68"/>
    </row>
    <row r="7903" spans="8:10">
      <c r="H7903"/>
      <c r="I7903"/>
      <c r="J7903" s="68"/>
    </row>
    <row r="7904" spans="8:10">
      <c r="H7904"/>
      <c r="I7904"/>
      <c r="J7904" s="68"/>
    </row>
    <row r="7905" spans="8:10">
      <c r="H7905"/>
      <c r="I7905"/>
      <c r="J7905" s="68"/>
    </row>
    <row r="7906" spans="8:10">
      <c r="H7906"/>
      <c r="I7906"/>
      <c r="J7906" s="68"/>
    </row>
    <row r="7907" spans="8:10">
      <c r="H7907"/>
      <c r="I7907"/>
      <c r="J7907" s="68"/>
    </row>
    <row r="7908" spans="8:10">
      <c r="H7908"/>
      <c r="I7908"/>
      <c r="J7908" s="68"/>
    </row>
    <row r="7909" spans="8:10">
      <c r="H7909"/>
      <c r="I7909"/>
      <c r="J7909" s="68"/>
    </row>
    <row r="7910" spans="8:10">
      <c r="H7910"/>
      <c r="I7910"/>
      <c r="J7910" s="68"/>
    </row>
    <row r="7911" spans="8:10">
      <c r="H7911"/>
      <c r="I7911"/>
      <c r="J7911" s="68"/>
    </row>
    <row r="7912" spans="8:10">
      <c r="H7912"/>
      <c r="I7912"/>
      <c r="J7912" s="68"/>
    </row>
    <row r="7913" spans="8:10">
      <c r="H7913"/>
      <c r="I7913"/>
      <c r="J7913" s="68"/>
    </row>
    <row r="7914" spans="8:10">
      <c r="H7914"/>
      <c r="I7914"/>
      <c r="J7914" s="68"/>
    </row>
    <row r="7915" spans="8:10">
      <c r="H7915"/>
      <c r="I7915"/>
      <c r="J7915" s="68"/>
    </row>
    <row r="7916" spans="8:10">
      <c r="H7916"/>
      <c r="I7916"/>
      <c r="J7916" s="68"/>
    </row>
    <row r="7917" spans="8:10">
      <c r="H7917"/>
      <c r="I7917"/>
      <c r="J7917" s="68"/>
    </row>
    <row r="7918" spans="8:10">
      <c r="H7918"/>
      <c r="I7918"/>
      <c r="J7918" s="68"/>
    </row>
    <row r="7919" spans="8:10">
      <c r="H7919"/>
      <c r="I7919"/>
      <c r="J7919" s="68"/>
    </row>
    <row r="7920" spans="8:10">
      <c r="H7920"/>
      <c r="I7920"/>
      <c r="J7920" s="68"/>
    </row>
    <row r="7921" spans="8:10">
      <c r="H7921"/>
      <c r="I7921"/>
      <c r="J7921" s="68"/>
    </row>
    <row r="7922" spans="8:10">
      <c r="H7922"/>
      <c r="I7922"/>
      <c r="J7922" s="68"/>
    </row>
    <row r="7923" spans="8:10">
      <c r="H7923"/>
      <c r="I7923"/>
      <c r="J7923" s="68"/>
    </row>
    <row r="7924" spans="8:10">
      <c r="H7924"/>
      <c r="I7924"/>
      <c r="J7924" s="68"/>
    </row>
    <row r="7925" spans="8:10">
      <c r="H7925"/>
      <c r="I7925"/>
      <c r="J7925" s="68"/>
    </row>
    <row r="7926" spans="8:10">
      <c r="H7926"/>
      <c r="I7926"/>
      <c r="J7926" s="68"/>
    </row>
    <row r="7927" spans="8:10">
      <c r="H7927"/>
      <c r="I7927"/>
      <c r="J7927" s="68"/>
    </row>
    <row r="7928" spans="8:10">
      <c r="H7928"/>
      <c r="I7928"/>
      <c r="J7928" s="68"/>
    </row>
    <row r="7929" spans="8:10">
      <c r="H7929"/>
      <c r="I7929"/>
      <c r="J7929" s="68"/>
    </row>
    <row r="7930" spans="8:10">
      <c r="H7930"/>
      <c r="I7930"/>
      <c r="J7930" s="68"/>
    </row>
    <row r="7931" spans="8:10">
      <c r="H7931"/>
      <c r="I7931"/>
      <c r="J7931" s="68"/>
    </row>
    <row r="7932" spans="8:10">
      <c r="H7932"/>
      <c r="I7932"/>
      <c r="J7932" s="68"/>
    </row>
    <row r="7933" spans="8:10">
      <c r="H7933"/>
      <c r="I7933"/>
      <c r="J7933" s="68"/>
    </row>
    <row r="7934" spans="8:10">
      <c r="H7934"/>
      <c r="I7934"/>
      <c r="J7934" s="68"/>
    </row>
    <row r="7935" spans="8:10">
      <c r="H7935"/>
      <c r="I7935"/>
      <c r="J7935" s="68"/>
    </row>
    <row r="7936" spans="8:10">
      <c r="H7936"/>
      <c r="I7936"/>
      <c r="J7936" s="68"/>
    </row>
    <row r="7937" spans="8:10">
      <c r="H7937"/>
      <c r="I7937"/>
      <c r="J7937" s="68"/>
    </row>
    <row r="7938" spans="8:10">
      <c r="H7938"/>
      <c r="I7938"/>
      <c r="J7938" s="68"/>
    </row>
    <row r="7939" spans="8:10">
      <c r="H7939"/>
      <c r="I7939"/>
      <c r="J7939" s="68"/>
    </row>
    <row r="7940" spans="8:10">
      <c r="H7940"/>
      <c r="I7940"/>
      <c r="J7940" s="68"/>
    </row>
    <row r="7941" spans="8:10">
      <c r="H7941"/>
      <c r="I7941"/>
      <c r="J7941" s="68"/>
    </row>
    <row r="7942" spans="8:10">
      <c r="H7942"/>
      <c r="I7942"/>
      <c r="J7942" s="68"/>
    </row>
    <row r="7943" spans="8:10">
      <c r="H7943"/>
      <c r="I7943"/>
      <c r="J7943" s="68"/>
    </row>
    <row r="7944" spans="8:10">
      <c r="H7944"/>
      <c r="I7944"/>
      <c r="J7944" s="68"/>
    </row>
    <row r="7945" spans="8:10">
      <c r="H7945"/>
      <c r="I7945"/>
      <c r="J7945" s="68"/>
    </row>
    <row r="7946" spans="8:10">
      <c r="H7946"/>
      <c r="I7946"/>
      <c r="J7946" s="68"/>
    </row>
    <row r="7947" spans="8:10">
      <c r="H7947"/>
      <c r="I7947"/>
      <c r="J7947" s="68"/>
    </row>
    <row r="7948" spans="8:10">
      <c r="H7948"/>
      <c r="I7948"/>
      <c r="J7948" s="68"/>
    </row>
    <row r="7949" spans="8:10">
      <c r="H7949"/>
      <c r="I7949"/>
      <c r="J7949" s="68"/>
    </row>
    <row r="7950" spans="8:10">
      <c r="H7950"/>
      <c r="I7950"/>
      <c r="J7950" s="68"/>
    </row>
    <row r="7951" spans="8:10">
      <c r="H7951"/>
      <c r="I7951"/>
      <c r="J7951" s="68"/>
    </row>
    <row r="7952" spans="8:10">
      <c r="H7952"/>
      <c r="I7952"/>
      <c r="J7952" s="68"/>
    </row>
    <row r="7953" spans="8:10">
      <c r="H7953"/>
      <c r="I7953"/>
      <c r="J7953" s="68"/>
    </row>
    <row r="7954" spans="8:10">
      <c r="H7954"/>
      <c r="I7954"/>
      <c r="J7954" s="68"/>
    </row>
    <row r="7955" spans="8:10">
      <c r="H7955"/>
      <c r="I7955"/>
      <c r="J7955" s="68"/>
    </row>
    <row r="7956" spans="8:10">
      <c r="H7956"/>
      <c r="I7956"/>
      <c r="J7956" s="68"/>
    </row>
    <row r="7957" spans="8:10">
      <c r="H7957"/>
      <c r="I7957"/>
      <c r="J7957" s="68"/>
    </row>
    <row r="7958" spans="8:10">
      <c r="H7958"/>
      <c r="I7958"/>
      <c r="J7958" s="68"/>
    </row>
    <row r="7959" spans="8:10">
      <c r="H7959"/>
      <c r="I7959"/>
      <c r="J7959" s="68"/>
    </row>
    <row r="7960" spans="8:10">
      <c r="H7960"/>
      <c r="I7960"/>
      <c r="J7960" s="68"/>
    </row>
    <row r="7961" spans="8:10">
      <c r="H7961"/>
      <c r="I7961"/>
      <c r="J7961" s="68"/>
    </row>
    <row r="7962" spans="8:10">
      <c r="H7962"/>
      <c r="I7962"/>
      <c r="J7962" s="68"/>
    </row>
    <row r="7963" spans="8:10">
      <c r="H7963"/>
      <c r="I7963"/>
      <c r="J7963" s="68"/>
    </row>
    <row r="7964" spans="8:10">
      <c r="H7964"/>
      <c r="I7964"/>
      <c r="J7964" s="68"/>
    </row>
    <row r="7965" spans="8:10">
      <c r="H7965"/>
      <c r="I7965"/>
      <c r="J7965" s="68"/>
    </row>
    <row r="7966" spans="8:10">
      <c r="H7966"/>
      <c r="I7966"/>
      <c r="J7966" s="68"/>
    </row>
    <row r="7967" spans="8:10">
      <c r="H7967"/>
      <c r="I7967"/>
      <c r="J7967" s="68"/>
    </row>
    <row r="7968" spans="8:10">
      <c r="H7968"/>
      <c r="I7968"/>
      <c r="J7968" s="68"/>
    </row>
    <row r="7969" spans="8:10">
      <c r="H7969"/>
      <c r="I7969"/>
      <c r="J7969" s="68"/>
    </row>
    <row r="7970" spans="8:10">
      <c r="H7970"/>
      <c r="I7970"/>
      <c r="J7970" s="68"/>
    </row>
    <row r="7971" spans="8:10">
      <c r="H7971"/>
      <c r="I7971"/>
      <c r="J7971" s="68"/>
    </row>
    <row r="7972" spans="8:10">
      <c r="H7972"/>
      <c r="I7972"/>
      <c r="J7972" s="68"/>
    </row>
    <row r="7973" spans="8:10">
      <c r="H7973"/>
      <c r="I7973"/>
      <c r="J7973" s="68"/>
    </row>
    <row r="7974" spans="8:10">
      <c r="H7974"/>
      <c r="I7974"/>
      <c r="J7974" s="68"/>
    </row>
    <row r="7975" spans="8:10">
      <c r="H7975"/>
      <c r="I7975"/>
      <c r="J7975" s="68"/>
    </row>
    <row r="7976" spans="8:10">
      <c r="H7976"/>
      <c r="I7976"/>
      <c r="J7976" s="68"/>
    </row>
    <row r="7977" spans="8:10">
      <c r="H7977"/>
      <c r="I7977"/>
      <c r="J7977" s="68"/>
    </row>
    <row r="7978" spans="8:10">
      <c r="H7978"/>
      <c r="I7978"/>
      <c r="J7978" s="68"/>
    </row>
    <row r="7979" spans="8:10">
      <c r="H7979"/>
      <c r="I7979"/>
      <c r="J7979" s="68"/>
    </row>
    <row r="7980" spans="8:10">
      <c r="H7980"/>
      <c r="I7980"/>
      <c r="J7980" s="68"/>
    </row>
    <row r="7981" spans="8:10">
      <c r="H7981"/>
      <c r="I7981"/>
      <c r="J7981" s="68"/>
    </row>
    <row r="7982" spans="8:10">
      <c r="H7982"/>
      <c r="I7982"/>
      <c r="J7982" s="68"/>
    </row>
    <row r="7983" spans="8:10">
      <c r="H7983"/>
      <c r="I7983"/>
      <c r="J7983" s="68"/>
    </row>
    <row r="7984" spans="8:10">
      <c r="H7984"/>
      <c r="I7984"/>
      <c r="J7984" s="68"/>
    </row>
    <row r="7985" spans="8:10">
      <c r="H7985"/>
      <c r="I7985"/>
      <c r="J7985" s="68"/>
    </row>
    <row r="7986" spans="8:10">
      <c r="H7986"/>
      <c r="I7986"/>
      <c r="J7986" s="68"/>
    </row>
    <row r="7987" spans="8:10">
      <c r="H7987"/>
      <c r="I7987"/>
      <c r="J7987" s="68"/>
    </row>
    <row r="7988" spans="8:10">
      <c r="H7988"/>
      <c r="I7988"/>
      <c r="J7988" s="68"/>
    </row>
    <row r="7989" spans="8:10">
      <c r="H7989"/>
      <c r="I7989"/>
      <c r="J7989" s="68"/>
    </row>
    <row r="7990" spans="8:10">
      <c r="H7990"/>
      <c r="I7990"/>
      <c r="J7990" s="68"/>
    </row>
    <row r="7991" spans="8:10">
      <c r="H7991"/>
      <c r="I7991"/>
      <c r="J7991" s="68"/>
    </row>
    <row r="7992" spans="8:10">
      <c r="H7992"/>
      <c r="I7992"/>
      <c r="J7992" s="68"/>
    </row>
    <row r="7993" spans="8:10">
      <c r="H7993"/>
      <c r="I7993"/>
      <c r="J7993" s="68"/>
    </row>
    <row r="7994" spans="8:10">
      <c r="H7994"/>
      <c r="I7994"/>
      <c r="J7994" s="68"/>
    </row>
    <row r="7995" spans="8:10">
      <c r="H7995"/>
      <c r="I7995"/>
      <c r="J7995" s="68"/>
    </row>
    <row r="7996" spans="8:10">
      <c r="H7996"/>
      <c r="I7996"/>
      <c r="J7996" s="68"/>
    </row>
    <row r="7997" spans="8:10">
      <c r="H7997"/>
      <c r="I7997"/>
      <c r="J7997" s="68"/>
    </row>
    <row r="7998" spans="8:10">
      <c r="H7998"/>
      <c r="I7998"/>
      <c r="J7998" s="68"/>
    </row>
    <row r="7999" spans="8:10">
      <c r="H7999"/>
      <c r="I7999"/>
      <c r="J7999" s="68"/>
    </row>
    <row r="8000" spans="8:10">
      <c r="H8000"/>
      <c r="I8000"/>
      <c r="J8000" s="68"/>
    </row>
    <row r="8001" spans="8:10">
      <c r="H8001"/>
      <c r="I8001"/>
      <c r="J8001" s="68"/>
    </row>
    <row r="8002" spans="8:10">
      <c r="H8002"/>
      <c r="I8002"/>
      <c r="J8002" s="68"/>
    </row>
    <row r="8003" spans="8:10">
      <c r="H8003"/>
      <c r="I8003"/>
      <c r="J8003" s="68"/>
    </row>
    <row r="8004" spans="8:10">
      <c r="H8004"/>
      <c r="I8004"/>
      <c r="J8004" s="68"/>
    </row>
    <row r="8005" spans="8:10">
      <c r="H8005"/>
      <c r="I8005"/>
      <c r="J8005" s="68"/>
    </row>
    <row r="8006" spans="8:10">
      <c r="H8006"/>
      <c r="I8006"/>
      <c r="J8006" s="68"/>
    </row>
    <row r="8007" spans="8:10">
      <c r="H8007"/>
      <c r="I8007"/>
      <c r="J8007" s="68"/>
    </row>
    <row r="8008" spans="8:10">
      <c r="H8008"/>
      <c r="I8008"/>
      <c r="J8008" s="68"/>
    </row>
    <row r="8009" spans="8:10">
      <c r="H8009"/>
      <c r="I8009"/>
      <c r="J8009" s="68"/>
    </row>
    <row r="8010" spans="8:10">
      <c r="H8010"/>
      <c r="I8010"/>
      <c r="J8010" s="68"/>
    </row>
    <row r="8011" spans="8:10">
      <c r="H8011"/>
      <c r="I8011"/>
      <c r="J8011" s="68"/>
    </row>
    <row r="8012" spans="8:10">
      <c r="H8012"/>
      <c r="I8012"/>
      <c r="J8012" s="68"/>
    </row>
    <row r="8013" spans="8:10">
      <c r="H8013"/>
      <c r="I8013"/>
      <c r="J8013" s="68"/>
    </row>
    <row r="8014" spans="8:10">
      <c r="H8014"/>
      <c r="I8014"/>
      <c r="J8014" s="68"/>
    </row>
    <row r="8015" spans="8:10">
      <c r="H8015"/>
      <c r="I8015"/>
      <c r="J8015" s="68"/>
    </row>
    <row r="8016" spans="8:10">
      <c r="H8016"/>
      <c r="I8016"/>
      <c r="J8016" s="68"/>
    </row>
    <row r="8017" spans="8:10">
      <c r="H8017"/>
      <c r="I8017"/>
      <c r="J8017" s="68"/>
    </row>
    <row r="8018" spans="8:10">
      <c r="H8018"/>
      <c r="I8018"/>
      <c r="J8018" s="68"/>
    </row>
    <row r="8019" spans="8:10">
      <c r="H8019"/>
      <c r="I8019"/>
      <c r="J8019" s="68"/>
    </row>
    <row r="8020" spans="8:10">
      <c r="H8020"/>
      <c r="I8020"/>
      <c r="J8020" s="68"/>
    </row>
    <row r="8021" spans="8:10">
      <c r="H8021"/>
      <c r="I8021"/>
      <c r="J8021" s="68"/>
    </row>
    <row r="8022" spans="8:10">
      <c r="H8022"/>
      <c r="I8022"/>
      <c r="J8022" s="68"/>
    </row>
    <row r="8023" spans="8:10">
      <c r="H8023"/>
      <c r="I8023"/>
      <c r="J8023" s="68"/>
    </row>
    <row r="8024" spans="8:10">
      <c r="H8024"/>
      <c r="I8024"/>
      <c r="J8024" s="68"/>
    </row>
    <row r="8025" spans="8:10">
      <c r="H8025"/>
      <c r="I8025"/>
      <c r="J8025" s="68"/>
    </row>
    <row r="8026" spans="8:10">
      <c r="H8026"/>
      <c r="I8026"/>
      <c r="J8026" s="68"/>
    </row>
    <row r="8027" spans="8:10">
      <c r="H8027"/>
      <c r="I8027"/>
      <c r="J8027" s="68"/>
    </row>
    <row r="8028" spans="8:10">
      <c r="H8028"/>
      <c r="I8028"/>
      <c r="J8028" s="68"/>
    </row>
    <row r="8029" spans="8:10">
      <c r="H8029"/>
      <c r="I8029"/>
      <c r="J8029" s="68"/>
    </row>
    <row r="8030" spans="8:10">
      <c r="H8030"/>
      <c r="I8030"/>
      <c r="J8030" s="68"/>
    </row>
    <row r="8031" spans="8:10">
      <c r="H8031"/>
      <c r="I8031"/>
      <c r="J8031" s="68"/>
    </row>
    <row r="8032" spans="8:10">
      <c r="H8032"/>
      <c r="I8032"/>
      <c r="J8032" s="68"/>
    </row>
    <row r="8033" spans="8:10">
      <c r="H8033"/>
      <c r="I8033"/>
      <c r="J8033" s="68"/>
    </row>
    <row r="8034" spans="8:10">
      <c r="H8034"/>
      <c r="I8034"/>
      <c r="J8034" s="68"/>
    </row>
    <row r="8035" spans="8:10">
      <c r="H8035"/>
      <c r="I8035"/>
      <c r="J8035" s="68"/>
    </row>
    <row r="8036" spans="8:10">
      <c r="H8036"/>
      <c r="I8036"/>
      <c r="J8036" s="68"/>
    </row>
    <row r="8037" spans="8:10">
      <c r="H8037"/>
      <c r="I8037"/>
      <c r="J8037" s="68"/>
    </row>
    <row r="8038" spans="8:10">
      <c r="H8038"/>
      <c r="I8038"/>
      <c r="J8038" s="68"/>
    </row>
    <row r="8039" spans="8:10">
      <c r="H8039"/>
      <c r="I8039"/>
      <c r="J8039" s="68"/>
    </row>
    <row r="8040" spans="8:10">
      <c r="H8040"/>
      <c r="I8040"/>
      <c r="J8040" s="68"/>
    </row>
    <row r="8041" spans="8:10">
      <c r="H8041"/>
      <c r="I8041"/>
      <c r="J8041" s="68"/>
    </row>
    <row r="8042" spans="8:10">
      <c r="H8042"/>
      <c r="I8042"/>
      <c r="J8042" s="68"/>
    </row>
    <row r="8043" spans="8:10">
      <c r="H8043"/>
      <c r="I8043"/>
      <c r="J8043" s="68"/>
    </row>
    <row r="8044" spans="8:10">
      <c r="H8044"/>
      <c r="I8044"/>
      <c r="J8044" s="68"/>
    </row>
    <row r="8045" spans="8:10">
      <c r="H8045"/>
      <c r="I8045"/>
      <c r="J8045" s="68"/>
    </row>
    <row r="8046" spans="8:10">
      <c r="H8046"/>
      <c r="I8046"/>
      <c r="J8046" s="68"/>
    </row>
    <row r="8047" spans="8:10">
      <c r="H8047"/>
      <c r="I8047"/>
      <c r="J8047" s="68"/>
    </row>
    <row r="8048" spans="8:10">
      <c r="H8048"/>
      <c r="I8048"/>
      <c r="J8048" s="68"/>
    </row>
    <row r="8049" spans="8:10">
      <c r="H8049"/>
      <c r="I8049"/>
      <c r="J8049" s="68"/>
    </row>
    <row r="8050" spans="8:10">
      <c r="H8050"/>
      <c r="I8050"/>
      <c r="J8050" s="68"/>
    </row>
    <row r="8051" spans="8:10">
      <c r="H8051"/>
      <c r="I8051"/>
      <c r="J8051" s="68"/>
    </row>
    <row r="8052" spans="8:10">
      <c r="H8052"/>
      <c r="I8052"/>
      <c r="J8052" s="68"/>
    </row>
    <row r="8053" spans="8:10">
      <c r="H8053"/>
      <c r="I8053"/>
      <c r="J8053" s="68"/>
    </row>
    <row r="8054" spans="8:10">
      <c r="H8054"/>
      <c r="I8054"/>
      <c r="J8054" s="68"/>
    </row>
    <row r="8055" spans="8:10">
      <c r="H8055"/>
      <c r="I8055"/>
      <c r="J8055" s="68"/>
    </row>
    <row r="8056" spans="8:10">
      <c r="H8056"/>
      <c r="I8056"/>
      <c r="J8056" s="68"/>
    </row>
    <row r="8057" spans="8:10">
      <c r="H8057"/>
      <c r="I8057"/>
      <c r="J8057" s="68"/>
    </row>
    <row r="8058" spans="8:10">
      <c r="H8058"/>
      <c r="I8058"/>
      <c r="J8058" s="68"/>
    </row>
    <row r="8059" spans="8:10">
      <c r="H8059"/>
      <c r="I8059"/>
      <c r="J8059" s="68"/>
    </row>
    <row r="8060" spans="8:10">
      <c r="H8060"/>
      <c r="I8060"/>
      <c r="J8060" s="68"/>
    </row>
    <row r="8061" spans="8:10">
      <c r="H8061"/>
      <c r="I8061"/>
      <c r="J8061" s="68"/>
    </row>
    <row r="8062" spans="8:10">
      <c r="H8062"/>
      <c r="I8062"/>
      <c r="J8062" s="68"/>
    </row>
    <row r="8063" spans="8:10">
      <c r="H8063"/>
      <c r="I8063"/>
      <c r="J8063" s="68"/>
    </row>
    <row r="8064" spans="8:10">
      <c r="H8064"/>
      <c r="I8064"/>
      <c r="J8064" s="68"/>
    </row>
    <row r="8065" spans="8:10">
      <c r="H8065"/>
      <c r="I8065"/>
      <c r="J8065" s="68"/>
    </row>
    <row r="8066" spans="8:10">
      <c r="H8066"/>
      <c r="I8066"/>
      <c r="J8066" s="68"/>
    </row>
    <row r="8067" spans="8:10">
      <c r="H8067"/>
      <c r="I8067"/>
      <c r="J8067" s="68"/>
    </row>
    <row r="8068" spans="8:10">
      <c r="H8068"/>
      <c r="I8068"/>
      <c r="J8068" s="68"/>
    </row>
    <row r="8069" spans="8:10">
      <c r="H8069"/>
      <c r="I8069"/>
      <c r="J8069" s="68"/>
    </row>
    <row r="8070" spans="8:10">
      <c r="H8070"/>
      <c r="I8070"/>
      <c r="J8070" s="68"/>
    </row>
    <row r="8071" spans="8:10">
      <c r="H8071"/>
      <c r="I8071"/>
      <c r="J8071" s="68"/>
    </row>
    <row r="8072" spans="8:10">
      <c r="H8072"/>
      <c r="I8072"/>
      <c r="J8072" s="68"/>
    </row>
    <row r="8073" spans="8:10">
      <c r="H8073"/>
      <c r="I8073"/>
      <c r="J8073" s="68"/>
    </row>
    <row r="8074" spans="8:10">
      <c r="H8074"/>
      <c r="I8074"/>
      <c r="J8074" s="68"/>
    </row>
    <row r="8075" spans="8:10">
      <c r="H8075"/>
      <c r="I8075"/>
      <c r="J8075" s="68"/>
    </row>
    <row r="8076" spans="8:10">
      <c r="H8076"/>
      <c r="I8076"/>
      <c r="J8076" s="68"/>
    </row>
    <row r="8077" spans="8:10">
      <c r="H8077"/>
      <c r="I8077"/>
      <c r="J8077" s="68"/>
    </row>
    <row r="8078" spans="8:10">
      <c r="H8078"/>
      <c r="I8078"/>
      <c r="J8078" s="68"/>
    </row>
    <row r="8079" spans="8:10">
      <c r="H8079"/>
      <c r="I8079"/>
      <c r="J8079" s="68"/>
    </row>
    <row r="8080" spans="8:10">
      <c r="H8080"/>
      <c r="I8080"/>
      <c r="J8080" s="68"/>
    </row>
    <row r="8081" spans="8:10">
      <c r="H8081"/>
      <c r="I8081"/>
      <c r="J8081" s="68"/>
    </row>
    <row r="8082" spans="8:10">
      <c r="H8082"/>
      <c r="I8082"/>
      <c r="J8082" s="68"/>
    </row>
    <row r="8083" spans="8:10">
      <c r="H8083"/>
      <c r="I8083"/>
      <c r="J8083" s="68"/>
    </row>
    <row r="8084" spans="8:10">
      <c r="H8084"/>
      <c r="I8084"/>
      <c r="J8084" s="68"/>
    </row>
    <row r="8085" spans="8:10">
      <c r="H8085"/>
      <c r="I8085"/>
      <c r="J8085" s="68"/>
    </row>
    <row r="8086" spans="8:10">
      <c r="H8086"/>
      <c r="I8086"/>
      <c r="J8086" s="68"/>
    </row>
    <row r="8087" spans="8:10">
      <c r="H8087"/>
      <c r="I8087"/>
      <c r="J8087" s="68"/>
    </row>
    <row r="8088" spans="8:10">
      <c r="H8088"/>
      <c r="I8088"/>
      <c r="J8088" s="68"/>
    </row>
    <row r="8089" spans="8:10">
      <c r="H8089"/>
      <c r="I8089"/>
      <c r="J8089" s="68"/>
    </row>
    <row r="8090" spans="8:10">
      <c r="H8090"/>
      <c r="I8090"/>
      <c r="J8090" s="68"/>
    </row>
    <row r="8091" spans="8:10">
      <c r="H8091"/>
      <c r="I8091"/>
      <c r="J8091" s="68"/>
    </row>
    <row r="8092" spans="8:10">
      <c r="H8092"/>
      <c r="I8092"/>
      <c r="J8092" s="68"/>
    </row>
    <row r="8093" spans="8:10">
      <c r="H8093"/>
      <c r="I8093"/>
      <c r="J8093" s="68"/>
    </row>
    <row r="8094" spans="8:10">
      <c r="H8094"/>
      <c r="I8094"/>
      <c r="J8094" s="68"/>
    </row>
    <row r="8095" spans="8:10">
      <c r="H8095"/>
      <c r="I8095"/>
      <c r="J8095" s="68"/>
    </row>
    <row r="8096" spans="8:10">
      <c r="H8096"/>
      <c r="I8096"/>
      <c r="J8096" s="68"/>
    </row>
    <row r="8097" spans="8:10">
      <c r="H8097"/>
      <c r="I8097"/>
      <c r="J8097" s="68"/>
    </row>
    <row r="8098" spans="8:10">
      <c r="H8098"/>
      <c r="I8098"/>
      <c r="J8098" s="68"/>
    </row>
    <row r="8099" spans="8:10">
      <c r="H8099"/>
      <c r="I8099"/>
      <c r="J8099" s="68"/>
    </row>
    <row r="8100" spans="8:10">
      <c r="H8100"/>
      <c r="I8100"/>
      <c r="J8100" s="68"/>
    </row>
    <row r="8101" spans="8:10">
      <c r="H8101"/>
      <c r="I8101"/>
      <c r="J8101" s="68"/>
    </row>
    <row r="8102" spans="8:10">
      <c r="H8102"/>
      <c r="I8102"/>
      <c r="J8102" s="68"/>
    </row>
    <row r="8103" spans="8:10">
      <c r="H8103"/>
      <c r="I8103"/>
      <c r="J8103" s="68"/>
    </row>
    <row r="8104" spans="8:10">
      <c r="H8104"/>
      <c r="I8104"/>
      <c r="J8104" s="68"/>
    </row>
    <row r="8105" spans="8:10">
      <c r="H8105"/>
      <c r="I8105"/>
      <c r="J8105" s="68"/>
    </row>
    <row r="8106" spans="8:10">
      <c r="H8106"/>
      <c r="I8106"/>
      <c r="J8106" s="68"/>
    </row>
    <row r="8107" spans="8:10">
      <c r="H8107"/>
      <c r="I8107"/>
      <c r="J8107" s="68"/>
    </row>
    <row r="8108" spans="8:10">
      <c r="H8108"/>
      <c r="I8108"/>
      <c r="J8108" s="68"/>
    </row>
    <row r="8109" spans="8:10">
      <c r="H8109"/>
      <c r="I8109"/>
      <c r="J8109" s="68"/>
    </row>
    <row r="8110" spans="8:10">
      <c r="H8110"/>
      <c r="I8110"/>
      <c r="J8110" s="68"/>
    </row>
    <row r="8111" spans="8:10">
      <c r="H8111"/>
      <c r="I8111"/>
      <c r="J8111" s="68"/>
    </row>
    <row r="8112" spans="8:10">
      <c r="H8112"/>
      <c r="I8112"/>
      <c r="J8112" s="68"/>
    </row>
    <row r="8113" spans="8:10">
      <c r="H8113"/>
      <c r="I8113"/>
      <c r="J8113" s="68"/>
    </row>
    <row r="8114" spans="8:10">
      <c r="H8114"/>
      <c r="I8114"/>
      <c r="J8114" s="68"/>
    </row>
    <row r="8115" spans="8:10">
      <c r="H8115"/>
      <c r="I8115"/>
      <c r="J8115" s="68"/>
    </row>
    <row r="8116" spans="8:10">
      <c r="H8116"/>
      <c r="I8116"/>
      <c r="J8116" s="68"/>
    </row>
    <row r="8117" spans="8:10">
      <c r="H8117"/>
      <c r="I8117"/>
      <c r="J8117" s="68"/>
    </row>
    <row r="8118" spans="8:10">
      <c r="H8118"/>
      <c r="I8118"/>
      <c r="J8118" s="68"/>
    </row>
    <row r="8119" spans="8:10">
      <c r="H8119"/>
      <c r="I8119"/>
      <c r="J8119" s="68"/>
    </row>
    <row r="8120" spans="8:10">
      <c r="H8120"/>
      <c r="I8120"/>
      <c r="J8120" s="68"/>
    </row>
    <row r="8121" spans="8:10">
      <c r="H8121"/>
      <c r="I8121"/>
      <c r="J8121" s="68"/>
    </row>
    <row r="8122" spans="8:10">
      <c r="H8122"/>
      <c r="I8122"/>
      <c r="J8122" s="68"/>
    </row>
    <row r="8123" spans="8:10">
      <c r="H8123"/>
      <c r="I8123"/>
      <c r="J8123" s="68"/>
    </row>
    <row r="8124" spans="8:10">
      <c r="H8124"/>
      <c r="I8124"/>
      <c r="J8124" s="68"/>
    </row>
    <row r="8125" spans="8:10">
      <c r="H8125"/>
      <c r="I8125"/>
      <c r="J8125" s="68"/>
    </row>
    <row r="8126" spans="8:10">
      <c r="H8126"/>
      <c r="I8126"/>
      <c r="J8126" s="68"/>
    </row>
    <row r="8127" spans="8:10">
      <c r="H8127"/>
      <c r="I8127"/>
      <c r="J8127" s="68"/>
    </row>
    <row r="8128" spans="8:10">
      <c r="H8128"/>
      <c r="I8128"/>
      <c r="J8128" s="68"/>
    </row>
    <row r="8129" spans="8:10">
      <c r="H8129"/>
      <c r="I8129"/>
      <c r="J8129" s="68"/>
    </row>
    <row r="8130" spans="8:10">
      <c r="H8130"/>
      <c r="I8130"/>
      <c r="J8130" s="68"/>
    </row>
    <row r="8131" spans="8:10">
      <c r="H8131"/>
      <c r="I8131"/>
      <c r="J8131" s="68"/>
    </row>
    <row r="8132" spans="8:10">
      <c r="H8132"/>
      <c r="I8132"/>
      <c r="J8132" s="68"/>
    </row>
    <row r="8133" spans="8:10">
      <c r="H8133"/>
      <c r="I8133"/>
      <c r="J8133" s="68"/>
    </row>
    <row r="8134" spans="8:10">
      <c r="H8134"/>
      <c r="I8134"/>
      <c r="J8134" s="68"/>
    </row>
    <row r="8135" spans="8:10">
      <c r="H8135"/>
      <c r="I8135"/>
      <c r="J8135" s="68"/>
    </row>
    <row r="8136" spans="8:10">
      <c r="H8136"/>
      <c r="I8136"/>
      <c r="J8136" s="68"/>
    </row>
    <row r="8137" spans="8:10">
      <c r="H8137"/>
      <c r="I8137"/>
      <c r="J8137" s="68"/>
    </row>
    <row r="8138" spans="8:10">
      <c r="H8138"/>
      <c r="I8138"/>
      <c r="J8138" s="68"/>
    </row>
    <row r="8139" spans="8:10">
      <c r="H8139"/>
      <c r="I8139"/>
      <c r="J8139" s="68"/>
    </row>
    <row r="8140" spans="8:10">
      <c r="H8140"/>
      <c r="I8140"/>
      <c r="J8140" s="68"/>
    </row>
    <row r="8141" spans="8:10">
      <c r="H8141"/>
      <c r="I8141"/>
      <c r="J8141" s="68"/>
    </row>
    <row r="8142" spans="8:10">
      <c r="H8142"/>
      <c r="I8142"/>
      <c r="J8142" s="68"/>
    </row>
    <row r="8143" spans="8:10">
      <c r="H8143"/>
      <c r="I8143"/>
      <c r="J8143" s="68"/>
    </row>
    <row r="8144" spans="8:10">
      <c r="H8144"/>
      <c r="I8144"/>
      <c r="J8144" s="68"/>
    </row>
    <row r="8145" spans="8:10">
      <c r="H8145"/>
      <c r="I8145"/>
      <c r="J8145" s="68"/>
    </row>
    <row r="8146" spans="8:10">
      <c r="H8146"/>
      <c r="I8146"/>
      <c r="J8146" s="68"/>
    </row>
    <row r="8147" spans="8:10">
      <c r="H8147"/>
      <c r="I8147"/>
      <c r="J8147" s="68"/>
    </row>
    <row r="8148" spans="8:10">
      <c r="H8148"/>
      <c r="I8148"/>
      <c r="J8148" s="68"/>
    </row>
    <row r="8149" spans="8:10">
      <c r="H8149"/>
      <c r="I8149"/>
      <c r="J8149" s="68"/>
    </row>
    <row r="8150" spans="8:10">
      <c r="H8150"/>
      <c r="I8150"/>
      <c r="J8150" s="68"/>
    </row>
    <row r="8151" spans="8:10">
      <c r="H8151"/>
      <c r="I8151"/>
      <c r="J8151" s="68"/>
    </row>
    <row r="8152" spans="8:10">
      <c r="H8152"/>
      <c r="I8152"/>
      <c r="J8152" s="68"/>
    </row>
    <row r="8153" spans="8:10">
      <c r="H8153"/>
      <c r="I8153"/>
      <c r="J8153" s="68"/>
    </row>
    <row r="8154" spans="8:10">
      <c r="H8154"/>
      <c r="I8154"/>
      <c r="J8154" s="68"/>
    </row>
    <row r="8155" spans="8:10">
      <c r="H8155"/>
      <c r="I8155"/>
      <c r="J8155" s="68"/>
    </row>
    <row r="8156" spans="8:10">
      <c r="H8156"/>
      <c r="I8156"/>
      <c r="J8156" s="68"/>
    </row>
    <row r="8157" spans="8:10">
      <c r="H8157"/>
      <c r="I8157"/>
      <c r="J8157" s="68"/>
    </row>
    <row r="8158" spans="8:10">
      <c r="H8158"/>
      <c r="I8158"/>
      <c r="J8158" s="68"/>
    </row>
    <row r="8159" spans="8:10">
      <c r="H8159"/>
      <c r="I8159"/>
      <c r="J8159" s="68"/>
    </row>
    <row r="8160" spans="8:10">
      <c r="H8160"/>
      <c r="I8160"/>
      <c r="J8160" s="68"/>
    </row>
    <row r="8161" spans="8:10">
      <c r="H8161"/>
      <c r="I8161"/>
      <c r="J8161" s="68"/>
    </row>
    <row r="8162" spans="8:10">
      <c r="H8162"/>
      <c r="I8162"/>
      <c r="J8162" s="68"/>
    </row>
    <row r="8163" spans="8:10">
      <c r="H8163"/>
      <c r="I8163"/>
      <c r="J8163" s="68"/>
    </row>
    <row r="8164" spans="8:10">
      <c r="H8164"/>
      <c r="I8164"/>
      <c r="J8164" s="68"/>
    </row>
    <row r="8165" spans="8:10">
      <c r="H8165"/>
      <c r="I8165"/>
      <c r="J8165" s="68"/>
    </row>
    <row r="8166" spans="8:10">
      <c r="H8166"/>
      <c r="I8166"/>
      <c r="J8166" s="68"/>
    </row>
    <row r="8167" spans="8:10">
      <c r="H8167"/>
      <c r="I8167"/>
      <c r="J8167" s="68"/>
    </row>
    <row r="8168" spans="8:10">
      <c r="H8168"/>
      <c r="I8168"/>
      <c r="J8168" s="68"/>
    </row>
    <row r="8169" spans="8:10">
      <c r="H8169"/>
      <c r="I8169"/>
      <c r="J8169" s="68"/>
    </row>
    <row r="8170" spans="8:10">
      <c r="H8170"/>
      <c r="I8170"/>
      <c r="J8170" s="68"/>
    </row>
    <row r="8171" spans="8:10">
      <c r="H8171"/>
      <c r="I8171"/>
      <c r="J8171" s="68"/>
    </row>
    <row r="8172" spans="8:10">
      <c r="H8172"/>
      <c r="I8172"/>
      <c r="J8172" s="68"/>
    </row>
    <row r="8173" spans="8:10">
      <c r="H8173"/>
      <c r="I8173"/>
      <c r="J8173" s="68"/>
    </row>
    <row r="8174" spans="8:10">
      <c r="H8174"/>
      <c r="I8174"/>
      <c r="J8174" s="68"/>
    </row>
    <row r="8175" spans="8:10">
      <c r="H8175"/>
      <c r="I8175"/>
      <c r="J8175" s="68"/>
    </row>
    <row r="8176" spans="8:10">
      <c r="H8176"/>
      <c r="I8176"/>
      <c r="J8176" s="68"/>
    </row>
    <row r="8177" spans="8:10">
      <c r="H8177"/>
      <c r="I8177"/>
      <c r="J8177" s="68"/>
    </row>
    <row r="8178" spans="8:10">
      <c r="H8178"/>
      <c r="I8178"/>
      <c r="J8178" s="68"/>
    </row>
    <row r="8179" spans="8:10">
      <c r="H8179"/>
      <c r="I8179"/>
      <c r="J8179" s="68"/>
    </row>
    <row r="8180" spans="8:10">
      <c r="H8180"/>
      <c r="I8180"/>
      <c r="J8180" s="68"/>
    </row>
    <row r="8181" spans="8:10">
      <c r="H8181"/>
      <c r="I8181"/>
      <c r="J8181" s="68"/>
    </row>
    <row r="8182" spans="8:10">
      <c r="H8182"/>
      <c r="I8182"/>
      <c r="J8182" s="68"/>
    </row>
    <row r="8183" spans="8:10">
      <c r="H8183"/>
      <c r="I8183"/>
      <c r="J8183" s="68"/>
    </row>
    <row r="8184" spans="8:10">
      <c r="H8184"/>
      <c r="I8184"/>
      <c r="J8184" s="68"/>
    </row>
    <row r="8185" spans="8:10">
      <c r="H8185"/>
      <c r="I8185"/>
      <c r="J8185" s="68"/>
    </row>
    <row r="8186" spans="8:10">
      <c r="H8186"/>
      <c r="I8186"/>
      <c r="J8186" s="68"/>
    </row>
    <row r="8187" spans="8:10">
      <c r="H8187"/>
      <c r="I8187"/>
      <c r="J8187" s="68"/>
    </row>
    <row r="8188" spans="8:10">
      <c r="H8188"/>
      <c r="I8188"/>
      <c r="J8188" s="68"/>
    </row>
    <row r="8189" spans="8:10">
      <c r="H8189"/>
      <c r="I8189"/>
      <c r="J8189" s="68"/>
    </row>
    <row r="8190" spans="8:10">
      <c r="H8190"/>
      <c r="I8190"/>
      <c r="J8190" s="68"/>
    </row>
    <row r="8191" spans="8:10">
      <c r="H8191"/>
      <c r="I8191"/>
      <c r="J8191" s="68"/>
    </row>
    <row r="8192" spans="8:10">
      <c r="H8192"/>
      <c r="I8192"/>
      <c r="J8192" s="68"/>
    </row>
    <row r="8193" spans="8:10">
      <c r="H8193"/>
      <c r="I8193"/>
      <c r="J8193" s="68"/>
    </row>
    <row r="8194" spans="8:10">
      <c r="H8194"/>
      <c r="I8194"/>
      <c r="J8194" s="68"/>
    </row>
    <row r="8195" spans="8:10">
      <c r="H8195"/>
      <c r="I8195"/>
      <c r="J8195" s="68"/>
    </row>
    <row r="8196" spans="8:10">
      <c r="H8196"/>
      <c r="I8196"/>
      <c r="J8196" s="68"/>
    </row>
    <row r="8197" spans="8:10">
      <c r="H8197"/>
      <c r="I8197"/>
      <c r="J8197" s="68"/>
    </row>
    <row r="8198" spans="8:10">
      <c r="H8198"/>
      <c r="I8198"/>
      <c r="J8198" s="68"/>
    </row>
    <row r="8199" spans="8:10">
      <c r="H8199"/>
      <c r="I8199"/>
      <c r="J8199" s="68"/>
    </row>
    <row r="8200" spans="8:10">
      <c r="H8200"/>
      <c r="I8200"/>
      <c r="J8200" s="68"/>
    </row>
    <row r="8201" spans="8:10">
      <c r="H8201"/>
      <c r="I8201"/>
      <c r="J8201" s="68"/>
    </row>
    <row r="8202" spans="8:10">
      <c r="H8202"/>
      <c r="I8202"/>
      <c r="J8202" s="68"/>
    </row>
    <row r="8203" spans="8:10">
      <c r="H8203"/>
      <c r="I8203"/>
      <c r="J8203" s="68"/>
    </row>
    <row r="8204" spans="8:10">
      <c r="H8204"/>
      <c r="I8204"/>
      <c r="J8204" s="68"/>
    </row>
    <row r="8205" spans="8:10">
      <c r="H8205"/>
      <c r="I8205"/>
      <c r="J8205" s="68"/>
    </row>
    <row r="8206" spans="8:10">
      <c r="H8206"/>
      <c r="I8206"/>
      <c r="J8206" s="68"/>
    </row>
    <row r="8207" spans="8:10">
      <c r="H8207"/>
      <c r="I8207"/>
      <c r="J8207" s="68"/>
    </row>
    <row r="8208" spans="8:10">
      <c r="H8208"/>
      <c r="I8208"/>
      <c r="J8208" s="68"/>
    </row>
    <row r="8209" spans="8:10">
      <c r="H8209"/>
      <c r="I8209"/>
      <c r="J8209" s="68"/>
    </row>
    <row r="8210" spans="8:10">
      <c r="H8210"/>
      <c r="I8210"/>
      <c r="J8210" s="68"/>
    </row>
    <row r="8211" spans="8:10">
      <c r="H8211"/>
      <c r="I8211"/>
      <c r="J8211" s="68"/>
    </row>
    <row r="8212" spans="8:10">
      <c r="H8212"/>
      <c r="I8212"/>
      <c r="J8212" s="68"/>
    </row>
    <row r="8213" spans="8:10">
      <c r="H8213"/>
      <c r="I8213"/>
      <c r="J8213" s="68"/>
    </row>
    <row r="8214" spans="8:10">
      <c r="H8214"/>
      <c r="I8214"/>
      <c r="J8214" s="68"/>
    </row>
    <row r="8215" spans="8:10">
      <c r="H8215"/>
      <c r="I8215"/>
      <c r="J8215" s="68"/>
    </row>
    <row r="8216" spans="8:10">
      <c r="H8216"/>
      <c r="I8216"/>
      <c r="J8216" s="68"/>
    </row>
    <row r="8217" spans="8:10">
      <c r="H8217"/>
      <c r="I8217"/>
      <c r="J8217" s="68"/>
    </row>
    <row r="8218" spans="8:10">
      <c r="H8218"/>
      <c r="I8218"/>
      <c r="J8218" s="68"/>
    </row>
    <row r="8219" spans="8:10">
      <c r="H8219"/>
      <c r="I8219"/>
      <c r="J8219" s="68"/>
    </row>
    <row r="8220" spans="8:10">
      <c r="H8220"/>
      <c r="I8220"/>
      <c r="J8220" s="68"/>
    </row>
    <row r="8221" spans="8:10">
      <c r="H8221"/>
      <c r="I8221"/>
      <c r="J8221" s="68"/>
    </row>
    <row r="8222" spans="8:10">
      <c r="H8222"/>
      <c r="I8222"/>
      <c r="J8222" s="68"/>
    </row>
    <row r="8223" spans="8:10">
      <c r="H8223"/>
      <c r="I8223"/>
      <c r="J8223" s="68"/>
    </row>
    <row r="8224" spans="8:10">
      <c r="H8224"/>
      <c r="I8224"/>
      <c r="J8224" s="68"/>
    </row>
    <row r="8225" spans="8:10">
      <c r="H8225"/>
      <c r="I8225"/>
      <c r="J8225" s="68"/>
    </row>
    <row r="8226" spans="8:10">
      <c r="H8226"/>
      <c r="I8226"/>
      <c r="J8226" s="68"/>
    </row>
    <row r="8227" spans="8:10">
      <c r="H8227"/>
      <c r="I8227"/>
      <c r="J8227" s="68"/>
    </row>
    <row r="8228" spans="8:10">
      <c r="H8228"/>
      <c r="I8228"/>
      <c r="J8228" s="68"/>
    </row>
    <row r="8229" spans="8:10">
      <c r="H8229"/>
      <c r="I8229"/>
      <c r="J8229" s="68"/>
    </row>
    <row r="8230" spans="8:10">
      <c r="H8230"/>
      <c r="I8230"/>
      <c r="J8230" s="68"/>
    </row>
    <row r="8231" spans="8:10">
      <c r="H8231"/>
      <c r="I8231"/>
      <c r="J8231" s="68"/>
    </row>
    <row r="8232" spans="8:10">
      <c r="H8232"/>
      <c r="I8232"/>
      <c r="J8232" s="68"/>
    </row>
    <row r="8233" spans="8:10">
      <c r="H8233"/>
      <c r="I8233"/>
      <c r="J8233" s="68"/>
    </row>
    <row r="8234" spans="8:10">
      <c r="H8234"/>
      <c r="I8234"/>
      <c r="J8234" s="68"/>
    </row>
    <row r="8235" spans="8:10">
      <c r="H8235"/>
      <c r="I8235"/>
      <c r="J8235" s="68"/>
    </row>
    <row r="8236" spans="8:10">
      <c r="H8236"/>
      <c r="I8236"/>
      <c r="J8236" s="68"/>
    </row>
    <row r="8237" spans="8:10">
      <c r="H8237"/>
      <c r="I8237"/>
      <c r="J8237" s="68"/>
    </row>
    <row r="8238" spans="8:10">
      <c r="H8238"/>
      <c r="I8238"/>
      <c r="J8238" s="68"/>
    </row>
    <row r="8239" spans="8:10">
      <c r="H8239"/>
      <c r="I8239"/>
      <c r="J8239" s="68"/>
    </row>
    <row r="8240" spans="8:10">
      <c r="H8240"/>
      <c r="I8240"/>
      <c r="J8240" s="68"/>
    </row>
    <row r="8241" spans="8:10">
      <c r="H8241"/>
      <c r="I8241"/>
      <c r="J8241" s="68"/>
    </row>
    <row r="8242" spans="8:10">
      <c r="H8242"/>
      <c r="I8242"/>
      <c r="J8242" s="68"/>
    </row>
    <row r="8243" spans="8:10">
      <c r="H8243"/>
      <c r="I8243"/>
      <c r="J8243" s="68"/>
    </row>
    <row r="8244" spans="8:10">
      <c r="H8244"/>
      <c r="I8244"/>
      <c r="J8244" s="68"/>
    </row>
    <row r="8245" spans="8:10">
      <c r="H8245"/>
      <c r="I8245"/>
      <c r="J8245" s="68"/>
    </row>
    <row r="8246" spans="8:10">
      <c r="H8246"/>
      <c r="I8246"/>
      <c r="J8246" s="68"/>
    </row>
    <row r="8247" spans="8:10">
      <c r="H8247"/>
      <c r="I8247"/>
      <c r="J8247" s="68"/>
    </row>
    <row r="8248" spans="8:10">
      <c r="H8248"/>
      <c r="I8248"/>
      <c r="J8248" s="68"/>
    </row>
    <row r="8249" spans="8:10">
      <c r="H8249"/>
      <c r="I8249"/>
      <c r="J8249" s="68"/>
    </row>
    <row r="8250" spans="8:10">
      <c r="H8250"/>
      <c r="I8250"/>
      <c r="J8250" s="68"/>
    </row>
    <row r="8251" spans="8:10">
      <c r="H8251"/>
      <c r="I8251"/>
      <c r="J8251" s="68"/>
    </row>
    <row r="8252" spans="8:10">
      <c r="H8252"/>
      <c r="I8252"/>
      <c r="J8252" s="68"/>
    </row>
    <row r="8253" spans="8:10">
      <c r="H8253"/>
      <c r="I8253"/>
      <c r="J8253" s="68"/>
    </row>
    <row r="8254" spans="8:10">
      <c r="H8254"/>
      <c r="I8254"/>
      <c r="J8254" s="68"/>
    </row>
    <row r="8255" spans="8:10">
      <c r="H8255"/>
      <c r="I8255"/>
      <c r="J8255" s="68"/>
    </row>
    <row r="8256" spans="8:10">
      <c r="H8256"/>
      <c r="I8256"/>
      <c r="J8256" s="68"/>
    </row>
    <row r="8257" spans="8:10">
      <c r="H8257"/>
      <c r="I8257"/>
      <c r="J8257" s="68"/>
    </row>
    <row r="8258" spans="8:10">
      <c r="H8258"/>
      <c r="I8258"/>
      <c r="J8258" s="68"/>
    </row>
    <row r="8259" spans="8:10">
      <c r="H8259"/>
      <c r="I8259"/>
      <c r="J8259" s="68"/>
    </row>
    <row r="8260" spans="8:10">
      <c r="H8260"/>
      <c r="I8260"/>
      <c r="J8260" s="68"/>
    </row>
    <row r="8261" spans="8:10">
      <c r="H8261"/>
      <c r="I8261"/>
      <c r="J8261" s="68"/>
    </row>
    <row r="8262" spans="8:10">
      <c r="H8262"/>
      <c r="I8262"/>
      <c r="J8262" s="68"/>
    </row>
    <row r="8263" spans="8:10">
      <c r="H8263"/>
      <c r="I8263"/>
      <c r="J8263" s="68"/>
    </row>
    <row r="8264" spans="8:10">
      <c r="H8264"/>
      <c r="I8264"/>
      <c r="J8264" s="68"/>
    </row>
    <row r="8265" spans="8:10">
      <c r="H8265"/>
      <c r="I8265"/>
      <c r="J8265" s="68"/>
    </row>
    <row r="8266" spans="8:10">
      <c r="H8266"/>
      <c r="I8266"/>
      <c r="J8266" s="68"/>
    </row>
    <row r="8267" spans="8:10">
      <c r="H8267"/>
      <c r="I8267"/>
      <c r="J8267" s="68"/>
    </row>
    <row r="8268" spans="8:10">
      <c r="H8268"/>
      <c r="I8268"/>
      <c r="J8268" s="68"/>
    </row>
    <row r="8269" spans="8:10">
      <c r="H8269"/>
      <c r="I8269"/>
      <c r="J8269" s="68"/>
    </row>
    <row r="8270" spans="8:10">
      <c r="H8270"/>
      <c r="I8270"/>
      <c r="J8270" s="68"/>
    </row>
    <row r="8271" spans="8:10">
      <c r="H8271"/>
      <c r="I8271"/>
      <c r="J8271" s="68"/>
    </row>
    <row r="8272" spans="8:10">
      <c r="H8272"/>
      <c r="I8272"/>
      <c r="J8272" s="68"/>
    </row>
    <row r="8273" spans="8:10">
      <c r="H8273"/>
      <c r="I8273"/>
      <c r="J8273" s="68"/>
    </row>
    <row r="8274" spans="8:10">
      <c r="H8274"/>
      <c r="I8274"/>
      <c r="J8274" s="68"/>
    </row>
    <row r="8275" spans="8:10">
      <c r="H8275"/>
      <c r="I8275"/>
      <c r="J8275" s="68"/>
    </row>
    <row r="8276" spans="8:10">
      <c r="H8276"/>
      <c r="I8276"/>
      <c r="J8276" s="68"/>
    </row>
    <row r="8277" spans="8:10">
      <c r="H8277"/>
      <c r="I8277"/>
      <c r="J8277" s="68"/>
    </row>
    <row r="8278" spans="8:10">
      <c r="H8278"/>
      <c r="I8278"/>
      <c r="J8278" s="68"/>
    </row>
    <row r="8279" spans="8:10">
      <c r="H8279"/>
      <c r="I8279"/>
      <c r="J8279" s="68"/>
    </row>
    <row r="8280" spans="8:10">
      <c r="H8280"/>
      <c r="I8280"/>
      <c r="J8280" s="68"/>
    </row>
    <row r="8281" spans="8:10">
      <c r="H8281"/>
      <c r="I8281"/>
      <c r="J8281" s="68"/>
    </row>
    <row r="8282" spans="8:10">
      <c r="H8282"/>
      <c r="I8282"/>
      <c r="J8282" s="68"/>
    </row>
    <row r="8283" spans="8:10">
      <c r="H8283"/>
      <c r="I8283"/>
      <c r="J8283" s="68"/>
    </row>
    <row r="8284" spans="8:10">
      <c r="H8284"/>
      <c r="I8284"/>
      <c r="J8284" s="68"/>
    </row>
    <row r="8285" spans="8:10">
      <c r="H8285"/>
      <c r="I8285"/>
      <c r="J8285" s="68"/>
    </row>
    <row r="8286" spans="8:10">
      <c r="H8286"/>
      <c r="I8286"/>
      <c r="J8286" s="68"/>
    </row>
    <row r="8287" spans="8:10">
      <c r="H8287"/>
      <c r="I8287"/>
      <c r="J8287" s="68"/>
    </row>
    <row r="8288" spans="8:10">
      <c r="H8288"/>
      <c r="I8288"/>
      <c r="J8288" s="68"/>
    </row>
    <row r="8289" spans="8:10">
      <c r="H8289"/>
      <c r="I8289"/>
      <c r="J8289" s="68"/>
    </row>
    <row r="8290" spans="8:10">
      <c r="H8290"/>
      <c r="I8290"/>
      <c r="J8290" s="68"/>
    </row>
    <row r="8291" spans="8:10">
      <c r="H8291"/>
      <c r="I8291"/>
      <c r="J8291" s="68"/>
    </row>
    <row r="8292" spans="8:10">
      <c r="H8292"/>
      <c r="I8292"/>
      <c r="J8292" s="68"/>
    </row>
    <row r="8293" spans="8:10">
      <c r="H8293"/>
      <c r="I8293"/>
      <c r="J8293" s="68"/>
    </row>
    <row r="8294" spans="8:10">
      <c r="H8294"/>
      <c r="I8294"/>
      <c r="J8294" s="68"/>
    </row>
    <row r="8295" spans="8:10">
      <c r="H8295"/>
      <c r="I8295"/>
      <c r="J8295" s="68"/>
    </row>
    <row r="8296" spans="8:10">
      <c r="H8296"/>
      <c r="I8296"/>
      <c r="J8296" s="68"/>
    </row>
    <row r="8297" spans="8:10">
      <c r="H8297"/>
      <c r="I8297"/>
      <c r="J8297" s="68"/>
    </row>
    <row r="8298" spans="8:10">
      <c r="H8298"/>
      <c r="I8298"/>
      <c r="J8298" s="68"/>
    </row>
    <row r="8299" spans="8:10">
      <c r="H8299"/>
      <c r="I8299"/>
      <c r="J8299" s="68"/>
    </row>
    <row r="8300" spans="8:10">
      <c r="H8300"/>
      <c r="I8300"/>
      <c r="J8300" s="68"/>
    </row>
    <row r="8301" spans="8:10">
      <c r="H8301"/>
      <c r="I8301"/>
      <c r="J8301" s="68"/>
    </row>
    <row r="8302" spans="8:10">
      <c r="H8302"/>
      <c r="I8302"/>
      <c r="J8302" s="68"/>
    </row>
    <row r="8303" spans="8:10">
      <c r="H8303"/>
      <c r="I8303"/>
      <c r="J8303" s="68"/>
    </row>
    <row r="8304" spans="8:10">
      <c r="H8304"/>
      <c r="I8304"/>
      <c r="J8304" s="68"/>
    </row>
    <row r="8305" spans="8:10">
      <c r="H8305"/>
      <c r="I8305"/>
      <c r="J8305" s="68"/>
    </row>
    <row r="8306" spans="8:10">
      <c r="H8306"/>
      <c r="I8306"/>
      <c r="J8306" s="68"/>
    </row>
    <row r="8307" spans="8:10">
      <c r="H8307"/>
      <c r="I8307"/>
      <c r="J8307" s="68"/>
    </row>
    <row r="8308" spans="8:10">
      <c r="H8308"/>
      <c r="I8308"/>
      <c r="J8308" s="68"/>
    </row>
    <row r="8309" spans="8:10">
      <c r="H8309"/>
      <c r="I8309"/>
      <c r="J8309" s="68"/>
    </row>
    <row r="8310" spans="8:10">
      <c r="H8310"/>
      <c r="I8310"/>
      <c r="J8310" s="68"/>
    </row>
    <row r="8311" spans="8:10">
      <c r="H8311"/>
      <c r="I8311"/>
      <c r="J8311" s="68"/>
    </row>
    <row r="8312" spans="8:10">
      <c r="H8312"/>
      <c r="I8312"/>
      <c r="J8312" s="68"/>
    </row>
    <row r="8313" spans="8:10">
      <c r="H8313"/>
      <c r="I8313"/>
      <c r="J8313" s="68"/>
    </row>
    <row r="8314" spans="8:10">
      <c r="H8314"/>
      <c r="I8314"/>
      <c r="J8314" s="68"/>
    </row>
    <row r="8315" spans="8:10">
      <c r="H8315"/>
      <c r="I8315"/>
      <c r="J8315" s="68"/>
    </row>
    <row r="8316" spans="8:10">
      <c r="H8316"/>
      <c r="I8316"/>
      <c r="J8316" s="68"/>
    </row>
    <row r="8317" spans="8:10">
      <c r="H8317"/>
      <c r="I8317"/>
      <c r="J8317" s="68"/>
    </row>
    <row r="8318" spans="8:10">
      <c r="H8318"/>
      <c r="I8318"/>
      <c r="J8318" s="68"/>
    </row>
    <row r="8319" spans="8:10">
      <c r="H8319"/>
      <c r="I8319"/>
      <c r="J8319" s="68"/>
    </row>
    <row r="8320" spans="8:10">
      <c r="H8320"/>
      <c r="I8320"/>
      <c r="J8320" s="68"/>
    </row>
    <row r="8321" spans="8:10">
      <c r="H8321"/>
      <c r="I8321"/>
      <c r="J8321" s="68"/>
    </row>
    <row r="8322" spans="8:10">
      <c r="H8322"/>
      <c r="I8322"/>
      <c r="J8322" s="68"/>
    </row>
    <row r="8323" spans="8:10">
      <c r="H8323"/>
      <c r="I8323"/>
      <c r="J8323" s="68"/>
    </row>
    <row r="8324" spans="8:10">
      <c r="H8324"/>
      <c r="I8324"/>
      <c r="J8324" s="68"/>
    </row>
    <row r="8325" spans="8:10">
      <c r="H8325"/>
      <c r="I8325"/>
      <c r="J8325" s="68"/>
    </row>
    <row r="8326" spans="8:10">
      <c r="H8326"/>
      <c r="I8326"/>
      <c r="J8326" s="68"/>
    </row>
    <row r="8327" spans="8:10">
      <c r="H8327"/>
      <c r="I8327"/>
      <c r="J8327" s="68"/>
    </row>
    <row r="8328" spans="8:10">
      <c r="H8328"/>
      <c r="I8328"/>
      <c r="J8328" s="68"/>
    </row>
    <row r="8329" spans="8:10">
      <c r="H8329"/>
      <c r="I8329"/>
      <c r="J8329" s="68"/>
    </row>
    <row r="8330" spans="8:10">
      <c r="H8330"/>
      <c r="I8330"/>
      <c r="J8330" s="68"/>
    </row>
    <row r="8331" spans="8:10">
      <c r="H8331"/>
      <c r="I8331"/>
      <c r="J8331" s="68"/>
    </row>
    <row r="8332" spans="8:10">
      <c r="H8332"/>
      <c r="I8332"/>
      <c r="J8332" s="68"/>
    </row>
    <row r="8333" spans="8:10">
      <c r="H8333"/>
      <c r="I8333"/>
      <c r="J8333" s="68"/>
    </row>
    <row r="8334" spans="8:10">
      <c r="H8334"/>
      <c r="I8334"/>
      <c r="J8334" s="68"/>
    </row>
    <row r="8335" spans="8:10">
      <c r="H8335"/>
      <c r="I8335"/>
      <c r="J8335" s="68"/>
    </row>
    <row r="8336" spans="8:10">
      <c r="H8336"/>
      <c r="I8336"/>
      <c r="J8336" s="68"/>
    </row>
    <row r="8337" spans="8:10">
      <c r="H8337"/>
      <c r="I8337"/>
      <c r="J8337" s="68"/>
    </row>
    <row r="8338" spans="8:10">
      <c r="H8338"/>
      <c r="I8338"/>
      <c r="J8338" s="68"/>
    </row>
    <row r="8339" spans="8:10">
      <c r="H8339"/>
      <c r="I8339"/>
      <c r="J8339" s="68"/>
    </row>
    <row r="8340" spans="8:10">
      <c r="H8340"/>
      <c r="I8340"/>
      <c r="J8340" s="68"/>
    </row>
    <row r="8341" spans="8:10">
      <c r="H8341"/>
      <c r="I8341"/>
      <c r="J8341" s="68"/>
    </row>
    <row r="8342" spans="8:10">
      <c r="H8342"/>
      <c r="I8342"/>
      <c r="J8342" s="68"/>
    </row>
    <row r="8343" spans="8:10">
      <c r="H8343"/>
      <c r="I8343"/>
      <c r="J8343" s="68"/>
    </row>
    <row r="8344" spans="8:10">
      <c r="H8344"/>
      <c r="I8344"/>
      <c r="J8344" s="68"/>
    </row>
    <row r="8345" spans="8:10">
      <c r="H8345"/>
      <c r="I8345"/>
      <c r="J8345" s="68"/>
    </row>
    <row r="8346" spans="8:10">
      <c r="H8346"/>
      <c r="I8346"/>
      <c r="J8346" s="68"/>
    </row>
    <row r="8347" spans="8:10">
      <c r="H8347"/>
      <c r="I8347"/>
      <c r="J8347" s="68"/>
    </row>
    <row r="8348" spans="8:10">
      <c r="H8348"/>
      <c r="I8348"/>
      <c r="J8348" s="68"/>
    </row>
    <row r="8349" spans="8:10">
      <c r="H8349"/>
      <c r="I8349"/>
      <c r="J8349" s="68"/>
    </row>
    <row r="8350" spans="8:10">
      <c r="H8350"/>
      <c r="I8350"/>
      <c r="J8350" s="68"/>
    </row>
    <row r="8351" spans="8:10">
      <c r="H8351"/>
      <c r="I8351"/>
      <c r="J8351" s="68"/>
    </row>
    <row r="8352" spans="8:10">
      <c r="H8352"/>
      <c r="I8352"/>
      <c r="J8352" s="68"/>
    </row>
    <row r="8353" spans="8:10">
      <c r="H8353"/>
      <c r="I8353"/>
      <c r="J8353" s="68"/>
    </row>
    <row r="8354" spans="8:10">
      <c r="H8354"/>
      <c r="I8354"/>
      <c r="J8354" s="68"/>
    </row>
    <row r="8355" spans="8:10">
      <c r="H8355"/>
      <c r="I8355"/>
      <c r="J8355" s="68"/>
    </row>
    <row r="8356" spans="8:10">
      <c r="H8356"/>
      <c r="I8356"/>
      <c r="J8356" s="68"/>
    </row>
    <row r="8357" spans="8:10">
      <c r="H8357"/>
      <c r="I8357"/>
      <c r="J8357" s="68"/>
    </row>
    <row r="8358" spans="8:10">
      <c r="H8358"/>
      <c r="I8358"/>
      <c r="J8358" s="68"/>
    </row>
    <row r="8359" spans="8:10">
      <c r="H8359"/>
      <c r="I8359"/>
      <c r="J8359" s="68"/>
    </row>
    <row r="8360" spans="8:10">
      <c r="H8360"/>
      <c r="I8360"/>
      <c r="J8360" s="68"/>
    </row>
    <row r="8361" spans="8:10">
      <c r="H8361"/>
      <c r="I8361"/>
      <c r="J8361" s="68"/>
    </row>
    <row r="8362" spans="8:10">
      <c r="H8362"/>
      <c r="I8362"/>
      <c r="J8362" s="68"/>
    </row>
    <row r="8363" spans="8:10">
      <c r="H8363"/>
      <c r="I8363"/>
      <c r="J8363" s="68"/>
    </row>
    <row r="8364" spans="8:10">
      <c r="H8364"/>
      <c r="I8364"/>
      <c r="J8364" s="68"/>
    </row>
    <row r="8365" spans="8:10">
      <c r="H8365"/>
      <c r="I8365"/>
      <c r="J8365" s="68"/>
    </row>
    <row r="8366" spans="8:10">
      <c r="H8366"/>
      <c r="I8366"/>
      <c r="J8366" s="68"/>
    </row>
    <row r="8367" spans="8:10">
      <c r="H8367"/>
      <c r="I8367"/>
      <c r="J8367" s="68"/>
    </row>
    <row r="8368" spans="8:10">
      <c r="H8368"/>
      <c r="I8368"/>
      <c r="J8368" s="68"/>
    </row>
    <row r="8369" spans="8:10">
      <c r="H8369"/>
      <c r="I8369"/>
      <c r="J8369" s="68"/>
    </row>
    <row r="8370" spans="8:10">
      <c r="H8370"/>
      <c r="I8370"/>
      <c r="J8370" s="68"/>
    </row>
    <row r="8371" spans="8:10">
      <c r="H8371"/>
      <c r="I8371"/>
      <c r="J8371" s="68"/>
    </row>
    <row r="8372" spans="8:10">
      <c r="H8372"/>
      <c r="I8372"/>
      <c r="J8372" s="68"/>
    </row>
    <row r="8373" spans="8:10">
      <c r="H8373"/>
      <c r="I8373"/>
      <c r="J8373" s="68"/>
    </row>
    <row r="8374" spans="8:10">
      <c r="H8374"/>
      <c r="I8374"/>
      <c r="J8374" s="68"/>
    </row>
    <row r="8375" spans="8:10">
      <c r="H8375"/>
      <c r="I8375"/>
      <c r="J8375" s="68"/>
    </row>
    <row r="8376" spans="8:10">
      <c r="H8376"/>
      <c r="I8376"/>
      <c r="J8376" s="68"/>
    </row>
    <row r="8377" spans="8:10">
      <c r="H8377"/>
      <c r="I8377"/>
      <c r="J8377" s="68"/>
    </row>
    <row r="8378" spans="8:10">
      <c r="H8378"/>
      <c r="I8378"/>
      <c r="J8378" s="68"/>
    </row>
    <row r="8379" spans="8:10">
      <c r="H8379"/>
      <c r="I8379"/>
      <c r="J8379" s="68"/>
    </row>
    <row r="8380" spans="8:10">
      <c r="H8380"/>
      <c r="I8380"/>
      <c r="J8380" s="68"/>
    </row>
    <row r="8381" spans="8:10">
      <c r="H8381"/>
      <c r="I8381"/>
      <c r="J8381" s="68"/>
    </row>
    <row r="8382" spans="8:10">
      <c r="H8382"/>
      <c r="I8382"/>
      <c r="J8382" s="68"/>
    </row>
    <row r="8383" spans="8:10">
      <c r="H8383"/>
      <c r="I8383"/>
      <c r="J8383" s="68"/>
    </row>
    <row r="8384" spans="8:10">
      <c r="H8384"/>
      <c r="I8384"/>
      <c r="J8384" s="68"/>
    </row>
    <row r="8385" spans="8:10">
      <c r="H8385"/>
      <c r="I8385"/>
      <c r="J8385" s="68"/>
    </row>
    <row r="8386" spans="8:10">
      <c r="H8386"/>
      <c r="I8386"/>
      <c r="J8386" s="68"/>
    </row>
    <row r="8387" spans="8:10">
      <c r="H8387"/>
      <c r="I8387"/>
      <c r="J8387" s="68"/>
    </row>
    <row r="8388" spans="8:10">
      <c r="H8388"/>
      <c r="I8388"/>
      <c r="J8388" s="68"/>
    </row>
    <row r="8389" spans="8:10">
      <c r="H8389"/>
      <c r="I8389"/>
      <c r="J8389" s="68"/>
    </row>
    <row r="8390" spans="8:10">
      <c r="H8390"/>
      <c r="I8390"/>
      <c r="J8390" s="68"/>
    </row>
    <row r="8391" spans="8:10">
      <c r="H8391"/>
      <c r="I8391"/>
      <c r="J8391" s="68"/>
    </row>
    <row r="8392" spans="8:10">
      <c r="H8392"/>
      <c r="I8392"/>
      <c r="J8392" s="68"/>
    </row>
    <row r="8393" spans="8:10">
      <c r="H8393"/>
      <c r="I8393"/>
      <c r="J8393" s="68"/>
    </row>
    <row r="8394" spans="8:10">
      <c r="H8394"/>
      <c r="I8394"/>
      <c r="J8394" s="68"/>
    </row>
    <row r="8395" spans="8:10">
      <c r="H8395"/>
      <c r="I8395"/>
      <c r="J8395" s="68"/>
    </row>
    <row r="8396" spans="8:10">
      <c r="H8396"/>
      <c r="I8396"/>
      <c r="J8396" s="68"/>
    </row>
    <row r="8397" spans="8:10">
      <c r="H8397"/>
      <c r="I8397"/>
      <c r="J8397" s="68"/>
    </row>
    <row r="8398" spans="8:10">
      <c r="H8398"/>
      <c r="I8398"/>
      <c r="J8398" s="68"/>
    </row>
    <row r="8399" spans="8:10">
      <c r="H8399"/>
      <c r="I8399"/>
      <c r="J8399" s="68"/>
    </row>
    <row r="8400" spans="8:10">
      <c r="H8400"/>
      <c r="I8400"/>
      <c r="J8400" s="68"/>
    </row>
    <row r="8401" spans="8:10">
      <c r="H8401"/>
      <c r="I8401"/>
      <c r="J8401" s="68"/>
    </row>
    <row r="8402" spans="8:10">
      <c r="H8402"/>
      <c r="I8402"/>
      <c r="J8402" s="68"/>
    </row>
    <row r="8403" spans="8:10">
      <c r="H8403"/>
      <c r="I8403"/>
      <c r="J8403" s="68"/>
    </row>
    <row r="8404" spans="8:10">
      <c r="H8404"/>
      <c r="I8404"/>
      <c r="J8404" s="68"/>
    </row>
    <row r="8405" spans="8:10">
      <c r="H8405"/>
      <c r="I8405"/>
      <c r="J8405" s="68"/>
    </row>
    <row r="8406" spans="8:10">
      <c r="H8406"/>
      <c r="I8406"/>
      <c r="J8406" s="68"/>
    </row>
    <row r="8407" spans="8:10">
      <c r="H8407"/>
      <c r="I8407"/>
      <c r="J8407" s="68"/>
    </row>
    <row r="8408" spans="8:10">
      <c r="H8408"/>
      <c r="I8408"/>
      <c r="J8408" s="68"/>
    </row>
    <row r="8409" spans="8:10">
      <c r="H8409"/>
      <c r="I8409"/>
      <c r="J8409" s="68"/>
    </row>
    <row r="8410" spans="8:10">
      <c r="H8410"/>
      <c r="I8410"/>
      <c r="J8410" s="68"/>
    </row>
    <row r="8411" spans="8:10">
      <c r="H8411"/>
      <c r="I8411"/>
      <c r="J8411" s="68"/>
    </row>
    <row r="8412" spans="8:10">
      <c r="H8412"/>
      <c r="I8412"/>
      <c r="J8412" s="68"/>
    </row>
    <row r="8413" spans="8:10">
      <c r="H8413"/>
      <c r="I8413"/>
      <c r="J8413" s="68"/>
    </row>
    <row r="8414" spans="8:10">
      <c r="H8414"/>
      <c r="I8414"/>
      <c r="J8414" s="68"/>
    </row>
    <row r="8415" spans="8:10">
      <c r="H8415"/>
      <c r="I8415"/>
      <c r="J8415" s="68"/>
    </row>
    <row r="8416" spans="8:10">
      <c r="H8416"/>
      <c r="I8416"/>
      <c r="J8416" s="68"/>
    </row>
    <row r="8417" spans="8:10">
      <c r="H8417"/>
      <c r="I8417"/>
      <c r="J8417" s="68"/>
    </row>
    <row r="8418" spans="8:10">
      <c r="H8418"/>
      <c r="I8418"/>
      <c r="J8418" s="68"/>
    </row>
    <row r="8419" spans="8:10">
      <c r="H8419"/>
      <c r="I8419"/>
      <c r="J8419" s="68"/>
    </row>
    <row r="8420" spans="8:10">
      <c r="H8420"/>
      <c r="I8420"/>
      <c r="J8420" s="68"/>
    </row>
    <row r="8421" spans="8:10">
      <c r="H8421"/>
      <c r="I8421"/>
      <c r="J8421" s="68"/>
    </row>
    <row r="8422" spans="8:10">
      <c r="H8422"/>
      <c r="I8422"/>
      <c r="J8422" s="68"/>
    </row>
    <row r="8423" spans="8:10">
      <c r="H8423"/>
      <c r="I8423"/>
      <c r="J8423" s="68"/>
    </row>
    <row r="8424" spans="8:10">
      <c r="H8424"/>
      <c r="I8424"/>
      <c r="J8424" s="68"/>
    </row>
    <row r="8425" spans="8:10">
      <c r="H8425"/>
      <c r="I8425"/>
      <c r="J8425" s="68"/>
    </row>
    <row r="8426" spans="8:10">
      <c r="H8426"/>
      <c r="I8426"/>
      <c r="J8426" s="68"/>
    </row>
    <row r="8427" spans="8:10">
      <c r="H8427"/>
      <c r="I8427"/>
      <c r="J8427" s="68"/>
    </row>
    <row r="8428" spans="8:10">
      <c r="H8428"/>
      <c r="I8428"/>
      <c r="J8428" s="68"/>
    </row>
    <row r="8429" spans="8:10">
      <c r="H8429"/>
      <c r="I8429"/>
      <c r="J8429" s="68"/>
    </row>
    <row r="8430" spans="8:10">
      <c r="H8430"/>
      <c r="I8430"/>
      <c r="J8430" s="68"/>
    </row>
    <row r="8431" spans="8:10">
      <c r="H8431"/>
      <c r="I8431"/>
      <c r="J8431" s="68"/>
    </row>
    <row r="8432" spans="8:10">
      <c r="H8432"/>
      <c r="I8432"/>
      <c r="J8432" s="68"/>
    </row>
    <row r="8433" spans="8:10">
      <c r="H8433"/>
      <c r="I8433"/>
      <c r="J8433" s="68"/>
    </row>
    <row r="8434" spans="8:10">
      <c r="H8434"/>
      <c r="I8434"/>
      <c r="J8434" s="68"/>
    </row>
    <row r="8435" spans="8:10">
      <c r="H8435"/>
      <c r="I8435"/>
      <c r="J8435" s="68"/>
    </row>
    <row r="8436" spans="8:10">
      <c r="H8436"/>
      <c r="I8436"/>
      <c r="J8436" s="68"/>
    </row>
    <row r="8437" spans="8:10">
      <c r="H8437"/>
      <c r="I8437"/>
      <c r="J8437" s="68"/>
    </row>
    <row r="8438" spans="8:10">
      <c r="H8438"/>
      <c r="I8438"/>
      <c r="J8438" s="68"/>
    </row>
    <row r="8439" spans="8:10">
      <c r="H8439"/>
      <c r="I8439"/>
      <c r="J8439" s="68"/>
    </row>
    <row r="8440" spans="8:10">
      <c r="H8440"/>
      <c r="I8440"/>
      <c r="J8440" s="68"/>
    </row>
    <row r="8441" spans="8:10">
      <c r="H8441"/>
      <c r="I8441"/>
      <c r="J8441" s="68"/>
    </row>
    <row r="8442" spans="8:10">
      <c r="H8442"/>
      <c r="I8442"/>
      <c r="J8442" s="68"/>
    </row>
    <row r="8443" spans="8:10">
      <c r="H8443"/>
      <c r="I8443"/>
      <c r="J8443" s="68"/>
    </row>
    <row r="8444" spans="8:10">
      <c r="H8444"/>
      <c r="I8444"/>
      <c r="J8444" s="68"/>
    </row>
    <row r="8445" spans="8:10">
      <c r="H8445"/>
      <c r="I8445"/>
      <c r="J8445" s="68"/>
    </row>
    <row r="8446" spans="8:10">
      <c r="H8446"/>
      <c r="I8446"/>
      <c r="J8446" s="68"/>
    </row>
    <row r="8447" spans="8:10">
      <c r="H8447"/>
      <c r="I8447"/>
      <c r="J8447" s="68"/>
    </row>
    <row r="8448" spans="8:10">
      <c r="H8448"/>
      <c r="I8448"/>
      <c r="J8448" s="68"/>
    </row>
    <row r="8449" spans="8:10">
      <c r="H8449"/>
      <c r="I8449"/>
      <c r="J8449" s="68"/>
    </row>
    <row r="8450" spans="8:10">
      <c r="H8450"/>
      <c r="I8450"/>
      <c r="J8450" s="68"/>
    </row>
    <row r="8451" spans="8:10">
      <c r="H8451"/>
      <c r="I8451"/>
      <c r="J8451" s="68"/>
    </row>
    <row r="8452" spans="8:10">
      <c r="H8452"/>
      <c r="I8452"/>
      <c r="J8452" s="68"/>
    </row>
    <row r="8453" spans="8:10">
      <c r="H8453"/>
      <c r="I8453"/>
      <c r="J8453" s="68"/>
    </row>
    <row r="8454" spans="8:10">
      <c r="H8454"/>
      <c r="I8454"/>
      <c r="J8454" s="68"/>
    </row>
    <row r="8455" spans="8:10">
      <c r="H8455"/>
      <c r="I8455"/>
      <c r="J8455" s="68"/>
    </row>
    <row r="8456" spans="8:10">
      <c r="H8456"/>
      <c r="I8456"/>
      <c r="J8456" s="68"/>
    </row>
    <row r="8457" spans="8:10">
      <c r="H8457"/>
      <c r="I8457"/>
      <c r="J8457" s="68"/>
    </row>
    <row r="8458" spans="8:10">
      <c r="H8458"/>
      <c r="I8458"/>
      <c r="J8458" s="68"/>
    </row>
    <row r="8459" spans="8:10">
      <c r="H8459"/>
      <c r="I8459"/>
      <c r="J8459" s="68"/>
    </row>
    <row r="8460" spans="8:10">
      <c r="H8460"/>
      <c r="I8460"/>
      <c r="J8460" s="68"/>
    </row>
    <row r="8461" spans="8:10">
      <c r="H8461"/>
      <c r="I8461"/>
      <c r="J8461" s="68"/>
    </row>
    <row r="8462" spans="8:10">
      <c r="H8462"/>
      <c r="I8462"/>
      <c r="J8462" s="68"/>
    </row>
    <row r="8463" spans="8:10">
      <c r="H8463"/>
      <c r="I8463"/>
      <c r="J8463" s="68"/>
    </row>
    <row r="8464" spans="8:10">
      <c r="H8464"/>
      <c r="I8464"/>
      <c r="J8464" s="68"/>
    </row>
    <row r="8465" spans="8:10">
      <c r="H8465"/>
      <c r="I8465"/>
      <c r="J8465" s="68"/>
    </row>
    <row r="8466" spans="8:10">
      <c r="H8466"/>
      <c r="I8466"/>
      <c r="J8466" s="68"/>
    </row>
    <row r="8467" spans="8:10">
      <c r="H8467"/>
      <c r="I8467"/>
      <c r="J8467" s="68"/>
    </row>
    <row r="8468" spans="8:10">
      <c r="H8468"/>
      <c r="I8468"/>
      <c r="J8468" s="68"/>
    </row>
    <row r="8469" spans="8:10">
      <c r="H8469"/>
      <c r="I8469"/>
      <c r="J8469" s="68"/>
    </row>
    <row r="8470" spans="8:10">
      <c r="H8470"/>
      <c r="I8470"/>
      <c r="J8470" s="68"/>
    </row>
    <row r="8471" spans="8:10">
      <c r="H8471"/>
      <c r="I8471"/>
      <c r="J8471" s="68"/>
    </row>
    <row r="8472" spans="8:10">
      <c r="H8472"/>
      <c r="I8472"/>
      <c r="J8472" s="68"/>
    </row>
    <row r="8473" spans="8:10">
      <c r="H8473"/>
      <c r="I8473"/>
      <c r="J8473" s="68"/>
    </row>
    <row r="8474" spans="8:10">
      <c r="H8474"/>
      <c r="I8474"/>
      <c r="J8474" s="68"/>
    </row>
    <row r="8475" spans="8:10">
      <c r="H8475"/>
      <c r="I8475"/>
      <c r="J8475" s="68"/>
    </row>
    <row r="8476" spans="8:10">
      <c r="H8476"/>
      <c r="I8476"/>
      <c r="J8476" s="68"/>
    </row>
    <row r="8477" spans="8:10">
      <c r="H8477"/>
      <c r="I8477"/>
      <c r="J8477" s="68"/>
    </row>
    <row r="8478" spans="8:10">
      <c r="H8478"/>
      <c r="I8478"/>
      <c r="J8478" s="68"/>
    </row>
    <row r="8479" spans="8:10">
      <c r="H8479"/>
      <c r="I8479"/>
      <c r="J8479" s="68"/>
    </row>
    <row r="8480" spans="8:10">
      <c r="H8480"/>
      <c r="I8480"/>
      <c r="J8480" s="68"/>
    </row>
    <row r="8481" spans="8:10">
      <c r="H8481"/>
      <c r="I8481"/>
      <c r="J8481" s="68"/>
    </row>
    <row r="8482" spans="8:10">
      <c r="H8482"/>
      <c r="I8482"/>
      <c r="J8482" s="68"/>
    </row>
    <row r="8483" spans="8:10">
      <c r="H8483"/>
      <c r="I8483"/>
      <c r="J8483" s="68"/>
    </row>
    <row r="8484" spans="8:10">
      <c r="H8484"/>
      <c r="I8484"/>
      <c r="J8484" s="68"/>
    </row>
    <row r="8485" spans="8:10">
      <c r="H8485"/>
      <c r="I8485"/>
      <c r="J8485" s="68"/>
    </row>
    <row r="8486" spans="8:10">
      <c r="H8486"/>
      <c r="I8486"/>
      <c r="J8486" s="68"/>
    </row>
    <row r="8487" spans="8:10">
      <c r="H8487"/>
      <c r="I8487"/>
      <c r="J8487" s="68"/>
    </row>
    <row r="8488" spans="8:10">
      <c r="H8488"/>
      <c r="I8488"/>
      <c r="J8488" s="68"/>
    </row>
    <row r="8489" spans="8:10">
      <c r="H8489"/>
      <c r="I8489"/>
      <c r="J8489" s="68"/>
    </row>
    <row r="8490" spans="8:10">
      <c r="H8490"/>
      <c r="I8490"/>
      <c r="J8490" s="68"/>
    </row>
    <row r="8491" spans="8:10">
      <c r="H8491"/>
      <c r="I8491"/>
      <c r="J8491" s="68"/>
    </row>
    <row r="8492" spans="8:10">
      <c r="H8492"/>
      <c r="I8492"/>
      <c r="J8492" s="68"/>
    </row>
    <row r="8493" spans="8:10">
      <c r="H8493"/>
      <c r="I8493"/>
      <c r="J8493" s="68"/>
    </row>
    <row r="8494" spans="8:10">
      <c r="H8494"/>
      <c r="I8494"/>
      <c r="J8494" s="68"/>
    </row>
    <row r="8495" spans="8:10">
      <c r="H8495"/>
      <c r="I8495"/>
      <c r="J8495" s="68"/>
    </row>
    <row r="8496" spans="8:10">
      <c r="H8496"/>
      <c r="I8496"/>
      <c r="J8496" s="68"/>
    </row>
    <row r="8497" spans="8:10">
      <c r="H8497"/>
      <c r="I8497"/>
      <c r="J8497" s="68"/>
    </row>
    <row r="8498" spans="8:10">
      <c r="H8498"/>
      <c r="I8498"/>
      <c r="J8498" s="68"/>
    </row>
    <row r="8499" spans="8:10">
      <c r="H8499"/>
      <c r="I8499"/>
      <c r="J8499" s="68"/>
    </row>
    <row r="8500" spans="8:10">
      <c r="H8500"/>
      <c r="I8500"/>
      <c r="J8500" s="68"/>
    </row>
    <row r="8501" spans="8:10">
      <c r="H8501"/>
      <c r="I8501"/>
      <c r="J8501" s="68"/>
    </row>
    <row r="8502" spans="8:10">
      <c r="H8502"/>
      <c r="I8502"/>
      <c r="J8502" s="68"/>
    </row>
    <row r="8503" spans="8:10">
      <c r="H8503"/>
      <c r="I8503"/>
      <c r="J8503" s="68"/>
    </row>
    <row r="8504" spans="8:10">
      <c r="H8504"/>
      <c r="I8504"/>
      <c r="J8504" s="68"/>
    </row>
    <row r="8505" spans="8:10">
      <c r="H8505"/>
      <c r="I8505"/>
      <c r="J8505" s="68"/>
    </row>
    <row r="8506" spans="8:10">
      <c r="H8506"/>
      <c r="I8506"/>
      <c r="J8506" s="68"/>
    </row>
    <row r="8507" spans="8:10">
      <c r="H8507"/>
      <c r="I8507"/>
      <c r="J8507" s="68"/>
    </row>
    <row r="8508" spans="8:10">
      <c r="H8508"/>
      <c r="I8508"/>
      <c r="J8508" s="68"/>
    </row>
    <row r="8509" spans="8:10">
      <c r="H8509"/>
      <c r="I8509"/>
      <c r="J8509" s="68"/>
    </row>
    <row r="8510" spans="8:10">
      <c r="H8510"/>
      <c r="I8510"/>
      <c r="J8510" s="68"/>
    </row>
    <row r="8511" spans="8:10">
      <c r="H8511"/>
      <c r="I8511"/>
      <c r="J8511" s="68"/>
    </row>
    <row r="8512" spans="8:10">
      <c r="H8512"/>
      <c r="I8512"/>
      <c r="J8512" s="68"/>
    </row>
    <row r="8513" spans="8:10">
      <c r="H8513"/>
      <c r="I8513"/>
      <c r="J8513" s="68"/>
    </row>
    <row r="8514" spans="8:10">
      <c r="H8514"/>
      <c r="I8514"/>
      <c r="J8514" s="68"/>
    </row>
    <row r="8515" spans="8:10">
      <c r="H8515"/>
      <c r="I8515"/>
      <c r="J8515" s="68"/>
    </row>
    <row r="8516" spans="8:10">
      <c r="H8516"/>
      <c r="I8516"/>
      <c r="J8516" s="68"/>
    </row>
    <row r="8517" spans="8:10">
      <c r="H8517"/>
      <c r="I8517"/>
      <c r="J8517" s="68"/>
    </row>
    <row r="8518" spans="8:10">
      <c r="H8518"/>
      <c r="I8518"/>
      <c r="J8518" s="68"/>
    </row>
    <row r="8519" spans="8:10">
      <c r="H8519"/>
      <c r="I8519"/>
      <c r="J8519" s="68"/>
    </row>
    <row r="8520" spans="8:10">
      <c r="H8520"/>
      <c r="I8520"/>
      <c r="J8520" s="68"/>
    </row>
    <row r="8521" spans="8:10">
      <c r="H8521"/>
      <c r="I8521"/>
      <c r="J8521" s="68"/>
    </row>
    <row r="8522" spans="8:10">
      <c r="H8522"/>
      <c r="I8522"/>
      <c r="J8522" s="68"/>
    </row>
    <row r="8523" spans="8:10">
      <c r="H8523"/>
      <c r="I8523"/>
      <c r="J8523" s="68"/>
    </row>
    <row r="8524" spans="8:10">
      <c r="H8524"/>
      <c r="I8524"/>
      <c r="J8524" s="68"/>
    </row>
    <row r="8525" spans="8:10">
      <c r="H8525"/>
      <c r="I8525"/>
      <c r="J8525" s="68"/>
    </row>
    <row r="8526" spans="8:10">
      <c r="H8526"/>
      <c r="I8526"/>
      <c r="J8526" s="68"/>
    </row>
    <row r="8527" spans="8:10">
      <c r="H8527"/>
      <c r="I8527"/>
      <c r="J8527" s="68"/>
    </row>
    <row r="8528" spans="8:10">
      <c r="H8528"/>
      <c r="I8528"/>
      <c r="J8528" s="68"/>
    </row>
    <row r="8529" spans="8:10">
      <c r="H8529"/>
      <c r="I8529"/>
      <c r="J8529" s="68"/>
    </row>
    <row r="8530" spans="8:10">
      <c r="H8530"/>
      <c r="I8530"/>
      <c r="J8530" s="68"/>
    </row>
    <row r="8531" spans="8:10">
      <c r="H8531"/>
      <c r="I8531"/>
      <c r="J8531" s="68"/>
    </row>
    <row r="8532" spans="8:10">
      <c r="H8532"/>
      <c r="I8532"/>
      <c r="J8532" s="68"/>
    </row>
    <row r="8533" spans="8:10">
      <c r="H8533"/>
      <c r="I8533"/>
      <c r="J8533" s="68"/>
    </row>
    <row r="8534" spans="8:10">
      <c r="H8534"/>
      <c r="I8534"/>
      <c r="J8534" s="68"/>
    </row>
    <row r="8535" spans="8:10">
      <c r="H8535"/>
      <c r="I8535"/>
      <c r="J8535" s="68"/>
    </row>
    <row r="8536" spans="8:10">
      <c r="H8536"/>
      <c r="I8536"/>
      <c r="J8536" s="68"/>
    </row>
    <row r="8537" spans="8:10">
      <c r="H8537"/>
      <c r="I8537"/>
      <c r="J8537" s="68"/>
    </row>
    <row r="8538" spans="8:10">
      <c r="H8538"/>
      <c r="I8538"/>
      <c r="J8538" s="68"/>
    </row>
    <row r="8539" spans="8:10">
      <c r="H8539"/>
      <c r="I8539"/>
      <c r="J8539" s="68"/>
    </row>
    <row r="8540" spans="8:10">
      <c r="H8540"/>
      <c r="I8540"/>
      <c r="J8540" s="68"/>
    </row>
    <row r="8541" spans="8:10">
      <c r="H8541"/>
      <c r="I8541"/>
      <c r="J8541" s="68"/>
    </row>
    <row r="8542" spans="8:10">
      <c r="H8542"/>
      <c r="I8542"/>
      <c r="J8542" s="68"/>
    </row>
    <row r="8543" spans="8:10">
      <c r="H8543"/>
      <c r="I8543"/>
      <c r="J8543" s="68"/>
    </row>
    <row r="8544" spans="8:10">
      <c r="H8544"/>
      <c r="I8544"/>
      <c r="J8544" s="68"/>
    </row>
    <row r="8545" spans="8:10">
      <c r="H8545"/>
      <c r="I8545"/>
      <c r="J8545" s="68"/>
    </row>
    <row r="8546" spans="8:10">
      <c r="H8546"/>
      <c r="I8546"/>
      <c r="J8546" s="68"/>
    </row>
    <row r="8547" spans="8:10">
      <c r="H8547"/>
      <c r="I8547"/>
      <c r="J8547" s="68"/>
    </row>
    <row r="8548" spans="8:10">
      <c r="H8548"/>
      <c r="I8548"/>
      <c r="J8548" s="68"/>
    </row>
    <row r="8549" spans="8:10">
      <c r="H8549"/>
      <c r="I8549"/>
      <c r="J8549" s="68"/>
    </row>
    <row r="8550" spans="8:10">
      <c r="H8550"/>
      <c r="I8550"/>
      <c r="J8550" s="68"/>
    </row>
    <row r="8551" spans="8:10">
      <c r="H8551"/>
      <c r="I8551"/>
      <c r="J8551" s="68"/>
    </row>
    <row r="8552" spans="8:10">
      <c r="H8552"/>
      <c r="I8552"/>
      <c r="J8552" s="68"/>
    </row>
    <row r="8553" spans="8:10">
      <c r="H8553"/>
      <c r="I8553"/>
      <c r="J8553" s="68"/>
    </row>
    <row r="8554" spans="8:10">
      <c r="H8554"/>
      <c r="I8554"/>
      <c r="J8554" s="68"/>
    </row>
    <row r="8555" spans="8:10">
      <c r="H8555"/>
      <c r="I8555"/>
      <c r="J8555" s="68"/>
    </row>
    <row r="8556" spans="8:10">
      <c r="H8556"/>
      <c r="I8556"/>
      <c r="J8556" s="68"/>
    </row>
    <row r="8557" spans="8:10">
      <c r="H8557"/>
      <c r="I8557"/>
      <c r="J8557" s="68"/>
    </row>
    <row r="8558" spans="8:10">
      <c r="H8558"/>
      <c r="I8558"/>
      <c r="J8558" s="68"/>
    </row>
    <row r="8559" spans="8:10">
      <c r="H8559"/>
      <c r="I8559"/>
      <c r="J8559" s="68"/>
    </row>
    <row r="8560" spans="8:10">
      <c r="H8560"/>
      <c r="I8560"/>
      <c r="J8560" s="68"/>
    </row>
    <row r="8561" spans="8:10">
      <c r="H8561"/>
      <c r="I8561"/>
      <c r="J8561" s="68"/>
    </row>
    <row r="8562" spans="8:10">
      <c r="H8562"/>
      <c r="I8562"/>
      <c r="J8562" s="68"/>
    </row>
    <row r="8563" spans="8:10">
      <c r="H8563"/>
      <c r="I8563"/>
      <c r="J8563" s="68"/>
    </row>
    <row r="8564" spans="8:10">
      <c r="H8564"/>
      <c r="I8564"/>
      <c r="J8564" s="68"/>
    </row>
    <row r="8565" spans="8:10">
      <c r="H8565"/>
      <c r="I8565"/>
      <c r="J8565" s="68"/>
    </row>
    <row r="8566" spans="8:10">
      <c r="H8566"/>
      <c r="I8566"/>
      <c r="J8566" s="68"/>
    </row>
    <row r="8567" spans="8:10">
      <c r="H8567"/>
      <c r="I8567"/>
      <c r="J8567" s="68"/>
    </row>
    <row r="8568" spans="8:10">
      <c r="H8568"/>
      <c r="I8568"/>
      <c r="J8568" s="68"/>
    </row>
    <row r="8569" spans="8:10">
      <c r="H8569"/>
      <c r="I8569"/>
      <c r="J8569" s="68"/>
    </row>
    <row r="8570" spans="8:10">
      <c r="H8570"/>
      <c r="I8570"/>
      <c r="J8570" s="68"/>
    </row>
    <row r="8571" spans="8:10">
      <c r="H8571"/>
      <c r="I8571"/>
      <c r="J8571" s="68"/>
    </row>
    <row r="8572" spans="8:10">
      <c r="H8572"/>
      <c r="I8572"/>
      <c r="J8572" s="68"/>
    </row>
    <row r="8573" spans="8:10">
      <c r="H8573"/>
      <c r="I8573"/>
      <c r="J8573" s="68"/>
    </row>
    <row r="8574" spans="8:10">
      <c r="H8574"/>
      <c r="I8574"/>
      <c r="J8574" s="68"/>
    </row>
    <row r="8575" spans="8:10">
      <c r="H8575"/>
      <c r="I8575"/>
      <c r="J8575" s="68"/>
    </row>
    <row r="8576" spans="8:10">
      <c r="H8576"/>
      <c r="I8576"/>
      <c r="J8576" s="68"/>
    </row>
    <row r="8577" spans="8:10">
      <c r="H8577"/>
      <c r="I8577"/>
      <c r="J8577" s="68"/>
    </row>
    <row r="8578" spans="8:10">
      <c r="H8578"/>
      <c r="I8578"/>
      <c r="J8578" s="68"/>
    </row>
    <row r="8579" spans="8:10">
      <c r="H8579"/>
      <c r="I8579"/>
      <c r="J8579" s="68"/>
    </row>
    <row r="8580" spans="8:10">
      <c r="H8580"/>
      <c r="I8580"/>
      <c r="J8580" s="68"/>
    </row>
    <row r="8581" spans="8:10">
      <c r="H8581"/>
      <c r="I8581"/>
      <c r="J8581" s="68"/>
    </row>
    <row r="8582" spans="8:10">
      <c r="H8582"/>
      <c r="I8582"/>
      <c r="J8582" s="68"/>
    </row>
    <row r="8583" spans="8:10">
      <c r="H8583"/>
      <c r="I8583"/>
      <c r="J8583" s="68"/>
    </row>
    <row r="8584" spans="8:10">
      <c r="H8584"/>
      <c r="I8584"/>
      <c r="J8584" s="68"/>
    </row>
    <row r="8585" spans="8:10">
      <c r="H8585"/>
      <c r="I8585"/>
      <c r="J8585" s="68"/>
    </row>
    <row r="8586" spans="8:10">
      <c r="H8586"/>
      <c r="I8586"/>
      <c r="J8586" s="68"/>
    </row>
    <row r="8587" spans="8:10">
      <c r="H8587"/>
      <c r="I8587"/>
      <c r="J8587" s="68"/>
    </row>
    <row r="8588" spans="8:10">
      <c r="H8588"/>
      <c r="I8588"/>
      <c r="J8588" s="68"/>
    </row>
    <row r="8589" spans="8:10">
      <c r="H8589"/>
      <c r="I8589"/>
      <c r="J8589" s="68"/>
    </row>
    <row r="8590" spans="8:10">
      <c r="H8590"/>
      <c r="I8590"/>
      <c r="J8590" s="68"/>
    </row>
    <row r="8591" spans="8:10">
      <c r="H8591"/>
      <c r="I8591"/>
      <c r="J8591" s="68"/>
    </row>
    <row r="8592" spans="8:10">
      <c r="H8592"/>
      <c r="I8592"/>
      <c r="J8592" s="68"/>
    </row>
    <row r="8593" spans="8:10">
      <c r="H8593"/>
      <c r="I8593"/>
      <c r="J8593" s="68"/>
    </row>
    <row r="8594" spans="8:10">
      <c r="H8594"/>
      <c r="I8594"/>
      <c r="J8594" s="68"/>
    </row>
    <row r="8595" spans="8:10">
      <c r="H8595"/>
      <c r="I8595"/>
      <c r="J8595" s="68"/>
    </row>
    <row r="8596" spans="8:10">
      <c r="H8596"/>
      <c r="I8596"/>
      <c r="J8596" s="68"/>
    </row>
    <row r="8597" spans="8:10">
      <c r="H8597"/>
      <c r="I8597"/>
      <c r="J8597" s="68"/>
    </row>
    <row r="8598" spans="8:10">
      <c r="H8598"/>
      <c r="I8598"/>
      <c r="J8598" s="68"/>
    </row>
    <row r="8599" spans="8:10">
      <c r="H8599"/>
      <c r="I8599"/>
      <c r="J8599" s="68"/>
    </row>
    <row r="8600" spans="8:10">
      <c r="H8600"/>
      <c r="I8600"/>
      <c r="J8600" s="68"/>
    </row>
    <row r="8601" spans="8:10">
      <c r="H8601"/>
      <c r="I8601"/>
      <c r="J8601" s="68"/>
    </row>
    <row r="8602" spans="8:10">
      <c r="H8602"/>
      <c r="I8602"/>
      <c r="J8602" s="68"/>
    </row>
    <row r="8603" spans="8:10">
      <c r="H8603"/>
      <c r="I8603"/>
      <c r="J8603" s="68"/>
    </row>
    <row r="8604" spans="8:10">
      <c r="H8604"/>
      <c r="I8604"/>
      <c r="J8604" s="68"/>
    </row>
    <row r="8605" spans="8:10">
      <c r="H8605"/>
      <c r="I8605"/>
      <c r="J8605" s="68"/>
    </row>
    <row r="8606" spans="8:10">
      <c r="H8606"/>
      <c r="I8606"/>
      <c r="J8606" s="68"/>
    </row>
    <row r="8607" spans="8:10">
      <c r="H8607"/>
      <c r="I8607"/>
      <c r="J8607" s="68"/>
    </row>
    <row r="8608" spans="8:10">
      <c r="H8608"/>
      <c r="I8608"/>
      <c r="J8608" s="68"/>
    </row>
    <row r="8609" spans="8:10">
      <c r="H8609"/>
      <c r="I8609"/>
      <c r="J8609" s="68"/>
    </row>
    <row r="8610" spans="8:10">
      <c r="H8610"/>
      <c r="I8610"/>
      <c r="J8610" s="68"/>
    </row>
    <row r="8611" spans="8:10">
      <c r="H8611"/>
      <c r="I8611"/>
      <c r="J8611" s="68"/>
    </row>
    <row r="8612" spans="8:10">
      <c r="H8612"/>
      <c r="I8612"/>
      <c r="J8612" s="68"/>
    </row>
    <row r="8613" spans="8:10">
      <c r="H8613"/>
      <c r="I8613"/>
      <c r="J8613" s="68"/>
    </row>
    <row r="8614" spans="8:10">
      <c r="H8614"/>
      <c r="I8614"/>
      <c r="J8614" s="68"/>
    </row>
    <row r="8615" spans="8:10">
      <c r="H8615"/>
      <c r="I8615"/>
      <c r="J8615" s="68"/>
    </row>
    <row r="8616" spans="8:10">
      <c r="H8616"/>
      <c r="I8616"/>
      <c r="J8616" s="68"/>
    </row>
    <row r="8617" spans="8:10">
      <c r="H8617"/>
      <c r="I8617"/>
      <c r="J8617" s="68"/>
    </row>
    <row r="8618" spans="8:10">
      <c r="H8618"/>
      <c r="I8618"/>
      <c r="J8618" s="68"/>
    </row>
    <row r="8619" spans="8:10">
      <c r="H8619"/>
      <c r="I8619"/>
      <c r="J8619" s="68"/>
    </row>
    <row r="8620" spans="8:10">
      <c r="H8620"/>
      <c r="I8620"/>
      <c r="J8620" s="68"/>
    </row>
    <row r="8621" spans="8:10">
      <c r="H8621"/>
      <c r="I8621"/>
      <c r="J8621" s="68"/>
    </row>
    <row r="8622" spans="8:10">
      <c r="H8622"/>
      <c r="I8622"/>
      <c r="J8622" s="68"/>
    </row>
    <row r="8623" spans="8:10">
      <c r="H8623"/>
      <c r="I8623"/>
      <c r="J8623" s="68"/>
    </row>
    <row r="8624" spans="8:10">
      <c r="H8624"/>
      <c r="I8624"/>
      <c r="J8624" s="68"/>
    </row>
    <row r="8625" spans="8:10">
      <c r="H8625"/>
      <c r="I8625"/>
      <c r="J8625" s="68"/>
    </row>
    <row r="8626" spans="8:10">
      <c r="H8626"/>
      <c r="I8626"/>
      <c r="J8626" s="68"/>
    </row>
    <row r="8627" spans="8:10">
      <c r="H8627"/>
      <c r="I8627"/>
      <c r="J8627" s="68"/>
    </row>
    <row r="8628" spans="8:10">
      <c r="H8628"/>
      <c r="I8628"/>
      <c r="J8628" s="68"/>
    </row>
    <row r="8629" spans="8:10">
      <c r="H8629"/>
      <c r="I8629"/>
      <c r="J8629" s="68"/>
    </row>
    <row r="8630" spans="8:10">
      <c r="H8630"/>
      <c r="I8630"/>
      <c r="J8630" s="68"/>
    </row>
    <row r="8631" spans="8:10">
      <c r="H8631"/>
      <c r="I8631"/>
      <c r="J8631" s="68"/>
    </row>
    <row r="8632" spans="8:10">
      <c r="H8632"/>
      <c r="I8632"/>
      <c r="J8632" s="68"/>
    </row>
    <row r="8633" spans="8:10">
      <c r="H8633"/>
      <c r="I8633"/>
      <c r="J8633" s="68"/>
    </row>
    <row r="8634" spans="8:10">
      <c r="H8634"/>
      <c r="I8634"/>
      <c r="J8634" s="68"/>
    </row>
    <row r="8635" spans="8:10">
      <c r="H8635"/>
      <c r="I8635"/>
      <c r="J8635" s="68"/>
    </row>
    <row r="8636" spans="8:10">
      <c r="H8636"/>
      <c r="I8636"/>
      <c r="J8636" s="68"/>
    </row>
    <row r="8637" spans="8:10">
      <c r="H8637"/>
      <c r="I8637"/>
      <c r="J8637" s="68"/>
    </row>
    <row r="8638" spans="8:10">
      <c r="H8638"/>
      <c r="I8638"/>
      <c r="J8638" s="68"/>
    </row>
    <row r="8639" spans="8:10">
      <c r="H8639"/>
      <c r="I8639"/>
      <c r="J8639" s="68"/>
    </row>
    <row r="8640" spans="8:10">
      <c r="H8640"/>
      <c r="I8640"/>
      <c r="J8640" s="68"/>
    </row>
    <row r="8641" spans="8:10">
      <c r="H8641"/>
      <c r="I8641"/>
      <c r="J8641" s="68"/>
    </row>
    <row r="8642" spans="8:10">
      <c r="H8642"/>
      <c r="I8642"/>
      <c r="J8642" s="68"/>
    </row>
    <row r="8643" spans="8:10">
      <c r="H8643"/>
      <c r="I8643"/>
      <c r="J8643" s="68"/>
    </row>
    <row r="8644" spans="8:10">
      <c r="H8644"/>
      <c r="I8644"/>
      <c r="J8644" s="68"/>
    </row>
    <row r="8645" spans="8:10">
      <c r="H8645"/>
      <c r="I8645"/>
      <c r="J8645" s="68"/>
    </row>
    <row r="8646" spans="8:10">
      <c r="H8646"/>
      <c r="I8646"/>
      <c r="J8646" s="68"/>
    </row>
    <row r="8647" spans="8:10">
      <c r="H8647"/>
      <c r="I8647"/>
      <c r="J8647" s="68"/>
    </row>
    <row r="8648" spans="8:10">
      <c r="H8648"/>
      <c r="I8648"/>
      <c r="J8648" s="68"/>
    </row>
    <row r="8649" spans="8:10">
      <c r="H8649"/>
      <c r="I8649"/>
      <c r="J8649" s="68"/>
    </row>
    <row r="8650" spans="8:10">
      <c r="H8650"/>
      <c r="I8650"/>
      <c r="J8650" s="68"/>
    </row>
    <row r="8651" spans="8:10">
      <c r="H8651"/>
      <c r="I8651"/>
      <c r="J8651" s="68"/>
    </row>
    <row r="8652" spans="8:10">
      <c r="H8652"/>
      <c r="I8652"/>
      <c r="J8652" s="68"/>
    </row>
    <row r="8653" spans="8:10">
      <c r="H8653"/>
      <c r="I8653"/>
      <c r="J8653" s="68"/>
    </row>
    <row r="8654" spans="8:10">
      <c r="H8654"/>
      <c r="I8654"/>
      <c r="J8654" s="68"/>
    </row>
    <row r="8655" spans="8:10">
      <c r="H8655"/>
      <c r="I8655"/>
      <c r="J8655" s="68"/>
    </row>
    <row r="8656" spans="8:10">
      <c r="H8656"/>
      <c r="I8656"/>
      <c r="J8656" s="68"/>
    </row>
    <row r="8657" spans="8:10">
      <c r="H8657"/>
      <c r="I8657"/>
      <c r="J8657" s="68"/>
    </row>
    <row r="8658" spans="8:10">
      <c r="H8658"/>
      <c r="I8658"/>
      <c r="J8658" s="68"/>
    </row>
    <row r="8659" spans="8:10">
      <c r="H8659"/>
      <c r="I8659"/>
      <c r="J8659" s="68"/>
    </row>
    <row r="8660" spans="8:10">
      <c r="H8660"/>
      <c r="I8660"/>
      <c r="J8660" s="68"/>
    </row>
    <row r="8661" spans="8:10">
      <c r="H8661"/>
      <c r="I8661"/>
      <c r="J8661" s="68"/>
    </row>
    <row r="8662" spans="8:10">
      <c r="H8662"/>
      <c r="I8662"/>
      <c r="J8662" s="68"/>
    </row>
    <row r="8663" spans="8:10">
      <c r="H8663"/>
      <c r="I8663"/>
      <c r="J8663" s="68"/>
    </row>
    <row r="8664" spans="8:10">
      <c r="H8664"/>
      <c r="I8664"/>
      <c r="J8664" s="68"/>
    </row>
    <row r="8665" spans="8:10">
      <c r="H8665"/>
      <c r="I8665"/>
      <c r="J8665" s="68"/>
    </row>
    <row r="8666" spans="8:10">
      <c r="H8666"/>
      <c r="I8666"/>
      <c r="J8666" s="68"/>
    </row>
    <row r="8667" spans="8:10">
      <c r="H8667"/>
      <c r="I8667"/>
      <c r="J8667" s="68"/>
    </row>
    <row r="8668" spans="8:10">
      <c r="H8668"/>
      <c r="I8668"/>
      <c r="J8668" s="68"/>
    </row>
    <row r="8669" spans="8:10">
      <c r="H8669"/>
      <c r="I8669"/>
      <c r="J8669" s="68"/>
    </row>
    <row r="8670" spans="8:10">
      <c r="H8670"/>
      <c r="I8670"/>
      <c r="J8670" s="68"/>
    </row>
    <row r="8671" spans="8:10">
      <c r="H8671"/>
      <c r="I8671"/>
      <c r="J8671" s="68"/>
    </row>
    <row r="8672" spans="8:10">
      <c r="H8672"/>
      <c r="I8672"/>
      <c r="J8672" s="68"/>
    </row>
    <row r="8673" spans="8:10">
      <c r="H8673"/>
      <c r="I8673"/>
      <c r="J8673" s="68"/>
    </row>
    <row r="8674" spans="8:10">
      <c r="H8674"/>
      <c r="I8674"/>
      <c r="J8674" s="68"/>
    </row>
    <row r="8675" spans="8:10">
      <c r="H8675"/>
      <c r="I8675"/>
      <c r="J8675" s="68"/>
    </row>
    <row r="8676" spans="8:10">
      <c r="H8676"/>
      <c r="I8676"/>
      <c r="J8676" s="68"/>
    </row>
    <row r="8677" spans="8:10">
      <c r="H8677"/>
      <c r="I8677"/>
      <c r="J8677" s="68"/>
    </row>
    <row r="8678" spans="8:10">
      <c r="H8678"/>
      <c r="I8678"/>
      <c r="J8678" s="68"/>
    </row>
    <row r="8679" spans="8:10">
      <c r="H8679"/>
      <c r="I8679"/>
      <c r="J8679" s="68"/>
    </row>
    <row r="8680" spans="8:10">
      <c r="H8680"/>
      <c r="I8680"/>
      <c r="J8680" s="68"/>
    </row>
    <row r="8681" spans="8:10">
      <c r="H8681"/>
      <c r="I8681"/>
      <c r="J8681" s="68"/>
    </row>
    <row r="8682" spans="8:10">
      <c r="H8682"/>
      <c r="I8682"/>
      <c r="J8682" s="68"/>
    </row>
    <row r="8683" spans="8:10">
      <c r="H8683"/>
      <c r="I8683"/>
      <c r="J8683" s="68"/>
    </row>
    <row r="8684" spans="8:10">
      <c r="H8684"/>
      <c r="I8684"/>
      <c r="J8684" s="68"/>
    </row>
    <row r="8685" spans="8:10">
      <c r="H8685"/>
      <c r="I8685"/>
      <c r="J8685" s="68"/>
    </row>
    <row r="8686" spans="8:10">
      <c r="H8686"/>
      <c r="I8686"/>
      <c r="J8686" s="68"/>
    </row>
    <row r="8687" spans="8:10">
      <c r="H8687"/>
      <c r="I8687"/>
      <c r="J8687" s="68"/>
    </row>
    <row r="8688" spans="8:10">
      <c r="H8688"/>
      <c r="I8688"/>
      <c r="J8688" s="68"/>
    </row>
    <row r="8689" spans="8:10">
      <c r="H8689"/>
      <c r="I8689"/>
      <c r="J8689" s="68"/>
    </row>
    <row r="8690" spans="8:10">
      <c r="H8690"/>
      <c r="I8690"/>
      <c r="J8690" s="68"/>
    </row>
    <row r="8691" spans="8:10">
      <c r="H8691"/>
      <c r="I8691"/>
      <c r="J8691" s="68"/>
    </row>
    <row r="8692" spans="8:10">
      <c r="H8692"/>
      <c r="I8692"/>
      <c r="J8692" s="68"/>
    </row>
    <row r="8693" spans="8:10">
      <c r="H8693"/>
      <c r="I8693"/>
      <c r="J8693" s="68"/>
    </row>
    <row r="8694" spans="8:10">
      <c r="H8694"/>
      <c r="I8694"/>
      <c r="J8694" s="68"/>
    </row>
    <row r="8695" spans="8:10">
      <c r="H8695"/>
      <c r="I8695"/>
      <c r="J8695" s="68"/>
    </row>
    <row r="8696" spans="8:10">
      <c r="H8696"/>
      <c r="I8696"/>
      <c r="J8696" s="68"/>
    </row>
    <row r="8697" spans="8:10">
      <c r="H8697"/>
      <c r="I8697"/>
      <c r="J8697" s="68"/>
    </row>
    <row r="8698" spans="8:10">
      <c r="H8698"/>
      <c r="I8698"/>
      <c r="J8698" s="68"/>
    </row>
    <row r="8699" spans="8:10">
      <c r="H8699"/>
      <c r="I8699"/>
      <c r="J8699" s="68"/>
    </row>
    <row r="8700" spans="8:10">
      <c r="H8700"/>
      <c r="I8700"/>
      <c r="J8700" s="68"/>
    </row>
    <row r="8701" spans="8:10">
      <c r="H8701"/>
      <c r="I8701"/>
      <c r="J8701" s="68"/>
    </row>
    <row r="8702" spans="8:10">
      <c r="H8702"/>
      <c r="I8702"/>
      <c r="J8702" s="68"/>
    </row>
    <row r="8703" spans="8:10">
      <c r="H8703"/>
      <c r="I8703"/>
      <c r="J8703" s="68"/>
    </row>
    <row r="8704" spans="8:10">
      <c r="H8704"/>
      <c r="I8704"/>
      <c r="J8704" s="68"/>
    </row>
    <row r="8705" spans="8:10">
      <c r="H8705"/>
      <c r="I8705"/>
      <c r="J8705" s="68"/>
    </row>
    <row r="8706" spans="8:10">
      <c r="H8706"/>
      <c r="I8706"/>
      <c r="J8706" s="68"/>
    </row>
    <row r="8707" spans="8:10">
      <c r="H8707"/>
      <c r="I8707"/>
      <c r="J8707" s="68"/>
    </row>
    <row r="8708" spans="8:10">
      <c r="H8708"/>
      <c r="I8708"/>
      <c r="J8708" s="68"/>
    </row>
    <row r="8709" spans="8:10">
      <c r="H8709"/>
      <c r="I8709"/>
      <c r="J8709" s="68"/>
    </row>
    <row r="8710" spans="8:10">
      <c r="H8710"/>
      <c r="I8710"/>
      <c r="J8710" s="68"/>
    </row>
    <row r="8711" spans="8:10">
      <c r="H8711"/>
      <c r="I8711"/>
      <c r="J8711" s="68"/>
    </row>
    <row r="8712" spans="8:10">
      <c r="H8712"/>
      <c r="I8712"/>
      <c r="J8712" s="68"/>
    </row>
    <row r="8713" spans="8:10">
      <c r="H8713"/>
      <c r="I8713"/>
      <c r="J8713" s="68"/>
    </row>
    <row r="8714" spans="8:10">
      <c r="H8714"/>
      <c r="I8714"/>
      <c r="J8714" s="68"/>
    </row>
    <row r="8715" spans="8:10">
      <c r="H8715"/>
      <c r="I8715"/>
      <c r="J8715" s="68"/>
    </row>
    <row r="8716" spans="8:10">
      <c r="H8716"/>
      <c r="I8716"/>
      <c r="J8716" s="68"/>
    </row>
    <row r="8717" spans="8:10">
      <c r="H8717"/>
      <c r="I8717"/>
      <c r="J8717" s="68"/>
    </row>
    <row r="8718" spans="8:10">
      <c r="H8718"/>
      <c r="I8718"/>
      <c r="J8718" s="68"/>
    </row>
    <row r="8719" spans="8:10">
      <c r="H8719"/>
      <c r="I8719"/>
      <c r="J8719" s="68"/>
    </row>
    <row r="8720" spans="8:10">
      <c r="H8720"/>
      <c r="I8720"/>
      <c r="J8720" s="68"/>
    </row>
    <row r="8721" spans="8:10">
      <c r="H8721"/>
      <c r="I8721"/>
      <c r="J8721" s="68"/>
    </row>
    <row r="8722" spans="8:10">
      <c r="H8722"/>
      <c r="I8722"/>
      <c r="J8722" s="68"/>
    </row>
    <row r="8723" spans="8:10">
      <c r="H8723"/>
      <c r="I8723"/>
      <c r="J8723" s="68"/>
    </row>
    <row r="8724" spans="8:10">
      <c r="H8724"/>
      <c r="I8724"/>
      <c r="J8724" s="68"/>
    </row>
    <row r="8725" spans="8:10">
      <c r="H8725"/>
      <c r="I8725"/>
      <c r="J8725" s="68"/>
    </row>
    <row r="8726" spans="8:10">
      <c r="H8726"/>
      <c r="I8726"/>
      <c r="J8726" s="68"/>
    </row>
    <row r="8727" spans="8:10">
      <c r="H8727"/>
      <c r="I8727"/>
      <c r="J8727" s="68"/>
    </row>
    <row r="8728" spans="8:10">
      <c r="H8728"/>
      <c r="I8728"/>
      <c r="J8728" s="68"/>
    </row>
    <row r="8729" spans="8:10">
      <c r="H8729"/>
      <c r="I8729"/>
      <c r="J8729" s="68"/>
    </row>
    <row r="8730" spans="8:10">
      <c r="H8730"/>
      <c r="I8730"/>
      <c r="J8730" s="68"/>
    </row>
    <row r="8731" spans="8:10">
      <c r="H8731"/>
      <c r="I8731"/>
      <c r="J8731" s="68"/>
    </row>
    <row r="8732" spans="8:10">
      <c r="H8732"/>
      <c r="I8732"/>
      <c r="J8732" s="68"/>
    </row>
    <row r="8733" spans="8:10">
      <c r="H8733"/>
      <c r="I8733"/>
      <c r="J8733" s="68"/>
    </row>
    <row r="8734" spans="8:10">
      <c r="H8734"/>
      <c r="I8734"/>
      <c r="J8734" s="68"/>
    </row>
    <row r="8735" spans="8:10">
      <c r="H8735"/>
      <c r="I8735"/>
      <c r="J8735" s="68"/>
    </row>
    <row r="8736" spans="8:10">
      <c r="H8736"/>
      <c r="I8736"/>
      <c r="J8736" s="68"/>
    </row>
    <row r="8737" spans="8:10">
      <c r="H8737"/>
      <c r="I8737"/>
      <c r="J8737" s="68"/>
    </row>
    <row r="8738" spans="8:10">
      <c r="H8738"/>
      <c r="I8738"/>
      <c r="J8738" s="68"/>
    </row>
    <row r="8739" spans="8:10">
      <c r="H8739"/>
      <c r="I8739"/>
      <c r="J8739" s="68"/>
    </row>
    <row r="8740" spans="8:10">
      <c r="H8740"/>
      <c r="I8740"/>
      <c r="J8740" s="68"/>
    </row>
    <row r="8741" spans="8:10">
      <c r="H8741"/>
      <c r="I8741"/>
      <c r="J8741" s="68"/>
    </row>
    <row r="8742" spans="8:10">
      <c r="H8742"/>
      <c r="I8742"/>
      <c r="J8742" s="68"/>
    </row>
    <row r="8743" spans="8:10">
      <c r="H8743"/>
      <c r="I8743"/>
      <c r="J8743" s="68"/>
    </row>
    <row r="8744" spans="8:10">
      <c r="H8744"/>
      <c r="I8744"/>
      <c r="J8744" s="68"/>
    </row>
    <row r="8745" spans="8:10">
      <c r="H8745"/>
      <c r="I8745"/>
      <c r="J8745" s="68"/>
    </row>
    <row r="8746" spans="8:10">
      <c r="H8746"/>
      <c r="I8746"/>
      <c r="J8746" s="68"/>
    </row>
    <row r="8747" spans="8:10">
      <c r="H8747"/>
      <c r="I8747"/>
      <c r="J8747" s="68"/>
    </row>
    <row r="8748" spans="8:10">
      <c r="H8748"/>
      <c r="I8748"/>
      <c r="J8748" s="68"/>
    </row>
    <row r="8749" spans="8:10">
      <c r="H8749"/>
      <c r="I8749"/>
      <c r="J8749" s="68"/>
    </row>
    <row r="8750" spans="8:10">
      <c r="H8750"/>
      <c r="I8750"/>
      <c r="J8750" s="68"/>
    </row>
    <row r="8751" spans="8:10">
      <c r="H8751"/>
      <c r="I8751"/>
      <c r="J8751" s="68"/>
    </row>
    <row r="8752" spans="8:10">
      <c r="H8752"/>
      <c r="I8752"/>
      <c r="J8752" s="68"/>
    </row>
    <row r="8753" spans="8:10">
      <c r="H8753"/>
      <c r="I8753"/>
      <c r="J8753" s="68"/>
    </row>
    <row r="8754" spans="8:10">
      <c r="H8754"/>
      <c r="I8754"/>
      <c r="J8754" s="68"/>
    </row>
    <row r="8755" spans="8:10">
      <c r="H8755"/>
      <c r="I8755"/>
      <c r="J8755" s="68"/>
    </row>
    <row r="8756" spans="8:10">
      <c r="H8756"/>
      <c r="I8756"/>
      <c r="J8756" s="68"/>
    </row>
    <row r="8757" spans="8:10">
      <c r="H8757"/>
      <c r="I8757"/>
      <c r="J8757" s="68"/>
    </row>
    <row r="8758" spans="8:10">
      <c r="H8758"/>
      <c r="I8758"/>
      <c r="J8758" s="68"/>
    </row>
    <row r="8759" spans="8:10">
      <c r="H8759"/>
      <c r="I8759"/>
      <c r="J8759" s="68"/>
    </row>
    <row r="8760" spans="8:10">
      <c r="H8760"/>
      <c r="I8760"/>
      <c r="J8760" s="68"/>
    </row>
    <row r="8761" spans="8:10">
      <c r="H8761"/>
      <c r="I8761"/>
      <c r="J8761" s="68"/>
    </row>
    <row r="8762" spans="8:10">
      <c r="H8762"/>
      <c r="I8762"/>
      <c r="J8762" s="68"/>
    </row>
    <row r="8763" spans="8:10">
      <c r="H8763"/>
      <c r="I8763"/>
      <c r="J8763" s="68"/>
    </row>
    <row r="8764" spans="8:10">
      <c r="H8764"/>
      <c r="I8764"/>
      <c r="J8764" s="68"/>
    </row>
    <row r="8765" spans="8:10">
      <c r="H8765"/>
      <c r="I8765"/>
      <c r="J8765" s="68"/>
    </row>
    <row r="8766" spans="8:10">
      <c r="H8766"/>
      <c r="I8766"/>
      <c r="J8766" s="68"/>
    </row>
    <row r="8767" spans="8:10">
      <c r="H8767"/>
      <c r="I8767"/>
      <c r="J8767" s="68"/>
    </row>
    <row r="8768" spans="8:10">
      <c r="H8768"/>
      <c r="I8768"/>
      <c r="J8768" s="68"/>
    </row>
    <row r="8769" spans="8:10">
      <c r="H8769"/>
      <c r="I8769"/>
      <c r="J8769" s="68"/>
    </row>
    <row r="8770" spans="8:10">
      <c r="H8770"/>
      <c r="I8770"/>
      <c r="J8770" s="68"/>
    </row>
    <row r="8771" spans="8:10">
      <c r="H8771"/>
      <c r="I8771"/>
      <c r="J8771" s="68"/>
    </row>
    <row r="8772" spans="8:10">
      <c r="H8772"/>
      <c r="I8772"/>
      <c r="J8772" s="68"/>
    </row>
    <row r="8773" spans="8:10">
      <c r="H8773"/>
      <c r="I8773"/>
      <c r="J8773" s="68"/>
    </row>
    <row r="8774" spans="8:10">
      <c r="H8774"/>
      <c r="I8774"/>
      <c r="J8774" s="68"/>
    </row>
    <row r="8775" spans="8:10">
      <c r="H8775"/>
      <c r="I8775"/>
      <c r="J8775" s="68"/>
    </row>
    <row r="8776" spans="8:10">
      <c r="H8776"/>
      <c r="I8776"/>
      <c r="J8776" s="68"/>
    </row>
    <row r="8777" spans="8:10">
      <c r="H8777"/>
      <c r="I8777"/>
      <c r="J8777" s="68"/>
    </row>
    <row r="8778" spans="8:10">
      <c r="H8778"/>
      <c r="I8778"/>
      <c r="J8778" s="68"/>
    </row>
    <row r="8779" spans="8:10">
      <c r="H8779"/>
      <c r="I8779"/>
      <c r="J8779" s="68"/>
    </row>
    <row r="8780" spans="8:10">
      <c r="H8780"/>
      <c r="I8780"/>
      <c r="J8780" s="68"/>
    </row>
    <row r="8781" spans="8:10">
      <c r="H8781"/>
      <c r="I8781"/>
      <c r="J8781" s="68"/>
    </row>
    <row r="8782" spans="8:10">
      <c r="H8782"/>
      <c r="I8782"/>
      <c r="J8782" s="68"/>
    </row>
    <row r="8783" spans="8:10">
      <c r="H8783"/>
      <c r="I8783"/>
      <c r="J8783" s="68"/>
    </row>
    <row r="8784" spans="8:10">
      <c r="H8784"/>
      <c r="I8784"/>
      <c r="J8784" s="68"/>
    </row>
    <row r="8785" spans="8:10">
      <c r="H8785"/>
      <c r="I8785"/>
      <c r="J8785" s="68"/>
    </row>
    <row r="8786" spans="8:10">
      <c r="H8786"/>
      <c r="I8786"/>
      <c r="J8786" s="68"/>
    </row>
    <row r="8787" spans="8:10">
      <c r="H8787"/>
      <c r="I8787"/>
      <c r="J8787" s="68"/>
    </row>
    <row r="8788" spans="8:10">
      <c r="H8788"/>
      <c r="I8788"/>
      <c r="J8788" s="68"/>
    </row>
    <row r="8789" spans="8:10">
      <c r="H8789"/>
      <c r="I8789"/>
      <c r="J8789" s="68"/>
    </row>
    <row r="8790" spans="8:10">
      <c r="H8790"/>
      <c r="I8790"/>
      <c r="J8790" s="68"/>
    </row>
    <row r="8791" spans="8:10">
      <c r="H8791"/>
      <c r="I8791"/>
      <c r="J8791" s="68"/>
    </row>
    <row r="8792" spans="8:10">
      <c r="H8792"/>
      <c r="I8792"/>
      <c r="J8792" s="68"/>
    </row>
    <row r="8793" spans="8:10">
      <c r="H8793"/>
      <c r="I8793"/>
      <c r="J8793" s="68"/>
    </row>
    <row r="8794" spans="8:10">
      <c r="H8794"/>
      <c r="I8794"/>
      <c r="J8794" s="68"/>
    </row>
    <row r="8795" spans="8:10">
      <c r="H8795"/>
      <c r="I8795"/>
      <c r="J8795" s="68"/>
    </row>
    <row r="8796" spans="8:10">
      <c r="H8796"/>
      <c r="I8796"/>
      <c r="J8796" s="68"/>
    </row>
    <row r="8797" spans="8:10">
      <c r="H8797"/>
      <c r="I8797"/>
      <c r="J8797" s="68"/>
    </row>
    <row r="8798" spans="8:10">
      <c r="H8798"/>
      <c r="I8798"/>
      <c r="J8798" s="68"/>
    </row>
    <row r="8799" spans="8:10">
      <c r="H8799"/>
      <c r="I8799"/>
      <c r="J8799" s="68"/>
    </row>
    <row r="8800" spans="8:10">
      <c r="H8800"/>
      <c r="I8800"/>
      <c r="J8800" s="68"/>
    </row>
    <row r="8801" spans="8:10">
      <c r="H8801"/>
      <c r="I8801"/>
      <c r="J8801" s="68"/>
    </row>
    <row r="8802" spans="8:10">
      <c r="H8802"/>
      <c r="I8802"/>
      <c r="J8802" s="68"/>
    </row>
    <row r="8803" spans="8:10">
      <c r="H8803"/>
      <c r="I8803"/>
      <c r="J8803" s="68"/>
    </row>
    <row r="8804" spans="8:10">
      <c r="H8804"/>
      <c r="I8804"/>
      <c r="J8804" s="68"/>
    </row>
    <row r="8805" spans="8:10">
      <c r="H8805"/>
      <c r="I8805"/>
      <c r="J8805" s="68"/>
    </row>
    <row r="8806" spans="8:10">
      <c r="H8806"/>
      <c r="I8806"/>
      <c r="J8806" s="68"/>
    </row>
    <row r="8807" spans="8:10">
      <c r="H8807"/>
      <c r="I8807"/>
      <c r="J8807" s="68"/>
    </row>
    <row r="8808" spans="8:10">
      <c r="H8808"/>
      <c r="I8808"/>
      <c r="J8808" s="68"/>
    </row>
    <row r="8809" spans="8:10">
      <c r="H8809"/>
      <c r="I8809"/>
      <c r="J8809" s="68"/>
    </row>
    <row r="8810" spans="8:10">
      <c r="H8810"/>
      <c r="I8810"/>
      <c r="J8810" s="68"/>
    </row>
    <row r="8811" spans="8:10">
      <c r="H8811"/>
      <c r="I8811"/>
      <c r="J8811" s="68"/>
    </row>
    <row r="8812" spans="8:10">
      <c r="H8812"/>
      <c r="I8812"/>
      <c r="J8812" s="68"/>
    </row>
    <row r="8813" spans="8:10">
      <c r="H8813"/>
      <c r="I8813"/>
      <c r="J8813" s="68"/>
    </row>
    <row r="8814" spans="8:10">
      <c r="H8814"/>
      <c r="I8814"/>
      <c r="J8814" s="68"/>
    </row>
    <row r="8815" spans="8:10">
      <c r="H8815"/>
      <c r="I8815"/>
      <c r="J8815" s="68"/>
    </row>
    <row r="8816" spans="8:10">
      <c r="H8816"/>
      <c r="I8816"/>
      <c r="J8816" s="68"/>
    </row>
    <row r="8817" spans="8:10">
      <c r="H8817"/>
      <c r="I8817"/>
      <c r="J8817" s="68"/>
    </row>
    <row r="8818" spans="8:10">
      <c r="H8818"/>
      <c r="I8818"/>
      <c r="J8818" s="68"/>
    </row>
    <row r="8819" spans="8:10">
      <c r="H8819"/>
      <c r="I8819"/>
      <c r="J8819" s="68"/>
    </row>
    <row r="8820" spans="8:10">
      <c r="H8820"/>
      <c r="I8820"/>
      <c r="J8820" s="68"/>
    </row>
    <row r="8821" spans="8:10">
      <c r="H8821"/>
      <c r="I8821"/>
      <c r="J8821" s="68"/>
    </row>
    <row r="8822" spans="8:10">
      <c r="H8822"/>
      <c r="I8822"/>
      <c r="J8822" s="68"/>
    </row>
    <row r="8823" spans="8:10">
      <c r="H8823"/>
      <c r="I8823"/>
      <c r="J8823" s="68"/>
    </row>
    <row r="8824" spans="8:10">
      <c r="H8824"/>
      <c r="I8824"/>
      <c r="J8824" s="68"/>
    </row>
    <row r="8825" spans="8:10">
      <c r="H8825"/>
      <c r="I8825"/>
      <c r="J8825" s="68"/>
    </row>
    <row r="8826" spans="8:10">
      <c r="H8826"/>
      <c r="I8826"/>
      <c r="J8826" s="68"/>
    </row>
    <row r="8827" spans="8:10">
      <c r="H8827"/>
      <c r="I8827"/>
      <c r="J8827" s="68"/>
    </row>
    <row r="8828" spans="8:10">
      <c r="H8828"/>
      <c r="I8828"/>
      <c r="J8828" s="68"/>
    </row>
    <row r="8829" spans="8:10">
      <c r="H8829"/>
      <c r="I8829"/>
      <c r="J8829" s="68"/>
    </row>
    <row r="8830" spans="8:10">
      <c r="H8830"/>
      <c r="I8830"/>
      <c r="J8830" s="68"/>
    </row>
    <row r="8831" spans="8:10">
      <c r="H8831"/>
      <c r="I8831"/>
      <c r="J8831" s="68"/>
    </row>
    <row r="8832" spans="8:10">
      <c r="H8832"/>
      <c r="I8832"/>
      <c r="J8832" s="68"/>
    </row>
    <row r="8833" spans="8:10">
      <c r="H8833"/>
      <c r="I8833"/>
      <c r="J8833" s="68"/>
    </row>
    <row r="8834" spans="8:10">
      <c r="H8834"/>
      <c r="I8834"/>
      <c r="J8834" s="68"/>
    </row>
    <row r="8835" spans="8:10">
      <c r="H8835"/>
      <c r="I8835"/>
      <c r="J8835" s="68"/>
    </row>
    <row r="8836" spans="8:10">
      <c r="H8836"/>
      <c r="I8836"/>
      <c r="J8836" s="68"/>
    </row>
    <row r="8837" spans="8:10">
      <c r="H8837"/>
      <c r="I8837"/>
      <c r="J8837" s="68"/>
    </row>
    <row r="8838" spans="8:10">
      <c r="H8838"/>
      <c r="I8838"/>
      <c r="J8838" s="68"/>
    </row>
    <row r="8839" spans="8:10">
      <c r="H8839"/>
      <c r="I8839"/>
      <c r="J8839" s="68"/>
    </row>
    <row r="8840" spans="8:10">
      <c r="H8840"/>
      <c r="I8840"/>
      <c r="J8840" s="68"/>
    </row>
    <row r="8841" spans="8:10">
      <c r="H8841"/>
      <c r="I8841"/>
      <c r="J8841" s="68"/>
    </row>
    <row r="8842" spans="8:10">
      <c r="H8842"/>
      <c r="I8842"/>
      <c r="J8842" s="68"/>
    </row>
    <row r="8843" spans="8:10">
      <c r="H8843"/>
      <c r="I8843"/>
      <c r="J8843" s="68"/>
    </row>
    <row r="8844" spans="8:10">
      <c r="H8844"/>
      <c r="I8844"/>
      <c r="J8844" s="68"/>
    </row>
    <row r="8845" spans="8:10">
      <c r="H8845"/>
      <c r="I8845"/>
      <c r="J8845" s="68"/>
    </row>
    <row r="8846" spans="8:10">
      <c r="H8846"/>
      <c r="I8846"/>
      <c r="J8846" s="68"/>
    </row>
    <row r="8847" spans="8:10">
      <c r="H8847"/>
      <c r="I8847"/>
      <c r="J8847" s="68"/>
    </row>
    <row r="8848" spans="8:10">
      <c r="H8848"/>
      <c r="I8848"/>
      <c r="J8848" s="68"/>
    </row>
    <row r="8849" spans="8:10">
      <c r="H8849"/>
      <c r="I8849"/>
      <c r="J8849" s="68"/>
    </row>
    <row r="8850" spans="8:10">
      <c r="H8850"/>
      <c r="I8850"/>
      <c r="J8850" s="68"/>
    </row>
    <row r="8851" spans="8:10">
      <c r="H8851"/>
      <c r="I8851"/>
      <c r="J8851" s="68"/>
    </row>
    <row r="8852" spans="8:10">
      <c r="H8852"/>
      <c r="I8852"/>
      <c r="J8852" s="68"/>
    </row>
    <row r="8853" spans="8:10">
      <c r="H8853"/>
      <c r="I8853"/>
      <c r="J8853" s="68"/>
    </row>
    <row r="8854" spans="8:10">
      <c r="H8854"/>
      <c r="I8854"/>
      <c r="J8854" s="68"/>
    </row>
    <row r="8855" spans="8:10">
      <c r="H8855"/>
      <c r="I8855"/>
      <c r="J8855" s="68"/>
    </row>
    <row r="8856" spans="8:10">
      <c r="H8856"/>
      <c r="I8856"/>
      <c r="J8856" s="68"/>
    </row>
    <row r="8857" spans="8:10">
      <c r="H8857"/>
      <c r="I8857"/>
      <c r="J8857" s="68"/>
    </row>
    <row r="8858" spans="8:10">
      <c r="H8858"/>
      <c r="I8858"/>
      <c r="J8858" s="68"/>
    </row>
    <row r="8859" spans="8:10">
      <c r="H8859"/>
      <c r="I8859"/>
      <c r="J8859" s="68"/>
    </row>
    <row r="8860" spans="8:10">
      <c r="H8860"/>
      <c r="I8860"/>
      <c r="J8860" s="68"/>
    </row>
    <row r="8861" spans="8:10">
      <c r="H8861"/>
      <c r="I8861"/>
      <c r="J8861" s="68"/>
    </row>
    <row r="8862" spans="8:10">
      <c r="H8862"/>
      <c r="I8862"/>
      <c r="J8862" s="68"/>
    </row>
    <row r="8863" spans="8:10">
      <c r="H8863"/>
      <c r="I8863"/>
      <c r="J8863" s="68"/>
    </row>
    <row r="8864" spans="8:10">
      <c r="H8864"/>
      <c r="I8864"/>
      <c r="J8864" s="68"/>
    </row>
    <row r="8865" spans="8:10">
      <c r="H8865"/>
      <c r="I8865"/>
      <c r="J8865" s="68"/>
    </row>
    <row r="8866" spans="8:10">
      <c r="H8866"/>
      <c r="I8866"/>
      <c r="J8866" s="68"/>
    </row>
    <row r="8867" spans="8:10">
      <c r="H8867"/>
      <c r="I8867"/>
      <c r="J8867" s="68"/>
    </row>
    <row r="8868" spans="8:10">
      <c r="H8868"/>
      <c r="I8868"/>
      <c r="J8868" s="68"/>
    </row>
    <row r="8869" spans="8:10">
      <c r="H8869"/>
      <c r="I8869"/>
      <c r="J8869" s="68"/>
    </row>
    <row r="8870" spans="8:10">
      <c r="H8870"/>
      <c r="I8870"/>
      <c r="J8870" s="68"/>
    </row>
    <row r="8871" spans="8:10">
      <c r="H8871"/>
      <c r="I8871"/>
      <c r="J8871" s="68"/>
    </row>
    <row r="8872" spans="8:10">
      <c r="H8872"/>
      <c r="I8872"/>
      <c r="J8872" s="68"/>
    </row>
    <row r="8873" spans="8:10">
      <c r="H8873"/>
      <c r="I8873"/>
      <c r="J8873" s="68"/>
    </row>
    <row r="8874" spans="8:10">
      <c r="H8874"/>
      <c r="I8874"/>
      <c r="J8874" s="68"/>
    </row>
    <row r="8875" spans="8:10">
      <c r="H8875"/>
      <c r="I8875"/>
      <c r="J8875" s="68"/>
    </row>
    <row r="8876" spans="8:10">
      <c r="H8876"/>
      <c r="I8876"/>
      <c r="J8876" s="68"/>
    </row>
    <row r="8877" spans="8:10">
      <c r="H8877"/>
      <c r="I8877"/>
      <c r="J8877" s="68"/>
    </row>
    <row r="8878" spans="8:10">
      <c r="H8878"/>
      <c r="I8878"/>
      <c r="J8878" s="68"/>
    </row>
    <row r="8879" spans="8:10">
      <c r="H8879"/>
      <c r="I8879"/>
      <c r="J8879" s="68"/>
    </row>
    <row r="8880" spans="8:10">
      <c r="H8880"/>
      <c r="I8880"/>
      <c r="J8880" s="68"/>
    </row>
    <row r="8881" spans="8:10">
      <c r="H8881"/>
      <c r="I8881"/>
      <c r="J8881" s="68"/>
    </row>
    <row r="8882" spans="8:10">
      <c r="H8882"/>
      <c r="I8882"/>
      <c r="J8882" s="68"/>
    </row>
    <row r="8883" spans="8:10">
      <c r="H8883"/>
      <c r="I8883"/>
      <c r="J8883" s="68"/>
    </row>
    <row r="8884" spans="8:10">
      <c r="H8884"/>
      <c r="I8884"/>
      <c r="J8884" s="68"/>
    </row>
    <row r="8885" spans="8:10">
      <c r="H8885"/>
      <c r="I8885"/>
      <c r="J8885" s="68"/>
    </row>
    <row r="8886" spans="8:10">
      <c r="H8886"/>
      <c r="I8886"/>
      <c r="J8886" s="68"/>
    </row>
    <row r="8887" spans="8:10">
      <c r="H8887"/>
      <c r="I8887"/>
      <c r="J8887" s="68"/>
    </row>
    <row r="8888" spans="8:10">
      <c r="H8888"/>
      <c r="I8888"/>
      <c r="J8888" s="68"/>
    </row>
    <row r="8889" spans="8:10">
      <c r="H8889"/>
      <c r="I8889"/>
      <c r="J8889" s="68"/>
    </row>
    <row r="8890" spans="8:10">
      <c r="H8890"/>
      <c r="I8890"/>
      <c r="J8890" s="68"/>
    </row>
    <row r="8891" spans="8:10">
      <c r="H8891"/>
      <c r="I8891"/>
      <c r="J8891" s="68"/>
    </row>
    <row r="8892" spans="8:10">
      <c r="H8892"/>
      <c r="I8892"/>
      <c r="J8892" s="68"/>
    </row>
    <row r="8893" spans="8:10">
      <c r="H8893"/>
      <c r="I8893"/>
      <c r="J8893" s="68"/>
    </row>
    <row r="8894" spans="8:10">
      <c r="H8894"/>
      <c r="I8894"/>
      <c r="J8894" s="68"/>
    </row>
    <row r="8895" spans="8:10">
      <c r="H8895"/>
      <c r="I8895"/>
      <c r="J8895" s="68"/>
    </row>
    <row r="8896" spans="8:10">
      <c r="H8896"/>
      <c r="I8896"/>
      <c r="J8896" s="68"/>
    </row>
    <row r="8897" spans="8:10">
      <c r="H8897"/>
      <c r="I8897"/>
      <c r="J8897" s="68"/>
    </row>
    <row r="8898" spans="8:10">
      <c r="H8898"/>
      <c r="I8898"/>
      <c r="J8898" s="68"/>
    </row>
    <row r="8899" spans="8:10">
      <c r="H8899"/>
      <c r="I8899"/>
      <c r="J8899" s="68"/>
    </row>
    <row r="8900" spans="8:10">
      <c r="H8900"/>
      <c r="I8900"/>
      <c r="J8900" s="68"/>
    </row>
    <row r="8901" spans="8:10">
      <c r="H8901"/>
      <c r="I8901"/>
      <c r="J8901" s="68"/>
    </row>
    <row r="8902" spans="8:10">
      <c r="H8902"/>
      <c r="I8902"/>
      <c r="J8902" s="68"/>
    </row>
    <row r="8903" spans="8:10">
      <c r="H8903"/>
      <c r="I8903"/>
      <c r="J8903" s="68"/>
    </row>
    <row r="8904" spans="8:10">
      <c r="H8904"/>
      <c r="I8904"/>
      <c r="J8904" s="68"/>
    </row>
    <row r="8905" spans="8:10">
      <c r="H8905"/>
      <c r="I8905"/>
      <c r="J8905" s="68"/>
    </row>
    <row r="8906" spans="8:10">
      <c r="H8906"/>
      <c r="I8906"/>
      <c r="J8906" s="68"/>
    </row>
    <row r="8907" spans="8:10">
      <c r="H8907"/>
      <c r="I8907"/>
      <c r="J8907" s="68"/>
    </row>
    <row r="8908" spans="8:10">
      <c r="H8908"/>
      <c r="I8908"/>
      <c r="J8908" s="68"/>
    </row>
    <row r="8909" spans="8:10">
      <c r="H8909"/>
      <c r="I8909"/>
      <c r="J8909" s="68"/>
    </row>
    <row r="8910" spans="8:10">
      <c r="H8910"/>
      <c r="I8910"/>
      <c r="J8910" s="68"/>
    </row>
    <row r="8911" spans="8:10">
      <c r="H8911"/>
      <c r="I8911"/>
      <c r="J8911" s="68"/>
    </row>
    <row r="8912" spans="8:10">
      <c r="H8912"/>
      <c r="I8912"/>
      <c r="J8912" s="68"/>
    </row>
    <row r="8913" spans="8:10">
      <c r="H8913"/>
      <c r="I8913"/>
      <c r="J8913" s="68"/>
    </row>
    <row r="8914" spans="8:10">
      <c r="H8914"/>
      <c r="I8914"/>
      <c r="J8914" s="68"/>
    </row>
    <row r="8915" spans="8:10">
      <c r="H8915"/>
      <c r="I8915"/>
      <c r="J8915" s="68"/>
    </row>
    <row r="8916" spans="8:10">
      <c r="H8916"/>
      <c r="I8916"/>
      <c r="J8916" s="68"/>
    </row>
    <row r="8917" spans="8:10">
      <c r="H8917"/>
      <c r="I8917"/>
      <c r="J8917" s="68"/>
    </row>
    <row r="8918" spans="8:10">
      <c r="H8918"/>
      <c r="I8918"/>
      <c r="J8918" s="68"/>
    </row>
    <row r="8919" spans="8:10">
      <c r="H8919"/>
      <c r="I8919"/>
      <c r="J8919" s="68"/>
    </row>
    <row r="8920" spans="8:10">
      <c r="H8920"/>
      <c r="I8920"/>
      <c r="J8920" s="68"/>
    </row>
    <row r="8921" spans="8:10">
      <c r="H8921"/>
      <c r="I8921"/>
      <c r="J8921" s="68"/>
    </row>
    <row r="8922" spans="8:10">
      <c r="H8922"/>
      <c r="I8922"/>
      <c r="J8922" s="68"/>
    </row>
    <row r="8923" spans="8:10">
      <c r="H8923"/>
      <c r="I8923"/>
      <c r="J8923" s="68"/>
    </row>
    <row r="8924" spans="8:10">
      <c r="H8924"/>
      <c r="I8924"/>
      <c r="J8924" s="68"/>
    </row>
    <row r="8925" spans="8:10">
      <c r="H8925"/>
      <c r="I8925"/>
      <c r="J8925" s="68"/>
    </row>
    <row r="8926" spans="8:10">
      <c r="H8926"/>
      <c r="I8926"/>
      <c r="J8926" s="68"/>
    </row>
    <row r="8927" spans="8:10">
      <c r="H8927"/>
      <c r="I8927"/>
      <c r="J8927" s="68"/>
    </row>
    <row r="8928" spans="8:10">
      <c r="H8928"/>
      <c r="I8928"/>
      <c r="J8928" s="68"/>
    </row>
    <row r="8929" spans="8:10">
      <c r="H8929"/>
      <c r="I8929"/>
      <c r="J8929" s="68"/>
    </row>
    <row r="8930" spans="8:10">
      <c r="H8930"/>
      <c r="I8930"/>
      <c r="J8930" s="68"/>
    </row>
    <row r="8931" spans="8:10">
      <c r="H8931"/>
      <c r="I8931"/>
      <c r="J8931" s="68"/>
    </row>
    <row r="8932" spans="8:10">
      <c r="H8932"/>
      <c r="I8932"/>
      <c r="J8932" s="68"/>
    </row>
    <row r="8933" spans="8:10">
      <c r="H8933"/>
      <c r="I8933"/>
      <c r="J8933" s="68"/>
    </row>
    <row r="8934" spans="8:10">
      <c r="H8934"/>
      <c r="I8934"/>
      <c r="J8934" s="68"/>
    </row>
    <row r="8935" spans="8:10">
      <c r="H8935"/>
      <c r="I8935"/>
      <c r="J8935" s="68"/>
    </row>
    <row r="8936" spans="8:10">
      <c r="H8936"/>
      <c r="I8936"/>
      <c r="J8936" s="68"/>
    </row>
    <row r="8937" spans="8:10">
      <c r="H8937"/>
      <c r="I8937"/>
      <c r="J8937" s="68"/>
    </row>
    <row r="8938" spans="8:10">
      <c r="H8938"/>
      <c r="I8938"/>
      <c r="J8938" s="68"/>
    </row>
    <row r="8939" spans="8:10">
      <c r="H8939"/>
      <c r="I8939"/>
      <c r="J8939" s="68"/>
    </row>
    <row r="8940" spans="8:10">
      <c r="H8940"/>
      <c r="I8940"/>
      <c r="J8940" s="68"/>
    </row>
    <row r="8941" spans="8:10">
      <c r="H8941"/>
      <c r="I8941"/>
      <c r="J8941" s="68"/>
    </row>
    <row r="8942" spans="8:10">
      <c r="H8942"/>
      <c r="I8942"/>
      <c r="J8942" s="68"/>
    </row>
    <row r="8943" spans="8:10">
      <c r="H8943"/>
      <c r="I8943"/>
      <c r="J8943" s="68"/>
    </row>
    <row r="8944" spans="8:10">
      <c r="H8944"/>
      <c r="I8944"/>
      <c r="J8944" s="68"/>
    </row>
    <row r="8945" spans="8:10">
      <c r="H8945"/>
      <c r="I8945"/>
      <c r="J8945" s="68"/>
    </row>
    <row r="8946" spans="8:10">
      <c r="H8946"/>
      <c r="I8946"/>
      <c r="J8946" s="68"/>
    </row>
    <row r="8947" spans="8:10">
      <c r="H8947"/>
      <c r="I8947"/>
      <c r="J8947" s="68"/>
    </row>
    <row r="8948" spans="8:10">
      <c r="H8948"/>
      <c r="I8948"/>
      <c r="J8948" s="68"/>
    </row>
    <row r="8949" spans="8:10">
      <c r="H8949"/>
      <c r="I8949"/>
      <c r="J8949" s="68"/>
    </row>
    <row r="8950" spans="8:10">
      <c r="H8950"/>
      <c r="I8950"/>
      <c r="J8950" s="68"/>
    </row>
    <row r="8951" spans="8:10">
      <c r="H8951"/>
      <c r="I8951"/>
      <c r="J8951" s="68"/>
    </row>
    <row r="8952" spans="8:10">
      <c r="H8952"/>
      <c r="I8952"/>
      <c r="J8952" s="68"/>
    </row>
    <row r="8953" spans="8:10">
      <c r="H8953"/>
      <c r="I8953"/>
      <c r="J8953" s="68"/>
    </row>
    <row r="8954" spans="8:10">
      <c r="H8954"/>
      <c r="I8954"/>
      <c r="J8954" s="68"/>
    </row>
    <row r="8955" spans="8:10">
      <c r="H8955"/>
      <c r="I8955"/>
      <c r="J8955" s="68"/>
    </row>
    <row r="8956" spans="8:10">
      <c r="H8956"/>
      <c r="I8956"/>
      <c r="J8956" s="68"/>
    </row>
    <row r="8957" spans="8:10">
      <c r="H8957"/>
      <c r="I8957"/>
      <c r="J8957" s="68"/>
    </row>
    <row r="8958" spans="8:10">
      <c r="H8958"/>
      <c r="I8958"/>
      <c r="J8958" s="68"/>
    </row>
    <row r="8959" spans="8:10">
      <c r="H8959"/>
      <c r="I8959"/>
      <c r="J8959" s="68"/>
    </row>
    <row r="8960" spans="8:10">
      <c r="H8960"/>
      <c r="I8960"/>
      <c r="J8960" s="68"/>
    </row>
    <row r="8961" spans="8:10">
      <c r="H8961"/>
      <c r="I8961"/>
      <c r="J8961" s="68"/>
    </row>
    <row r="8962" spans="8:10">
      <c r="H8962"/>
      <c r="I8962"/>
      <c r="J8962" s="68"/>
    </row>
    <row r="8963" spans="8:10">
      <c r="H8963"/>
      <c r="I8963"/>
      <c r="J8963" s="68"/>
    </row>
    <row r="8964" spans="8:10">
      <c r="H8964"/>
      <c r="I8964"/>
      <c r="J8964" s="68"/>
    </row>
    <row r="8965" spans="8:10">
      <c r="H8965"/>
      <c r="I8965"/>
      <c r="J8965" s="68"/>
    </row>
    <row r="8966" spans="8:10">
      <c r="H8966"/>
      <c r="I8966"/>
      <c r="J8966" s="68"/>
    </row>
    <row r="8967" spans="8:10">
      <c r="H8967"/>
      <c r="I8967"/>
      <c r="J8967" s="68"/>
    </row>
    <row r="8968" spans="8:10">
      <c r="H8968"/>
      <c r="I8968"/>
      <c r="J8968" s="68"/>
    </row>
    <row r="8969" spans="8:10">
      <c r="H8969"/>
      <c r="I8969"/>
      <c r="J8969" s="68"/>
    </row>
    <row r="8970" spans="8:10">
      <c r="H8970"/>
      <c r="I8970"/>
      <c r="J8970" s="68"/>
    </row>
    <row r="8971" spans="8:10">
      <c r="H8971"/>
      <c r="I8971"/>
      <c r="J8971" s="68"/>
    </row>
    <row r="8972" spans="8:10">
      <c r="H8972"/>
      <c r="I8972"/>
      <c r="J8972" s="68"/>
    </row>
    <row r="8973" spans="8:10">
      <c r="H8973"/>
      <c r="I8973"/>
      <c r="J8973" s="68"/>
    </row>
    <row r="8974" spans="8:10">
      <c r="H8974"/>
      <c r="I8974"/>
      <c r="J8974" s="68"/>
    </row>
    <row r="8975" spans="8:10">
      <c r="H8975"/>
      <c r="I8975"/>
      <c r="J8975" s="68"/>
    </row>
    <row r="8976" spans="8:10">
      <c r="H8976"/>
      <c r="I8976"/>
      <c r="J8976" s="68"/>
    </row>
    <row r="8977" spans="8:10">
      <c r="H8977"/>
      <c r="I8977"/>
      <c r="J8977" s="68"/>
    </row>
    <row r="8978" spans="8:10">
      <c r="H8978"/>
      <c r="I8978"/>
      <c r="J8978" s="68"/>
    </row>
    <row r="8979" spans="8:10">
      <c r="H8979"/>
      <c r="I8979"/>
      <c r="J8979" s="68"/>
    </row>
    <row r="8980" spans="8:10">
      <c r="H8980"/>
      <c r="I8980"/>
      <c r="J8980" s="68"/>
    </row>
    <row r="8981" spans="8:10">
      <c r="H8981"/>
      <c r="I8981"/>
      <c r="J8981" s="68"/>
    </row>
    <row r="8982" spans="8:10">
      <c r="H8982"/>
      <c r="I8982"/>
      <c r="J8982" s="68"/>
    </row>
    <row r="8983" spans="8:10">
      <c r="H8983"/>
      <c r="I8983"/>
      <c r="J8983" s="68"/>
    </row>
    <row r="8984" spans="8:10">
      <c r="H8984"/>
      <c r="I8984"/>
      <c r="J8984" s="68"/>
    </row>
    <row r="8985" spans="8:10">
      <c r="H8985"/>
      <c r="I8985"/>
      <c r="J8985" s="68"/>
    </row>
    <row r="8986" spans="8:10">
      <c r="H8986"/>
      <c r="I8986"/>
      <c r="J8986" s="68"/>
    </row>
    <row r="8987" spans="8:10">
      <c r="H8987"/>
      <c r="I8987"/>
      <c r="J8987" s="68"/>
    </row>
    <row r="8988" spans="8:10">
      <c r="H8988"/>
      <c r="I8988"/>
      <c r="J8988" s="68"/>
    </row>
    <row r="8989" spans="8:10">
      <c r="H8989"/>
      <c r="I8989"/>
      <c r="J8989" s="68"/>
    </row>
    <row r="8990" spans="8:10">
      <c r="H8990"/>
      <c r="I8990"/>
      <c r="J8990" s="68"/>
    </row>
    <row r="8991" spans="8:10">
      <c r="H8991"/>
      <c r="I8991"/>
      <c r="J8991" s="68"/>
    </row>
    <row r="8992" spans="8:10">
      <c r="H8992"/>
      <c r="I8992"/>
      <c r="J8992" s="68"/>
    </row>
    <row r="8993" spans="8:10">
      <c r="H8993"/>
      <c r="I8993"/>
      <c r="J8993" s="68"/>
    </row>
    <row r="8994" spans="8:10">
      <c r="H8994"/>
      <c r="I8994"/>
      <c r="J8994" s="68"/>
    </row>
    <row r="8995" spans="8:10">
      <c r="H8995"/>
      <c r="I8995"/>
      <c r="J8995" s="68"/>
    </row>
    <row r="8996" spans="8:10">
      <c r="H8996"/>
      <c r="I8996"/>
      <c r="J8996" s="68"/>
    </row>
    <row r="8997" spans="8:10">
      <c r="H8997"/>
      <c r="I8997"/>
      <c r="J8997" s="68"/>
    </row>
    <row r="8998" spans="8:10">
      <c r="H8998"/>
      <c r="I8998"/>
      <c r="J8998" s="68"/>
    </row>
    <row r="8999" spans="8:10">
      <c r="H8999"/>
      <c r="I8999"/>
      <c r="J8999" s="68"/>
    </row>
    <row r="9000" spans="8:10">
      <c r="H9000"/>
      <c r="I9000"/>
      <c r="J9000" s="68"/>
    </row>
    <row r="9001" spans="8:10">
      <c r="H9001"/>
      <c r="I9001"/>
      <c r="J9001" s="68"/>
    </row>
    <row r="9002" spans="8:10">
      <c r="H9002"/>
      <c r="I9002"/>
      <c r="J9002" s="68"/>
    </row>
    <row r="9003" spans="8:10">
      <c r="H9003"/>
      <c r="I9003"/>
      <c r="J9003" s="68"/>
    </row>
    <row r="9004" spans="8:10">
      <c r="H9004"/>
      <c r="I9004"/>
      <c r="J9004" s="68"/>
    </row>
    <row r="9005" spans="8:10">
      <c r="H9005"/>
      <c r="I9005"/>
      <c r="J9005" s="68"/>
    </row>
    <row r="9006" spans="8:10">
      <c r="H9006"/>
      <c r="I9006"/>
      <c r="J9006" s="68"/>
    </row>
    <row r="9007" spans="8:10">
      <c r="H9007"/>
      <c r="I9007"/>
      <c r="J9007" s="68"/>
    </row>
    <row r="9008" spans="8:10">
      <c r="H9008"/>
      <c r="I9008"/>
      <c r="J9008" s="68"/>
    </row>
    <row r="9009" spans="8:10">
      <c r="H9009"/>
      <c r="I9009"/>
      <c r="J9009" s="68"/>
    </row>
    <row r="9010" spans="8:10">
      <c r="H9010"/>
      <c r="I9010"/>
      <c r="J9010" s="68"/>
    </row>
    <row r="9011" spans="8:10">
      <c r="H9011"/>
      <c r="I9011"/>
      <c r="J9011" s="68"/>
    </row>
    <row r="9012" spans="8:10">
      <c r="H9012"/>
      <c r="I9012"/>
      <c r="J9012" s="68"/>
    </row>
    <row r="9013" spans="8:10">
      <c r="H9013"/>
      <c r="I9013"/>
      <c r="J9013" s="68"/>
    </row>
    <row r="9014" spans="8:10">
      <c r="H9014"/>
      <c r="I9014"/>
      <c r="J9014" s="68"/>
    </row>
    <row r="9015" spans="8:10">
      <c r="H9015"/>
      <c r="I9015"/>
      <c r="J9015" s="68"/>
    </row>
    <row r="9016" spans="8:10">
      <c r="H9016"/>
      <c r="I9016"/>
      <c r="J9016" s="68"/>
    </row>
    <row r="9017" spans="8:10">
      <c r="H9017"/>
      <c r="I9017"/>
      <c r="J9017" s="68"/>
    </row>
    <row r="9018" spans="8:10">
      <c r="H9018"/>
      <c r="I9018"/>
      <c r="J9018" s="68"/>
    </row>
    <row r="9019" spans="8:10">
      <c r="H9019"/>
      <c r="I9019"/>
      <c r="J9019" s="68"/>
    </row>
    <row r="9020" spans="8:10">
      <c r="H9020"/>
      <c r="I9020"/>
      <c r="J9020" s="68"/>
    </row>
    <row r="9021" spans="8:10">
      <c r="H9021"/>
      <c r="I9021"/>
      <c r="J9021" s="68"/>
    </row>
    <row r="9022" spans="8:10">
      <c r="H9022"/>
      <c r="I9022"/>
      <c r="J9022" s="68"/>
    </row>
    <row r="9023" spans="8:10">
      <c r="H9023"/>
      <c r="I9023"/>
      <c r="J9023" s="68"/>
    </row>
    <row r="9024" spans="8:10">
      <c r="H9024"/>
      <c r="I9024"/>
      <c r="J9024" s="68"/>
    </row>
    <row r="9025" spans="8:10">
      <c r="H9025"/>
      <c r="I9025"/>
      <c r="J9025" s="68"/>
    </row>
    <row r="9026" spans="8:10">
      <c r="H9026"/>
      <c r="I9026"/>
      <c r="J9026" s="68"/>
    </row>
    <row r="9027" spans="8:10">
      <c r="H9027"/>
      <c r="I9027"/>
      <c r="J9027" s="68"/>
    </row>
    <row r="9028" spans="8:10">
      <c r="H9028"/>
      <c r="I9028"/>
      <c r="J9028" s="68"/>
    </row>
    <row r="9029" spans="8:10">
      <c r="H9029"/>
      <c r="I9029"/>
      <c r="J9029" s="68"/>
    </row>
    <row r="9030" spans="8:10">
      <c r="H9030"/>
      <c r="I9030"/>
      <c r="J9030" s="68"/>
    </row>
    <row r="9031" spans="8:10">
      <c r="H9031"/>
      <c r="I9031"/>
      <c r="J9031" s="68"/>
    </row>
    <row r="9032" spans="8:10">
      <c r="H9032"/>
      <c r="I9032"/>
      <c r="J9032" s="68"/>
    </row>
    <row r="9033" spans="8:10">
      <c r="H9033"/>
      <c r="I9033"/>
      <c r="J9033" s="68"/>
    </row>
    <row r="9034" spans="8:10">
      <c r="H9034"/>
      <c r="I9034"/>
      <c r="J9034" s="68"/>
    </row>
    <row r="9035" spans="8:10">
      <c r="H9035"/>
      <c r="I9035"/>
      <c r="J9035" s="68"/>
    </row>
    <row r="9036" spans="8:10">
      <c r="H9036"/>
      <c r="I9036"/>
      <c r="J9036" s="68"/>
    </row>
    <row r="9037" spans="8:10">
      <c r="H9037"/>
      <c r="I9037"/>
      <c r="J9037" s="68"/>
    </row>
    <row r="9038" spans="8:10">
      <c r="H9038"/>
      <c r="I9038"/>
      <c r="J9038" s="68"/>
    </row>
    <row r="9039" spans="8:10">
      <c r="H9039"/>
      <c r="I9039"/>
      <c r="J9039" s="68"/>
    </row>
    <row r="9040" spans="8:10">
      <c r="H9040"/>
      <c r="I9040"/>
      <c r="J9040" s="68"/>
    </row>
    <row r="9041" spans="8:10">
      <c r="H9041"/>
      <c r="I9041"/>
      <c r="J9041" s="68"/>
    </row>
    <row r="9042" spans="8:10">
      <c r="H9042"/>
      <c r="I9042"/>
      <c r="J9042" s="68"/>
    </row>
    <row r="9043" spans="8:10">
      <c r="H9043"/>
      <c r="I9043"/>
      <c r="J9043" s="68"/>
    </row>
    <row r="9044" spans="8:10">
      <c r="H9044"/>
      <c r="I9044"/>
      <c r="J9044" s="68"/>
    </row>
    <row r="9045" spans="8:10">
      <c r="H9045"/>
      <c r="I9045"/>
      <c r="J9045" s="68"/>
    </row>
    <row r="9046" spans="8:10">
      <c r="H9046"/>
      <c r="I9046"/>
      <c r="J9046" s="68"/>
    </row>
    <row r="9047" spans="8:10">
      <c r="H9047"/>
      <c r="I9047"/>
      <c r="J9047" s="68"/>
    </row>
    <row r="9048" spans="8:10">
      <c r="H9048"/>
      <c r="I9048"/>
      <c r="J9048" s="68"/>
    </row>
    <row r="9049" spans="8:10">
      <c r="H9049"/>
      <c r="I9049"/>
      <c r="J9049" s="68"/>
    </row>
    <row r="9050" spans="8:10">
      <c r="H9050"/>
      <c r="I9050"/>
      <c r="J9050" s="68"/>
    </row>
    <row r="9051" spans="8:10">
      <c r="H9051"/>
      <c r="I9051"/>
      <c r="J9051" s="68"/>
    </row>
    <row r="9052" spans="8:10">
      <c r="H9052"/>
      <c r="I9052"/>
      <c r="J9052" s="68"/>
    </row>
    <row r="9053" spans="8:10">
      <c r="H9053"/>
      <c r="I9053"/>
      <c r="J9053" s="68"/>
    </row>
    <row r="9054" spans="8:10">
      <c r="H9054"/>
      <c r="I9054"/>
      <c r="J9054" s="68"/>
    </row>
    <row r="9055" spans="8:10">
      <c r="H9055"/>
      <c r="I9055"/>
      <c r="J9055" s="68"/>
    </row>
    <row r="9056" spans="8:10">
      <c r="H9056"/>
      <c r="I9056"/>
      <c r="J9056" s="68"/>
    </row>
    <row r="9057" spans="8:10">
      <c r="H9057"/>
      <c r="I9057"/>
      <c r="J9057" s="68"/>
    </row>
    <row r="9058" spans="8:10">
      <c r="H9058"/>
      <c r="I9058"/>
      <c r="J9058" s="68"/>
    </row>
    <row r="9059" spans="8:10">
      <c r="H9059"/>
      <c r="I9059"/>
      <c r="J9059" s="68"/>
    </row>
    <row r="9060" spans="8:10">
      <c r="H9060"/>
      <c r="I9060"/>
      <c r="J9060" s="68"/>
    </row>
    <row r="9061" spans="8:10">
      <c r="H9061"/>
      <c r="I9061"/>
      <c r="J9061" s="68"/>
    </row>
    <row r="9062" spans="8:10">
      <c r="H9062"/>
      <c r="I9062"/>
      <c r="J9062" s="68"/>
    </row>
    <row r="9063" spans="8:10">
      <c r="H9063"/>
      <c r="I9063"/>
      <c r="J9063" s="68"/>
    </row>
    <row r="9064" spans="8:10">
      <c r="H9064"/>
      <c r="I9064"/>
      <c r="J9064" s="68"/>
    </row>
    <row r="9065" spans="8:10">
      <c r="H9065"/>
      <c r="I9065"/>
      <c r="J9065" s="68"/>
    </row>
    <row r="9066" spans="8:10">
      <c r="H9066"/>
      <c r="I9066"/>
      <c r="J9066" s="68"/>
    </row>
    <row r="9067" spans="8:10">
      <c r="H9067"/>
      <c r="I9067"/>
      <c r="J9067" s="68"/>
    </row>
    <row r="9068" spans="8:10">
      <c r="H9068"/>
      <c r="I9068"/>
      <c r="J9068" s="68"/>
    </row>
    <row r="9069" spans="8:10">
      <c r="H9069"/>
      <c r="I9069"/>
      <c r="J9069" s="68"/>
    </row>
    <row r="9070" spans="8:10">
      <c r="H9070"/>
      <c r="I9070"/>
      <c r="J9070" s="68"/>
    </row>
    <row r="9071" spans="8:10">
      <c r="H9071"/>
      <c r="I9071"/>
      <c r="J9071" s="68"/>
    </row>
    <row r="9072" spans="8:10">
      <c r="H9072"/>
      <c r="I9072"/>
      <c r="J9072" s="68"/>
    </row>
    <row r="9073" spans="8:10">
      <c r="H9073"/>
      <c r="I9073"/>
      <c r="J9073" s="68"/>
    </row>
    <row r="9074" spans="8:10">
      <c r="H9074"/>
      <c r="I9074"/>
      <c r="J9074" s="68"/>
    </row>
    <row r="9075" spans="8:10">
      <c r="H9075"/>
      <c r="I9075"/>
      <c r="J9075" s="68"/>
    </row>
    <row r="9076" spans="8:10">
      <c r="H9076"/>
      <c r="I9076"/>
      <c r="J9076" s="68"/>
    </row>
    <row r="9077" spans="8:10">
      <c r="H9077"/>
      <c r="I9077"/>
      <c r="J9077" s="68"/>
    </row>
    <row r="9078" spans="8:10">
      <c r="H9078"/>
      <c r="I9078"/>
      <c r="J9078" s="68"/>
    </row>
    <row r="9079" spans="8:10">
      <c r="H9079"/>
      <c r="I9079"/>
      <c r="J9079" s="68"/>
    </row>
    <row r="9080" spans="8:10">
      <c r="H9080"/>
      <c r="I9080"/>
      <c r="J9080" s="68"/>
    </row>
    <row r="9081" spans="8:10">
      <c r="H9081"/>
      <c r="I9081"/>
      <c r="J9081" s="68"/>
    </row>
    <row r="9082" spans="8:10">
      <c r="H9082"/>
      <c r="I9082"/>
      <c r="J9082" s="68"/>
    </row>
    <row r="9083" spans="8:10">
      <c r="H9083"/>
      <c r="I9083"/>
      <c r="J9083" s="68"/>
    </row>
    <row r="9084" spans="8:10">
      <c r="H9084"/>
      <c r="I9084"/>
      <c r="J9084" s="68"/>
    </row>
    <row r="9085" spans="8:10">
      <c r="H9085"/>
      <c r="I9085"/>
      <c r="J9085" s="68"/>
    </row>
    <row r="9086" spans="8:10">
      <c r="H9086"/>
      <c r="I9086"/>
      <c r="J9086" s="68"/>
    </row>
    <row r="9087" spans="8:10">
      <c r="H9087"/>
      <c r="I9087"/>
      <c r="J9087" s="68"/>
    </row>
    <row r="9088" spans="8:10">
      <c r="H9088"/>
      <c r="I9088"/>
      <c r="J9088" s="68"/>
    </row>
    <row r="9089" spans="8:10">
      <c r="H9089"/>
      <c r="I9089"/>
      <c r="J9089" s="68"/>
    </row>
    <row r="9090" spans="8:10">
      <c r="H9090"/>
      <c r="I9090"/>
      <c r="J9090" s="68"/>
    </row>
    <row r="9091" spans="8:10">
      <c r="H9091"/>
      <c r="I9091"/>
      <c r="J9091" s="68"/>
    </row>
    <row r="9092" spans="8:10">
      <c r="H9092"/>
      <c r="I9092"/>
      <c r="J9092" s="68"/>
    </row>
    <row r="9093" spans="8:10">
      <c r="H9093"/>
      <c r="I9093"/>
      <c r="J9093" s="68"/>
    </row>
    <row r="9094" spans="8:10">
      <c r="H9094"/>
      <c r="I9094"/>
      <c r="J9094" s="68"/>
    </row>
    <row r="9095" spans="8:10">
      <c r="H9095"/>
      <c r="I9095"/>
      <c r="J9095" s="68"/>
    </row>
    <row r="9096" spans="8:10">
      <c r="H9096"/>
      <c r="I9096"/>
      <c r="J9096" s="68"/>
    </row>
    <row r="9097" spans="8:10">
      <c r="H9097"/>
      <c r="I9097"/>
      <c r="J9097" s="68"/>
    </row>
    <row r="9098" spans="8:10">
      <c r="H9098"/>
      <c r="I9098"/>
      <c r="J9098" s="68"/>
    </row>
    <row r="9099" spans="8:10">
      <c r="H9099"/>
      <c r="I9099"/>
      <c r="J9099" s="68"/>
    </row>
    <row r="9100" spans="8:10">
      <c r="H9100"/>
      <c r="I9100"/>
      <c r="J9100" s="68"/>
    </row>
    <row r="9101" spans="8:10">
      <c r="H9101"/>
      <c r="I9101"/>
      <c r="J9101" s="68"/>
    </row>
    <row r="9102" spans="8:10">
      <c r="H9102"/>
      <c r="I9102"/>
      <c r="J9102" s="68"/>
    </row>
    <row r="9103" spans="8:10">
      <c r="H9103"/>
      <c r="I9103"/>
      <c r="J9103" s="68"/>
    </row>
    <row r="9104" spans="8:10">
      <c r="H9104"/>
      <c r="I9104"/>
      <c r="J9104" s="68"/>
    </row>
    <row r="9105" spans="8:10">
      <c r="H9105"/>
      <c r="I9105"/>
      <c r="J9105" s="68"/>
    </row>
    <row r="9106" spans="8:10">
      <c r="H9106"/>
      <c r="I9106"/>
      <c r="J9106" s="68"/>
    </row>
    <row r="9107" spans="8:10">
      <c r="H9107"/>
      <c r="I9107"/>
      <c r="J9107" s="68"/>
    </row>
    <row r="9108" spans="8:10">
      <c r="H9108"/>
      <c r="I9108"/>
      <c r="J9108" s="68"/>
    </row>
    <row r="9109" spans="8:10">
      <c r="H9109"/>
      <c r="I9109"/>
      <c r="J9109" s="68"/>
    </row>
    <row r="9110" spans="8:10">
      <c r="H9110"/>
      <c r="I9110"/>
      <c r="J9110" s="68"/>
    </row>
    <row r="9111" spans="8:10">
      <c r="H9111"/>
      <c r="I9111"/>
      <c r="J9111" s="68"/>
    </row>
    <row r="9112" spans="8:10">
      <c r="H9112"/>
      <c r="I9112"/>
      <c r="J9112" s="68"/>
    </row>
    <row r="9113" spans="8:10">
      <c r="H9113"/>
      <c r="I9113"/>
      <c r="J9113" s="68"/>
    </row>
    <row r="9114" spans="8:10">
      <c r="H9114"/>
      <c r="I9114"/>
      <c r="J9114" s="68"/>
    </row>
    <row r="9115" spans="8:10">
      <c r="H9115"/>
      <c r="I9115"/>
      <c r="J9115" s="68"/>
    </row>
    <row r="9116" spans="8:10">
      <c r="H9116"/>
      <c r="I9116"/>
      <c r="J9116" s="68"/>
    </row>
    <row r="9117" spans="8:10">
      <c r="H9117"/>
      <c r="I9117"/>
      <c r="J9117" s="68"/>
    </row>
    <row r="9118" spans="8:10">
      <c r="H9118"/>
      <c r="I9118"/>
      <c r="J9118" s="68"/>
    </row>
    <row r="9119" spans="8:10">
      <c r="H9119"/>
      <c r="I9119"/>
      <c r="J9119" s="68"/>
    </row>
    <row r="9120" spans="8:10">
      <c r="H9120"/>
      <c r="I9120"/>
      <c r="J9120" s="68"/>
    </row>
    <row r="9121" spans="8:10">
      <c r="H9121"/>
      <c r="I9121"/>
      <c r="J9121" s="68"/>
    </row>
    <row r="9122" spans="8:10">
      <c r="H9122"/>
      <c r="I9122"/>
      <c r="J9122" s="68"/>
    </row>
    <row r="9123" spans="8:10">
      <c r="H9123"/>
      <c r="I9123"/>
      <c r="J9123" s="68"/>
    </row>
    <row r="9124" spans="8:10">
      <c r="H9124"/>
      <c r="I9124"/>
      <c r="J9124" s="68"/>
    </row>
    <row r="9125" spans="8:10">
      <c r="H9125"/>
      <c r="I9125"/>
      <c r="J9125" s="68"/>
    </row>
    <row r="9126" spans="8:10">
      <c r="H9126"/>
      <c r="I9126"/>
      <c r="J9126" s="68"/>
    </row>
    <row r="9127" spans="8:10">
      <c r="H9127"/>
      <c r="I9127"/>
      <c r="J9127" s="68"/>
    </row>
    <row r="9128" spans="8:10">
      <c r="H9128"/>
      <c r="I9128"/>
      <c r="J9128" s="68"/>
    </row>
    <row r="9129" spans="8:10">
      <c r="H9129"/>
      <c r="I9129"/>
      <c r="J9129" s="68"/>
    </row>
    <row r="9130" spans="8:10">
      <c r="H9130"/>
      <c r="I9130"/>
      <c r="J9130" s="68"/>
    </row>
    <row r="9131" spans="8:10">
      <c r="H9131"/>
      <c r="I9131"/>
      <c r="J9131" s="68"/>
    </row>
    <row r="9132" spans="8:10">
      <c r="H9132"/>
      <c r="I9132"/>
      <c r="J9132" s="68"/>
    </row>
    <row r="9133" spans="8:10">
      <c r="H9133"/>
      <c r="I9133"/>
      <c r="J9133" s="68"/>
    </row>
    <row r="9134" spans="8:10">
      <c r="H9134"/>
      <c r="I9134"/>
      <c r="J9134" s="68"/>
    </row>
    <row r="9135" spans="8:10">
      <c r="H9135"/>
      <c r="I9135"/>
      <c r="J9135" s="68"/>
    </row>
    <row r="9136" spans="8:10">
      <c r="H9136"/>
      <c r="I9136"/>
      <c r="J9136" s="68"/>
    </row>
    <row r="9137" spans="8:10">
      <c r="H9137"/>
      <c r="I9137"/>
      <c r="J9137" s="68"/>
    </row>
    <row r="9138" spans="8:10">
      <c r="H9138"/>
      <c r="I9138"/>
      <c r="J9138" s="68"/>
    </row>
    <row r="9139" spans="8:10">
      <c r="H9139"/>
      <c r="I9139"/>
      <c r="J9139" s="68"/>
    </row>
    <row r="9140" spans="8:10">
      <c r="H9140"/>
      <c r="I9140"/>
      <c r="J9140" s="68"/>
    </row>
    <row r="9141" spans="8:10">
      <c r="H9141"/>
      <c r="I9141"/>
      <c r="J9141" s="68"/>
    </row>
    <row r="9142" spans="8:10">
      <c r="H9142"/>
      <c r="I9142"/>
      <c r="J9142" s="68"/>
    </row>
    <row r="9143" spans="8:10">
      <c r="H9143"/>
      <c r="I9143"/>
      <c r="J9143" s="68"/>
    </row>
    <row r="9144" spans="8:10">
      <c r="H9144"/>
      <c r="I9144"/>
      <c r="J9144" s="68"/>
    </row>
    <row r="9145" spans="8:10">
      <c r="H9145"/>
      <c r="I9145"/>
      <c r="J9145" s="68"/>
    </row>
    <row r="9146" spans="8:10">
      <c r="H9146"/>
      <c r="I9146"/>
      <c r="J9146" s="68"/>
    </row>
    <row r="9147" spans="8:10">
      <c r="H9147"/>
      <c r="I9147"/>
      <c r="J9147" s="68"/>
    </row>
    <row r="9148" spans="8:10">
      <c r="H9148"/>
      <c r="I9148"/>
      <c r="J9148" s="68"/>
    </row>
    <row r="9149" spans="8:10">
      <c r="H9149"/>
      <c r="I9149"/>
      <c r="J9149" s="68"/>
    </row>
    <row r="9150" spans="8:10">
      <c r="H9150"/>
      <c r="I9150"/>
      <c r="J9150" s="68"/>
    </row>
    <row r="9151" spans="8:10">
      <c r="H9151"/>
      <c r="I9151"/>
      <c r="J9151" s="68"/>
    </row>
    <row r="9152" spans="8:10">
      <c r="H9152"/>
      <c r="I9152"/>
      <c r="J9152" s="68"/>
    </row>
    <row r="9153" spans="8:10">
      <c r="H9153"/>
      <c r="I9153"/>
      <c r="J9153" s="68"/>
    </row>
    <row r="9154" spans="8:10">
      <c r="H9154"/>
      <c r="I9154"/>
      <c r="J9154" s="68"/>
    </row>
    <row r="9155" spans="8:10">
      <c r="H9155"/>
      <c r="I9155"/>
      <c r="J9155" s="68"/>
    </row>
    <row r="9156" spans="8:10">
      <c r="H9156"/>
      <c r="I9156"/>
      <c r="J9156" s="68"/>
    </row>
    <row r="9157" spans="8:10">
      <c r="H9157"/>
      <c r="I9157"/>
      <c r="J9157" s="68"/>
    </row>
    <row r="9158" spans="8:10">
      <c r="H9158"/>
      <c r="I9158"/>
      <c r="J9158" s="68"/>
    </row>
    <row r="9159" spans="8:10">
      <c r="H9159"/>
      <c r="I9159"/>
      <c r="J9159" s="68"/>
    </row>
    <row r="9160" spans="8:10">
      <c r="H9160"/>
      <c r="I9160"/>
      <c r="J9160" s="68"/>
    </row>
    <row r="9161" spans="8:10">
      <c r="H9161"/>
      <c r="I9161"/>
      <c r="J9161" s="68"/>
    </row>
    <row r="9162" spans="8:10">
      <c r="H9162"/>
      <c r="I9162"/>
      <c r="J9162" s="68"/>
    </row>
    <row r="9163" spans="8:10">
      <c r="H9163"/>
      <c r="I9163"/>
      <c r="J9163" s="68"/>
    </row>
    <row r="9164" spans="8:10">
      <c r="H9164"/>
      <c r="I9164"/>
      <c r="J9164" s="68"/>
    </row>
    <row r="9165" spans="8:10">
      <c r="H9165"/>
      <c r="I9165"/>
      <c r="J9165" s="68"/>
    </row>
    <row r="9166" spans="8:10">
      <c r="H9166"/>
      <c r="I9166"/>
      <c r="J9166" s="68"/>
    </row>
    <row r="9167" spans="8:10">
      <c r="H9167"/>
      <c r="I9167"/>
      <c r="J9167" s="68"/>
    </row>
    <row r="9168" spans="8:10">
      <c r="H9168"/>
      <c r="I9168"/>
      <c r="J9168" s="68"/>
    </row>
    <row r="9169" spans="8:10">
      <c r="H9169"/>
      <c r="I9169"/>
      <c r="J9169" s="68"/>
    </row>
    <row r="9170" spans="8:10">
      <c r="H9170"/>
      <c r="I9170"/>
      <c r="J9170" s="68"/>
    </row>
    <row r="9171" spans="8:10">
      <c r="H9171"/>
      <c r="I9171"/>
      <c r="J9171" s="68"/>
    </row>
    <row r="9172" spans="8:10">
      <c r="H9172"/>
      <c r="I9172"/>
      <c r="J9172" s="68"/>
    </row>
    <row r="9173" spans="8:10">
      <c r="H9173"/>
      <c r="I9173"/>
      <c r="J9173" s="68"/>
    </row>
    <row r="9174" spans="8:10">
      <c r="H9174"/>
      <c r="I9174"/>
      <c r="J9174" s="68"/>
    </row>
    <row r="9175" spans="8:10">
      <c r="H9175"/>
      <c r="I9175"/>
      <c r="J9175" s="68"/>
    </row>
    <row r="9176" spans="8:10">
      <c r="H9176"/>
      <c r="I9176"/>
      <c r="J9176" s="68"/>
    </row>
    <row r="9177" spans="8:10">
      <c r="H9177"/>
      <c r="I9177"/>
      <c r="J9177" s="68"/>
    </row>
    <row r="9178" spans="8:10">
      <c r="H9178"/>
      <c r="I9178"/>
      <c r="J9178" s="68"/>
    </row>
    <row r="9179" spans="8:10">
      <c r="H9179"/>
      <c r="I9179"/>
      <c r="J9179" s="68"/>
    </row>
    <row r="9180" spans="8:10">
      <c r="H9180"/>
      <c r="I9180"/>
      <c r="J9180" s="68"/>
    </row>
    <row r="9181" spans="8:10">
      <c r="H9181"/>
      <c r="I9181"/>
      <c r="J9181" s="68"/>
    </row>
    <row r="9182" spans="8:10">
      <c r="H9182"/>
      <c r="I9182"/>
      <c r="J9182" s="68"/>
    </row>
    <row r="9183" spans="8:10">
      <c r="H9183"/>
      <c r="I9183"/>
      <c r="J9183" s="68"/>
    </row>
    <row r="9184" spans="8:10">
      <c r="H9184"/>
      <c r="I9184"/>
      <c r="J9184" s="68"/>
    </row>
    <row r="9185" spans="8:10">
      <c r="H9185"/>
      <c r="I9185"/>
      <c r="J9185" s="68"/>
    </row>
    <row r="9186" spans="8:10">
      <c r="H9186"/>
      <c r="I9186"/>
      <c r="J9186" s="68"/>
    </row>
    <row r="9187" spans="8:10">
      <c r="H9187"/>
      <c r="I9187"/>
      <c r="J9187" s="68"/>
    </row>
    <row r="9188" spans="8:10">
      <c r="H9188"/>
      <c r="I9188"/>
      <c r="J9188" s="68"/>
    </row>
    <row r="9189" spans="8:10">
      <c r="H9189"/>
      <c r="I9189"/>
      <c r="J9189" s="68"/>
    </row>
    <row r="9190" spans="8:10">
      <c r="H9190"/>
      <c r="I9190"/>
      <c r="J9190" s="68"/>
    </row>
    <row r="9191" spans="8:10">
      <c r="H9191"/>
      <c r="I9191"/>
      <c r="J9191" s="68"/>
    </row>
    <row r="9192" spans="8:10">
      <c r="H9192"/>
      <c r="I9192"/>
      <c r="J9192" s="68"/>
    </row>
    <row r="9193" spans="8:10">
      <c r="H9193"/>
      <c r="I9193"/>
      <c r="J9193" s="68"/>
    </row>
    <row r="9194" spans="8:10">
      <c r="H9194"/>
      <c r="I9194"/>
      <c r="J9194" s="68"/>
    </row>
    <row r="9195" spans="8:10">
      <c r="H9195"/>
      <c r="I9195"/>
      <c r="J9195" s="68"/>
    </row>
    <row r="9196" spans="8:10">
      <c r="H9196"/>
      <c r="I9196"/>
      <c r="J9196" s="68"/>
    </row>
    <row r="9197" spans="8:10">
      <c r="H9197"/>
      <c r="I9197"/>
      <c r="J9197" s="68"/>
    </row>
    <row r="9198" spans="8:10">
      <c r="H9198"/>
      <c r="I9198"/>
      <c r="J9198" s="68"/>
    </row>
    <row r="9199" spans="8:10">
      <c r="H9199"/>
      <c r="I9199"/>
      <c r="J9199" s="68"/>
    </row>
    <row r="9200" spans="8:10">
      <c r="H9200"/>
      <c r="I9200"/>
      <c r="J9200" s="68"/>
    </row>
    <row r="9201" spans="8:10">
      <c r="H9201"/>
      <c r="I9201"/>
      <c r="J9201" s="68"/>
    </row>
    <row r="9202" spans="8:10">
      <c r="H9202"/>
      <c r="I9202"/>
      <c r="J9202" s="68"/>
    </row>
    <row r="9203" spans="8:10">
      <c r="H9203"/>
      <c r="I9203"/>
      <c r="J9203" s="68"/>
    </row>
    <row r="9204" spans="8:10">
      <c r="H9204"/>
      <c r="I9204"/>
      <c r="J9204" s="68"/>
    </row>
    <row r="9205" spans="8:10">
      <c r="H9205"/>
      <c r="I9205"/>
      <c r="J9205" s="68"/>
    </row>
    <row r="9206" spans="8:10">
      <c r="H9206"/>
      <c r="I9206"/>
      <c r="J9206" s="68"/>
    </row>
    <row r="9207" spans="8:10">
      <c r="H9207"/>
      <c r="I9207"/>
      <c r="J9207" s="68"/>
    </row>
    <row r="9208" spans="8:10">
      <c r="H9208"/>
      <c r="I9208"/>
      <c r="J9208" s="68"/>
    </row>
    <row r="9209" spans="8:10">
      <c r="H9209"/>
      <c r="I9209"/>
      <c r="J9209" s="68"/>
    </row>
    <row r="9210" spans="8:10">
      <c r="H9210"/>
      <c r="I9210"/>
      <c r="J9210" s="68"/>
    </row>
    <row r="9211" spans="8:10">
      <c r="H9211"/>
      <c r="I9211"/>
      <c r="J9211" s="68"/>
    </row>
    <row r="9212" spans="8:10">
      <c r="H9212"/>
      <c r="I9212"/>
      <c r="J9212" s="68"/>
    </row>
    <row r="9213" spans="8:10">
      <c r="H9213"/>
      <c r="I9213"/>
      <c r="J9213" s="68"/>
    </row>
    <row r="9214" spans="8:10">
      <c r="H9214"/>
      <c r="I9214"/>
      <c r="J9214" s="68"/>
    </row>
    <row r="9215" spans="8:10">
      <c r="H9215"/>
      <c r="I9215"/>
      <c r="J9215" s="68"/>
    </row>
    <row r="9216" spans="8:10">
      <c r="H9216"/>
      <c r="I9216"/>
      <c r="J9216" s="68"/>
    </row>
    <row r="9217" spans="8:10">
      <c r="H9217"/>
      <c r="I9217"/>
      <c r="J9217" s="68"/>
    </row>
    <row r="9218" spans="8:10">
      <c r="H9218"/>
      <c r="I9218"/>
      <c r="J9218" s="68"/>
    </row>
    <row r="9219" spans="8:10">
      <c r="H9219"/>
      <c r="I9219"/>
      <c r="J9219" s="68"/>
    </row>
    <row r="9220" spans="8:10">
      <c r="H9220"/>
      <c r="I9220"/>
      <c r="J9220" s="68"/>
    </row>
    <row r="9221" spans="8:10">
      <c r="H9221"/>
      <c r="I9221"/>
      <c r="J9221" s="68"/>
    </row>
    <row r="9222" spans="8:10">
      <c r="H9222"/>
      <c r="I9222"/>
      <c r="J9222" s="68"/>
    </row>
    <row r="9223" spans="8:10">
      <c r="H9223"/>
      <c r="I9223"/>
      <c r="J9223" s="68"/>
    </row>
    <row r="9224" spans="8:10">
      <c r="H9224"/>
      <c r="I9224"/>
      <c r="J9224" s="68"/>
    </row>
    <row r="9225" spans="8:10">
      <c r="H9225"/>
      <c r="I9225"/>
      <c r="J9225" s="68"/>
    </row>
    <row r="9226" spans="8:10">
      <c r="H9226"/>
      <c r="I9226"/>
      <c r="J9226" s="68"/>
    </row>
    <row r="9227" spans="8:10">
      <c r="H9227"/>
      <c r="I9227"/>
      <c r="J9227" s="68"/>
    </row>
    <row r="9228" spans="8:10">
      <c r="H9228"/>
      <c r="I9228"/>
      <c r="J9228" s="68"/>
    </row>
    <row r="9229" spans="8:10">
      <c r="H9229"/>
      <c r="I9229"/>
      <c r="J9229" s="68"/>
    </row>
    <row r="9230" spans="8:10">
      <c r="H9230"/>
      <c r="I9230"/>
      <c r="J9230" s="68"/>
    </row>
    <row r="9231" spans="8:10">
      <c r="H9231"/>
      <c r="I9231"/>
      <c r="J9231" s="68"/>
    </row>
    <row r="9232" spans="8:10">
      <c r="H9232"/>
      <c r="I9232"/>
      <c r="J9232" s="68"/>
    </row>
    <row r="9233" spans="8:10">
      <c r="H9233"/>
      <c r="I9233"/>
      <c r="J9233" s="68"/>
    </row>
    <row r="9234" spans="8:10">
      <c r="H9234"/>
      <c r="I9234"/>
      <c r="J9234" s="68"/>
    </row>
    <row r="9235" spans="8:10">
      <c r="H9235"/>
      <c r="I9235"/>
      <c r="J9235" s="68"/>
    </row>
    <row r="9236" spans="8:10">
      <c r="H9236"/>
      <c r="I9236"/>
      <c r="J9236" s="68"/>
    </row>
    <row r="9237" spans="8:10">
      <c r="H9237"/>
      <c r="I9237"/>
      <c r="J9237" s="68"/>
    </row>
    <row r="9238" spans="8:10">
      <c r="H9238"/>
      <c r="I9238"/>
      <c r="J9238" s="68"/>
    </row>
    <row r="9239" spans="8:10">
      <c r="H9239"/>
      <c r="I9239"/>
      <c r="J9239" s="68"/>
    </row>
    <row r="9240" spans="8:10">
      <c r="H9240"/>
      <c r="I9240"/>
      <c r="J9240" s="68"/>
    </row>
    <row r="9241" spans="8:10">
      <c r="H9241"/>
      <c r="I9241"/>
      <c r="J9241" s="68"/>
    </row>
    <row r="9242" spans="8:10">
      <c r="H9242"/>
      <c r="I9242"/>
      <c r="J9242" s="68"/>
    </row>
    <row r="9243" spans="8:10">
      <c r="H9243"/>
      <c r="I9243"/>
      <c r="J9243" s="68"/>
    </row>
    <row r="9244" spans="8:10">
      <c r="H9244"/>
      <c r="I9244"/>
      <c r="J9244" s="68"/>
    </row>
    <row r="9245" spans="8:10">
      <c r="H9245"/>
      <c r="I9245"/>
      <c r="J9245" s="68"/>
    </row>
    <row r="9246" spans="8:10">
      <c r="H9246"/>
      <c r="I9246"/>
      <c r="J9246" s="68"/>
    </row>
    <row r="9247" spans="8:10">
      <c r="H9247"/>
      <c r="I9247"/>
      <c r="J9247" s="68"/>
    </row>
    <row r="9248" spans="8:10">
      <c r="H9248"/>
      <c r="I9248"/>
      <c r="J9248" s="68"/>
    </row>
    <row r="9249" spans="8:10">
      <c r="H9249"/>
      <c r="I9249"/>
      <c r="J9249" s="68"/>
    </row>
    <row r="9250" spans="8:10">
      <c r="H9250"/>
      <c r="I9250"/>
      <c r="J9250" s="68"/>
    </row>
    <row r="9251" spans="8:10">
      <c r="H9251"/>
      <c r="I9251"/>
      <c r="J9251" s="68"/>
    </row>
    <row r="9252" spans="8:10">
      <c r="H9252"/>
      <c r="I9252"/>
      <c r="J9252" s="68"/>
    </row>
    <row r="9253" spans="8:10">
      <c r="H9253"/>
      <c r="I9253"/>
      <c r="J9253" s="68"/>
    </row>
    <row r="9254" spans="8:10">
      <c r="H9254"/>
      <c r="I9254"/>
      <c r="J9254" s="68"/>
    </row>
    <row r="9255" spans="8:10">
      <c r="H9255"/>
      <c r="I9255"/>
      <c r="J9255" s="68"/>
    </row>
    <row r="9256" spans="8:10">
      <c r="H9256"/>
      <c r="I9256"/>
      <c r="J9256" s="68"/>
    </row>
    <row r="9257" spans="8:10">
      <c r="H9257"/>
      <c r="I9257"/>
      <c r="J9257" s="68"/>
    </row>
    <row r="9258" spans="8:10">
      <c r="H9258"/>
      <c r="I9258"/>
      <c r="J9258" s="68"/>
    </row>
    <row r="9259" spans="8:10">
      <c r="H9259"/>
      <c r="I9259"/>
      <c r="J9259" s="68"/>
    </row>
    <row r="9260" spans="8:10">
      <c r="H9260"/>
      <c r="I9260"/>
      <c r="J9260" s="68"/>
    </row>
    <row r="9261" spans="8:10">
      <c r="H9261"/>
      <c r="I9261"/>
      <c r="J9261" s="68"/>
    </row>
    <row r="9262" spans="8:10">
      <c r="H9262"/>
      <c r="I9262"/>
      <c r="J9262" s="68"/>
    </row>
    <row r="9263" spans="8:10">
      <c r="H9263"/>
      <c r="I9263"/>
      <c r="J9263" s="68"/>
    </row>
    <row r="9264" spans="8:10">
      <c r="H9264"/>
      <c r="I9264"/>
      <c r="J9264" s="68"/>
    </row>
    <row r="9265" spans="8:10">
      <c r="H9265"/>
      <c r="I9265"/>
      <c r="J9265" s="68"/>
    </row>
    <row r="9266" spans="8:10">
      <c r="H9266"/>
      <c r="I9266"/>
      <c r="J9266" s="68"/>
    </row>
    <row r="9267" spans="8:10">
      <c r="H9267"/>
      <c r="I9267"/>
      <c r="J9267" s="68"/>
    </row>
    <row r="9268" spans="8:10">
      <c r="H9268"/>
      <c r="I9268"/>
      <c r="J9268" s="68"/>
    </row>
    <row r="9269" spans="8:10">
      <c r="H9269"/>
      <c r="I9269"/>
      <c r="J9269" s="68"/>
    </row>
    <row r="9270" spans="8:10">
      <c r="H9270"/>
      <c r="I9270"/>
      <c r="J9270" s="68"/>
    </row>
    <row r="9271" spans="8:10">
      <c r="H9271"/>
      <c r="I9271"/>
      <c r="J9271" s="68"/>
    </row>
    <row r="9272" spans="8:10">
      <c r="H9272"/>
      <c r="I9272"/>
      <c r="J9272" s="68"/>
    </row>
    <row r="9273" spans="8:10">
      <c r="H9273"/>
      <c r="I9273"/>
      <c r="J9273" s="68"/>
    </row>
    <row r="9274" spans="8:10">
      <c r="H9274"/>
      <c r="I9274"/>
      <c r="J9274" s="68"/>
    </row>
    <row r="9275" spans="8:10">
      <c r="H9275"/>
      <c r="I9275"/>
      <c r="J9275" s="68"/>
    </row>
    <row r="9276" spans="8:10">
      <c r="H9276"/>
      <c r="I9276"/>
      <c r="J9276" s="68"/>
    </row>
    <row r="9277" spans="8:10">
      <c r="H9277"/>
      <c r="I9277"/>
      <c r="J9277" s="68"/>
    </row>
    <row r="9278" spans="8:10">
      <c r="H9278"/>
      <c r="I9278"/>
      <c r="J9278" s="68"/>
    </row>
    <row r="9279" spans="8:10">
      <c r="H9279"/>
      <c r="I9279"/>
      <c r="J9279" s="68"/>
    </row>
    <row r="9280" spans="8:10">
      <c r="H9280"/>
      <c r="I9280"/>
      <c r="J9280" s="68"/>
    </row>
    <row r="9281" spans="8:10">
      <c r="H9281"/>
      <c r="I9281"/>
      <c r="J9281" s="68"/>
    </row>
    <row r="9282" spans="8:10">
      <c r="H9282"/>
      <c r="I9282"/>
      <c r="J9282" s="68"/>
    </row>
    <row r="9283" spans="8:10">
      <c r="H9283"/>
      <c r="I9283"/>
      <c r="J9283" s="68"/>
    </row>
    <row r="9284" spans="8:10">
      <c r="H9284"/>
      <c r="I9284"/>
      <c r="J9284" s="68"/>
    </row>
    <row r="9285" spans="8:10">
      <c r="H9285"/>
      <c r="I9285"/>
      <c r="J9285" s="68"/>
    </row>
    <row r="9286" spans="8:10">
      <c r="H9286"/>
      <c r="I9286"/>
      <c r="J9286" s="68"/>
    </row>
    <row r="9287" spans="8:10">
      <c r="H9287"/>
      <c r="I9287"/>
      <c r="J9287" s="68"/>
    </row>
    <row r="9288" spans="8:10">
      <c r="H9288"/>
      <c r="I9288"/>
      <c r="J9288" s="68"/>
    </row>
    <row r="9289" spans="8:10">
      <c r="H9289"/>
      <c r="I9289"/>
      <c r="J9289" s="68"/>
    </row>
    <row r="9290" spans="8:10">
      <c r="H9290"/>
      <c r="I9290"/>
      <c r="J9290" s="68"/>
    </row>
    <row r="9291" spans="8:10">
      <c r="H9291"/>
      <c r="I9291"/>
      <c r="J9291" s="68"/>
    </row>
    <row r="9292" spans="8:10">
      <c r="H9292"/>
      <c r="I9292"/>
      <c r="J9292" s="68"/>
    </row>
    <row r="9293" spans="8:10">
      <c r="H9293"/>
      <c r="I9293"/>
      <c r="J9293" s="68"/>
    </row>
    <row r="9294" spans="8:10">
      <c r="H9294"/>
      <c r="I9294"/>
      <c r="J9294" s="68"/>
    </row>
    <row r="9295" spans="8:10">
      <c r="H9295"/>
      <c r="I9295"/>
      <c r="J9295" s="68"/>
    </row>
    <row r="9296" spans="8:10">
      <c r="H9296"/>
      <c r="I9296"/>
      <c r="J9296" s="68"/>
    </row>
    <row r="9297" spans="8:10">
      <c r="H9297"/>
      <c r="I9297"/>
      <c r="J9297" s="68"/>
    </row>
    <row r="9298" spans="8:10">
      <c r="H9298"/>
      <c r="I9298"/>
      <c r="J9298" s="68"/>
    </row>
    <row r="9299" spans="8:10">
      <c r="H9299"/>
      <c r="I9299"/>
      <c r="J9299" s="68"/>
    </row>
    <row r="9300" spans="8:10">
      <c r="H9300"/>
      <c r="I9300"/>
      <c r="J9300" s="68"/>
    </row>
    <row r="9301" spans="8:10">
      <c r="H9301"/>
      <c r="I9301"/>
      <c r="J9301" s="68"/>
    </row>
    <row r="9302" spans="8:10">
      <c r="H9302"/>
      <c r="I9302"/>
      <c r="J9302" s="68"/>
    </row>
    <row r="9303" spans="8:10">
      <c r="H9303"/>
      <c r="I9303"/>
      <c r="J9303" s="68"/>
    </row>
    <row r="9304" spans="8:10">
      <c r="H9304"/>
      <c r="I9304"/>
      <c r="J9304" s="68"/>
    </row>
    <row r="9305" spans="8:10">
      <c r="H9305"/>
      <c r="I9305"/>
      <c r="J9305" s="68"/>
    </row>
    <row r="9306" spans="8:10">
      <c r="H9306"/>
      <c r="I9306"/>
      <c r="J9306" s="68"/>
    </row>
    <row r="9307" spans="8:10">
      <c r="H9307"/>
      <c r="I9307"/>
      <c r="J9307" s="68"/>
    </row>
    <row r="9308" spans="8:10">
      <c r="H9308"/>
      <c r="I9308"/>
      <c r="J9308" s="68"/>
    </row>
    <row r="9309" spans="8:10">
      <c r="H9309"/>
      <c r="I9309"/>
      <c r="J9309" s="68"/>
    </row>
    <row r="9310" spans="8:10">
      <c r="H9310"/>
      <c r="I9310"/>
      <c r="J9310" s="68"/>
    </row>
    <row r="9311" spans="8:10">
      <c r="H9311"/>
      <c r="I9311"/>
      <c r="J9311" s="68"/>
    </row>
    <row r="9312" spans="8:10">
      <c r="H9312"/>
      <c r="I9312"/>
      <c r="J9312" s="68"/>
    </row>
    <row r="9313" spans="8:10">
      <c r="H9313"/>
      <c r="I9313"/>
      <c r="J9313" s="68"/>
    </row>
    <row r="9314" spans="8:10">
      <c r="H9314"/>
      <c r="I9314"/>
      <c r="J9314" s="68"/>
    </row>
    <row r="9315" spans="8:10">
      <c r="H9315"/>
      <c r="I9315"/>
      <c r="J9315" s="68"/>
    </row>
    <row r="9316" spans="8:10">
      <c r="H9316"/>
      <c r="I9316"/>
      <c r="J9316" s="68"/>
    </row>
    <row r="9317" spans="8:10">
      <c r="H9317"/>
      <c r="I9317"/>
      <c r="J9317" s="68"/>
    </row>
  </sheetData>
  <sortState xmlns:xlrd2="http://schemas.microsoft.com/office/spreadsheetml/2017/richdata2" ref="D1:D10000">
    <sortCondition ref="D1"/>
  </sortState>
  <phoneticPr fontId="29"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W20000"/>
  <sheetViews>
    <sheetView workbookViewId="0">
      <selection sqref="A1:A20001"/>
    </sheetView>
  </sheetViews>
  <sheetFormatPr defaultColWidth="9.140625" defaultRowHeight="15"/>
  <cols>
    <col min="1" max="1" width="57" customWidth="1"/>
    <col min="2" max="4" width="9.140625" style="75"/>
    <col min="5" max="5" width="31.42578125" style="75" customWidth="1"/>
    <col min="6" max="16" width="2.7109375" style="75" customWidth="1"/>
    <col min="17" max="17" width="9.140625" style="78"/>
    <col min="18" max="18" width="48.28515625" style="75" customWidth="1"/>
    <col min="19" max="25" width="2.7109375" style="75" customWidth="1"/>
    <col min="26" max="48" width="9.140625" style="75"/>
    <col min="49" max="49" width="17.28515625" style="75" customWidth="1"/>
    <col min="50" max="16384" width="9.140625" style="75"/>
  </cols>
  <sheetData>
    <row r="1" spans="1:49">
      <c r="A1" t="s">
        <v>100</v>
      </c>
      <c r="B1" s="72"/>
      <c r="C1" s="17">
        <f>--ISNUMBER(SEARCH($B$1,A1))</f>
        <v>1</v>
      </c>
      <c r="D1" s="17">
        <f>IF(C1=1,COUNTIF($C$1:$C1,1),"")</f>
        <v>1</v>
      </c>
      <c r="E1" s="7" t="str">
        <f>IFERROR(INDEX($A$1:$A$5000,MATCH(ROWS($D1:$D$1),$D$1:$D$5000,0)),"")</f>
        <v>ABC</v>
      </c>
      <c r="Q1" s="76"/>
      <c r="R1" s="14"/>
      <c r="AT1" s="14"/>
      <c r="AW1" s="14"/>
    </row>
    <row r="2" spans="1:49">
      <c r="C2" s="17">
        <f t="shared" ref="C2:C65" si="0">--ISNUMBER(SEARCH($B$1,A2))</f>
        <v>0</v>
      </c>
      <c r="D2" s="17" t="str">
        <f>IF(C2=1,COUNTIF($C$1:$C2,1),"")</f>
        <v/>
      </c>
      <c r="E2" s="7" t="str">
        <f>IFERROR(INDEX($A$1:$A$5000,MATCH(ROWS($D$1:$D2),$D$1:$D$5000,0)),"")</f>
        <v/>
      </c>
      <c r="Q2" s="77"/>
      <c r="R2" s="14"/>
    </row>
    <row r="3" spans="1:49">
      <c r="C3" s="17">
        <f t="shared" si="0"/>
        <v>0</v>
      </c>
      <c r="D3" s="17" t="str">
        <f>IF(C3=1,COUNTIF($C$1:$C3,1),"")</f>
        <v/>
      </c>
      <c r="E3" s="7" t="str">
        <f>IFERROR(INDEX($A$1:$A$5000,MATCH(ROWS($D$1:$D3),$D$1:$D$5000,0)),"")</f>
        <v/>
      </c>
    </row>
    <row r="4" spans="1:49">
      <c r="C4" s="17">
        <f t="shared" si="0"/>
        <v>0</v>
      </c>
      <c r="D4" s="17" t="str">
        <f>IF(C4=1,COUNTIF($C$1:$C4,1),"")</f>
        <v/>
      </c>
      <c r="E4" s="7" t="str">
        <f>IFERROR(INDEX($A$1:$A$5000,MATCH(ROWS($D$1:$D4),$D$1:$D$5000,0)),"")</f>
        <v/>
      </c>
    </row>
    <row r="5" spans="1:49">
      <c r="C5" s="17">
        <f t="shared" si="0"/>
        <v>0</v>
      </c>
      <c r="D5" s="17" t="str">
        <f>IF(C5=1,COUNTIF($C$1:$C5,1),"")</f>
        <v/>
      </c>
      <c r="E5" s="7" t="str">
        <f>IFERROR(INDEX($A$1:$A$5000,MATCH(ROWS($D$1:$D5),$D$1:$D$5000,0)),"")</f>
        <v/>
      </c>
    </row>
    <row r="6" spans="1:49">
      <c r="C6" s="17">
        <f t="shared" si="0"/>
        <v>0</v>
      </c>
      <c r="D6" s="17" t="str">
        <f>IF(C6=1,COUNTIF($C$1:$C6,1),"")</f>
        <v/>
      </c>
      <c r="E6" s="7" t="str">
        <f>IFERROR(INDEX($A$1:$A$5000,MATCH(ROWS($D$1:$D6),$D$1:$D$5000,0)),"")</f>
        <v/>
      </c>
    </row>
    <row r="7" spans="1:49">
      <c r="C7" s="17">
        <f t="shared" si="0"/>
        <v>0</v>
      </c>
      <c r="D7" s="17" t="str">
        <f>IF(C7=1,COUNTIF($C$1:$C7,1),"")</f>
        <v/>
      </c>
      <c r="E7" s="7" t="str">
        <f>IFERROR(INDEX($A$1:$A$5000,MATCH(ROWS($D$1:$D7),$D$1:$D$5000,0)),"")</f>
        <v/>
      </c>
    </row>
    <row r="8" spans="1:49">
      <c r="C8" s="17">
        <f t="shared" si="0"/>
        <v>0</v>
      </c>
      <c r="D8" s="17" t="str">
        <f>IF(C8=1,COUNTIF($C$1:$C8,1),"")</f>
        <v/>
      </c>
      <c r="E8" s="7" t="str">
        <f>IFERROR(INDEX($A$1:$A$5000,MATCH(ROWS($D$1:$D8),$D$1:$D$5000,0)),"")</f>
        <v/>
      </c>
    </row>
    <row r="9" spans="1:49">
      <c r="C9" s="17">
        <f t="shared" si="0"/>
        <v>0</v>
      </c>
      <c r="D9" s="17" t="str">
        <f>IF(C9=1,COUNTIF($C$1:$C9,1),"")</f>
        <v/>
      </c>
      <c r="E9" s="7" t="str">
        <f>IFERROR(INDEX($A$1:$A$5000,MATCH(ROWS($D$1:$D9),$D$1:$D$5000,0)),"")</f>
        <v/>
      </c>
    </row>
    <row r="10" spans="1:49">
      <c r="C10" s="17">
        <f t="shared" si="0"/>
        <v>0</v>
      </c>
      <c r="D10" s="17" t="str">
        <f>IF(C10=1,COUNTIF($C$1:$C10,1),"")</f>
        <v/>
      </c>
      <c r="E10" s="7" t="str">
        <f>IFERROR(INDEX($A$1:$A$5000,MATCH(ROWS($D$1:$D10),$D$1:$D$5000,0)),"")</f>
        <v/>
      </c>
    </row>
    <row r="11" spans="1:49">
      <c r="C11" s="17">
        <f t="shared" si="0"/>
        <v>0</v>
      </c>
      <c r="D11" s="17" t="str">
        <f>IF(C11=1,COUNTIF($C$1:$C11,1),"")</f>
        <v/>
      </c>
      <c r="E11" s="7" t="str">
        <f>IFERROR(INDEX($A$1:$A$5000,MATCH(ROWS($D$1:$D11),$D$1:$D$5000,0)),"")</f>
        <v/>
      </c>
    </row>
    <row r="12" spans="1:49">
      <c r="C12" s="17">
        <f t="shared" si="0"/>
        <v>0</v>
      </c>
      <c r="D12" s="17" t="str">
        <f>IF(C12=1,COUNTIF($C$1:$C12,1),"")</f>
        <v/>
      </c>
      <c r="E12" s="7" t="str">
        <f>IFERROR(INDEX($A$1:$A$5000,MATCH(ROWS($D$1:$D12),$D$1:$D$5000,0)),"")</f>
        <v/>
      </c>
    </row>
    <row r="13" spans="1:49">
      <c r="C13" s="17">
        <f t="shared" si="0"/>
        <v>0</v>
      </c>
      <c r="D13" s="17" t="str">
        <f>IF(C13=1,COUNTIF($C$1:$C13,1),"")</f>
        <v/>
      </c>
      <c r="E13" s="7" t="str">
        <f>IFERROR(INDEX($A$1:$A$5000,MATCH(ROWS($D$1:$D13),$D$1:$D$5000,0)),"")</f>
        <v/>
      </c>
    </row>
    <row r="14" spans="1:49">
      <c r="C14" s="17">
        <f t="shared" si="0"/>
        <v>0</v>
      </c>
      <c r="D14" s="17" t="str">
        <f>IF(C14=1,COUNTIF($C$1:$C14,1),"")</f>
        <v/>
      </c>
      <c r="E14" s="7" t="str">
        <f>IFERROR(INDEX($A$1:$A$5000,MATCH(ROWS($D$1:$D14),$D$1:$D$5000,0)),"")</f>
        <v/>
      </c>
    </row>
    <row r="15" spans="1:49">
      <c r="C15" s="17">
        <f t="shared" si="0"/>
        <v>0</v>
      </c>
      <c r="D15" s="17" t="str">
        <f>IF(C15=1,COUNTIF($C$1:$C15,1),"")</f>
        <v/>
      </c>
      <c r="E15" s="7" t="str">
        <f>IFERROR(INDEX($A$1:$A$5000,MATCH(ROWS($D$1:$D15),$D$1:$D$5000,0)),"")</f>
        <v/>
      </c>
    </row>
    <row r="16" spans="1:49">
      <c r="C16" s="17">
        <f t="shared" si="0"/>
        <v>0</v>
      </c>
      <c r="D16" s="17" t="str">
        <f>IF(C16=1,COUNTIF($C$1:$C16,1),"")</f>
        <v/>
      </c>
      <c r="E16" s="7" t="str">
        <f>IFERROR(INDEX($A$1:$A$5000,MATCH(ROWS($D$1:$D16),$D$1:$D$5000,0)),"")</f>
        <v/>
      </c>
    </row>
    <row r="17" spans="3:5">
      <c r="C17" s="17">
        <f t="shared" si="0"/>
        <v>0</v>
      </c>
      <c r="D17" s="17" t="str">
        <f>IF(C17=1,COUNTIF($C$1:$C17,1),"")</f>
        <v/>
      </c>
      <c r="E17" s="7" t="str">
        <f>IFERROR(INDEX($A$1:$A$5000,MATCH(ROWS($D$1:$D17),$D$1:$D$5000,0)),"")</f>
        <v/>
      </c>
    </row>
    <row r="18" spans="3:5">
      <c r="C18" s="17">
        <f t="shared" si="0"/>
        <v>0</v>
      </c>
      <c r="D18" s="17" t="str">
        <f>IF(C18=1,COUNTIF($C$1:$C18,1),"")</f>
        <v/>
      </c>
      <c r="E18" s="7" t="str">
        <f>IFERROR(INDEX($A$1:$A$5000,MATCH(ROWS($D$1:$D18),$D$1:$D$5000,0)),"")</f>
        <v/>
      </c>
    </row>
    <row r="19" spans="3:5">
      <c r="C19" s="17">
        <f t="shared" si="0"/>
        <v>0</v>
      </c>
      <c r="D19" s="17" t="str">
        <f>IF(C19=1,COUNTIF($C$1:$C19,1),"")</f>
        <v/>
      </c>
      <c r="E19" s="7" t="str">
        <f>IFERROR(INDEX($A$1:$A$5000,MATCH(ROWS($D$1:$D19),$D$1:$D$5000,0)),"")</f>
        <v/>
      </c>
    </row>
    <row r="20" spans="3:5">
      <c r="C20" s="17">
        <f t="shared" si="0"/>
        <v>0</v>
      </c>
      <c r="D20" s="17" t="str">
        <f>IF(C20=1,COUNTIF($C$1:$C20,1),"")</f>
        <v/>
      </c>
      <c r="E20" s="7" t="str">
        <f>IFERROR(INDEX($A$1:$A$5000,MATCH(ROWS($D$1:$D20),$D$1:$D$5000,0)),"")</f>
        <v/>
      </c>
    </row>
    <row r="21" spans="3:5">
      <c r="C21" s="17">
        <f t="shared" si="0"/>
        <v>0</v>
      </c>
      <c r="D21" s="17" t="str">
        <f>IF(C21=1,COUNTIF($C$1:$C21,1),"")</f>
        <v/>
      </c>
      <c r="E21" s="7" t="str">
        <f>IFERROR(INDEX($A$1:$A$5000,MATCH(ROWS($D$1:$D21),$D$1:$D$5000,0)),"")</f>
        <v/>
      </c>
    </row>
    <row r="22" spans="3:5">
      <c r="C22" s="17">
        <f t="shared" si="0"/>
        <v>0</v>
      </c>
      <c r="D22" s="17" t="str">
        <f>IF(C22=1,COUNTIF($C$1:$C22,1),"")</f>
        <v/>
      </c>
      <c r="E22" s="7" t="str">
        <f>IFERROR(INDEX($A$1:$A$5000,MATCH(ROWS($D$1:$D22),$D$1:$D$5000,0)),"")</f>
        <v/>
      </c>
    </row>
    <row r="23" spans="3:5">
      <c r="C23" s="17">
        <f t="shared" si="0"/>
        <v>0</v>
      </c>
      <c r="D23" s="17" t="str">
        <f>IF(C23=1,COUNTIF($C$1:$C23,1),"")</f>
        <v/>
      </c>
      <c r="E23" s="7" t="str">
        <f>IFERROR(INDEX($A$1:$A$5000,MATCH(ROWS($D$1:$D23),$D$1:$D$5000,0)),"")</f>
        <v/>
      </c>
    </row>
    <row r="24" spans="3:5">
      <c r="C24" s="17">
        <f t="shared" si="0"/>
        <v>0</v>
      </c>
      <c r="D24" s="17" t="str">
        <f>IF(C24=1,COUNTIF($C$1:$C24,1),"")</f>
        <v/>
      </c>
      <c r="E24" s="7" t="str">
        <f>IFERROR(INDEX($A$1:$A$5000,MATCH(ROWS($D$1:$D24),$D$1:$D$5000,0)),"")</f>
        <v/>
      </c>
    </row>
    <row r="25" spans="3:5">
      <c r="C25" s="17">
        <f t="shared" si="0"/>
        <v>0</v>
      </c>
      <c r="D25" s="17" t="str">
        <f>IF(C25=1,COUNTIF($C$1:$C25,1),"")</f>
        <v/>
      </c>
      <c r="E25" s="7" t="str">
        <f>IFERROR(INDEX($A$1:$A$5000,MATCH(ROWS($D$1:$D25),$D$1:$D$5000,0)),"")</f>
        <v/>
      </c>
    </row>
    <row r="26" spans="3:5">
      <c r="C26" s="17">
        <f t="shared" si="0"/>
        <v>0</v>
      </c>
      <c r="D26" s="17" t="str">
        <f>IF(C26=1,COUNTIF($C$1:$C26,1),"")</f>
        <v/>
      </c>
      <c r="E26" s="7" t="str">
        <f>IFERROR(INDEX($A$1:$A$5000,MATCH(ROWS($D$1:$D26),$D$1:$D$5000,0)),"")</f>
        <v/>
      </c>
    </row>
    <row r="27" spans="3:5">
      <c r="C27" s="17">
        <f t="shared" si="0"/>
        <v>0</v>
      </c>
      <c r="D27" s="17" t="str">
        <f>IF(C27=1,COUNTIF($C$1:$C27,1),"")</f>
        <v/>
      </c>
      <c r="E27" s="7" t="str">
        <f>IFERROR(INDEX($A$1:$A$5000,MATCH(ROWS($D$1:$D27),$D$1:$D$5000,0)),"")</f>
        <v/>
      </c>
    </row>
    <row r="28" spans="3:5">
      <c r="C28" s="17">
        <f t="shared" si="0"/>
        <v>0</v>
      </c>
      <c r="D28" s="17" t="str">
        <f>IF(C28=1,COUNTIF($C$1:$C28,1),"")</f>
        <v/>
      </c>
      <c r="E28" s="7" t="str">
        <f>IFERROR(INDEX($A$1:$A$5000,MATCH(ROWS($D$1:$D28),$D$1:$D$5000,0)),"")</f>
        <v/>
      </c>
    </row>
    <row r="29" spans="3:5">
      <c r="C29" s="17">
        <f t="shared" si="0"/>
        <v>0</v>
      </c>
      <c r="D29" s="17" t="str">
        <f>IF(C29=1,COUNTIF($C$1:$C29,1),"")</f>
        <v/>
      </c>
      <c r="E29" s="7" t="str">
        <f>IFERROR(INDEX($A$1:$A$5000,MATCH(ROWS($D$1:$D29),$D$1:$D$5000,0)),"")</f>
        <v/>
      </c>
    </row>
    <row r="30" spans="3:5">
      <c r="C30" s="17">
        <f t="shared" si="0"/>
        <v>0</v>
      </c>
      <c r="D30" s="17" t="str">
        <f>IF(C30=1,COUNTIF($C$1:$C30,1),"")</f>
        <v/>
      </c>
      <c r="E30" s="7" t="str">
        <f>IFERROR(INDEX($A$1:$A$5000,MATCH(ROWS($D$1:$D30),$D$1:$D$5000,0)),"")</f>
        <v/>
      </c>
    </row>
    <row r="31" spans="3:5">
      <c r="C31" s="17">
        <f t="shared" si="0"/>
        <v>0</v>
      </c>
      <c r="D31" s="17" t="str">
        <f>IF(C31=1,COUNTIF($C$1:$C31,1),"")</f>
        <v/>
      </c>
      <c r="E31" s="7" t="str">
        <f>IFERROR(INDEX($A$1:$A$5000,MATCH(ROWS($D$1:$D31),$D$1:$D$5000,0)),"")</f>
        <v/>
      </c>
    </row>
    <row r="32" spans="3:5">
      <c r="C32" s="17">
        <f t="shared" si="0"/>
        <v>0</v>
      </c>
      <c r="D32" s="17" t="str">
        <f>IF(C32=1,COUNTIF($C$1:$C32,1),"")</f>
        <v/>
      </c>
      <c r="E32" s="7" t="str">
        <f>IFERROR(INDEX($A$1:$A$5000,MATCH(ROWS($D$1:$D32),$D$1:$D$5000,0)),"")</f>
        <v/>
      </c>
    </row>
    <row r="33" spans="3:5">
      <c r="C33" s="17">
        <f t="shared" si="0"/>
        <v>0</v>
      </c>
      <c r="D33" s="17" t="str">
        <f>IF(C33=1,COUNTIF($C$1:$C33,1),"")</f>
        <v/>
      </c>
      <c r="E33" s="7" t="str">
        <f>IFERROR(INDEX($A$1:$A$5000,MATCH(ROWS($D$1:$D33),$D$1:$D$5000,0)),"")</f>
        <v/>
      </c>
    </row>
    <row r="34" spans="3:5">
      <c r="C34" s="17">
        <f t="shared" si="0"/>
        <v>0</v>
      </c>
      <c r="D34" s="17" t="str">
        <f>IF(C34=1,COUNTIF($C$1:$C34,1),"")</f>
        <v/>
      </c>
      <c r="E34" s="7" t="str">
        <f>IFERROR(INDEX($A$1:$A$5000,MATCH(ROWS($D$1:$D34),$D$1:$D$5000,0)),"")</f>
        <v/>
      </c>
    </row>
    <row r="35" spans="3:5">
      <c r="C35" s="17">
        <f t="shared" si="0"/>
        <v>0</v>
      </c>
      <c r="D35" s="17" t="str">
        <f>IF(C35=1,COUNTIF($C$1:$C35,1),"")</f>
        <v/>
      </c>
      <c r="E35" s="7" t="str">
        <f>IFERROR(INDEX($A$1:$A$5000,MATCH(ROWS($D$1:$D35),$D$1:$D$5000,0)),"")</f>
        <v/>
      </c>
    </row>
    <row r="36" spans="3:5">
      <c r="C36" s="17">
        <f t="shared" si="0"/>
        <v>0</v>
      </c>
      <c r="D36" s="17" t="str">
        <f>IF(C36=1,COUNTIF($C$1:$C36,1),"")</f>
        <v/>
      </c>
      <c r="E36" s="7" t="str">
        <f>IFERROR(INDEX($A$1:$A$5000,MATCH(ROWS($D$1:$D36),$D$1:$D$5000,0)),"")</f>
        <v/>
      </c>
    </row>
    <row r="37" spans="3:5">
      <c r="C37" s="17">
        <f t="shared" si="0"/>
        <v>0</v>
      </c>
      <c r="D37" s="17" t="str">
        <f>IF(C37=1,COUNTIF($C$1:$C37,1),"")</f>
        <v/>
      </c>
      <c r="E37" s="7" t="str">
        <f>IFERROR(INDEX($A$1:$A$5000,MATCH(ROWS($D$1:$D37),$D$1:$D$5000,0)),"")</f>
        <v/>
      </c>
    </row>
    <row r="38" spans="3:5">
      <c r="C38" s="17">
        <f t="shared" si="0"/>
        <v>0</v>
      </c>
      <c r="D38" s="17" t="str">
        <f>IF(C38=1,COUNTIF($C$1:$C38,1),"")</f>
        <v/>
      </c>
      <c r="E38" s="7" t="str">
        <f>IFERROR(INDEX($A$1:$A$5000,MATCH(ROWS($D$1:$D38),$D$1:$D$5000,0)),"")</f>
        <v/>
      </c>
    </row>
    <row r="39" spans="3:5">
      <c r="C39" s="17">
        <f t="shared" si="0"/>
        <v>0</v>
      </c>
      <c r="D39" s="17" t="str">
        <f>IF(C39=1,COUNTIF($C$1:$C39,1),"")</f>
        <v/>
      </c>
      <c r="E39" s="7" t="str">
        <f>IFERROR(INDEX($A$1:$A$5000,MATCH(ROWS($D$1:$D39),$D$1:$D$5000,0)),"")</f>
        <v/>
      </c>
    </row>
    <row r="40" spans="3:5">
      <c r="C40" s="17">
        <f t="shared" si="0"/>
        <v>0</v>
      </c>
      <c r="D40" s="17" t="str">
        <f>IF(C40=1,COUNTIF($C$1:$C40,1),"")</f>
        <v/>
      </c>
      <c r="E40" s="7" t="str">
        <f>IFERROR(INDEX($A$1:$A$5000,MATCH(ROWS($D$1:$D40),$D$1:$D$5000,0)),"")</f>
        <v/>
      </c>
    </row>
    <row r="41" spans="3:5">
      <c r="C41" s="17">
        <f t="shared" si="0"/>
        <v>0</v>
      </c>
      <c r="D41" s="17" t="str">
        <f>IF(C41=1,COUNTIF($C$1:$C41,1),"")</f>
        <v/>
      </c>
      <c r="E41" s="7" t="str">
        <f>IFERROR(INDEX($A$1:$A$5000,MATCH(ROWS($D$1:$D41),$D$1:$D$5000,0)),"")</f>
        <v/>
      </c>
    </row>
    <row r="42" spans="3:5">
      <c r="C42" s="17">
        <f t="shared" si="0"/>
        <v>0</v>
      </c>
      <c r="D42" s="17" t="str">
        <f>IF(C42=1,COUNTIF($C$1:$C42,1),"")</f>
        <v/>
      </c>
      <c r="E42" s="7" t="str">
        <f>IFERROR(INDEX($A$1:$A$5000,MATCH(ROWS($D$1:$D42),$D$1:$D$5000,0)),"")</f>
        <v/>
      </c>
    </row>
    <row r="43" spans="3:5">
      <c r="C43" s="17">
        <f t="shared" si="0"/>
        <v>0</v>
      </c>
      <c r="D43" s="17" t="str">
        <f>IF(C43=1,COUNTIF($C$1:$C43,1),"")</f>
        <v/>
      </c>
      <c r="E43" s="7" t="str">
        <f>IFERROR(INDEX($A$1:$A$5000,MATCH(ROWS($D$1:$D43),$D$1:$D$5000,0)),"")</f>
        <v/>
      </c>
    </row>
    <row r="44" spans="3:5">
      <c r="C44" s="17">
        <f t="shared" si="0"/>
        <v>0</v>
      </c>
      <c r="D44" s="17" t="str">
        <f>IF(C44=1,COUNTIF($C$1:$C44,1),"")</f>
        <v/>
      </c>
      <c r="E44" s="7" t="str">
        <f>IFERROR(INDEX($A$1:$A$5000,MATCH(ROWS($D$1:$D44),$D$1:$D$5000,0)),"")</f>
        <v/>
      </c>
    </row>
    <row r="45" spans="3:5">
      <c r="C45" s="17">
        <f t="shared" si="0"/>
        <v>0</v>
      </c>
      <c r="D45" s="17" t="str">
        <f>IF(C45=1,COUNTIF($C$1:$C45,1),"")</f>
        <v/>
      </c>
      <c r="E45" s="7" t="str">
        <f>IFERROR(INDEX($A$1:$A$5000,MATCH(ROWS($D$1:$D45),$D$1:$D$5000,0)),"")</f>
        <v/>
      </c>
    </row>
    <row r="46" spans="3:5">
      <c r="C46" s="17">
        <f t="shared" si="0"/>
        <v>0</v>
      </c>
      <c r="D46" s="17" t="str">
        <f>IF(C46=1,COUNTIF($C$1:$C46,1),"")</f>
        <v/>
      </c>
      <c r="E46" s="7" t="str">
        <f>IFERROR(INDEX($A$1:$A$5000,MATCH(ROWS($D$1:$D46),$D$1:$D$5000,0)),"")</f>
        <v/>
      </c>
    </row>
    <row r="47" spans="3:5">
      <c r="C47" s="17">
        <f t="shared" si="0"/>
        <v>0</v>
      </c>
      <c r="D47" s="17" t="str">
        <f>IF(C47=1,COUNTIF($C$1:$C47,1),"")</f>
        <v/>
      </c>
      <c r="E47" s="7" t="str">
        <f>IFERROR(INDEX($A$1:$A$5000,MATCH(ROWS($D$1:$D47),$D$1:$D$5000,0)),"")</f>
        <v/>
      </c>
    </row>
    <row r="48" spans="3:5">
      <c r="C48" s="17">
        <f t="shared" si="0"/>
        <v>0</v>
      </c>
      <c r="D48" s="17" t="str">
        <f>IF(C48=1,COUNTIF($C$1:$C48,1),"")</f>
        <v/>
      </c>
      <c r="E48" s="7" t="str">
        <f>IFERROR(INDEX($A$1:$A$5000,MATCH(ROWS($D$1:$D48),$D$1:$D$5000,0)),"")</f>
        <v/>
      </c>
    </row>
    <row r="49" spans="3:5">
      <c r="C49" s="17">
        <f t="shared" si="0"/>
        <v>0</v>
      </c>
      <c r="D49" s="17" t="str">
        <f>IF(C49=1,COUNTIF($C$1:$C49,1),"")</f>
        <v/>
      </c>
      <c r="E49" s="7" t="str">
        <f>IFERROR(INDEX($A$1:$A$5000,MATCH(ROWS($D$1:$D49),$D$1:$D$5000,0)),"")</f>
        <v/>
      </c>
    </row>
    <row r="50" spans="3:5">
      <c r="C50" s="17">
        <f t="shared" si="0"/>
        <v>0</v>
      </c>
      <c r="D50" s="17" t="str">
        <f>IF(C50=1,COUNTIF($C$1:$C50,1),"")</f>
        <v/>
      </c>
      <c r="E50" s="7" t="str">
        <f>IFERROR(INDEX($A$1:$A$5000,MATCH(ROWS($D$1:$D50),$D$1:$D$5000,0)),"")</f>
        <v/>
      </c>
    </row>
    <row r="51" spans="3:5">
      <c r="C51" s="17">
        <f t="shared" si="0"/>
        <v>0</v>
      </c>
      <c r="D51" s="17" t="str">
        <f>IF(C51=1,COUNTIF($C$1:$C51,1),"")</f>
        <v/>
      </c>
      <c r="E51" s="7" t="str">
        <f>IFERROR(INDEX($A$1:$A$5000,MATCH(ROWS($D$1:$D51),$D$1:$D$5000,0)),"")</f>
        <v/>
      </c>
    </row>
    <row r="52" spans="3:5">
      <c r="C52" s="17">
        <f t="shared" si="0"/>
        <v>0</v>
      </c>
      <c r="D52" s="17" t="str">
        <f>IF(C52=1,COUNTIF($C$1:$C52,1),"")</f>
        <v/>
      </c>
      <c r="E52" s="7" t="str">
        <f>IFERROR(INDEX($A$1:$A$5000,MATCH(ROWS($D$1:$D52),$D$1:$D$5000,0)),"")</f>
        <v/>
      </c>
    </row>
    <row r="53" spans="3:5">
      <c r="C53" s="17">
        <f t="shared" si="0"/>
        <v>0</v>
      </c>
      <c r="D53" s="17" t="str">
        <f>IF(C53=1,COUNTIF($C$1:$C53,1),"")</f>
        <v/>
      </c>
      <c r="E53" s="7" t="str">
        <f>IFERROR(INDEX($A$1:$A$5000,MATCH(ROWS($D$1:$D53),$D$1:$D$5000,0)),"")</f>
        <v/>
      </c>
    </row>
    <row r="54" spans="3:5">
      <c r="C54" s="17">
        <f t="shared" si="0"/>
        <v>0</v>
      </c>
      <c r="D54" s="17" t="str">
        <f>IF(C54=1,COUNTIF($C$1:$C54,1),"")</f>
        <v/>
      </c>
      <c r="E54" s="7" t="str">
        <f>IFERROR(INDEX($A$1:$A$5000,MATCH(ROWS($D$1:$D54),$D$1:$D$5000,0)),"")</f>
        <v/>
      </c>
    </row>
    <row r="55" spans="3:5">
      <c r="C55" s="17">
        <f t="shared" si="0"/>
        <v>0</v>
      </c>
      <c r="D55" s="17" t="str">
        <f>IF(C55=1,COUNTIF($C$1:$C55,1),"")</f>
        <v/>
      </c>
      <c r="E55" s="7" t="str">
        <f>IFERROR(INDEX($A$1:$A$5000,MATCH(ROWS($D$1:$D55),$D$1:$D$5000,0)),"")</f>
        <v/>
      </c>
    </row>
    <row r="56" spans="3:5">
      <c r="C56" s="17">
        <f t="shared" si="0"/>
        <v>0</v>
      </c>
      <c r="D56" s="17" t="str">
        <f>IF(C56=1,COUNTIF($C$1:$C56,1),"")</f>
        <v/>
      </c>
      <c r="E56" s="7" t="str">
        <f>IFERROR(INDEX($A$1:$A$5000,MATCH(ROWS($D$1:$D56),$D$1:$D$5000,0)),"")</f>
        <v/>
      </c>
    </row>
    <row r="57" spans="3:5">
      <c r="C57" s="17">
        <f t="shared" si="0"/>
        <v>0</v>
      </c>
      <c r="D57" s="17" t="str">
        <f>IF(C57=1,COUNTIF($C$1:$C57,1),"")</f>
        <v/>
      </c>
      <c r="E57" s="7" t="str">
        <f>IFERROR(INDEX($A$1:$A$5000,MATCH(ROWS($D$1:$D57),$D$1:$D$5000,0)),"")</f>
        <v/>
      </c>
    </row>
    <row r="58" spans="3:5">
      <c r="C58" s="17">
        <f t="shared" si="0"/>
        <v>0</v>
      </c>
      <c r="D58" s="17" t="str">
        <f>IF(C58=1,COUNTIF($C$1:$C58,1),"")</f>
        <v/>
      </c>
      <c r="E58" s="7" t="str">
        <f>IFERROR(INDEX($A$1:$A$5000,MATCH(ROWS($D$1:$D58),$D$1:$D$5000,0)),"")</f>
        <v/>
      </c>
    </row>
    <row r="59" spans="3:5">
      <c r="C59" s="17">
        <f t="shared" si="0"/>
        <v>0</v>
      </c>
      <c r="D59" s="17" t="str">
        <f>IF(C59=1,COUNTIF($C$1:$C59,1),"")</f>
        <v/>
      </c>
      <c r="E59" s="7" t="str">
        <f>IFERROR(INDEX($A$1:$A$5000,MATCH(ROWS($D$1:$D59),$D$1:$D$5000,0)),"")</f>
        <v/>
      </c>
    </row>
    <row r="60" spans="3:5">
      <c r="C60" s="17">
        <f t="shared" si="0"/>
        <v>0</v>
      </c>
      <c r="D60" s="17" t="str">
        <f>IF(C60=1,COUNTIF($C$1:$C60,1),"")</f>
        <v/>
      </c>
      <c r="E60" s="7" t="str">
        <f>IFERROR(INDEX($A$1:$A$5000,MATCH(ROWS($D$1:$D60),$D$1:$D$5000,0)),"")</f>
        <v/>
      </c>
    </row>
    <row r="61" spans="3:5">
      <c r="C61" s="17">
        <f t="shared" si="0"/>
        <v>0</v>
      </c>
      <c r="D61" s="17" t="str">
        <f>IF(C61=1,COUNTIF($C$1:$C61,1),"")</f>
        <v/>
      </c>
      <c r="E61" s="7" t="str">
        <f>IFERROR(INDEX($A$1:$A$5000,MATCH(ROWS($D$1:$D61),$D$1:$D$5000,0)),"")</f>
        <v/>
      </c>
    </row>
    <row r="62" spans="3:5">
      <c r="C62" s="17">
        <f t="shared" si="0"/>
        <v>0</v>
      </c>
      <c r="D62" s="17" t="str">
        <f>IF(C62=1,COUNTIF($C$1:$C62,1),"")</f>
        <v/>
      </c>
      <c r="E62" s="7" t="str">
        <f>IFERROR(INDEX($A$1:$A$5000,MATCH(ROWS($D$1:$D62),$D$1:$D$5000,0)),"")</f>
        <v/>
      </c>
    </row>
    <row r="63" spans="3:5">
      <c r="C63" s="17">
        <f t="shared" si="0"/>
        <v>0</v>
      </c>
      <c r="D63" s="17" t="str">
        <f>IF(C63=1,COUNTIF($C$1:$C63,1),"")</f>
        <v/>
      </c>
      <c r="E63" s="7" t="str">
        <f>IFERROR(INDEX($A$1:$A$5000,MATCH(ROWS($D$1:$D63),$D$1:$D$5000,0)),"")</f>
        <v/>
      </c>
    </row>
    <row r="64" spans="3:5">
      <c r="C64" s="17">
        <f t="shared" si="0"/>
        <v>0</v>
      </c>
      <c r="D64" s="17" t="str">
        <f>IF(C64=1,COUNTIF($C$1:$C64,1),"")</f>
        <v/>
      </c>
      <c r="E64" s="7" t="str">
        <f>IFERROR(INDEX($A$1:$A$5000,MATCH(ROWS($D$1:$D64),$D$1:$D$5000,0)),"")</f>
        <v/>
      </c>
    </row>
    <row r="65" spans="3:5">
      <c r="C65" s="17">
        <f t="shared" si="0"/>
        <v>0</v>
      </c>
      <c r="D65" s="17" t="str">
        <f>IF(C65=1,COUNTIF($C$1:$C65,1),"")</f>
        <v/>
      </c>
      <c r="E65" s="7" t="str">
        <f>IFERROR(INDEX($A$1:$A$5000,MATCH(ROWS($D$1:$D65),$D$1:$D$5000,0)),"")</f>
        <v/>
      </c>
    </row>
    <row r="66" spans="3:5">
      <c r="C66" s="17">
        <f t="shared" ref="C66:C129" si="1">--ISNUMBER(SEARCH($B$1,A66))</f>
        <v>0</v>
      </c>
      <c r="D66" s="17" t="str">
        <f>IF(C66=1,COUNTIF($C$1:$C66,1),"")</f>
        <v/>
      </c>
      <c r="E66" s="7" t="str">
        <f>IFERROR(INDEX($A$1:$A$5000,MATCH(ROWS($D$1:$D66),$D$1:$D$5000,0)),"")</f>
        <v/>
      </c>
    </row>
    <row r="67" spans="3:5">
      <c r="C67" s="17">
        <f t="shared" si="1"/>
        <v>0</v>
      </c>
      <c r="D67" s="17" t="str">
        <f>IF(C67=1,COUNTIF($C$1:$C67,1),"")</f>
        <v/>
      </c>
      <c r="E67" s="7" t="str">
        <f>IFERROR(INDEX($A$1:$A$5000,MATCH(ROWS($D$1:$D67),$D$1:$D$5000,0)),"")</f>
        <v/>
      </c>
    </row>
    <row r="68" spans="3:5">
      <c r="C68" s="17">
        <f t="shared" si="1"/>
        <v>0</v>
      </c>
      <c r="D68" s="17" t="str">
        <f>IF(C68=1,COUNTIF($C$1:$C68,1),"")</f>
        <v/>
      </c>
      <c r="E68" s="7" t="str">
        <f>IFERROR(INDEX($A$1:$A$5000,MATCH(ROWS($D$1:$D68),$D$1:$D$5000,0)),"")</f>
        <v/>
      </c>
    </row>
    <row r="69" spans="3:5">
      <c r="C69" s="17">
        <f t="shared" si="1"/>
        <v>0</v>
      </c>
      <c r="D69" s="17" t="str">
        <f>IF(C69=1,COUNTIF($C$1:$C69,1),"")</f>
        <v/>
      </c>
      <c r="E69" s="7" t="str">
        <f>IFERROR(INDEX($A$1:$A$5000,MATCH(ROWS($D$1:$D69),$D$1:$D$5000,0)),"")</f>
        <v/>
      </c>
    </row>
    <row r="70" spans="3:5">
      <c r="C70" s="17">
        <f t="shared" si="1"/>
        <v>0</v>
      </c>
      <c r="D70" s="17" t="str">
        <f>IF(C70=1,COUNTIF($C$1:$C70,1),"")</f>
        <v/>
      </c>
      <c r="E70" s="7" t="str">
        <f>IFERROR(INDEX($A$1:$A$5000,MATCH(ROWS($D$1:$D70),$D$1:$D$5000,0)),"")</f>
        <v/>
      </c>
    </row>
    <row r="71" spans="3:5">
      <c r="C71" s="17">
        <f t="shared" si="1"/>
        <v>0</v>
      </c>
      <c r="D71" s="17" t="str">
        <f>IF(C71=1,COUNTIF($C$1:$C71,1),"")</f>
        <v/>
      </c>
      <c r="E71" s="7" t="str">
        <f>IFERROR(INDEX($A$1:$A$5000,MATCH(ROWS($D$1:$D71),$D$1:$D$5000,0)),"")</f>
        <v/>
      </c>
    </row>
    <row r="72" spans="3:5">
      <c r="C72" s="17">
        <f t="shared" si="1"/>
        <v>0</v>
      </c>
      <c r="D72" s="17" t="str">
        <f>IF(C72=1,COUNTIF($C$1:$C72,1),"")</f>
        <v/>
      </c>
      <c r="E72" s="7" t="str">
        <f>IFERROR(INDEX($A$1:$A$5000,MATCH(ROWS($D$1:$D72),$D$1:$D$5000,0)),"")</f>
        <v/>
      </c>
    </row>
    <row r="73" spans="3:5">
      <c r="C73" s="17">
        <f t="shared" si="1"/>
        <v>0</v>
      </c>
      <c r="D73" s="17" t="str">
        <f>IF(C73=1,COUNTIF($C$1:$C73,1),"")</f>
        <v/>
      </c>
      <c r="E73" s="7" t="str">
        <f>IFERROR(INDEX($A$1:$A$5000,MATCH(ROWS($D$1:$D73),$D$1:$D$5000,0)),"")</f>
        <v/>
      </c>
    </row>
    <row r="74" spans="3:5">
      <c r="C74" s="17">
        <f t="shared" si="1"/>
        <v>0</v>
      </c>
      <c r="D74" s="17" t="str">
        <f>IF(C74=1,COUNTIF($C$1:$C74,1),"")</f>
        <v/>
      </c>
      <c r="E74" s="7" t="str">
        <f>IFERROR(INDEX($A$1:$A$5000,MATCH(ROWS($D$1:$D74),$D$1:$D$5000,0)),"")</f>
        <v/>
      </c>
    </row>
    <row r="75" spans="3:5">
      <c r="C75" s="17">
        <f t="shared" si="1"/>
        <v>0</v>
      </c>
      <c r="D75" s="17" t="str">
        <f>IF(C75=1,COUNTIF($C$1:$C75,1),"")</f>
        <v/>
      </c>
      <c r="E75" s="7" t="str">
        <f>IFERROR(INDEX($A$1:$A$5000,MATCH(ROWS($D$1:$D75),$D$1:$D$5000,0)),"")</f>
        <v/>
      </c>
    </row>
    <row r="76" spans="3:5">
      <c r="C76" s="17">
        <f t="shared" si="1"/>
        <v>0</v>
      </c>
      <c r="D76" s="17" t="str">
        <f>IF(C76=1,COUNTIF($C$1:$C76,1),"")</f>
        <v/>
      </c>
      <c r="E76" s="7" t="str">
        <f>IFERROR(INDEX($A$1:$A$5000,MATCH(ROWS($D$1:$D76),$D$1:$D$5000,0)),"")</f>
        <v/>
      </c>
    </row>
    <row r="77" spans="3:5">
      <c r="C77" s="17">
        <f t="shared" si="1"/>
        <v>0</v>
      </c>
      <c r="D77" s="17" t="str">
        <f>IF(C77=1,COUNTIF($C$1:$C77,1),"")</f>
        <v/>
      </c>
      <c r="E77" s="7" t="str">
        <f>IFERROR(INDEX($A$1:$A$5000,MATCH(ROWS($D$1:$D77),$D$1:$D$5000,0)),"")</f>
        <v/>
      </c>
    </row>
    <row r="78" spans="3:5">
      <c r="C78" s="17">
        <f t="shared" si="1"/>
        <v>0</v>
      </c>
      <c r="D78" s="17" t="str">
        <f>IF(C78=1,COUNTIF($C$1:$C78,1),"")</f>
        <v/>
      </c>
      <c r="E78" s="7" t="str">
        <f>IFERROR(INDEX($A$1:$A$5000,MATCH(ROWS($D$1:$D78),$D$1:$D$5000,0)),"")</f>
        <v/>
      </c>
    </row>
    <row r="79" spans="3:5">
      <c r="C79" s="17">
        <f t="shared" si="1"/>
        <v>0</v>
      </c>
      <c r="D79" s="17" t="str">
        <f>IF(C79=1,COUNTIF($C$1:$C79,1),"")</f>
        <v/>
      </c>
      <c r="E79" s="7" t="str">
        <f>IFERROR(INDEX($A$1:$A$5000,MATCH(ROWS($D$1:$D79),$D$1:$D$5000,0)),"")</f>
        <v/>
      </c>
    </row>
    <row r="80" spans="3:5">
      <c r="C80" s="17">
        <f t="shared" si="1"/>
        <v>0</v>
      </c>
      <c r="D80" s="17" t="str">
        <f>IF(C80=1,COUNTIF($C$1:$C80,1),"")</f>
        <v/>
      </c>
      <c r="E80" s="7" t="str">
        <f>IFERROR(INDEX($A$1:$A$5000,MATCH(ROWS($D$1:$D80),$D$1:$D$5000,0)),"")</f>
        <v/>
      </c>
    </row>
    <row r="81" spans="3:5">
      <c r="C81" s="17">
        <f t="shared" si="1"/>
        <v>0</v>
      </c>
      <c r="D81" s="17" t="str">
        <f>IF(C81=1,COUNTIF($C$1:$C81,1),"")</f>
        <v/>
      </c>
      <c r="E81" s="7" t="str">
        <f>IFERROR(INDEX($A$1:$A$5000,MATCH(ROWS($D$1:$D81),$D$1:$D$5000,0)),"")</f>
        <v/>
      </c>
    </row>
    <row r="82" spans="3:5">
      <c r="C82" s="17">
        <f t="shared" si="1"/>
        <v>0</v>
      </c>
      <c r="D82" s="17" t="str">
        <f>IF(C82=1,COUNTIF($C$1:$C82,1),"")</f>
        <v/>
      </c>
      <c r="E82" s="7" t="str">
        <f>IFERROR(INDEX($A$1:$A$5000,MATCH(ROWS($D$1:$D82),$D$1:$D$5000,0)),"")</f>
        <v/>
      </c>
    </row>
    <row r="83" spans="3:5">
      <c r="C83" s="17">
        <f t="shared" si="1"/>
        <v>0</v>
      </c>
      <c r="D83" s="17" t="str">
        <f>IF(C83=1,COUNTIF($C$1:$C83,1),"")</f>
        <v/>
      </c>
      <c r="E83" s="7" t="str">
        <f>IFERROR(INDEX($A$1:$A$5000,MATCH(ROWS($D$1:$D83),$D$1:$D$5000,0)),"")</f>
        <v/>
      </c>
    </row>
    <row r="84" spans="3:5">
      <c r="C84" s="17">
        <f t="shared" si="1"/>
        <v>0</v>
      </c>
      <c r="D84" s="17" t="str">
        <f>IF(C84=1,COUNTIF($C$1:$C84,1),"")</f>
        <v/>
      </c>
      <c r="E84" s="7" t="str">
        <f>IFERROR(INDEX($A$1:$A$5000,MATCH(ROWS($D$1:$D84),$D$1:$D$5000,0)),"")</f>
        <v/>
      </c>
    </row>
    <row r="85" spans="3:5">
      <c r="C85" s="17">
        <f t="shared" si="1"/>
        <v>0</v>
      </c>
      <c r="D85" s="17" t="str">
        <f>IF(C85=1,COUNTIF($C$1:$C85,1),"")</f>
        <v/>
      </c>
      <c r="E85" s="7" t="str">
        <f>IFERROR(INDEX($A$1:$A$5000,MATCH(ROWS($D$1:$D85),$D$1:$D$5000,0)),"")</f>
        <v/>
      </c>
    </row>
    <row r="86" spans="3:5">
      <c r="C86" s="17">
        <f t="shared" si="1"/>
        <v>0</v>
      </c>
      <c r="D86" s="17" t="str">
        <f>IF(C86=1,COUNTIF($C$1:$C86,1),"")</f>
        <v/>
      </c>
      <c r="E86" s="7" t="str">
        <f>IFERROR(INDEX($A$1:$A$5000,MATCH(ROWS($D$1:$D86),$D$1:$D$5000,0)),"")</f>
        <v/>
      </c>
    </row>
    <row r="87" spans="3:5">
      <c r="C87" s="17">
        <f t="shared" si="1"/>
        <v>0</v>
      </c>
      <c r="D87" s="17" t="str">
        <f>IF(C87=1,COUNTIF($C$1:$C87,1),"")</f>
        <v/>
      </c>
      <c r="E87" s="7" t="str">
        <f>IFERROR(INDEX($A$1:$A$5000,MATCH(ROWS($D$1:$D87),$D$1:$D$5000,0)),"")</f>
        <v/>
      </c>
    </row>
    <row r="88" spans="3:5">
      <c r="C88" s="17">
        <f t="shared" si="1"/>
        <v>0</v>
      </c>
      <c r="D88" s="17" t="str">
        <f>IF(C88=1,COUNTIF($C$1:$C88,1),"")</f>
        <v/>
      </c>
      <c r="E88" s="7" t="str">
        <f>IFERROR(INDEX($A$1:$A$5000,MATCH(ROWS($D$1:$D88),$D$1:$D$5000,0)),"")</f>
        <v/>
      </c>
    </row>
    <row r="89" spans="3:5">
      <c r="C89" s="17">
        <f t="shared" si="1"/>
        <v>0</v>
      </c>
      <c r="D89" s="17" t="str">
        <f>IF(C89=1,COUNTIF($C$1:$C89,1),"")</f>
        <v/>
      </c>
      <c r="E89" s="7" t="str">
        <f>IFERROR(INDEX($A$1:$A$5000,MATCH(ROWS($D$1:$D89),$D$1:$D$5000,0)),"")</f>
        <v/>
      </c>
    </row>
    <row r="90" spans="3:5">
      <c r="C90" s="17">
        <f t="shared" si="1"/>
        <v>0</v>
      </c>
      <c r="D90" s="17" t="str">
        <f>IF(C90=1,COUNTIF($C$1:$C90,1),"")</f>
        <v/>
      </c>
      <c r="E90" s="7" t="str">
        <f>IFERROR(INDEX($A$1:$A$5000,MATCH(ROWS($D$1:$D90),$D$1:$D$5000,0)),"")</f>
        <v/>
      </c>
    </row>
    <row r="91" spans="3:5">
      <c r="C91" s="17">
        <f t="shared" si="1"/>
        <v>0</v>
      </c>
      <c r="D91" s="17" t="str">
        <f>IF(C91=1,COUNTIF($C$1:$C91,1),"")</f>
        <v/>
      </c>
      <c r="E91" s="7" t="str">
        <f>IFERROR(INDEX($A$1:$A$5000,MATCH(ROWS($D$1:$D91),$D$1:$D$5000,0)),"")</f>
        <v/>
      </c>
    </row>
    <row r="92" spans="3:5">
      <c r="C92" s="17">
        <f t="shared" si="1"/>
        <v>0</v>
      </c>
      <c r="D92" s="17" t="str">
        <f>IF(C92=1,COUNTIF($C$1:$C92,1),"")</f>
        <v/>
      </c>
      <c r="E92" s="7" t="str">
        <f>IFERROR(INDEX($A$1:$A$5000,MATCH(ROWS($D$1:$D92),$D$1:$D$5000,0)),"")</f>
        <v/>
      </c>
    </row>
    <row r="93" spans="3:5">
      <c r="C93" s="17">
        <f t="shared" si="1"/>
        <v>0</v>
      </c>
      <c r="D93" s="17" t="str">
        <f>IF(C93=1,COUNTIF($C$1:$C93,1),"")</f>
        <v/>
      </c>
      <c r="E93" s="7" t="str">
        <f>IFERROR(INDEX($A$1:$A$5000,MATCH(ROWS($D$1:$D93),$D$1:$D$5000,0)),"")</f>
        <v/>
      </c>
    </row>
    <row r="94" spans="3:5">
      <c r="C94" s="17">
        <f t="shared" si="1"/>
        <v>0</v>
      </c>
      <c r="D94" s="17" t="str">
        <f>IF(C94=1,COUNTIF($C$1:$C94,1),"")</f>
        <v/>
      </c>
      <c r="E94" s="7" t="str">
        <f>IFERROR(INDEX($A$1:$A$5000,MATCH(ROWS($D$1:$D94),$D$1:$D$5000,0)),"")</f>
        <v/>
      </c>
    </row>
    <row r="95" spans="3:5">
      <c r="C95" s="17">
        <f t="shared" si="1"/>
        <v>0</v>
      </c>
      <c r="D95" s="17" t="str">
        <f>IF(C95=1,COUNTIF($C$1:$C95,1),"")</f>
        <v/>
      </c>
      <c r="E95" s="7" t="str">
        <f>IFERROR(INDEX($A$1:$A$5000,MATCH(ROWS($D$1:$D95),$D$1:$D$5000,0)),"")</f>
        <v/>
      </c>
    </row>
    <row r="96" spans="3:5">
      <c r="C96" s="17">
        <f t="shared" si="1"/>
        <v>0</v>
      </c>
      <c r="D96" s="17" t="str">
        <f>IF(C96=1,COUNTIF($C$1:$C96,1),"")</f>
        <v/>
      </c>
      <c r="E96" s="7" t="str">
        <f>IFERROR(INDEX($A$1:$A$5000,MATCH(ROWS($D$1:$D96),$D$1:$D$5000,0)),"")</f>
        <v/>
      </c>
    </row>
    <row r="97" spans="3:5">
      <c r="C97" s="17">
        <f t="shared" si="1"/>
        <v>0</v>
      </c>
      <c r="D97" s="17" t="str">
        <f>IF(C97=1,COUNTIF($C$1:$C97,1),"")</f>
        <v/>
      </c>
      <c r="E97" s="7" t="str">
        <f>IFERROR(INDEX($A$1:$A$5000,MATCH(ROWS($D$1:$D97),$D$1:$D$5000,0)),"")</f>
        <v/>
      </c>
    </row>
    <row r="98" spans="3:5">
      <c r="C98" s="17">
        <f t="shared" si="1"/>
        <v>0</v>
      </c>
      <c r="D98" s="17" t="str">
        <f>IF(C98=1,COUNTIF($C$1:$C98,1),"")</f>
        <v/>
      </c>
      <c r="E98" s="7" t="str">
        <f>IFERROR(INDEX($A$1:$A$5000,MATCH(ROWS($D$1:$D98),$D$1:$D$5000,0)),"")</f>
        <v/>
      </c>
    </row>
    <row r="99" spans="3:5">
      <c r="C99" s="17">
        <f t="shared" si="1"/>
        <v>0</v>
      </c>
      <c r="D99" s="17" t="str">
        <f>IF(C99=1,COUNTIF($C$1:$C99,1),"")</f>
        <v/>
      </c>
      <c r="E99" s="7" t="str">
        <f>IFERROR(INDEX($A$1:$A$5000,MATCH(ROWS($D$1:$D99),$D$1:$D$5000,0)),"")</f>
        <v/>
      </c>
    </row>
    <row r="100" spans="3:5">
      <c r="C100" s="17">
        <f t="shared" si="1"/>
        <v>0</v>
      </c>
      <c r="D100" s="17" t="str">
        <f>IF(C100=1,COUNTIF($C$1:$C100,1),"")</f>
        <v/>
      </c>
      <c r="E100" s="7" t="str">
        <f>IFERROR(INDEX($A$1:$A$5000,MATCH(ROWS($D$1:$D100),$D$1:$D$5000,0)),"")</f>
        <v/>
      </c>
    </row>
    <row r="101" spans="3:5">
      <c r="C101" s="17">
        <f t="shared" si="1"/>
        <v>0</v>
      </c>
      <c r="D101" s="17" t="str">
        <f>IF(C101=1,COUNTIF($C$1:$C101,1),"")</f>
        <v/>
      </c>
      <c r="E101" s="7" t="str">
        <f>IFERROR(INDEX($A$1:$A$5000,MATCH(ROWS($D$1:$D101),$D$1:$D$5000,0)),"")</f>
        <v/>
      </c>
    </row>
    <row r="102" spans="3:5">
      <c r="C102" s="17">
        <f t="shared" si="1"/>
        <v>0</v>
      </c>
      <c r="D102" s="17" t="str">
        <f>IF(C102=1,COUNTIF($C$1:$C102,1),"")</f>
        <v/>
      </c>
      <c r="E102" s="7" t="str">
        <f>IFERROR(INDEX($A$1:$A$5000,MATCH(ROWS($D$1:$D102),$D$1:$D$5000,0)),"")</f>
        <v/>
      </c>
    </row>
    <row r="103" spans="3:5">
      <c r="C103" s="17">
        <f t="shared" si="1"/>
        <v>0</v>
      </c>
      <c r="D103" s="17" t="str">
        <f>IF(C103=1,COUNTIF($C$1:$C103,1),"")</f>
        <v/>
      </c>
      <c r="E103" s="7" t="str">
        <f>IFERROR(INDEX($A$1:$A$5000,MATCH(ROWS($D$1:$D103),$D$1:$D$5000,0)),"")</f>
        <v/>
      </c>
    </row>
    <row r="104" spans="3:5">
      <c r="C104" s="17">
        <f t="shared" si="1"/>
        <v>0</v>
      </c>
      <c r="D104" s="17" t="str">
        <f>IF(C104=1,COUNTIF($C$1:$C104,1),"")</f>
        <v/>
      </c>
      <c r="E104" s="7" t="str">
        <f>IFERROR(INDEX($A$1:$A$5000,MATCH(ROWS($D$1:$D104),$D$1:$D$5000,0)),"")</f>
        <v/>
      </c>
    </row>
    <row r="105" spans="3:5">
      <c r="C105" s="17">
        <f t="shared" si="1"/>
        <v>0</v>
      </c>
      <c r="D105" s="17" t="str">
        <f>IF(C105=1,COUNTIF($C$1:$C105,1),"")</f>
        <v/>
      </c>
      <c r="E105" s="7" t="str">
        <f>IFERROR(INDEX($A$1:$A$5000,MATCH(ROWS($D$1:$D105),$D$1:$D$5000,0)),"")</f>
        <v/>
      </c>
    </row>
    <row r="106" spans="3:5">
      <c r="C106" s="17">
        <f t="shared" si="1"/>
        <v>0</v>
      </c>
      <c r="D106" s="17" t="str">
        <f>IF(C106=1,COUNTIF($C$1:$C106,1),"")</f>
        <v/>
      </c>
      <c r="E106" s="7" t="str">
        <f>IFERROR(INDEX($A$1:$A$5000,MATCH(ROWS($D$1:$D106),$D$1:$D$5000,0)),"")</f>
        <v/>
      </c>
    </row>
    <row r="107" spans="3:5">
      <c r="C107" s="17">
        <f t="shared" si="1"/>
        <v>0</v>
      </c>
      <c r="D107" s="17" t="str">
        <f>IF(C107=1,COUNTIF($C$1:$C107,1),"")</f>
        <v/>
      </c>
      <c r="E107" s="7" t="str">
        <f>IFERROR(INDEX($A$1:$A$5000,MATCH(ROWS($D$1:$D107),$D$1:$D$5000,0)),"")</f>
        <v/>
      </c>
    </row>
    <row r="108" spans="3:5">
      <c r="C108" s="17">
        <f t="shared" si="1"/>
        <v>0</v>
      </c>
      <c r="D108" s="17" t="str">
        <f>IF(C108=1,COUNTIF($C$1:$C108,1),"")</f>
        <v/>
      </c>
      <c r="E108" s="7" t="str">
        <f>IFERROR(INDEX($A$1:$A$5000,MATCH(ROWS($D$1:$D108),$D$1:$D$5000,0)),"")</f>
        <v/>
      </c>
    </row>
    <row r="109" spans="3:5">
      <c r="C109" s="17">
        <f t="shared" si="1"/>
        <v>0</v>
      </c>
      <c r="D109" s="17" t="str">
        <f>IF(C109=1,COUNTIF($C$1:$C109,1),"")</f>
        <v/>
      </c>
      <c r="E109" s="7" t="str">
        <f>IFERROR(INDEX($A$1:$A$5000,MATCH(ROWS($D$1:$D109),$D$1:$D$5000,0)),"")</f>
        <v/>
      </c>
    </row>
    <row r="110" spans="3:5">
      <c r="C110" s="17">
        <f t="shared" si="1"/>
        <v>0</v>
      </c>
      <c r="D110" s="17" t="str">
        <f>IF(C110=1,COUNTIF($C$1:$C110,1),"")</f>
        <v/>
      </c>
      <c r="E110" s="7" t="str">
        <f>IFERROR(INDEX($A$1:$A$5000,MATCH(ROWS($D$1:$D110),$D$1:$D$5000,0)),"")</f>
        <v/>
      </c>
    </row>
    <row r="111" spans="3:5">
      <c r="C111" s="17">
        <f t="shared" si="1"/>
        <v>0</v>
      </c>
      <c r="D111" s="17" t="str">
        <f>IF(C111=1,COUNTIF($C$1:$C111,1),"")</f>
        <v/>
      </c>
      <c r="E111" s="7" t="str">
        <f>IFERROR(INDEX($A$1:$A$5000,MATCH(ROWS($D$1:$D111),$D$1:$D$5000,0)),"")</f>
        <v/>
      </c>
    </row>
    <row r="112" spans="3:5">
      <c r="C112" s="17">
        <f t="shared" si="1"/>
        <v>0</v>
      </c>
      <c r="D112" s="17" t="str">
        <f>IF(C112=1,COUNTIF($C$1:$C112,1),"")</f>
        <v/>
      </c>
      <c r="E112" s="7" t="str">
        <f>IFERROR(INDEX($A$1:$A$5000,MATCH(ROWS($D$1:$D112),$D$1:$D$5000,0)),"")</f>
        <v/>
      </c>
    </row>
    <row r="113" spans="3:5">
      <c r="C113" s="17">
        <f t="shared" si="1"/>
        <v>0</v>
      </c>
      <c r="D113" s="17" t="str">
        <f>IF(C113=1,COUNTIF($C$1:$C113,1),"")</f>
        <v/>
      </c>
      <c r="E113" s="7" t="str">
        <f>IFERROR(INDEX($A$1:$A$5000,MATCH(ROWS($D$1:$D113),$D$1:$D$5000,0)),"")</f>
        <v/>
      </c>
    </row>
    <row r="114" spans="3:5">
      <c r="C114" s="17">
        <f t="shared" si="1"/>
        <v>0</v>
      </c>
      <c r="D114" s="17" t="str">
        <f>IF(C114=1,COUNTIF($C$1:$C114,1),"")</f>
        <v/>
      </c>
      <c r="E114" s="7" t="str">
        <f>IFERROR(INDEX($A$1:$A$5000,MATCH(ROWS($D$1:$D114),$D$1:$D$5000,0)),"")</f>
        <v/>
      </c>
    </row>
    <row r="115" spans="3:5">
      <c r="C115" s="17">
        <f t="shared" si="1"/>
        <v>0</v>
      </c>
      <c r="D115" s="17" t="str">
        <f>IF(C115=1,COUNTIF($C$1:$C115,1),"")</f>
        <v/>
      </c>
      <c r="E115" s="7" t="str">
        <f>IFERROR(INDEX($A$1:$A$5000,MATCH(ROWS($D$1:$D115),$D$1:$D$5000,0)),"")</f>
        <v/>
      </c>
    </row>
    <row r="116" spans="3:5">
      <c r="C116" s="17">
        <f t="shared" si="1"/>
        <v>0</v>
      </c>
      <c r="D116" s="17" t="str">
        <f>IF(C116=1,COUNTIF($C$1:$C116,1),"")</f>
        <v/>
      </c>
      <c r="E116" s="7" t="str">
        <f>IFERROR(INDEX($A$1:$A$5000,MATCH(ROWS($D$1:$D116),$D$1:$D$5000,0)),"")</f>
        <v/>
      </c>
    </row>
    <row r="117" spans="3:5">
      <c r="C117" s="17">
        <f t="shared" si="1"/>
        <v>0</v>
      </c>
      <c r="D117" s="17" t="str">
        <f>IF(C117=1,COUNTIF($C$1:$C117,1),"")</f>
        <v/>
      </c>
      <c r="E117" s="7" t="str">
        <f>IFERROR(INDEX($A$1:$A$5000,MATCH(ROWS($D$1:$D117),$D$1:$D$5000,0)),"")</f>
        <v/>
      </c>
    </row>
    <row r="118" spans="3:5">
      <c r="C118" s="17">
        <f t="shared" si="1"/>
        <v>0</v>
      </c>
      <c r="D118" s="17" t="str">
        <f>IF(C118=1,COUNTIF($C$1:$C118,1),"")</f>
        <v/>
      </c>
      <c r="E118" s="7" t="str">
        <f>IFERROR(INDEX($A$1:$A$5000,MATCH(ROWS($D$1:$D118),$D$1:$D$5000,0)),"")</f>
        <v/>
      </c>
    </row>
    <row r="119" spans="3:5">
      <c r="C119" s="17">
        <f t="shared" si="1"/>
        <v>0</v>
      </c>
      <c r="D119" s="17" t="str">
        <f>IF(C119=1,COUNTIF($C$1:$C119,1),"")</f>
        <v/>
      </c>
      <c r="E119" s="7" t="str">
        <f>IFERROR(INDEX($A$1:$A$5000,MATCH(ROWS($D$1:$D119),$D$1:$D$5000,0)),"")</f>
        <v/>
      </c>
    </row>
    <row r="120" spans="3:5">
      <c r="C120" s="17">
        <f t="shared" si="1"/>
        <v>0</v>
      </c>
      <c r="D120" s="17" t="str">
        <f>IF(C120=1,COUNTIF($C$1:$C120,1),"")</f>
        <v/>
      </c>
      <c r="E120" s="7" t="str">
        <f>IFERROR(INDEX($A$1:$A$5000,MATCH(ROWS($D$1:$D120),$D$1:$D$5000,0)),"")</f>
        <v/>
      </c>
    </row>
    <row r="121" spans="3:5">
      <c r="C121" s="17">
        <f t="shared" si="1"/>
        <v>0</v>
      </c>
      <c r="D121" s="17" t="str">
        <f>IF(C121=1,COUNTIF($C$1:$C121,1),"")</f>
        <v/>
      </c>
      <c r="E121" s="7" t="str">
        <f>IFERROR(INDEX($A$1:$A$5000,MATCH(ROWS($D$1:$D121),$D$1:$D$5000,0)),"")</f>
        <v/>
      </c>
    </row>
    <row r="122" spans="3:5">
      <c r="C122" s="17">
        <f t="shared" si="1"/>
        <v>0</v>
      </c>
      <c r="D122" s="17" t="str">
        <f>IF(C122=1,COUNTIF($C$1:$C122,1),"")</f>
        <v/>
      </c>
      <c r="E122" s="7" t="str">
        <f>IFERROR(INDEX($A$1:$A$5000,MATCH(ROWS($D$1:$D122),$D$1:$D$5000,0)),"")</f>
        <v/>
      </c>
    </row>
    <row r="123" spans="3:5">
      <c r="C123" s="17">
        <f t="shared" si="1"/>
        <v>0</v>
      </c>
      <c r="D123" s="17" t="str">
        <f>IF(C123=1,COUNTIF($C$1:$C123,1),"")</f>
        <v/>
      </c>
      <c r="E123" s="7" t="str">
        <f>IFERROR(INDEX($A$1:$A$5000,MATCH(ROWS($D$1:$D123),$D$1:$D$5000,0)),"")</f>
        <v/>
      </c>
    </row>
    <row r="124" spans="3:5">
      <c r="C124" s="17">
        <f t="shared" si="1"/>
        <v>0</v>
      </c>
      <c r="D124" s="17" t="str">
        <f>IF(C124=1,COUNTIF($C$1:$C124,1),"")</f>
        <v/>
      </c>
      <c r="E124" s="7" t="str">
        <f>IFERROR(INDEX($A$1:$A$5000,MATCH(ROWS($D$1:$D124),$D$1:$D$5000,0)),"")</f>
        <v/>
      </c>
    </row>
    <row r="125" spans="3:5">
      <c r="C125" s="17">
        <f t="shared" si="1"/>
        <v>0</v>
      </c>
      <c r="D125" s="17" t="str">
        <f>IF(C125=1,COUNTIF($C$1:$C125,1),"")</f>
        <v/>
      </c>
      <c r="E125" s="7" t="str">
        <f>IFERROR(INDEX($A$1:$A$5000,MATCH(ROWS($D$1:$D125),$D$1:$D$5000,0)),"")</f>
        <v/>
      </c>
    </row>
    <row r="126" spans="3:5">
      <c r="C126" s="17">
        <f t="shared" si="1"/>
        <v>0</v>
      </c>
      <c r="D126" s="17" t="str">
        <f>IF(C126=1,COUNTIF($C$1:$C126,1),"")</f>
        <v/>
      </c>
      <c r="E126" s="7" t="str">
        <f>IFERROR(INDEX($A$1:$A$5000,MATCH(ROWS($D$1:$D126),$D$1:$D$5000,0)),"")</f>
        <v/>
      </c>
    </row>
    <row r="127" spans="3:5">
      <c r="C127" s="17">
        <f t="shared" si="1"/>
        <v>0</v>
      </c>
      <c r="D127" s="17" t="str">
        <f>IF(C127=1,COUNTIF($C$1:$C127,1),"")</f>
        <v/>
      </c>
      <c r="E127" s="7" t="str">
        <f>IFERROR(INDEX($A$1:$A$5000,MATCH(ROWS($D$1:$D127),$D$1:$D$5000,0)),"")</f>
        <v/>
      </c>
    </row>
    <row r="128" spans="3:5">
      <c r="C128" s="17">
        <f t="shared" si="1"/>
        <v>0</v>
      </c>
      <c r="D128" s="17" t="str">
        <f>IF(C128=1,COUNTIF($C$1:$C128,1),"")</f>
        <v/>
      </c>
      <c r="E128" s="7" t="str">
        <f>IFERROR(INDEX($A$1:$A$5000,MATCH(ROWS($D$1:$D128),$D$1:$D$5000,0)),"")</f>
        <v/>
      </c>
    </row>
    <row r="129" spans="3:5">
      <c r="C129" s="17">
        <f t="shared" si="1"/>
        <v>0</v>
      </c>
      <c r="D129" s="17" t="str">
        <f>IF(C129=1,COUNTIF($C$1:$C129,1),"")</f>
        <v/>
      </c>
      <c r="E129" s="7" t="str">
        <f>IFERROR(INDEX($A$1:$A$5000,MATCH(ROWS($D$1:$D129),$D$1:$D$5000,0)),"")</f>
        <v/>
      </c>
    </row>
    <row r="130" spans="3:5">
      <c r="C130" s="17">
        <f t="shared" ref="C130:C193" si="2">--ISNUMBER(SEARCH($B$1,A130))</f>
        <v>0</v>
      </c>
      <c r="D130" s="17" t="str">
        <f>IF(C130=1,COUNTIF($C$1:$C130,1),"")</f>
        <v/>
      </c>
      <c r="E130" s="7" t="str">
        <f>IFERROR(INDEX($A$1:$A$5000,MATCH(ROWS($D$1:$D130),$D$1:$D$5000,0)),"")</f>
        <v/>
      </c>
    </row>
    <row r="131" spans="3:5">
      <c r="C131" s="17">
        <f t="shared" si="2"/>
        <v>0</v>
      </c>
      <c r="D131" s="17" t="str">
        <f>IF(C131=1,COUNTIF($C$1:$C131,1),"")</f>
        <v/>
      </c>
      <c r="E131" s="7" t="str">
        <f>IFERROR(INDEX($A$1:$A$5000,MATCH(ROWS($D$1:$D131),$D$1:$D$5000,0)),"")</f>
        <v/>
      </c>
    </row>
    <row r="132" spans="3:5">
      <c r="C132" s="17">
        <f t="shared" si="2"/>
        <v>0</v>
      </c>
      <c r="D132" s="17" t="str">
        <f>IF(C132=1,COUNTIF($C$1:$C132,1),"")</f>
        <v/>
      </c>
      <c r="E132" s="7" t="str">
        <f>IFERROR(INDEX($A$1:$A$5000,MATCH(ROWS($D$1:$D132),$D$1:$D$5000,0)),"")</f>
        <v/>
      </c>
    </row>
    <row r="133" spans="3:5">
      <c r="C133" s="17">
        <f t="shared" si="2"/>
        <v>0</v>
      </c>
      <c r="D133" s="17" t="str">
        <f>IF(C133=1,COUNTIF($C$1:$C133,1),"")</f>
        <v/>
      </c>
      <c r="E133" s="7" t="str">
        <f>IFERROR(INDEX($A$1:$A$5000,MATCH(ROWS($D$1:$D133),$D$1:$D$5000,0)),"")</f>
        <v/>
      </c>
    </row>
    <row r="134" spans="3:5">
      <c r="C134" s="17">
        <f t="shared" si="2"/>
        <v>0</v>
      </c>
      <c r="D134" s="17" t="str">
        <f>IF(C134=1,COUNTIF($C$1:$C134,1),"")</f>
        <v/>
      </c>
      <c r="E134" s="7" t="str">
        <f>IFERROR(INDEX($A$1:$A$5000,MATCH(ROWS($D$1:$D134),$D$1:$D$5000,0)),"")</f>
        <v/>
      </c>
    </row>
    <row r="135" spans="3:5">
      <c r="C135" s="17">
        <f t="shared" si="2"/>
        <v>0</v>
      </c>
      <c r="D135" s="17" t="str">
        <f>IF(C135=1,COUNTIF($C$1:$C135,1),"")</f>
        <v/>
      </c>
      <c r="E135" s="7" t="str">
        <f>IFERROR(INDEX($A$1:$A$5000,MATCH(ROWS($D$1:$D135),$D$1:$D$5000,0)),"")</f>
        <v/>
      </c>
    </row>
    <row r="136" spans="3:5">
      <c r="C136" s="17">
        <f t="shared" si="2"/>
        <v>0</v>
      </c>
      <c r="D136" s="17" t="str">
        <f>IF(C136=1,COUNTIF($C$1:$C136,1),"")</f>
        <v/>
      </c>
      <c r="E136" s="7" t="str">
        <f>IFERROR(INDEX($A$1:$A$5000,MATCH(ROWS($D$1:$D136),$D$1:$D$5000,0)),"")</f>
        <v/>
      </c>
    </row>
    <row r="137" spans="3:5">
      <c r="C137" s="17">
        <f t="shared" si="2"/>
        <v>0</v>
      </c>
      <c r="D137" s="17" t="str">
        <f>IF(C137=1,COUNTIF($C$1:$C137,1),"")</f>
        <v/>
      </c>
      <c r="E137" s="7" t="str">
        <f>IFERROR(INDEX($A$1:$A$5000,MATCH(ROWS($D$1:$D137),$D$1:$D$5000,0)),"")</f>
        <v/>
      </c>
    </row>
    <row r="138" spans="3:5">
      <c r="C138" s="17">
        <f t="shared" si="2"/>
        <v>0</v>
      </c>
      <c r="D138" s="17" t="str">
        <f>IF(C138=1,COUNTIF($C$1:$C138,1),"")</f>
        <v/>
      </c>
      <c r="E138" s="7" t="str">
        <f>IFERROR(INDEX($A$1:$A$5000,MATCH(ROWS($D$1:$D138),$D$1:$D$5000,0)),"")</f>
        <v/>
      </c>
    </row>
    <row r="139" spans="3:5">
      <c r="C139" s="17">
        <f t="shared" si="2"/>
        <v>0</v>
      </c>
      <c r="D139" s="17" t="str">
        <f>IF(C139=1,COUNTIF($C$1:$C139,1),"")</f>
        <v/>
      </c>
      <c r="E139" s="7" t="str">
        <f>IFERROR(INDEX($A$1:$A$5000,MATCH(ROWS($D$1:$D139),$D$1:$D$5000,0)),"")</f>
        <v/>
      </c>
    </row>
    <row r="140" spans="3:5">
      <c r="C140" s="17">
        <f t="shared" si="2"/>
        <v>0</v>
      </c>
      <c r="D140" s="17" t="str">
        <f>IF(C140=1,COUNTIF($C$1:$C140,1),"")</f>
        <v/>
      </c>
      <c r="E140" s="7" t="str">
        <f>IFERROR(INDEX($A$1:$A$5000,MATCH(ROWS($D$1:$D140),$D$1:$D$5000,0)),"")</f>
        <v/>
      </c>
    </row>
    <row r="141" spans="3:5">
      <c r="C141" s="17">
        <f t="shared" si="2"/>
        <v>0</v>
      </c>
      <c r="D141" s="17" t="str">
        <f>IF(C141=1,COUNTIF($C$1:$C141,1),"")</f>
        <v/>
      </c>
      <c r="E141" s="7" t="str">
        <f>IFERROR(INDEX($A$1:$A$5000,MATCH(ROWS($D$1:$D141),$D$1:$D$5000,0)),"")</f>
        <v/>
      </c>
    </row>
    <row r="142" spans="3:5">
      <c r="C142" s="17">
        <f t="shared" si="2"/>
        <v>0</v>
      </c>
      <c r="D142" s="17" t="str">
        <f>IF(C142=1,COUNTIF($C$1:$C142,1),"")</f>
        <v/>
      </c>
      <c r="E142" s="7" t="str">
        <f>IFERROR(INDEX($A$1:$A$5000,MATCH(ROWS($D$1:$D142),$D$1:$D$5000,0)),"")</f>
        <v/>
      </c>
    </row>
    <row r="143" spans="3:5">
      <c r="C143" s="17">
        <f t="shared" si="2"/>
        <v>0</v>
      </c>
      <c r="D143" s="17" t="str">
        <f>IF(C143=1,COUNTIF($C$1:$C143,1),"")</f>
        <v/>
      </c>
      <c r="E143" s="7" t="str">
        <f>IFERROR(INDEX($A$1:$A$5000,MATCH(ROWS($D$1:$D143),$D$1:$D$5000,0)),"")</f>
        <v/>
      </c>
    </row>
    <row r="144" spans="3:5">
      <c r="C144" s="17">
        <f t="shared" si="2"/>
        <v>0</v>
      </c>
      <c r="D144" s="17" t="str">
        <f>IF(C144=1,COUNTIF($C$1:$C144,1),"")</f>
        <v/>
      </c>
      <c r="E144" s="7" t="str">
        <f>IFERROR(INDEX($A$1:$A$5000,MATCH(ROWS($D$1:$D144),$D$1:$D$5000,0)),"")</f>
        <v/>
      </c>
    </row>
    <row r="145" spans="3:5">
      <c r="C145" s="17">
        <f t="shared" si="2"/>
        <v>0</v>
      </c>
      <c r="D145" s="17" t="str">
        <f>IF(C145=1,COUNTIF($C$1:$C145,1),"")</f>
        <v/>
      </c>
      <c r="E145" s="7" t="str">
        <f>IFERROR(INDEX($A$1:$A$5000,MATCH(ROWS($D$1:$D145),$D$1:$D$5000,0)),"")</f>
        <v/>
      </c>
    </row>
    <row r="146" spans="3:5">
      <c r="C146" s="17">
        <f t="shared" si="2"/>
        <v>0</v>
      </c>
      <c r="D146" s="17" t="str">
        <f>IF(C146=1,COUNTIF($C$1:$C146,1),"")</f>
        <v/>
      </c>
      <c r="E146" s="7" t="str">
        <f>IFERROR(INDEX($A$1:$A$5000,MATCH(ROWS($D$1:$D146),$D$1:$D$5000,0)),"")</f>
        <v/>
      </c>
    </row>
    <row r="147" spans="3:5">
      <c r="C147" s="17">
        <f t="shared" si="2"/>
        <v>0</v>
      </c>
      <c r="D147" s="17" t="str">
        <f>IF(C147=1,COUNTIF($C$1:$C147,1),"")</f>
        <v/>
      </c>
      <c r="E147" s="7" t="str">
        <f>IFERROR(INDEX($A$1:$A$5000,MATCH(ROWS($D$1:$D147),$D$1:$D$5000,0)),"")</f>
        <v/>
      </c>
    </row>
    <row r="148" spans="3:5">
      <c r="C148" s="17">
        <f t="shared" si="2"/>
        <v>0</v>
      </c>
      <c r="D148" s="17" t="str">
        <f>IF(C148=1,COUNTIF($C$1:$C148,1),"")</f>
        <v/>
      </c>
      <c r="E148" s="7" t="str">
        <f>IFERROR(INDEX($A$1:$A$5000,MATCH(ROWS($D$1:$D148),$D$1:$D$5000,0)),"")</f>
        <v/>
      </c>
    </row>
    <row r="149" spans="3:5">
      <c r="C149" s="17">
        <f t="shared" si="2"/>
        <v>0</v>
      </c>
      <c r="D149" s="17" t="str">
        <f>IF(C149=1,COUNTIF($C$1:$C149,1),"")</f>
        <v/>
      </c>
      <c r="E149" s="7" t="str">
        <f>IFERROR(INDEX($A$1:$A$5000,MATCH(ROWS($D$1:$D149),$D$1:$D$5000,0)),"")</f>
        <v/>
      </c>
    </row>
    <row r="150" spans="3:5">
      <c r="C150" s="17">
        <f t="shared" si="2"/>
        <v>0</v>
      </c>
      <c r="D150" s="17" t="str">
        <f>IF(C150=1,COUNTIF($C$1:$C150,1),"")</f>
        <v/>
      </c>
      <c r="E150" s="7" t="str">
        <f>IFERROR(INDEX($A$1:$A$5000,MATCH(ROWS($D$1:$D150),$D$1:$D$5000,0)),"")</f>
        <v/>
      </c>
    </row>
    <row r="151" spans="3:5">
      <c r="C151" s="17">
        <f t="shared" si="2"/>
        <v>0</v>
      </c>
      <c r="D151" s="17" t="str">
        <f>IF(C151=1,COUNTIF($C$1:$C151,1),"")</f>
        <v/>
      </c>
      <c r="E151" s="7" t="str">
        <f>IFERROR(INDEX($A$1:$A$5000,MATCH(ROWS($D$1:$D151),$D$1:$D$5000,0)),"")</f>
        <v/>
      </c>
    </row>
    <row r="152" spans="3:5">
      <c r="C152" s="17">
        <f t="shared" si="2"/>
        <v>0</v>
      </c>
      <c r="D152" s="17" t="str">
        <f>IF(C152=1,COUNTIF($C$1:$C152,1),"")</f>
        <v/>
      </c>
      <c r="E152" s="7" t="str">
        <f>IFERROR(INDEX($A$1:$A$5000,MATCH(ROWS($D$1:$D152),$D$1:$D$5000,0)),"")</f>
        <v/>
      </c>
    </row>
    <row r="153" spans="3:5">
      <c r="C153" s="17">
        <f t="shared" si="2"/>
        <v>0</v>
      </c>
      <c r="D153" s="17" t="str">
        <f>IF(C153=1,COUNTIF($C$1:$C153,1),"")</f>
        <v/>
      </c>
      <c r="E153" s="7" t="str">
        <f>IFERROR(INDEX($A$1:$A$5000,MATCH(ROWS($D$1:$D153),$D$1:$D$5000,0)),"")</f>
        <v/>
      </c>
    </row>
    <row r="154" spans="3:5">
      <c r="C154" s="17">
        <f t="shared" si="2"/>
        <v>0</v>
      </c>
      <c r="D154" s="17" t="str">
        <f>IF(C154=1,COUNTIF($C$1:$C154,1),"")</f>
        <v/>
      </c>
      <c r="E154" s="7" t="str">
        <f>IFERROR(INDEX($A$1:$A$5000,MATCH(ROWS($D$1:$D154),$D$1:$D$5000,0)),"")</f>
        <v/>
      </c>
    </row>
    <row r="155" spans="3:5">
      <c r="C155" s="17">
        <f t="shared" si="2"/>
        <v>0</v>
      </c>
      <c r="D155" s="17" t="str">
        <f>IF(C155=1,COUNTIF($C$1:$C155,1),"")</f>
        <v/>
      </c>
      <c r="E155" s="7" t="str">
        <f>IFERROR(INDEX($A$1:$A$5000,MATCH(ROWS($D$1:$D155),$D$1:$D$5000,0)),"")</f>
        <v/>
      </c>
    </row>
    <row r="156" spans="3:5">
      <c r="C156" s="17">
        <f t="shared" si="2"/>
        <v>0</v>
      </c>
      <c r="D156" s="17" t="str">
        <f>IF(C156=1,COUNTIF($C$1:$C156,1),"")</f>
        <v/>
      </c>
      <c r="E156" s="7" t="str">
        <f>IFERROR(INDEX($A$1:$A$5000,MATCH(ROWS($D$1:$D156),$D$1:$D$5000,0)),"")</f>
        <v/>
      </c>
    </row>
    <row r="157" spans="3:5">
      <c r="C157" s="17">
        <f t="shared" si="2"/>
        <v>0</v>
      </c>
      <c r="D157" s="17" t="str">
        <f>IF(C157=1,COUNTIF($C$1:$C157,1),"")</f>
        <v/>
      </c>
      <c r="E157" s="7" t="str">
        <f>IFERROR(INDEX($A$1:$A$5000,MATCH(ROWS($D$1:$D157),$D$1:$D$5000,0)),"")</f>
        <v/>
      </c>
    </row>
    <row r="158" spans="3:5">
      <c r="C158" s="17">
        <f t="shared" si="2"/>
        <v>0</v>
      </c>
      <c r="D158" s="17" t="str">
        <f>IF(C158=1,COUNTIF($C$1:$C158,1),"")</f>
        <v/>
      </c>
      <c r="E158" s="7" t="str">
        <f>IFERROR(INDEX($A$1:$A$5000,MATCH(ROWS($D$1:$D158),$D$1:$D$5000,0)),"")</f>
        <v/>
      </c>
    </row>
    <row r="159" spans="3:5">
      <c r="C159" s="17">
        <f t="shared" si="2"/>
        <v>0</v>
      </c>
      <c r="D159" s="17" t="str">
        <f>IF(C159=1,COUNTIF($C$1:$C159,1),"")</f>
        <v/>
      </c>
      <c r="E159" s="7" t="str">
        <f>IFERROR(INDEX($A$1:$A$5000,MATCH(ROWS($D$1:$D159),$D$1:$D$5000,0)),"")</f>
        <v/>
      </c>
    </row>
    <row r="160" spans="3:5">
      <c r="C160" s="17">
        <f t="shared" si="2"/>
        <v>0</v>
      </c>
      <c r="D160" s="17" t="str">
        <f>IF(C160=1,COUNTIF($C$1:$C160,1),"")</f>
        <v/>
      </c>
      <c r="E160" s="7" t="str">
        <f>IFERROR(INDEX($A$1:$A$5000,MATCH(ROWS($D$1:$D160),$D$1:$D$5000,0)),"")</f>
        <v/>
      </c>
    </row>
    <row r="161" spans="3:5">
      <c r="C161" s="17">
        <f t="shared" si="2"/>
        <v>0</v>
      </c>
      <c r="D161" s="17" t="str">
        <f>IF(C161=1,COUNTIF($C$1:$C161,1),"")</f>
        <v/>
      </c>
      <c r="E161" s="7" t="str">
        <f>IFERROR(INDEX($A$1:$A$5000,MATCH(ROWS($D$1:$D161),$D$1:$D$5000,0)),"")</f>
        <v/>
      </c>
    </row>
    <row r="162" spans="3:5">
      <c r="C162" s="17">
        <f t="shared" si="2"/>
        <v>0</v>
      </c>
      <c r="D162" s="17" t="str">
        <f>IF(C162=1,COUNTIF($C$1:$C162,1),"")</f>
        <v/>
      </c>
      <c r="E162" s="7" t="str">
        <f>IFERROR(INDEX($A$1:$A$5000,MATCH(ROWS($D$1:$D162),$D$1:$D$5000,0)),"")</f>
        <v/>
      </c>
    </row>
    <row r="163" spans="3:5">
      <c r="C163" s="17">
        <f t="shared" si="2"/>
        <v>0</v>
      </c>
      <c r="D163" s="17" t="str">
        <f>IF(C163=1,COUNTIF($C$1:$C163,1),"")</f>
        <v/>
      </c>
      <c r="E163" s="7" t="str">
        <f>IFERROR(INDEX($A$1:$A$5000,MATCH(ROWS($D$1:$D163),$D$1:$D$5000,0)),"")</f>
        <v/>
      </c>
    </row>
    <row r="164" spans="3:5">
      <c r="C164" s="17">
        <f t="shared" si="2"/>
        <v>0</v>
      </c>
      <c r="D164" s="17" t="str">
        <f>IF(C164=1,COUNTIF($C$1:$C164,1),"")</f>
        <v/>
      </c>
      <c r="E164" s="7" t="str">
        <f>IFERROR(INDEX($A$1:$A$5000,MATCH(ROWS($D$1:$D164),$D$1:$D$5000,0)),"")</f>
        <v/>
      </c>
    </row>
    <row r="165" spans="3:5">
      <c r="C165" s="17">
        <f t="shared" si="2"/>
        <v>0</v>
      </c>
      <c r="D165" s="17" t="str">
        <f>IF(C165=1,COUNTIF($C$1:$C165,1),"")</f>
        <v/>
      </c>
      <c r="E165" s="7" t="str">
        <f>IFERROR(INDEX($A$1:$A$5000,MATCH(ROWS($D$1:$D165),$D$1:$D$5000,0)),"")</f>
        <v/>
      </c>
    </row>
    <row r="166" spans="3:5">
      <c r="C166" s="17">
        <f t="shared" si="2"/>
        <v>0</v>
      </c>
      <c r="D166" s="17" t="str">
        <f>IF(C166=1,COUNTIF($C$1:$C166,1),"")</f>
        <v/>
      </c>
      <c r="E166" s="7" t="str">
        <f>IFERROR(INDEX($A$1:$A$5000,MATCH(ROWS($D$1:$D166),$D$1:$D$5000,0)),"")</f>
        <v/>
      </c>
    </row>
    <row r="167" spans="3:5">
      <c r="C167" s="17">
        <f t="shared" si="2"/>
        <v>0</v>
      </c>
      <c r="D167" s="17" t="str">
        <f>IF(C167=1,COUNTIF($C$1:$C167,1),"")</f>
        <v/>
      </c>
      <c r="E167" s="7" t="str">
        <f>IFERROR(INDEX($A$1:$A$5000,MATCH(ROWS($D$1:$D167),$D$1:$D$5000,0)),"")</f>
        <v/>
      </c>
    </row>
    <row r="168" spans="3:5">
      <c r="C168" s="17">
        <f t="shared" si="2"/>
        <v>0</v>
      </c>
      <c r="D168" s="17" t="str">
        <f>IF(C168=1,COUNTIF($C$1:$C168,1),"")</f>
        <v/>
      </c>
      <c r="E168" s="7" t="str">
        <f>IFERROR(INDEX($A$1:$A$5000,MATCH(ROWS($D$1:$D168),$D$1:$D$5000,0)),"")</f>
        <v/>
      </c>
    </row>
    <row r="169" spans="3:5">
      <c r="C169" s="17">
        <f t="shared" si="2"/>
        <v>0</v>
      </c>
      <c r="D169" s="17" t="str">
        <f>IF(C169=1,COUNTIF($C$1:$C169,1),"")</f>
        <v/>
      </c>
      <c r="E169" s="7" t="str">
        <f>IFERROR(INDEX($A$1:$A$5000,MATCH(ROWS($D$1:$D169),$D$1:$D$5000,0)),"")</f>
        <v/>
      </c>
    </row>
    <row r="170" spans="3:5">
      <c r="C170" s="17">
        <f t="shared" si="2"/>
        <v>0</v>
      </c>
      <c r="D170" s="17" t="str">
        <f>IF(C170=1,COUNTIF($C$1:$C170,1),"")</f>
        <v/>
      </c>
      <c r="E170" s="7" t="str">
        <f>IFERROR(INDEX($A$1:$A$5000,MATCH(ROWS($D$1:$D170),$D$1:$D$5000,0)),"")</f>
        <v/>
      </c>
    </row>
    <row r="171" spans="3:5">
      <c r="C171" s="17">
        <f t="shared" si="2"/>
        <v>0</v>
      </c>
      <c r="D171" s="17" t="str">
        <f>IF(C171=1,COUNTIF($C$1:$C171,1),"")</f>
        <v/>
      </c>
      <c r="E171" s="7" t="str">
        <f>IFERROR(INDEX($A$1:$A$5000,MATCH(ROWS($D$1:$D171),$D$1:$D$5000,0)),"")</f>
        <v/>
      </c>
    </row>
    <row r="172" spans="3:5">
      <c r="C172" s="17">
        <f t="shared" si="2"/>
        <v>0</v>
      </c>
      <c r="D172" s="17" t="str">
        <f>IF(C172=1,COUNTIF($C$1:$C172,1),"")</f>
        <v/>
      </c>
      <c r="E172" s="7" t="str">
        <f>IFERROR(INDEX($A$1:$A$5000,MATCH(ROWS($D$1:$D172),$D$1:$D$5000,0)),"")</f>
        <v/>
      </c>
    </row>
    <row r="173" spans="3:5">
      <c r="C173" s="17">
        <f t="shared" si="2"/>
        <v>0</v>
      </c>
      <c r="D173" s="17" t="str">
        <f>IF(C173=1,COUNTIF($C$1:$C173,1),"")</f>
        <v/>
      </c>
      <c r="E173" s="7" t="str">
        <f>IFERROR(INDEX($A$1:$A$5000,MATCH(ROWS($D$1:$D173),$D$1:$D$5000,0)),"")</f>
        <v/>
      </c>
    </row>
    <row r="174" spans="3:5">
      <c r="C174" s="17">
        <f t="shared" si="2"/>
        <v>0</v>
      </c>
      <c r="D174" s="17" t="str">
        <f>IF(C174=1,COUNTIF($C$1:$C174,1),"")</f>
        <v/>
      </c>
      <c r="E174" s="7" t="str">
        <f>IFERROR(INDEX($A$1:$A$5000,MATCH(ROWS($D$1:$D174),$D$1:$D$5000,0)),"")</f>
        <v/>
      </c>
    </row>
    <row r="175" spans="3:5">
      <c r="C175" s="17">
        <f t="shared" si="2"/>
        <v>0</v>
      </c>
      <c r="D175" s="17" t="str">
        <f>IF(C175=1,COUNTIF($C$1:$C175,1),"")</f>
        <v/>
      </c>
      <c r="E175" s="7" t="str">
        <f>IFERROR(INDEX($A$1:$A$5000,MATCH(ROWS($D$1:$D175),$D$1:$D$5000,0)),"")</f>
        <v/>
      </c>
    </row>
    <row r="176" spans="3:5">
      <c r="C176" s="17">
        <f t="shared" si="2"/>
        <v>0</v>
      </c>
      <c r="D176" s="17" t="str">
        <f>IF(C176=1,COUNTIF($C$1:$C176,1),"")</f>
        <v/>
      </c>
      <c r="E176" s="7" t="str">
        <f>IFERROR(INDEX($A$1:$A$5000,MATCH(ROWS($D$1:$D176),$D$1:$D$5000,0)),"")</f>
        <v/>
      </c>
    </row>
    <row r="177" spans="3:5">
      <c r="C177" s="17">
        <f t="shared" si="2"/>
        <v>0</v>
      </c>
      <c r="D177" s="17" t="str">
        <f>IF(C177=1,COUNTIF($C$1:$C177,1),"")</f>
        <v/>
      </c>
      <c r="E177" s="7" t="str">
        <f>IFERROR(INDEX($A$1:$A$5000,MATCH(ROWS($D$1:$D177),$D$1:$D$5000,0)),"")</f>
        <v/>
      </c>
    </row>
    <row r="178" spans="3:5">
      <c r="C178" s="17">
        <f t="shared" si="2"/>
        <v>0</v>
      </c>
      <c r="D178" s="17" t="str">
        <f>IF(C178=1,COUNTIF($C$1:$C178,1),"")</f>
        <v/>
      </c>
      <c r="E178" s="7" t="str">
        <f>IFERROR(INDEX($A$1:$A$5000,MATCH(ROWS($D$1:$D178),$D$1:$D$5000,0)),"")</f>
        <v/>
      </c>
    </row>
    <row r="179" spans="3:5">
      <c r="C179" s="17">
        <f t="shared" si="2"/>
        <v>0</v>
      </c>
      <c r="D179" s="17" t="str">
        <f>IF(C179=1,COUNTIF($C$1:$C179,1),"")</f>
        <v/>
      </c>
      <c r="E179" s="7" t="str">
        <f>IFERROR(INDEX($A$1:$A$5000,MATCH(ROWS($D$1:$D179),$D$1:$D$5000,0)),"")</f>
        <v/>
      </c>
    </row>
    <row r="180" spans="3:5">
      <c r="C180" s="17">
        <f t="shared" si="2"/>
        <v>0</v>
      </c>
      <c r="D180" s="17" t="str">
        <f>IF(C180=1,COUNTIF($C$1:$C180,1),"")</f>
        <v/>
      </c>
      <c r="E180" s="7" t="str">
        <f>IFERROR(INDEX($A$1:$A$5000,MATCH(ROWS($D$1:$D180),$D$1:$D$5000,0)),"")</f>
        <v/>
      </c>
    </row>
    <row r="181" spans="3:5">
      <c r="C181" s="17">
        <f t="shared" si="2"/>
        <v>0</v>
      </c>
      <c r="D181" s="17" t="str">
        <f>IF(C181=1,COUNTIF($C$1:$C181,1),"")</f>
        <v/>
      </c>
      <c r="E181" s="7" t="str">
        <f>IFERROR(INDEX($A$1:$A$5000,MATCH(ROWS($D$1:$D181),$D$1:$D$5000,0)),"")</f>
        <v/>
      </c>
    </row>
    <row r="182" spans="3:5">
      <c r="C182" s="17">
        <f t="shared" si="2"/>
        <v>0</v>
      </c>
      <c r="D182" s="17" t="str">
        <f>IF(C182=1,COUNTIF($C$1:$C182,1),"")</f>
        <v/>
      </c>
      <c r="E182" s="7" t="str">
        <f>IFERROR(INDEX($A$1:$A$5000,MATCH(ROWS($D$1:$D182),$D$1:$D$5000,0)),"")</f>
        <v/>
      </c>
    </row>
    <row r="183" spans="3:5">
      <c r="C183" s="17">
        <f t="shared" si="2"/>
        <v>0</v>
      </c>
      <c r="D183" s="17" t="str">
        <f>IF(C183=1,COUNTIF($C$1:$C183,1),"")</f>
        <v/>
      </c>
      <c r="E183" s="7" t="str">
        <f>IFERROR(INDEX($A$1:$A$5000,MATCH(ROWS($D$1:$D183),$D$1:$D$5000,0)),"")</f>
        <v/>
      </c>
    </row>
    <row r="184" spans="3:5">
      <c r="C184" s="17">
        <f t="shared" si="2"/>
        <v>0</v>
      </c>
      <c r="D184" s="17" t="str">
        <f>IF(C184=1,COUNTIF($C$1:$C184,1),"")</f>
        <v/>
      </c>
      <c r="E184" s="7" t="str">
        <f>IFERROR(INDEX($A$1:$A$5000,MATCH(ROWS($D$1:$D184),$D$1:$D$5000,0)),"")</f>
        <v/>
      </c>
    </row>
    <row r="185" spans="3:5">
      <c r="C185" s="17">
        <f t="shared" si="2"/>
        <v>0</v>
      </c>
      <c r="D185" s="17" t="str">
        <f>IF(C185=1,COUNTIF($C$1:$C185,1),"")</f>
        <v/>
      </c>
      <c r="E185" s="7" t="str">
        <f>IFERROR(INDEX($A$1:$A$5000,MATCH(ROWS($D$1:$D185),$D$1:$D$5000,0)),"")</f>
        <v/>
      </c>
    </row>
    <row r="186" spans="3:5">
      <c r="C186" s="17">
        <f t="shared" si="2"/>
        <v>0</v>
      </c>
      <c r="D186" s="17" t="str">
        <f>IF(C186=1,COUNTIF($C$1:$C186,1),"")</f>
        <v/>
      </c>
      <c r="E186" s="7" t="str">
        <f>IFERROR(INDEX($A$1:$A$5000,MATCH(ROWS($D$1:$D186),$D$1:$D$5000,0)),"")</f>
        <v/>
      </c>
    </row>
    <row r="187" spans="3:5">
      <c r="C187" s="17">
        <f t="shared" si="2"/>
        <v>0</v>
      </c>
      <c r="D187" s="17" t="str">
        <f>IF(C187=1,COUNTIF($C$1:$C187,1),"")</f>
        <v/>
      </c>
      <c r="E187" s="7" t="str">
        <f>IFERROR(INDEX($A$1:$A$5000,MATCH(ROWS($D$1:$D187),$D$1:$D$5000,0)),"")</f>
        <v/>
      </c>
    </row>
    <row r="188" spans="3:5">
      <c r="C188" s="17">
        <f t="shared" si="2"/>
        <v>0</v>
      </c>
      <c r="D188" s="17" t="str">
        <f>IF(C188=1,COUNTIF($C$1:$C188,1),"")</f>
        <v/>
      </c>
      <c r="E188" s="7" t="str">
        <f>IFERROR(INDEX($A$1:$A$5000,MATCH(ROWS($D$1:$D188),$D$1:$D$5000,0)),"")</f>
        <v/>
      </c>
    </row>
    <row r="189" spans="3:5">
      <c r="C189" s="17">
        <f t="shared" si="2"/>
        <v>0</v>
      </c>
      <c r="D189" s="17" t="str">
        <f>IF(C189=1,COUNTIF($C$1:$C189,1),"")</f>
        <v/>
      </c>
      <c r="E189" s="7" t="str">
        <f>IFERROR(INDEX($A$1:$A$5000,MATCH(ROWS($D$1:$D189),$D$1:$D$5000,0)),"")</f>
        <v/>
      </c>
    </row>
    <row r="190" spans="3:5">
      <c r="C190" s="17">
        <f t="shared" si="2"/>
        <v>0</v>
      </c>
      <c r="D190" s="17" t="str">
        <f>IF(C190=1,COUNTIF($C$1:$C190,1),"")</f>
        <v/>
      </c>
      <c r="E190" s="7" t="str">
        <f>IFERROR(INDEX($A$1:$A$5000,MATCH(ROWS($D$1:$D190),$D$1:$D$5000,0)),"")</f>
        <v/>
      </c>
    </row>
    <row r="191" spans="3:5">
      <c r="C191" s="17">
        <f t="shared" si="2"/>
        <v>0</v>
      </c>
      <c r="D191" s="17" t="str">
        <f>IF(C191=1,COUNTIF($C$1:$C191,1),"")</f>
        <v/>
      </c>
      <c r="E191" s="7" t="str">
        <f>IFERROR(INDEX($A$1:$A$5000,MATCH(ROWS($D$1:$D191),$D$1:$D$5000,0)),"")</f>
        <v/>
      </c>
    </row>
    <row r="192" spans="3:5">
      <c r="C192" s="17">
        <f t="shared" si="2"/>
        <v>0</v>
      </c>
      <c r="D192" s="17" t="str">
        <f>IF(C192=1,COUNTIF($C$1:$C192,1),"")</f>
        <v/>
      </c>
      <c r="E192" s="7" t="str">
        <f>IFERROR(INDEX($A$1:$A$5000,MATCH(ROWS($D$1:$D192),$D$1:$D$5000,0)),"")</f>
        <v/>
      </c>
    </row>
    <row r="193" spans="3:5">
      <c r="C193" s="17">
        <f t="shared" si="2"/>
        <v>0</v>
      </c>
      <c r="D193" s="17" t="str">
        <f>IF(C193=1,COUNTIF($C$1:$C193,1),"")</f>
        <v/>
      </c>
      <c r="E193" s="7" t="str">
        <f>IFERROR(INDEX($A$1:$A$5000,MATCH(ROWS($D$1:$D193),$D$1:$D$5000,0)),"")</f>
        <v/>
      </c>
    </row>
    <row r="194" spans="3:5">
      <c r="C194" s="17">
        <f t="shared" ref="C194:C257" si="3">--ISNUMBER(SEARCH($B$1,A194))</f>
        <v>0</v>
      </c>
      <c r="D194" s="17" t="str">
        <f>IF(C194=1,COUNTIF($C$1:$C194,1),"")</f>
        <v/>
      </c>
      <c r="E194" s="7" t="str">
        <f>IFERROR(INDEX($A$1:$A$5000,MATCH(ROWS($D$1:$D194),$D$1:$D$5000,0)),"")</f>
        <v/>
      </c>
    </row>
    <row r="195" spans="3:5">
      <c r="C195" s="17">
        <f t="shared" si="3"/>
        <v>0</v>
      </c>
      <c r="D195" s="17" t="str">
        <f>IF(C195=1,COUNTIF($C$1:$C195,1),"")</f>
        <v/>
      </c>
      <c r="E195" s="7" t="str">
        <f>IFERROR(INDEX($A$1:$A$5000,MATCH(ROWS($D$1:$D195),$D$1:$D$5000,0)),"")</f>
        <v/>
      </c>
    </row>
    <row r="196" spans="3:5">
      <c r="C196" s="17">
        <f t="shared" si="3"/>
        <v>0</v>
      </c>
      <c r="D196" s="17" t="str">
        <f>IF(C196=1,COUNTIF($C$1:$C196,1),"")</f>
        <v/>
      </c>
      <c r="E196" s="7" t="str">
        <f>IFERROR(INDEX($A$1:$A$5000,MATCH(ROWS($D$1:$D196),$D$1:$D$5000,0)),"")</f>
        <v/>
      </c>
    </row>
    <row r="197" spans="3:5">
      <c r="C197" s="17">
        <f t="shared" si="3"/>
        <v>0</v>
      </c>
      <c r="D197" s="17" t="str">
        <f>IF(C197=1,COUNTIF($C$1:$C197,1),"")</f>
        <v/>
      </c>
      <c r="E197" s="7" t="str">
        <f>IFERROR(INDEX($A$1:$A$5000,MATCH(ROWS($D$1:$D197),$D$1:$D$5000,0)),"")</f>
        <v/>
      </c>
    </row>
    <row r="198" spans="3:5">
      <c r="C198" s="17">
        <f t="shared" si="3"/>
        <v>0</v>
      </c>
      <c r="D198" s="17" t="str">
        <f>IF(C198=1,COUNTIF($C$1:$C198,1),"")</f>
        <v/>
      </c>
      <c r="E198" s="7" t="str">
        <f>IFERROR(INDEX($A$1:$A$5000,MATCH(ROWS($D$1:$D198),$D$1:$D$5000,0)),"")</f>
        <v/>
      </c>
    </row>
    <row r="199" spans="3:5">
      <c r="C199" s="17">
        <f t="shared" si="3"/>
        <v>0</v>
      </c>
      <c r="D199" s="17" t="str">
        <f>IF(C199=1,COUNTIF($C$1:$C199,1),"")</f>
        <v/>
      </c>
      <c r="E199" s="7" t="str">
        <f>IFERROR(INDEX($A$1:$A$5000,MATCH(ROWS($D$1:$D199),$D$1:$D$5000,0)),"")</f>
        <v/>
      </c>
    </row>
    <row r="200" spans="3:5">
      <c r="C200" s="17">
        <f t="shared" si="3"/>
        <v>0</v>
      </c>
      <c r="D200" s="17" t="str">
        <f>IF(C200=1,COUNTIF($C$1:$C200,1),"")</f>
        <v/>
      </c>
      <c r="E200" s="7" t="str">
        <f>IFERROR(INDEX($A$1:$A$5000,MATCH(ROWS($D$1:$D200),$D$1:$D$5000,0)),"")</f>
        <v/>
      </c>
    </row>
    <row r="201" spans="3:5">
      <c r="C201" s="17">
        <f t="shared" si="3"/>
        <v>0</v>
      </c>
      <c r="D201" s="17" t="str">
        <f>IF(C201=1,COUNTIF($C$1:$C201,1),"")</f>
        <v/>
      </c>
      <c r="E201" s="7"/>
    </row>
    <row r="202" spans="3:5">
      <c r="C202" s="17">
        <f t="shared" si="3"/>
        <v>0</v>
      </c>
      <c r="D202" s="17" t="str">
        <f>IF(C202=1,COUNTIF($C$1:$C202,1),"")</f>
        <v/>
      </c>
      <c r="E202" s="7"/>
    </row>
    <row r="203" spans="3:5">
      <c r="C203" s="17">
        <f t="shared" si="3"/>
        <v>0</v>
      </c>
      <c r="D203" s="17" t="str">
        <f>IF(C203=1,COUNTIF($C$1:$C203,1),"")</f>
        <v/>
      </c>
      <c r="E203" s="7"/>
    </row>
    <row r="204" spans="3:5">
      <c r="C204" s="17">
        <f t="shared" si="3"/>
        <v>0</v>
      </c>
      <c r="D204" s="17" t="str">
        <f>IF(C204=1,COUNTIF($C$1:$C204,1),"")</f>
        <v/>
      </c>
      <c r="E204" s="7"/>
    </row>
    <row r="205" spans="3:5">
      <c r="C205" s="17">
        <f t="shared" si="3"/>
        <v>0</v>
      </c>
      <c r="D205" s="17" t="str">
        <f>IF(C205=1,COUNTIF($C$1:$C205,1),"")</f>
        <v/>
      </c>
      <c r="E205" s="7"/>
    </row>
    <row r="206" spans="3:5">
      <c r="C206" s="17">
        <f t="shared" si="3"/>
        <v>0</v>
      </c>
      <c r="D206" s="17" t="str">
        <f>IF(C206=1,COUNTIF($C$1:$C206,1),"")</f>
        <v/>
      </c>
      <c r="E206" s="7"/>
    </row>
    <row r="207" spans="3:5">
      <c r="C207" s="17">
        <f t="shared" si="3"/>
        <v>0</v>
      </c>
      <c r="D207" s="17" t="str">
        <f>IF(C207=1,COUNTIF($C$1:$C207,1),"")</f>
        <v/>
      </c>
      <c r="E207" s="7"/>
    </row>
    <row r="208" spans="3:5">
      <c r="C208" s="17">
        <f t="shared" si="3"/>
        <v>0</v>
      </c>
      <c r="D208" s="17" t="str">
        <f>IF(C208=1,COUNTIF($C$1:$C208,1),"")</f>
        <v/>
      </c>
      <c r="E208" s="7"/>
    </row>
    <row r="209" spans="3:5">
      <c r="C209" s="17">
        <f t="shared" si="3"/>
        <v>0</v>
      </c>
      <c r="D209" s="17" t="str">
        <f>IF(C209=1,COUNTIF($C$1:$C209,1),"")</f>
        <v/>
      </c>
      <c r="E209" s="7"/>
    </row>
    <row r="210" spans="3:5">
      <c r="C210" s="17">
        <f t="shared" si="3"/>
        <v>0</v>
      </c>
      <c r="D210" s="17" t="str">
        <f>IF(C210=1,COUNTIF($C$1:$C210,1),"")</f>
        <v/>
      </c>
      <c r="E210" s="7"/>
    </row>
    <row r="211" spans="3:5">
      <c r="C211" s="17">
        <f t="shared" si="3"/>
        <v>0</v>
      </c>
      <c r="D211" s="17" t="str">
        <f>IF(C211=1,COUNTIF($C$1:$C211,1),"")</f>
        <v/>
      </c>
      <c r="E211" s="7"/>
    </row>
    <row r="212" spans="3:5">
      <c r="C212" s="17">
        <f t="shared" si="3"/>
        <v>0</v>
      </c>
      <c r="D212" s="17" t="str">
        <f>IF(C212=1,COUNTIF($C$1:$C212,1),"")</f>
        <v/>
      </c>
      <c r="E212" s="7"/>
    </row>
    <row r="213" spans="3:5">
      <c r="C213" s="17">
        <f t="shared" si="3"/>
        <v>0</v>
      </c>
      <c r="D213" s="17" t="str">
        <f>IF(C213=1,COUNTIF($C$1:$C213,1),"")</f>
        <v/>
      </c>
      <c r="E213" s="7"/>
    </row>
    <row r="214" spans="3:5">
      <c r="C214" s="17">
        <f t="shared" si="3"/>
        <v>0</v>
      </c>
      <c r="D214" s="17" t="str">
        <f>IF(C214=1,COUNTIF($C$1:$C214,1),"")</f>
        <v/>
      </c>
      <c r="E214" s="7"/>
    </row>
    <row r="215" spans="3:5">
      <c r="C215" s="17">
        <f t="shared" si="3"/>
        <v>0</v>
      </c>
      <c r="D215" s="17" t="str">
        <f>IF(C215=1,COUNTIF($C$1:$C215,1),"")</f>
        <v/>
      </c>
      <c r="E215" s="7"/>
    </row>
    <row r="216" spans="3:5">
      <c r="C216" s="17">
        <f t="shared" si="3"/>
        <v>0</v>
      </c>
      <c r="D216" s="17" t="str">
        <f>IF(C216=1,COUNTIF($C$1:$C216,1),"")</f>
        <v/>
      </c>
      <c r="E216" s="7"/>
    </row>
    <row r="217" spans="3:5">
      <c r="C217" s="17">
        <f t="shared" si="3"/>
        <v>0</v>
      </c>
      <c r="D217" s="17" t="str">
        <f>IF(C217=1,COUNTIF($C$1:$C217,1),"")</f>
        <v/>
      </c>
      <c r="E217" s="7"/>
    </row>
    <row r="218" spans="3:5">
      <c r="C218" s="17">
        <f t="shared" si="3"/>
        <v>0</v>
      </c>
      <c r="D218" s="17" t="str">
        <f>IF(C218=1,COUNTIF($C$1:$C218,1),"")</f>
        <v/>
      </c>
      <c r="E218" s="7"/>
    </row>
    <row r="219" spans="3:5">
      <c r="C219" s="17">
        <f t="shared" si="3"/>
        <v>0</v>
      </c>
      <c r="D219" s="17" t="str">
        <f>IF(C219=1,COUNTIF($C$1:$C219,1),"")</f>
        <v/>
      </c>
      <c r="E219" s="7"/>
    </row>
    <row r="220" spans="3:5">
      <c r="C220" s="17">
        <f t="shared" si="3"/>
        <v>0</v>
      </c>
      <c r="D220" s="17" t="str">
        <f>IF(C220=1,COUNTIF($C$1:$C220,1),"")</f>
        <v/>
      </c>
      <c r="E220" s="7"/>
    </row>
    <row r="221" spans="3:5">
      <c r="C221" s="17">
        <f t="shared" si="3"/>
        <v>0</v>
      </c>
      <c r="D221" s="17" t="str">
        <f>IF(C221=1,COUNTIF($C$1:$C221,1),"")</f>
        <v/>
      </c>
      <c r="E221" s="7"/>
    </row>
    <row r="222" spans="3:5">
      <c r="C222" s="17">
        <f t="shared" si="3"/>
        <v>0</v>
      </c>
      <c r="D222" s="17" t="str">
        <f>IF(C222=1,COUNTIF($C$1:$C222,1),"")</f>
        <v/>
      </c>
      <c r="E222" s="7"/>
    </row>
    <row r="223" spans="3:5">
      <c r="C223" s="17">
        <f t="shared" si="3"/>
        <v>0</v>
      </c>
      <c r="D223" s="17" t="str">
        <f>IF(C223=1,COUNTIF($C$1:$C223,1),"")</f>
        <v/>
      </c>
      <c r="E223" s="7"/>
    </row>
    <row r="224" spans="3:5">
      <c r="C224" s="17">
        <f t="shared" si="3"/>
        <v>0</v>
      </c>
      <c r="D224" s="17" t="str">
        <f>IF(C224=1,COUNTIF($C$1:$C224,1),"")</f>
        <v/>
      </c>
      <c r="E224" s="7"/>
    </row>
    <row r="225" spans="3:5">
      <c r="C225" s="17">
        <f t="shared" si="3"/>
        <v>0</v>
      </c>
      <c r="D225" s="17" t="str">
        <f>IF(C225=1,COUNTIF($C$1:$C225,1),"")</f>
        <v/>
      </c>
      <c r="E225" s="7"/>
    </row>
    <row r="226" spans="3:5">
      <c r="C226" s="17">
        <f t="shared" si="3"/>
        <v>0</v>
      </c>
      <c r="D226" s="17" t="str">
        <f>IF(C226=1,COUNTIF($C$1:$C226,1),"")</f>
        <v/>
      </c>
      <c r="E226" s="7"/>
    </row>
    <row r="227" spans="3:5">
      <c r="C227" s="17">
        <f t="shared" si="3"/>
        <v>0</v>
      </c>
      <c r="D227" s="17" t="str">
        <f>IF(C227=1,COUNTIF($C$1:$C227,1),"")</f>
        <v/>
      </c>
      <c r="E227" s="7"/>
    </row>
    <row r="228" spans="3:5">
      <c r="C228" s="17">
        <f t="shared" si="3"/>
        <v>0</v>
      </c>
      <c r="D228" s="17" t="str">
        <f>IF(C228=1,COUNTIF($C$1:$C228,1),"")</f>
        <v/>
      </c>
      <c r="E228" s="7"/>
    </row>
    <row r="229" spans="3:5">
      <c r="C229" s="17">
        <f t="shared" si="3"/>
        <v>0</v>
      </c>
      <c r="D229" s="17" t="str">
        <f>IF(C229=1,COUNTIF($C$1:$C229,1),"")</f>
        <v/>
      </c>
      <c r="E229" s="7"/>
    </row>
    <row r="230" spans="3:5">
      <c r="C230" s="17">
        <f t="shared" si="3"/>
        <v>0</v>
      </c>
      <c r="D230" s="17" t="str">
        <f>IF(C230=1,COUNTIF($C$1:$C230,1),"")</f>
        <v/>
      </c>
      <c r="E230" s="7"/>
    </row>
    <row r="231" spans="3:5">
      <c r="C231" s="17">
        <f t="shared" si="3"/>
        <v>0</v>
      </c>
      <c r="D231" s="17" t="str">
        <f>IF(C231=1,COUNTIF($C$1:$C231,1),"")</f>
        <v/>
      </c>
      <c r="E231" s="7"/>
    </row>
    <row r="232" spans="3:5">
      <c r="C232" s="17">
        <f t="shared" si="3"/>
        <v>0</v>
      </c>
      <c r="D232" s="17" t="str">
        <f>IF(C232=1,COUNTIF($C$1:$C232,1),"")</f>
        <v/>
      </c>
      <c r="E232" s="7"/>
    </row>
    <row r="233" spans="3:5">
      <c r="C233" s="17">
        <f t="shared" si="3"/>
        <v>0</v>
      </c>
      <c r="D233" s="17" t="str">
        <f>IF(C233=1,COUNTIF($C$1:$C233,1),"")</f>
        <v/>
      </c>
      <c r="E233" s="7"/>
    </row>
    <row r="234" spans="3:5">
      <c r="C234" s="17">
        <f t="shared" si="3"/>
        <v>0</v>
      </c>
      <c r="D234" s="17" t="str">
        <f>IF(C234=1,COUNTIF($C$1:$C234,1),"")</f>
        <v/>
      </c>
      <c r="E234" s="7"/>
    </row>
    <row r="235" spans="3:5">
      <c r="C235" s="17">
        <f t="shared" si="3"/>
        <v>0</v>
      </c>
      <c r="D235" s="17" t="str">
        <f>IF(C235=1,COUNTIF($C$1:$C235,1),"")</f>
        <v/>
      </c>
      <c r="E235" s="7"/>
    </row>
    <row r="236" spans="3:5">
      <c r="C236" s="17">
        <f t="shared" si="3"/>
        <v>0</v>
      </c>
      <c r="D236" s="17" t="str">
        <f>IF(C236=1,COUNTIF($C$1:$C236,1),"")</f>
        <v/>
      </c>
      <c r="E236" s="7"/>
    </row>
    <row r="237" spans="3:5">
      <c r="C237" s="17">
        <f t="shared" si="3"/>
        <v>0</v>
      </c>
      <c r="D237" s="17" t="str">
        <f>IF(C237=1,COUNTIF($C$1:$C237,1),"")</f>
        <v/>
      </c>
      <c r="E237" s="7"/>
    </row>
    <row r="238" spans="3:5">
      <c r="C238" s="17">
        <f t="shared" si="3"/>
        <v>0</v>
      </c>
      <c r="D238" s="17" t="str">
        <f>IF(C238=1,COUNTIF($C$1:$C238,1),"")</f>
        <v/>
      </c>
      <c r="E238" s="7"/>
    </row>
    <row r="239" spans="3:5">
      <c r="C239" s="17">
        <f t="shared" si="3"/>
        <v>0</v>
      </c>
      <c r="D239" s="17" t="str">
        <f>IF(C239=1,COUNTIF($C$1:$C239,1),"")</f>
        <v/>
      </c>
      <c r="E239" s="7"/>
    </row>
    <row r="240" spans="3:5">
      <c r="C240" s="17">
        <f t="shared" si="3"/>
        <v>0</v>
      </c>
      <c r="D240" s="17" t="str">
        <f>IF(C240=1,COUNTIF($C$1:$C240,1),"")</f>
        <v/>
      </c>
      <c r="E240" s="7"/>
    </row>
    <row r="241" spans="3:5">
      <c r="C241" s="17">
        <f t="shared" si="3"/>
        <v>0</v>
      </c>
      <c r="D241" s="17" t="str">
        <f>IF(C241=1,COUNTIF($C$1:$C241,1),"")</f>
        <v/>
      </c>
      <c r="E241" s="7"/>
    </row>
    <row r="242" spans="3:5">
      <c r="C242" s="17">
        <f t="shared" si="3"/>
        <v>0</v>
      </c>
      <c r="D242" s="17" t="str">
        <f>IF(C242=1,COUNTIF($C$1:$C242,1),"")</f>
        <v/>
      </c>
      <c r="E242" s="7"/>
    </row>
    <row r="243" spans="3:5">
      <c r="C243" s="17">
        <f t="shared" si="3"/>
        <v>0</v>
      </c>
      <c r="D243" s="17" t="str">
        <f>IF(C243=1,COUNTIF($C$1:$C243,1),"")</f>
        <v/>
      </c>
      <c r="E243" s="7"/>
    </row>
    <row r="244" spans="3:5">
      <c r="C244" s="17">
        <f t="shared" si="3"/>
        <v>0</v>
      </c>
      <c r="D244" s="17" t="str">
        <f>IF(C244=1,COUNTIF($C$1:$C244,1),"")</f>
        <v/>
      </c>
      <c r="E244" s="7"/>
    </row>
    <row r="245" spans="3:5">
      <c r="C245" s="17">
        <f t="shared" si="3"/>
        <v>0</v>
      </c>
      <c r="D245" s="17" t="str">
        <f>IF(C245=1,COUNTIF($C$1:$C245,1),"")</f>
        <v/>
      </c>
      <c r="E245" s="7"/>
    </row>
    <row r="246" spans="3:5">
      <c r="C246" s="17">
        <f t="shared" si="3"/>
        <v>0</v>
      </c>
      <c r="D246" s="17" t="str">
        <f>IF(C246=1,COUNTIF($C$1:$C246,1),"")</f>
        <v/>
      </c>
      <c r="E246" s="7"/>
    </row>
    <row r="247" spans="3:5">
      <c r="C247" s="17">
        <f t="shared" si="3"/>
        <v>0</v>
      </c>
      <c r="D247" s="17" t="str">
        <f>IF(C247=1,COUNTIF($C$1:$C247,1),"")</f>
        <v/>
      </c>
      <c r="E247" s="7"/>
    </row>
    <row r="248" spans="3:5">
      <c r="C248" s="17">
        <f t="shared" si="3"/>
        <v>0</v>
      </c>
      <c r="D248" s="17" t="str">
        <f>IF(C248=1,COUNTIF($C$1:$C248,1),"")</f>
        <v/>
      </c>
      <c r="E248" s="7"/>
    </row>
    <row r="249" spans="3:5">
      <c r="C249" s="17">
        <f t="shared" si="3"/>
        <v>0</v>
      </c>
      <c r="D249" s="17" t="str">
        <f>IF(C249=1,COUNTIF($C$1:$C249,1),"")</f>
        <v/>
      </c>
      <c r="E249" s="7"/>
    </row>
    <row r="250" spans="3:5">
      <c r="C250" s="17">
        <f t="shared" si="3"/>
        <v>0</v>
      </c>
      <c r="D250" s="17" t="str">
        <f>IF(C250=1,COUNTIF($C$1:$C250,1),"")</f>
        <v/>
      </c>
      <c r="E250" s="7"/>
    </row>
    <row r="251" spans="3:5">
      <c r="C251" s="17">
        <f t="shared" si="3"/>
        <v>0</v>
      </c>
      <c r="D251" s="17" t="str">
        <f>IF(C251=1,COUNTIF($C$1:$C251,1),"")</f>
        <v/>
      </c>
      <c r="E251" s="7"/>
    </row>
    <row r="252" spans="3:5">
      <c r="C252" s="17">
        <f t="shared" si="3"/>
        <v>0</v>
      </c>
      <c r="D252" s="17" t="str">
        <f>IF(C252=1,COUNTIF($C$1:$C252,1),"")</f>
        <v/>
      </c>
      <c r="E252" s="7"/>
    </row>
    <row r="253" spans="3:5">
      <c r="C253" s="17">
        <f t="shared" si="3"/>
        <v>0</v>
      </c>
      <c r="D253" s="17" t="str">
        <f>IF(C253=1,COUNTIF($C$1:$C253,1),"")</f>
        <v/>
      </c>
      <c r="E253" s="7"/>
    </row>
    <row r="254" spans="3:5">
      <c r="C254" s="17">
        <f t="shared" si="3"/>
        <v>0</v>
      </c>
      <c r="D254" s="17" t="str">
        <f>IF(C254=1,COUNTIF($C$1:$C254,1),"")</f>
        <v/>
      </c>
      <c r="E254" s="7"/>
    </row>
    <row r="255" spans="3:5">
      <c r="C255" s="17">
        <f t="shared" si="3"/>
        <v>0</v>
      </c>
      <c r="D255" s="17" t="str">
        <f>IF(C255=1,COUNTIF($C$1:$C255,1),"")</f>
        <v/>
      </c>
      <c r="E255" s="7"/>
    </row>
    <row r="256" spans="3:5">
      <c r="C256" s="17">
        <f t="shared" si="3"/>
        <v>0</v>
      </c>
      <c r="D256" s="17" t="str">
        <f>IF(C256=1,COUNTIF($C$1:$C256,1),"")</f>
        <v/>
      </c>
      <c r="E256" s="7"/>
    </row>
    <row r="257" spans="3:5">
      <c r="C257" s="17">
        <f t="shared" si="3"/>
        <v>0</v>
      </c>
      <c r="D257" s="17" t="str">
        <f>IF(C257=1,COUNTIF($C$1:$C257,1),"")</f>
        <v/>
      </c>
      <c r="E257" s="7"/>
    </row>
    <row r="258" spans="3:5">
      <c r="C258" s="17">
        <f t="shared" ref="C258:C321" si="4">--ISNUMBER(SEARCH($B$1,A258))</f>
        <v>0</v>
      </c>
      <c r="D258" s="17" t="str">
        <f>IF(C258=1,COUNTIF($C$1:$C258,1),"")</f>
        <v/>
      </c>
      <c r="E258" s="7"/>
    </row>
    <row r="259" spans="3:5">
      <c r="C259" s="17">
        <f t="shared" si="4"/>
        <v>0</v>
      </c>
      <c r="D259" s="17" t="str">
        <f>IF(C259=1,COUNTIF($C$1:$C259,1),"")</f>
        <v/>
      </c>
      <c r="E259" s="7"/>
    </row>
    <row r="260" spans="3:5">
      <c r="C260" s="17">
        <f t="shared" si="4"/>
        <v>0</v>
      </c>
      <c r="D260" s="17" t="str">
        <f>IF(C260=1,COUNTIF($C$1:$C260,1),"")</f>
        <v/>
      </c>
      <c r="E260" s="7"/>
    </row>
    <row r="261" spans="3:5">
      <c r="C261" s="17">
        <f t="shared" si="4"/>
        <v>0</v>
      </c>
      <c r="D261" s="17" t="str">
        <f>IF(C261=1,COUNTIF($C$1:$C261,1),"")</f>
        <v/>
      </c>
      <c r="E261" s="7"/>
    </row>
    <row r="262" spans="3:5">
      <c r="C262" s="17">
        <f t="shared" si="4"/>
        <v>0</v>
      </c>
      <c r="D262" s="17" t="str">
        <f>IF(C262=1,COUNTIF($C$1:$C262,1),"")</f>
        <v/>
      </c>
      <c r="E262" s="7"/>
    </row>
    <row r="263" spans="3:5">
      <c r="C263" s="17">
        <f t="shared" si="4"/>
        <v>0</v>
      </c>
      <c r="D263" s="17" t="str">
        <f>IF(C263=1,COUNTIF($C$1:$C263,1),"")</f>
        <v/>
      </c>
      <c r="E263" s="7"/>
    </row>
    <row r="264" spans="3:5">
      <c r="C264" s="17">
        <f t="shared" si="4"/>
        <v>0</v>
      </c>
      <c r="D264" s="17" t="str">
        <f>IF(C264=1,COUNTIF($C$1:$C264,1),"")</f>
        <v/>
      </c>
      <c r="E264" s="7"/>
    </row>
    <row r="265" spans="3:5">
      <c r="C265" s="17">
        <f t="shared" si="4"/>
        <v>0</v>
      </c>
      <c r="D265" s="17" t="str">
        <f>IF(C265=1,COUNTIF($C$1:$C265,1),"")</f>
        <v/>
      </c>
      <c r="E265" s="7"/>
    </row>
    <row r="266" spans="3:5">
      <c r="C266" s="17">
        <f t="shared" si="4"/>
        <v>0</v>
      </c>
      <c r="D266" s="17" t="str">
        <f>IF(C266=1,COUNTIF($C$1:$C266,1),"")</f>
        <v/>
      </c>
      <c r="E266" s="7"/>
    </row>
    <row r="267" spans="3:5">
      <c r="C267" s="17">
        <f t="shared" si="4"/>
        <v>0</v>
      </c>
      <c r="D267" s="17" t="str">
        <f>IF(C267=1,COUNTIF($C$1:$C267,1),"")</f>
        <v/>
      </c>
      <c r="E267" s="7"/>
    </row>
    <row r="268" spans="3:5">
      <c r="C268" s="17">
        <f t="shared" si="4"/>
        <v>0</v>
      </c>
      <c r="D268" s="17" t="str">
        <f>IF(C268=1,COUNTIF($C$1:$C268,1),"")</f>
        <v/>
      </c>
      <c r="E268" s="7"/>
    </row>
    <row r="269" spans="3:5">
      <c r="C269" s="17">
        <f t="shared" si="4"/>
        <v>0</v>
      </c>
      <c r="D269" s="17" t="str">
        <f>IF(C269=1,COUNTIF($C$1:$C269,1),"")</f>
        <v/>
      </c>
      <c r="E269" s="7"/>
    </row>
    <row r="270" spans="3:5">
      <c r="C270" s="17">
        <f t="shared" si="4"/>
        <v>0</v>
      </c>
      <c r="D270" s="17" t="str">
        <f>IF(C270=1,COUNTIF($C$1:$C270,1),"")</f>
        <v/>
      </c>
      <c r="E270" s="7"/>
    </row>
    <row r="271" spans="3:5">
      <c r="C271" s="17">
        <f t="shared" si="4"/>
        <v>0</v>
      </c>
      <c r="D271" s="17" t="str">
        <f>IF(C271=1,COUNTIF($C$1:$C271,1),"")</f>
        <v/>
      </c>
      <c r="E271" s="7"/>
    </row>
    <row r="272" spans="3:5">
      <c r="C272" s="17">
        <f t="shared" si="4"/>
        <v>0</v>
      </c>
      <c r="D272" s="17" t="str">
        <f>IF(C272=1,COUNTIF($C$1:$C272,1),"")</f>
        <v/>
      </c>
      <c r="E272" s="7"/>
    </row>
    <row r="273" spans="3:5">
      <c r="C273" s="17">
        <f t="shared" si="4"/>
        <v>0</v>
      </c>
      <c r="D273" s="17" t="str">
        <f>IF(C273=1,COUNTIF($C$1:$C273,1),"")</f>
        <v/>
      </c>
      <c r="E273" s="7"/>
    </row>
    <row r="274" spans="3:5">
      <c r="C274" s="17">
        <f t="shared" si="4"/>
        <v>0</v>
      </c>
      <c r="D274" s="17" t="str">
        <f>IF(C274=1,COUNTIF($C$1:$C274,1),"")</f>
        <v/>
      </c>
      <c r="E274" s="7"/>
    </row>
    <row r="275" spans="3:5">
      <c r="C275" s="17">
        <f t="shared" si="4"/>
        <v>0</v>
      </c>
      <c r="D275" s="17" t="str">
        <f>IF(C275=1,COUNTIF($C$1:$C275,1),"")</f>
        <v/>
      </c>
      <c r="E275" s="7"/>
    </row>
    <row r="276" spans="3:5">
      <c r="C276" s="17">
        <f t="shared" si="4"/>
        <v>0</v>
      </c>
      <c r="D276" s="17" t="str">
        <f>IF(C276=1,COUNTIF($C$1:$C276,1),"")</f>
        <v/>
      </c>
      <c r="E276" s="7"/>
    </row>
    <row r="277" spans="3:5">
      <c r="C277" s="17">
        <f t="shared" si="4"/>
        <v>0</v>
      </c>
      <c r="D277" s="17" t="str">
        <f>IF(C277=1,COUNTIF($C$1:$C277,1),"")</f>
        <v/>
      </c>
      <c r="E277" s="7"/>
    </row>
    <row r="278" spans="3:5">
      <c r="C278" s="17">
        <f t="shared" si="4"/>
        <v>0</v>
      </c>
      <c r="D278" s="17" t="str">
        <f>IF(C278=1,COUNTIF($C$1:$C278,1),"")</f>
        <v/>
      </c>
      <c r="E278" s="7"/>
    </row>
    <row r="279" spans="3:5">
      <c r="C279" s="17">
        <f t="shared" si="4"/>
        <v>0</v>
      </c>
      <c r="D279" s="17" t="str">
        <f>IF(C279=1,COUNTIF($C$1:$C279,1),"")</f>
        <v/>
      </c>
      <c r="E279" s="7"/>
    </row>
    <row r="280" spans="3:5">
      <c r="C280" s="17">
        <f t="shared" si="4"/>
        <v>0</v>
      </c>
      <c r="D280" s="17" t="str">
        <f>IF(C280=1,COUNTIF($C$1:$C280,1),"")</f>
        <v/>
      </c>
      <c r="E280" s="7"/>
    </row>
    <row r="281" spans="3:5">
      <c r="C281" s="17">
        <f t="shared" si="4"/>
        <v>0</v>
      </c>
      <c r="D281" s="17" t="str">
        <f>IF(C281=1,COUNTIF($C$1:$C281,1),"")</f>
        <v/>
      </c>
      <c r="E281" s="7"/>
    </row>
    <row r="282" spans="3:5">
      <c r="C282" s="17">
        <f t="shared" si="4"/>
        <v>0</v>
      </c>
      <c r="D282" s="17" t="str">
        <f>IF(C282=1,COUNTIF($C$1:$C282,1),"")</f>
        <v/>
      </c>
      <c r="E282" s="7"/>
    </row>
    <row r="283" spans="3:5">
      <c r="C283" s="17">
        <f t="shared" si="4"/>
        <v>0</v>
      </c>
      <c r="D283" s="17" t="str">
        <f>IF(C283=1,COUNTIF($C$1:$C283,1),"")</f>
        <v/>
      </c>
      <c r="E283" s="7"/>
    </row>
    <row r="284" spans="3:5">
      <c r="C284" s="17">
        <f t="shared" si="4"/>
        <v>0</v>
      </c>
      <c r="D284" s="17" t="str">
        <f>IF(C284=1,COUNTIF($C$1:$C284,1),"")</f>
        <v/>
      </c>
      <c r="E284" s="7"/>
    </row>
    <row r="285" spans="3:5">
      <c r="C285" s="17">
        <f t="shared" si="4"/>
        <v>0</v>
      </c>
      <c r="D285" s="17" t="str">
        <f>IF(C285=1,COUNTIF($C$1:$C285,1),"")</f>
        <v/>
      </c>
      <c r="E285" s="7"/>
    </row>
    <row r="286" spans="3:5">
      <c r="C286" s="17">
        <f t="shared" si="4"/>
        <v>0</v>
      </c>
      <c r="D286" s="17" t="str">
        <f>IF(C286=1,COUNTIF($C$1:$C286,1),"")</f>
        <v/>
      </c>
      <c r="E286" s="7"/>
    </row>
    <row r="287" spans="3:5">
      <c r="C287" s="17">
        <f t="shared" si="4"/>
        <v>0</v>
      </c>
      <c r="D287" s="17" t="str">
        <f>IF(C287=1,COUNTIF($C$1:$C287,1),"")</f>
        <v/>
      </c>
      <c r="E287" s="7"/>
    </row>
    <row r="288" spans="3:5">
      <c r="C288" s="17">
        <f t="shared" si="4"/>
        <v>0</v>
      </c>
      <c r="D288" s="17" t="str">
        <f>IF(C288=1,COUNTIF($C$1:$C288,1),"")</f>
        <v/>
      </c>
      <c r="E288" s="7"/>
    </row>
    <row r="289" spans="3:5">
      <c r="C289" s="17">
        <f t="shared" si="4"/>
        <v>0</v>
      </c>
      <c r="D289" s="17" t="str">
        <f>IF(C289=1,COUNTIF($C$1:$C289,1),"")</f>
        <v/>
      </c>
      <c r="E289" s="7"/>
    </row>
    <row r="290" spans="3:5">
      <c r="C290" s="17">
        <f t="shared" si="4"/>
        <v>0</v>
      </c>
      <c r="D290" s="17" t="str">
        <f>IF(C290=1,COUNTIF($C$1:$C290,1),"")</f>
        <v/>
      </c>
      <c r="E290" s="7"/>
    </row>
    <row r="291" spans="3:5">
      <c r="C291" s="17">
        <f t="shared" si="4"/>
        <v>0</v>
      </c>
      <c r="D291" s="17" t="str">
        <f>IF(C291=1,COUNTIF($C$1:$C291,1),"")</f>
        <v/>
      </c>
      <c r="E291" s="7"/>
    </row>
    <row r="292" spans="3:5">
      <c r="C292" s="17">
        <f t="shared" si="4"/>
        <v>0</v>
      </c>
      <c r="D292" s="17" t="str">
        <f>IF(C292=1,COUNTIF($C$1:$C292,1),"")</f>
        <v/>
      </c>
      <c r="E292" s="7"/>
    </row>
    <row r="293" spans="3:5">
      <c r="C293" s="17">
        <f t="shared" si="4"/>
        <v>0</v>
      </c>
      <c r="D293" s="17" t="str">
        <f>IF(C293=1,COUNTIF($C$1:$C293,1),"")</f>
        <v/>
      </c>
      <c r="E293" s="7"/>
    </row>
    <row r="294" spans="3:5">
      <c r="C294" s="17">
        <f t="shared" si="4"/>
        <v>0</v>
      </c>
      <c r="D294" s="17" t="str">
        <f>IF(C294=1,COUNTIF($C$1:$C294,1),"")</f>
        <v/>
      </c>
      <c r="E294" s="7"/>
    </row>
    <row r="295" spans="3:5">
      <c r="C295" s="17">
        <f t="shared" si="4"/>
        <v>0</v>
      </c>
      <c r="D295" s="17" t="str">
        <f>IF(C295=1,COUNTIF($C$1:$C295,1),"")</f>
        <v/>
      </c>
      <c r="E295" s="7"/>
    </row>
    <row r="296" spans="3:5">
      <c r="C296" s="17">
        <f t="shared" si="4"/>
        <v>0</v>
      </c>
      <c r="D296" s="17" t="str">
        <f>IF(C296=1,COUNTIF($C$1:$C296,1),"")</f>
        <v/>
      </c>
      <c r="E296" s="7"/>
    </row>
    <row r="297" spans="3:5">
      <c r="C297" s="17">
        <f t="shared" si="4"/>
        <v>0</v>
      </c>
      <c r="D297" s="17" t="str">
        <f>IF(C297=1,COUNTIF($C$1:$C297,1),"")</f>
        <v/>
      </c>
      <c r="E297" s="7"/>
    </row>
    <row r="298" spans="3:5">
      <c r="C298" s="17">
        <f t="shared" si="4"/>
        <v>0</v>
      </c>
      <c r="D298" s="17" t="str">
        <f>IF(C298=1,COUNTIF($C$1:$C298,1),"")</f>
        <v/>
      </c>
      <c r="E298" s="7"/>
    </row>
    <row r="299" spans="3:5">
      <c r="C299" s="17">
        <f t="shared" si="4"/>
        <v>0</v>
      </c>
      <c r="D299" s="17" t="str">
        <f>IF(C299=1,COUNTIF($C$1:$C299,1),"")</f>
        <v/>
      </c>
      <c r="E299" s="7"/>
    </row>
    <row r="300" spans="3:5">
      <c r="C300" s="17">
        <f t="shared" si="4"/>
        <v>0</v>
      </c>
      <c r="D300" s="17" t="str">
        <f>IF(C300=1,COUNTIF($C$1:$C300,1),"")</f>
        <v/>
      </c>
      <c r="E300" s="7"/>
    </row>
    <row r="301" spans="3:5">
      <c r="C301" s="17">
        <f t="shared" si="4"/>
        <v>0</v>
      </c>
      <c r="D301" s="17" t="str">
        <f>IF(C301=1,COUNTIF($C$1:$C301,1),"")</f>
        <v/>
      </c>
      <c r="E301" s="7"/>
    </row>
    <row r="302" spans="3:5">
      <c r="C302" s="17">
        <f t="shared" si="4"/>
        <v>0</v>
      </c>
      <c r="D302" s="17" t="str">
        <f>IF(C302=1,COUNTIF($C$1:$C302,1),"")</f>
        <v/>
      </c>
      <c r="E302" s="7"/>
    </row>
    <row r="303" spans="3:5">
      <c r="C303" s="17">
        <f t="shared" si="4"/>
        <v>0</v>
      </c>
      <c r="D303" s="17" t="str">
        <f>IF(C303=1,COUNTIF($C$1:$C303,1),"")</f>
        <v/>
      </c>
      <c r="E303" s="7"/>
    </row>
    <row r="304" spans="3:5">
      <c r="C304" s="17">
        <f t="shared" si="4"/>
        <v>0</v>
      </c>
      <c r="D304" s="17" t="str">
        <f>IF(C304=1,COUNTIF($C$1:$C304,1),"")</f>
        <v/>
      </c>
      <c r="E304" s="7"/>
    </row>
    <row r="305" spans="3:5">
      <c r="C305" s="17">
        <f t="shared" si="4"/>
        <v>0</v>
      </c>
      <c r="D305" s="17" t="str">
        <f>IF(C305=1,COUNTIF($C$1:$C305,1),"")</f>
        <v/>
      </c>
      <c r="E305" s="7"/>
    </row>
    <row r="306" spans="3:5">
      <c r="C306" s="17">
        <f t="shared" si="4"/>
        <v>0</v>
      </c>
      <c r="D306" s="17" t="str">
        <f>IF(C306=1,COUNTIF($C$1:$C306,1),"")</f>
        <v/>
      </c>
      <c r="E306" s="7"/>
    </row>
    <row r="307" spans="3:5">
      <c r="C307" s="17">
        <f t="shared" si="4"/>
        <v>0</v>
      </c>
      <c r="D307" s="17" t="str">
        <f>IF(C307=1,COUNTIF($C$1:$C307,1),"")</f>
        <v/>
      </c>
      <c r="E307" s="7"/>
    </row>
    <row r="308" spans="3:5">
      <c r="C308" s="17">
        <f t="shared" si="4"/>
        <v>0</v>
      </c>
      <c r="D308" s="17" t="str">
        <f>IF(C308=1,COUNTIF($C$1:$C308,1),"")</f>
        <v/>
      </c>
      <c r="E308" s="7"/>
    </row>
    <row r="309" spans="3:5">
      <c r="C309" s="17">
        <f t="shared" si="4"/>
        <v>0</v>
      </c>
      <c r="D309" s="17" t="str">
        <f>IF(C309=1,COUNTIF($C$1:$C309,1),"")</f>
        <v/>
      </c>
      <c r="E309" s="7"/>
    </row>
    <row r="310" spans="3:5">
      <c r="C310" s="17">
        <f t="shared" si="4"/>
        <v>0</v>
      </c>
      <c r="D310" s="17" t="str">
        <f>IF(C310=1,COUNTIF($C$1:$C310,1),"")</f>
        <v/>
      </c>
      <c r="E310" s="7"/>
    </row>
    <row r="311" spans="3:5">
      <c r="C311" s="17">
        <f t="shared" si="4"/>
        <v>0</v>
      </c>
      <c r="D311" s="17" t="str">
        <f>IF(C311=1,COUNTIF($C$1:$C311,1),"")</f>
        <v/>
      </c>
      <c r="E311" s="7"/>
    </row>
    <row r="312" spans="3:5">
      <c r="C312" s="17">
        <f t="shared" si="4"/>
        <v>0</v>
      </c>
      <c r="D312" s="17" t="str">
        <f>IF(C312=1,COUNTIF($C$1:$C312,1),"")</f>
        <v/>
      </c>
      <c r="E312" s="7"/>
    </row>
    <row r="313" spans="3:5">
      <c r="C313" s="17">
        <f t="shared" si="4"/>
        <v>0</v>
      </c>
      <c r="D313" s="17" t="str">
        <f>IF(C313=1,COUNTIF($C$1:$C313,1),"")</f>
        <v/>
      </c>
      <c r="E313" s="7"/>
    </row>
    <row r="314" spans="3:5">
      <c r="C314" s="17">
        <f t="shared" si="4"/>
        <v>0</v>
      </c>
      <c r="D314" s="17" t="str">
        <f>IF(C314=1,COUNTIF($C$1:$C314,1),"")</f>
        <v/>
      </c>
      <c r="E314" s="7"/>
    </row>
    <row r="315" spans="3:5">
      <c r="C315" s="17">
        <f t="shared" si="4"/>
        <v>0</v>
      </c>
      <c r="D315" s="17" t="str">
        <f>IF(C315=1,COUNTIF($C$1:$C315,1),"")</f>
        <v/>
      </c>
      <c r="E315" s="7"/>
    </row>
    <row r="316" spans="3:5">
      <c r="C316" s="17">
        <f t="shared" si="4"/>
        <v>0</v>
      </c>
      <c r="D316" s="17" t="str">
        <f>IF(C316=1,COUNTIF($C$1:$C316,1),"")</f>
        <v/>
      </c>
      <c r="E316" s="7"/>
    </row>
    <row r="317" spans="3:5">
      <c r="C317" s="17">
        <f t="shared" si="4"/>
        <v>0</v>
      </c>
      <c r="D317" s="17" t="str">
        <f>IF(C317=1,COUNTIF($C$1:$C317,1),"")</f>
        <v/>
      </c>
      <c r="E317" s="7"/>
    </row>
    <row r="318" spans="3:5">
      <c r="C318" s="17">
        <f t="shared" si="4"/>
        <v>0</v>
      </c>
      <c r="D318" s="17" t="str">
        <f>IF(C318=1,COUNTIF($C$1:$C318,1),"")</f>
        <v/>
      </c>
      <c r="E318" s="7"/>
    </row>
    <row r="319" spans="3:5">
      <c r="C319" s="17">
        <f t="shared" si="4"/>
        <v>0</v>
      </c>
      <c r="D319" s="17" t="str">
        <f>IF(C319=1,COUNTIF($C$1:$C319,1),"")</f>
        <v/>
      </c>
      <c r="E319" s="7"/>
    </row>
    <row r="320" spans="3:5">
      <c r="C320" s="17">
        <f t="shared" si="4"/>
        <v>0</v>
      </c>
      <c r="D320" s="17" t="str">
        <f>IF(C320=1,COUNTIF($C$1:$C320,1),"")</f>
        <v/>
      </c>
      <c r="E320" s="7"/>
    </row>
    <row r="321" spans="3:5">
      <c r="C321" s="17">
        <f t="shared" si="4"/>
        <v>0</v>
      </c>
      <c r="D321" s="17" t="str">
        <f>IF(C321=1,COUNTIF($C$1:$C321,1),"")</f>
        <v/>
      </c>
      <c r="E321" s="7"/>
    </row>
    <row r="322" spans="3:5">
      <c r="C322" s="17">
        <f t="shared" ref="C322:C385" si="5">--ISNUMBER(SEARCH($B$1,A322))</f>
        <v>0</v>
      </c>
      <c r="D322" s="17" t="str">
        <f>IF(C322=1,COUNTIF($C$1:$C322,1),"")</f>
        <v/>
      </c>
      <c r="E322" s="7"/>
    </row>
    <row r="323" spans="3:5">
      <c r="C323" s="17">
        <f t="shared" si="5"/>
        <v>0</v>
      </c>
      <c r="D323" s="17" t="str">
        <f>IF(C323=1,COUNTIF($C$1:$C323,1),"")</f>
        <v/>
      </c>
      <c r="E323" s="7"/>
    </row>
    <row r="324" spans="3:5">
      <c r="C324" s="17">
        <f t="shared" si="5"/>
        <v>0</v>
      </c>
      <c r="D324" s="17" t="str">
        <f>IF(C324=1,COUNTIF($C$1:$C324,1),"")</f>
        <v/>
      </c>
      <c r="E324" s="7"/>
    </row>
    <row r="325" spans="3:5">
      <c r="C325" s="17">
        <f t="shared" si="5"/>
        <v>0</v>
      </c>
      <c r="D325" s="17" t="str">
        <f>IF(C325=1,COUNTIF($C$1:$C325,1),"")</f>
        <v/>
      </c>
      <c r="E325" s="7"/>
    </row>
    <row r="326" spans="3:5">
      <c r="C326" s="17">
        <f t="shared" si="5"/>
        <v>0</v>
      </c>
      <c r="D326" s="17" t="str">
        <f>IF(C326=1,COUNTIF($C$1:$C326,1),"")</f>
        <v/>
      </c>
      <c r="E326" s="7"/>
    </row>
    <row r="327" spans="3:5">
      <c r="C327" s="17">
        <f t="shared" si="5"/>
        <v>0</v>
      </c>
      <c r="D327" s="17" t="str">
        <f>IF(C327=1,COUNTIF($C$1:$C327,1),"")</f>
        <v/>
      </c>
      <c r="E327" s="7"/>
    </row>
    <row r="328" spans="3:5">
      <c r="C328" s="17">
        <f t="shared" si="5"/>
        <v>0</v>
      </c>
      <c r="D328" s="17" t="str">
        <f>IF(C328=1,COUNTIF($C$1:$C328,1),"")</f>
        <v/>
      </c>
      <c r="E328" s="7"/>
    </row>
    <row r="329" spans="3:5">
      <c r="C329" s="17">
        <f t="shared" si="5"/>
        <v>0</v>
      </c>
      <c r="D329" s="17" t="str">
        <f>IF(C329=1,COUNTIF($C$1:$C329,1),"")</f>
        <v/>
      </c>
      <c r="E329" s="7"/>
    </row>
    <row r="330" spans="3:5">
      <c r="C330" s="17">
        <f t="shared" si="5"/>
        <v>0</v>
      </c>
      <c r="D330" s="17" t="str">
        <f>IF(C330=1,COUNTIF($C$1:$C330,1),"")</f>
        <v/>
      </c>
      <c r="E330" s="7"/>
    </row>
    <row r="331" spans="3:5">
      <c r="C331" s="17">
        <f t="shared" si="5"/>
        <v>0</v>
      </c>
      <c r="D331" s="17" t="str">
        <f>IF(C331=1,COUNTIF($C$1:$C331,1),"")</f>
        <v/>
      </c>
      <c r="E331" s="7"/>
    </row>
    <row r="332" spans="3:5">
      <c r="C332" s="17">
        <f t="shared" si="5"/>
        <v>0</v>
      </c>
      <c r="D332" s="17" t="str">
        <f>IF(C332=1,COUNTIF($C$1:$C332,1),"")</f>
        <v/>
      </c>
      <c r="E332" s="7"/>
    </row>
    <row r="333" spans="3:5">
      <c r="C333" s="17">
        <f t="shared" si="5"/>
        <v>0</v>
      </c>
      <c r="D333" s="17" t="str">
        <f>IF(C333=1,COUNTIF($C$1:$C333,1),"")</f>
        <v/>
      </c>
      <c r="E333" s="7"/>
    </row>
    <row r="334" spans="3:5">
      <c r="C334" s="17">
        <f t="shared" si="5"/>
        <v>0</v>
      </c>
      <c r="D334" s="17" t="str">
        <f>IF(C334=1,COUNTIF($C$1:$C334,1),"")</f>
        <v/>
      </c>
      <c r="E334" s="7"/>
    </row>
    <row r="335" spans="3:5">
      <c r="C335" s="17">
        <f t="shared" si="5"/>
        <v>0</v>
      </c>
      <c r="D335" s="17" t="str">
        <f>IF(C335=1,COUNTIF($C$1:$C335,1),"")</f>
        <v/>
      </c>
      <c r="E335" s="7"/>
    </row>
    <row r="336" spans="3:5">
      <c r="C336" s="17">
        <f t="shared" si="5"/>
        <v>0</v>
      </c>
      <c r="D336" s="17" t="str">
        <f>IF(C336=1,COUNTIF($C$1:$C336,1),"")</f>
        <v/>
      </c>
      <c r="E336" s="7"/>
    </row>
    <row r="337" spans="3:5">
      <c r="C337" s="17">
        <f t="shared" si="5"/>
        <v>0</v>
      </c>
      <c r="D337" s="17" t="str">
        <f>IF(C337=1,COUNTIF($C$1:$C337,1),"")</f>
        <v/>
      </c>
      <c r="E337" s="7"/>
    </row>
    <row r="338" spans="3:5">
      <c r="C338" s="17">
        <f t="shared" si="5"/>
        <v>0</v>
      </c>
      <c r="D338" s="17" t="str">
        <f>IF(C338=1,COUNTIF($C$1:$C338,1),"")</f>
        <v/>
      </c>
      <c r="E338" s="7"/>
    </row>
    <row r="339" spans="3:5">
      <c r="C339" s="17">
        <f t="shared" si="5"/>
        <v>0</v>
      </c>
      <c r="D339" s="17" t="str">
        <f>IF(C339=1,COUNTIF($C$1:$C339,1),"")</f>
        <v/>
      </c>
      <c r="E339" s="7"/>
    </row>
    <row r="340" spans="3:5">
      <c r="C340" s="17">
        <f t="shared" si="5"/>
        <v>0</v>
      </c>
      <c r="D340" s="17" t="str">
        <f>IF(C340=1,COUNTIF($C$1:$C340,1),"")</f>
        <v/>
      </c>
      <c r="E340" s="7"/>
    </row>
    <row r="341" spans="3:5">
      <c r="C341" s="17">
        <f t="shared" si="5"/>
        <v>0</v>
      </c>
      <c r="D341" s="17" t="str">
        <f>IF(C341=1,COUNTIF($C$1:$C341,1),"")</f>
        <v/>
      </c>
      <c r="E341" s="7"/>
    </row>
    <row r="342" spans="3:5">
      <c r="C342" s="17">
        <f t="shared" si="5"/>
        <v>0</v>
      </c>
      <c r="D342" s="17" t="str">
        <f>IF(C342=1,COUNTIF($C$1:$C342,1),"")</f>
        <v/>
      </c>
      <c r="E342" s="7"/>
    </row>
    <row r="343" spans="3:5">
      <c r="C343" s="17">
        <f t="shared" si="5"/>
        <v>0</v>
      </c>
      <c r="D343" s="17" t="str">
        <f>IF(C343=1,COUNTIF($C$1:$C343,1),"")</f>
        <v/>
      </c>
      <c r="E343" s="7"/>
    </row>
    <row r="344" spans="3:5">
      <c r="C344" s="17">
        <f t="shared" si="5"/>
        <v>0</v>
      </c>
      <c r="D344" s="17" t="str">
        <f>IF(C344=1,COUNTIF($C$1:$C344,1),"")</f>
        <v/>
      </c>
      <c r="E344" s="7"/>
    </row>
    <row r="345" spans="3:5">
      <c r="C345" s="17">
        <f t="shared" si="5"/>
        <v>0</v>
      </c>
      <c r="D345" s="17" t="str">
        <f>IF(C345=1,COUNTIF($C$1:$C345,1),"")</f>
        <v/>
      </c>
      <c r="E345" s="7"/>
    </row>
    <row r="346" spans="3:5">
      <c r="C346" s="17">
        <f t="shared" si="5"/>
        <v>0</v>
      </c>
      <c r="D346" s="17" t="str">
        <f>IF(C346=1,COUNTIF($C$1:$C346,1),"")</f>
        <v/>
      </c>
      <c r="E346" s="7"/>
    </row>
    <row r="347" spans="3:5">
      <c r="C347" s="17">
        <f t="shared" si="5"/>
        <v>0</v>
      </c>
      <c r="D347" s="17" t="str">
        <f>IF(C347=1,COUNTIF($C$1:$C347,1),"")</f>
        <v/>
      </c>
      <c r="E347" s="7"/>
    </row>
    <row r="348" spans="3:5">
      <c r="C348" s="17">
        <f t="shared" si="5"/>
        <v>0</v>
      </c>
      <c r="D348" s="17" t="str">
        <f>IF(C348=1,COUNTIF($C$1:$C348,1),"")</f>
        <v/>
      </c>
      <c r="E348" s="7"/>
    </row>
    <row r="349" spans="3:5">
      <c r="C349" s="17">
        <f t="shared" si="5"/>
        <v>0</v>
      </c>
      <c r="D349" s="17" t="str">
        <f>IF(C349=1,COUNTIF($C$1:$C349,1),"")</f>
        <v/>
      </c>
      <c r="E349" s="7"/>
    </row>
    <row r="350" spans="3:5">
      <c r="C350" s="17">
        <f t="shared" si="5"/>
        <v>0</v>
      </c>
      <c r="D350" s="17" t="str">
        <f>IF(C350=1,COUNTIF($C$1:$C350,1),"")</f>
        <v/>
      </c>
      <c r="E350" s="7"/>
    </row>
    <row r="351" spans="3:5">
      <c r="C351" s="17">
        <f t="shared" si="5"/>
        <v>0</v>
      </c>
      <c r="D351" s="17" t="str">
        <f>IF(C351=1,COUNTIF($C$1:$C351,1),"")</f>
        <v/>
      </c>
      <c r="E351" s="7"/>
    </row>
    <row r="352" spans="3:5">
      <c r="C352" s="17">
        <f t="shared" si="5"/>
        <v>0</v>
      </c>
      <c r="D352" s="17" t="str">
        <f>IF(C352=1,COUNTIF($C$1:$C352,1),"")</f>
        <v/>
      </c>
      <c r="E352" s="7"/>
    </row>
    <row r="353" spans="3:5">
      <c r="C353" s="17">
        <f t="shared" si="5"/>
        <v>0</v>
      </c>
      <c r="D353" s="17" t="str">
        <f>IF(C353=1,COUNTIF($C$1:$C353,1),"")</f>
        <v/>
      </c>
      <c r="E353" s="7"/>
    </row>
    <row r="354" spans="3:5">
      <c r="C354" s="17">
        <f t="shared" si="5"/>
        <v>0</v>
      </c>
      <c r="D354" s="17" t="str">
        <f>IF(C354=1,COUNTIF($C$1:$C354,1),"")</f>
        <v/>
      </c>
      <c r="E354" s="7"/>
    </row>
    <row r="355" spans="3:5">
      <c r="C355" s="17">
        <f t="shared" si="5"/>
        <v>0</v>
      </c>
      <c r="D355" s="17" t="str">
        <f>IF(C355=1,COUNTIF($C$1:$C355,1),"")</f>
        <v/>
      </c>
      <c r="E355" s="7"/>
    </row>
    <row r="356" spans="3:5">
      <c r="C356" s="17">
        <f t="shared" si="5"/>
        <v>0</v>
      </c>
      <c r="D356" s="17" t="str">
        <f>IF(C356=1,COUNTIF($C$1:$C356,1),"")</f>
        <v/>
      </c>
      <c r="E356" s="7"/>
    </row>
    <row r="357" spans="3:5">
      <c r="C357" s="17">
        <f t="shared" si="5"/>
        <v>0</v>
      </c>
      <c r="D357" s="17" t="str">
        <f>IF(C357=1,COUNTIF($C$1:$C357,1),"")</f>
        <v/>
      </c>
      <c r="E357" s="7"/>
    </row>
    <row r="358" spans="3:5">
      <c r="C358" s="17">
        <f t="shared" si="5"/>
        <v>0</v>
      </c>
      <c r="D358" s="17" t="str">
        <f>IF(C358=1,COUNTIF($C$1:$C358,1),"")</f>
        <v/>
      </c>
      <c r="E358" s="7"/>
    </row>
    <row r="359" spans="3:5">
      <c r="C359" s="17">
        <f t="shared" si="5"/>
        <v>0</v>
      </c>
      <c r="D359" s="17" t="str">
        <f>IF(C359=1,COUNTIF($C$1:$C359,1),"")</f>
        <v/>
      </c>
      <c r="E359" s="7"/>
    </row>
    <row r="360" spans="3:5">
      <c r="C360" s="17">
        <f t="shared" si="5"/>
        <v>0</v>
      </c>
      <c r="D360" s="17" t="str">
        <f>IF(C360=1,COUNTIF($C$1:$C360,1),"")</f>
        <v/>
      </c>
      <c r="E360" s="7"/>
    </row>
    <row r="361" spans="3:5">
      <c r="C361" s="17">
        <f t="shared" si="5"/>
        <v>0</v>
      </c>
      <c r="D361" s="17" t="str">
        <f>IF(C361=1,COUNTIF($C$1:$C361,1),"")</f>
        <v/>
      </c>
      <c r="E361" s="7"/>
    </row>
    <row r="362" spans="3:5">
      <c r="C362" s="17">
        <f t="shared" si="5"/>
        <v>0</v>
      </c>
      <c r="D362" s="17" t="str">
        <f>IF(C362=1,COUNTIF($C$1:$C362,1),"")</f>
        <v/>
      </c>
      <c r="E362" s="7"/>
    </row>
    <row r="363" spans="3:5">
      <c r="C363" s="17">
        <f t="shared" si="5"/>
        <v>0</v>
      </c>
      <c r="D363" s="17" t="str">
        <f>IF(C363=1,COUNTIF($C$1:$C363,1),"")</f>
        <v/>
      </c>
      <c r="E363" s="7"/>
    </row>
    <row r="364" spans="3:5">
      <c r="C364" s="17">
        <f t="shared" si="5"/>
        <v>0</v>
      </c>
      <c r="D364" s="17" t="str">
        <f>IF(C364=1,COUNTIF($C$1:$C364,1),"")</f>
        <v/>
      </c>
      <c r="E364" s="7"/>
    </row>
    <row r="365" spans="3:5">
      <c r="C365" s="17">
        <f t="shared" si="5"/>
        <v>0</v>
      </c>
      <c r="D365" s="17" t="str">
        <f>IF(C365=1,COUNTIF($C$1:$C365,1),"")</f>
        <v/>
      </c>
      <c r="E365" s="7"/>
    </row>
    <row r="366" spans="3:5">
      <c r="C366" s="17">
        <f t="shared" si="5"/>
        <v>0</v>
      </c>
      <c r="D366" s="17" t="str">
        <f>IF(C366=1,COUNTIF($C$1:$C366,1),"")</f>
        <v/>
      </c>
      <c r="E366" s="7"/>
    </row>
    <row r="367" spans="3:5">
      <c r="C367" s="17">
        <f t="shared" si="5"/>
        <v>0</v>
      </c>
      <c r="D367" s="17" t="str">
        <f>IF(C367=1,COUNTIF($C$1:$C367,1),"")</f>
        <v/>
      </c>
      <c r="E367" s="7"/>
    </row>
    <row r="368" spans="3:5">
      <c r="C368" s="17">
        <f t="shared" si="5"/>
        <v>0</v>
      </c>
      <c r="D368" s="17" t="str">
        <f>IF(C368=1,COUNTIF($C$1:$C368,1),"")</f>
        <v/>
      </c>
      <c r="E368" s="7"/>
    </row>
    <row r="369" spans="3:5">
      <c r="C369" s="17">
        <f t="shared" si="5"/>
        <v>0</v>
      </c>
      <c r="D369" s="17" t="str">
        <f>IF(C369=1,COUNTIF($C$1:$C369,1),"")</f>
        <v/>
      </c>
      <c r="E369" s="7"/>
    </row>
    <row r="370" spans="3:5">
      <c r="C370" s="17">
        <f t="shared" si="5"/>
        <v>0</v>
      </c>
      <c r="D370" s="17" t="str">
        <f>IF(C370=1,COUNTIF($C$1:$C370,1),"")</f>
        <v/>
      </c>
      <c r="E370" s="7"/>
    </row>
    <row r="371" spans="3:5">
      <c r="C371" s="17">
        <f t="shared" si="5"/>
        <v>0</v>
      </c>
      <c r="D371" s="17" t="str">
        <f>IF(C371=1,COUNTIF($C$1:$C371,1),"")</f>
        <v/>
      </c>
      <c r="E371" s="7"/>
    </row>
    <row r="372" spans="3:5">
      <c r="C372" s="17">
        <f t="shared" si="5"/>
        <v>0</v>
      </c>
      <c r="D372" s="17" t="str">
        <f>IF(C372=1,COUNTIF($C$1:$C372,1),"")</f>
        <v/>
      </c>
      <c r="E372" s="7"/>
    </row>
    <row r="373" spans="3:5">
      <c r="C373" s="17">
        <f t="shared" si="5"/>
        <v>0</v>
      </c>
      <c r="D373" s="17" t="str">
        <f>IF(C373=1,COUNTIF($C$1:$C373,1),"")</f>
        <v/>
      </c>
      <c r="E373" s="7"/>
    </row>
    <row r="374" spans="3:5">
      <c r="C374" s="17">
        <f t="shared" si="5"/>
        <v>0</v>
      </c>
      <c r="D374" s="17" t="str">
        <f>IF(C374=1,COUNTIF($C$1:$C374,1),"")</f>
        <v/>
      </c>
      <c r="E374" s="7"/>
    </row>
    <row r="375" spans="3:5">
      <c r="C375" s="17">
        <f t="shared" si="5"/>
        <v>0</v>
      </c>
      <c r="D375" s="17" t="str">
        <f>IF(C375=1,COUNTIF($C$1:$C375,1),"")</f>
        <v/>
      </c>
      <c r="E375" s="7"/>
    </row>
    <row r="376" spans="3:5">
      <c r="C376" s="17">
        <f t="shared" si="5"/>
        <v>0</v>
      </c>
      <c r="D376" s="17" t="str">
        <f>IF(C376=1,COUNTIF($C$1:$C376,1),"")</f>
        <v/>
      </c>
      <c r="E376" s="7"/>
    </row>
    <row r="377" spans="3:5">
      <c r="C377" s="17">
        <f t="shared" si="5"/>
        <v>0</v>
      </c>
      <c r="D377" s="17" t="str">
        <f>IF(C377=1,COUNTIF($C$1:$C377,1),"")</f>
        <v/>
      </c>
      <c r="E377" s="7"/>
    </row>
    <row r="378" spans="3:5">
      <c r="C378" s="17">
        <f t="shared" si="5"/>
        <v>0</v>
      </c>
      <c r="D378" s="17" t="str">
        <f>IF(C378=1,COUNTIF($C$1:$C378,1),"")</f>
        <v/>
      </c>
      <c r="E378" s="7"/>
    </row>
    <row r="379" spans="3:5">
      <c r="C379" s="17">
        <f t="shared" si="5"/>
        <v>0</v>
      </c>
      <c r="D379" s="17" t="str">
        <f>IF(C379=1,COUNTIF($C$1:$C379,1),"")</f>
        <v/>
      </c>
      <c r="E379" s="7"/>
    </row>
    <row r="380" spans="3:5">
      <c r="C380" s="17">
        <f t="shared" si="5"/>
        <v>0</v>
      </c>
      <c r="D380" s="17" t="str">
        <f>IF(C380=1,COUNTIF($C$1:$C380,1),"")</f>
        <v/>
      </c>
      <c r="E380" s="7"/>
    </row>
    <row r="381" spans="3:5">
      <c r="C381" s="17">
        <f t="shared" si="5"/>
        <v>0</v>
      </c>
      <c r="D381" s="17" t="str">
        <f>IF(C381=1,COUNTIF($C$1:$C381,1),"")</f>
        <v/>
      </c>
      <c r="E381" s="7"/>
    </row>
    <row r="382" spans="3:5">
      <c r="C382" s="17">
        <f t="shared" si="5"/>
        <v>0</v>
      </c>
      <c r="D382" s="17" t="str">
        <f>IF(C382=1,COUNTIF($C$1:$C382,1),"")</f>
        <v/>
      </c>
      <c r="E382" s="7"/>
    </row>
    <row r="383" spans="3:5">
      <c r="C383" s="17">
        <f t="shared" si="5"/>
        <v>0</v>
      </c>
      <c r="D383" s="17" t="str">
        <f>IF(C383=1,COUNTIF($C$1:$C383,1),"")</f>
        <v/>
      </c>
      <c r="E383" s="7"/>
    </row>
    <row r="384" spans="3:5">
      <c r="C384" s="17">
        <f t="shared" si="5"/>
        <v>0</v>
      </c>
      <c r="D384" s="17" t="str">
        <f>IF(C384=1,COUNTIF($C$1:$C384,1),"")</f>
        <v/>
      </c>
      <c r="E384" s="7"/>
    </row>
    <row r="385" spans="3:5">
      <c r="C385" s="17">
        <f t="shared" si="5"/>
        <v>0</v>
      </c>
      <c r="D385" s="17" t="str">
        <f>IF(C385=1,COUNTIF($C$1:$C385,1),"")</f>
        <v/>
      </c>
      <c r="E385" s="7"/>
    </row>
    <row r="386" spans="3:5">
      <c r="C386" s="17">
        <f t="shared" ref="C386:C449" si="6">--ISNUMBER(SEARCH($B$1,A386))</f>
        <v>0</v>
      </c>
      <c r="D386" s="17" t="str">
        <f>IF(C386=1,COUNTIF($C$1:$C386,1),"")</f>
        <v/>
      </c>
      <c r="E386" s="7"/>
    </row>
    <row r="387" spans="3:5">
      <c r="C387" s="17">
        <f t="shared" si="6"/>
        <v>0</v>
      </c>
      <c r="D387" s="17" t="str">
        <f>IF(C387=1,COUNTIF($C$1:$C387,1),"")</f>
        <v/>
      </c>
      <c r="E387" s="7"/>
    </row>
    <row r="388" spans="3:5">
      <c r="C388" s="17">
        <f t="shared" si="6"/>
        <v>0</v>
      </c>
      <c r="D388" s="17" t="str">
        <f>IF(C388=1,COUNTIF($C$1:$C388,1),"")</f>
        <v/>
      </c>
      <c r="E388" s="7"/>
    </row>
    <row r="389" spans="3:5">
      <c r="C389" s="17">
        <f t="shared" si="6"/>
        <v>0</v>
      </c>
      <c r="D389" s="17" t="str">
        <f>IF(C389=1,COUNTIF($C$1:$C389,1),"")</f>
        <v/>
      </c>
      <c r="E389" s="7"/>
    </row>
    <row r="390" spans="3:5">
      <c r="C390" s="17">
        <f t="shared" si="6"/>
        <v>0</v>
      </c>
      <c r="D390" s="17" t="str">
        <f>IF(C390=1,COUNTIF($C$1:$C390,1),"")</f>
        <v/>
      </c>
      <c r="E390" s="7"/>
    </row>
    <row r="391" spans="3:5">
      <c r="C391" s="17">
        <f t="shared" si="6"/>
        <v>0</v>
      </c>
      <c r="D391" s="17" t="str">
        <f>IF(C391=1,COUNTIF($C$1:$C391,1),"")</f>
        <v/>
      </c>
      <c r="E391" s="7"/>
    </row>
    <row r="392" spans="3:5">
      <c r="C392" s="17">
        <f t="shared" si="6"/>
        <v>0</v>
      </c>
      <c r="D392" s="17" t="str">
        <f>IF(C392=1,COUNTIF($C$1:$C392,1),"")</f>
        <v/>
      </c>
      <c r="E392" s="7"/>
    </row>
    <row r="393" spans="3:5">
      <c r="C393" s="17">
        <f t="shared" si="6"/>
        <v>0</v>
      </c>
      <c r="D393" s="17" t="str">
        <f>IF(C393=1,COUNTIF($C$1:$C393,1),"")</f>
        <v/>
      </c>
      <c r="E393" s="7"/>
    </row>
    <row r="394" spans="3:5">
      <c r="C394" s="17">
        <f t="shared" si="6"/>
        <v>0</v>
      </c>
      <c r="D394" s="17" t="str">
        <f>IF(C394=1,COUNTIF($C$1:$C394,1),"")</f>
        <v/>
      </c>
      <c r="E394" s="7"/>
    </row>
    <row r="395" spans="3:5">
      <c r="C395" s="17">
        <f t="shared" si="6"/>
        <v>0</v>
      </c>
      <c r="D395" s="17" t="str">
        <f>IF(C395=1,COUNTIF($C$1:$C395,1),"")</f>
        <v/>
      </c>
      <c r="E395" s="7"/>
    </row>
    <row r="396" spans="3:5">
      <c r="C396" s="17">
        <f t="shared" si="6"/>
        <v>0</v>
      </c>
      <c r="D396" s="17" t="str">
        <f>IF(C396=1,COUNTIF($C$1:$C396,1),"")</f>
        <v/>
      </c>
      <c r="E396" s="7"/>
    </row>
    <row r="397" spans="3:5">
      <c r="C397" s="17">
        <f t="shared" si="6"/>
        <v>0</v>
      </c>
      <c r="D397" s="17" t="str">
        <f>IF(C397=1,COUNTIF($C$1:$C397,1),"")</f>
        <v/>
      </c>
      <c r="E397" s="7"/>
    </row>
    <row r="398" spans="3:5">
      <c r="C398" s="17">
        <f t="shared" si="6"/>
        <v>0</v>
      </c>
      <c r="D398" s="17" t="str">
        <f>IF(C398=1,COUNTIF($C$1:$C398,1),"")</f>
        <v/>
      </c>
      <c r="E398" s="7"/>
    </row>
    <row r="399" spans="3:5">
      <c r="C399" s="17">
        <f t="shared" si="6"/>
        <v>0</v>
      </c>
      <c r="D399" s="17" t="str">
        <f>IF(C399=1,COUNTIF($C$1:$C399,1),"")</f>
        <v/>
      </c>
      <c r="E399" s="7"/>
    </row>
    <row r="400" spans="3:5">
      <c r="C400" s="17">
        <f t="shared" si="6"/>
        <v>0</v>
      </c>
      <c r="D400" s="17" t="str">
        <f>IF(C400=1,COUNTIF($C$1:$C400,1),"")</f>
        <v/>
      </c>
      <c r="E400" s="7"/>
    </row>
    <row r="401" spans="3:5">
      <c r="C401" s="17">
        <f t="shared" si="6"/>
        <v>0</v>
      </c>
      <c r="D401" s="17" t="str">
        <f>IF(C401=1,COUNTIF($C$1:$C401,1),"")</f>
        <v/>
      </c>
      <c r="E401" s="7"/>
    </row>
    <row r="402" spans="3:5">
      <c r="C402" s="17">
        <f t="shared" si="6"/>
        <v>0</v>
      </c>
      <c r="D402" s="17" t="str">
        <f>IF(C402=1,COUNTIF($C$1:$C402,1),"")</f>
        <v/>
      </c>
      <c r="E402" s="7"/>
    </row>
    <row r="403" spans="3:5">
      <c r="C403" s="17">
        <f t="shared" si="6"/>
        <v>0</v>
      </c>
      <c r="D403" s="17" t="str">
        <f>IF(C403=1,COUNTIF($C$1:$C403,1),"")</f>
        <v/>
      </c>
      <c r="E403" s="7"/>
    </row>
    <row r="404" spans="3:5">
      <c r="C404" s="17">
        <f t="shared" si="6"/>
        <v>0</v>
      </c>
      <c r="D404" s="17" t="str">
        <f>IF(C404=1,COUNTIF($C$1:$C404,1),"")</f>
        <v/>
      </c>
      <c r="E404" s="7"/>
    </row>
    <row r="405" spans="3:5">
      <c r="C405" s="17">
        <f t="shared" si="6"/>
        <v>0</v>
      </c>
      <c r="D405" s="17" t="str">
        <f>IF(C405=1,COUNTIF($C$1:$C405,1),"")</f>
        <v/>
      </c>
      <c r="E405" s="7"/>
    </row>
    <row r="406" spans="3:5">
      <c r="C406" s="17">
        <f t="shared" si="6"/>
        <v>0</v>
      </c>
      <c r="D406" s="17" t="str">
        <f>IF(C406=1,COUNTIF($C$1:$C406,1),"")</f>
        <v/>
      </c>
      <c r="E406" s="7"/>
    </row>
    <row r="407" spans="3:5">
      <c r="C407" s="17">
        <f t="shared" si="6"/>
        <v>0</v>
      </c>
      <c r="D407" s="17" t="str">
        <f>IF(C407=1,COUNTIF($C$1:$C407,1),"")</f>
        <v/>
      </c>
      <c r="E407" s="7"/>
    </row>
    <row r="408" spans="3:5">
      <c r="C408" s="17">
        <f t="shared" si="6"/>
        <v>0</v>
      </c>
      <c r="D408" s="17" t="str">
        <f>IF(C408=1,COUNTIF($C$1:$C408,1),"")</f>
        <v/>
      </c>
      <c r="E408" s="7"/>
    </row>
    <row r="409" spans="3:5">
      <c r="C409" s="17">
        <f t="shared" si="6"/>
        <v>0</v>
      </c>
      <c r="D409" s="17" t="str">
        <f>IF(C409=1,COUNTIF($C$1:$C409,1),"")</f>
        <v/>
      </c>
      <c r="E409" s="7"/>
    </row>
    <row r="410" spans="3:5">
      <c r="C410" s="17">
        <f t="shared" si="6"/>
        <v>0</v>
      </c>
      <c r="D410" s="17" t="str">
        <f>IF(C410=1,COUNTIF($C$1:$C410,1),"")</f>
        <v/>
      </c>
      <c r="E410" s="7"/>
    </row>
    <row r="411" spans="3:5">
      <c r="C411" s="17">
        <f t="shared" si="6"/>
        <v>0</v>
      </c>
      <c r="D411" s="17" t="str">
        <f>IF(C411=1,COUNTIF($C$1:$C411,1),"")</f>
        <v/>
      </c>
      <c r="E411" s="7"/>
    </row>
    <row r="412" spans="3:5">
      <c r="C412" s="17">
        <f t="shared" si="6"/>
        <v>0</v>
      </c>
      <c r="D412" s="17" t="str">
        <f>IF(C412=1,COUNTIF($C$1:$C412,1),"")</f>
        <v/>
      </c>
      <c r="E412" s="7"/>
    </row>
    <row r="413" spans="3:5">
      <c r="C413" s="17">
        <f t="shared" si="6"/>
        <v>0</v>
      </c>
      <c r="D413" s="17" t="str">
        <f>IF(C413=1,COUNTIF($C$1:$C413,1),"")</f>
        <v/>
      </c>
      <c r="E413" s="7"/>
    </row>
    <row r="414" spans="3:5">
      <c r="C414" s="17">
        <f t="shared" si="6"/>
        <v>0</v>
      </c>
      <c r="D414" s="17" t="str">
        <f>IF(C414=1,COUNTIF($C$1:$C414,1),"")</f>
        <v/>
      </c>
      <c r="E414" s="7"/>
    </row>
    <row r="415" spans="3:5">
      <c r="C415" s="17">
        <f t="shared" si="6"/>
        <v>0</v>
      </c>
      <c r="D415" s="17" t="str">
        <f>IF(C415=1,COUNTIF($C$1:$C415,1),"")</f>
        <v/>
      </c>
      <c r="E415" s="7"/>
    </row>
    <row r="416" spans="3:5">
      <c r="C416" s="17">
        <f t="shared" si="6"/>
        <v>0</v>
      </c>
      <c r="D416" s="17" t="str">
        <f>IF(C416=1,COUNTIF($C$1:$C416,1),"")</f>
        <v/>
      </c>
      <c r="E416" s="7"/>
    </row>
    <row r="417" spans="3:5">
      <c r="C417" s="17">
        <f t="shared" si="6"/>
        <v>0</v>
      </c>
      <c r="D417" s="17" t="str">
        <f>IF(C417=1,COUNTIF($C$1:$C417,1),"")</f>
        <v/>
      </c>
      <c r="E417" s="7"/>
    </row>
    <row r="418" spans="3:5">
      <c r="C418" s="17">
        <f t="shared" si="6"/>
        <v>0</v>
      </c>
      <c r="D418" s="17" t="str">
        <f>IF(C418=1,COUNTIF($C$1:$C418,1),"")</f>
        <v/>
      </c>
      <c r="E418" s="7"/>
    </row>
    <row r="419" spans="3:5">
      <c r="C419" s="17">
        <f t="shared" si="6"/>
        <v>0</v>
      </c>
      <c r="D419" s="17" t="str">
        <f>IF(C419=1,COUNTIF($C$1:$C419,1),"")</f>
        <v/>
      </c>
      <c r="E419" s="7"/>
    </row>
    <row r="420" spans="3:5">
      <c r="C420" s="17">
        <f t="shared" si="6"/>
        <v>0</v>
      </c>
      <c r="D420" s="17" t="str">
        <f>IF(C420=1,COUNTIF($C$1:$C420,1),"")</f>
        <v/>
      </c>
      <c r="E420" s="7"/>
    </row>
    <row r="421" spans="3:5">
      <c r="C421" s="17">
        <f t="shared" si="6"/>
        <v>0</v>
      </c>
      <c r="D421" s="17" t="str">
        <f>IF(C421=1,COUNTIF($C$1:$C421,1),"")</f>
        <v/>
      </c>
      <c r="E421" s="7"/>
    </row>
    <row r="422" spans="3:5">
      <c r="C422" s="17">
        <f t="shared" si="6"/>
        <v>0</v>
      </c>
      <c r="D422" s="17" t="str">
        <f>IF(C422=1,COUNTIF($C$1:$C422,1),"")</f>
        <v/>
      </c>
      <c r="E422" s="7"/>
    </row>
    <row r="423" spans="3:5">
      <c r="C423" s="17">
        <f t="shared" si="6"/>
        <v>0</v>
      </c>
      <c r="D423" s="17" t="str">
        <f>IF(C423=1,COUNTIF($C$1:$C423,1),"")</f>
        <v/>
      </c>
      <c r="E423" s="7"/>
    </row>
    <row r="424" spans="3:5">
      <c r="C424" s="17">
        <f t="shared" si="6"/>
        <v>0</v>
      </c>
      <c r="D424" s="17" t="str">
        <f>IF(C424=1,COUNTIF($C$1:$C424,1),"")</f>
        <v/>
      </c>
      <c r="E424" s="7"/>
    </row>
    <row r="425" spans="3:5">
      <c r="C425" s="17">
        <f t="shared" si="6"/>
        <v>0</v>
      </c>
      <c r="D425" s="17" t="str">
        <f>IF(C425=1,COUNTIF($C$1:$C425,1),"")</f>
        <v/>
      </c>
      <c r="E425" s="7"/>
    </row>
    <row r="426" spans="3:5">
      <c r="C426" s="17">
        <f t="shared" si="6"/>
        <v>0</v>
      </c>
      <c r="D426" s="17" t="str">
        <f>IF(C426=1,COUNTIF($C$1:$C426,1),"")</f>
        <v/>
      </c>
      <c r="E426" s="7"/>
    </row>
    <row r="427" spans="3:5">
      <c r="C427" s="17">
        <f t="shared" si="6"/>
        <v>0</v>
      </c>
      <c r="D427" s="17" t="str">
        <f>IF(C427=1,COUNTIF($C$1:$C427,1),"")</f>
        <v/>
      </c>
      <c r="E427" s="7"/>
    </row>
    <row r="428" spans="3:5">
      <c r="C428" s="17">
        <f t="shared" si="6"/>
        <v>0</v>
      </c>
      <c r="D428" s="17" t="str">
        <f>IF(C428=1,COUNTIF($C$1:$C428,1),"")</f>
        <v/>
      </c>
      <c r="E428" s="7"/>
    </row>
    <row r="429" spans="3:5">
      <c r="C429" s="17">
        <f t="shared" si="6"/>
        <v>0</v>
      </c>
      <c r="D429" s="17" t="str">
        <f>IF(C429=1,COUNTIF($C$1:$C429,1),"")</f>
        <v/>
      </c>
      <c r="E429" s="7"/>
    </row>
    <row r="430" spans="3:5">
      <c r="C430" s="17">
        <f t="shared" si="6"/>
        <v>0</v>
      </c>
      <c r="D430" s="17" t="str">
        <f>IF(C430=1,COUNTIF($C$1:$C430,1),"")</f>
        <v/>
      </c>
      <c r="E430" s="7"/>
    </row>
    <row r="431" spans="3:5">
      <c r="C431" s="17">
        <f t="shared" si="6"/>
        <v>0</v>
      </c>
      <c r="D431" s="17" t="str">
        <f>IF(C431=1,COUNTIF($C$1:$C431,1),"")</f>
        <v/>
      </c>
      <c r="E431" s="7"/>
    </row>
    <row r="432" spans="3:5">
      <c r="C432" s="17">
        <f t="shared" si="6"/>
        <v>0</v>
      </c>
      <c r="D432" s="17" t="str">
        <f>IF(C432=1,COUNTIF($C$1:$C432,1),"")</f>
        <v/>
      </c>
      <c r="E432" s="7"/>
    </row>
    <row r="433" spans="3:5">
      <c r="C433" s="17">
        <f t="shared" si="6"/>
        <v>0</v>
      </c>
      <c r="D433" s="17" t="str">
        <f>IF(C433=1,COUNTIF($C$1:$C433,1),"")</f>
        <v/>
      </c>
      <c r="E433" s="7"/>
    </row>
    <row r="434" spans="3:5">
      <c r="C434" s="17">
        <f t="shared" si="6"/>
        <v>0</v>
      </c>
      <c r="D434" s="17" t="str">
        <f>IF(C434=1,COUNTIF($C$1:$C434,1),"")</f>
        <v/>
      </c>
      <c r="E434" s="7"/>
    </row>
    <row r="435" spans="3:5">
      <c r="C435" s="17">
        <f t="shared" si="6"/>
        <v>0</v>
      </c>
      <c r="D435" s="17" t="str">
        <f>IF(C435=1,COUNTIF($C$1:$C435,1),"")</f>
        <v/>
      </c>
      <c r="E435" s="7"/>
    </row>
    <row r="436" spans="3:5">
      <c r="C436" s="17">
        <f t="shared" si="6"/>
        <v>0</v>
      </c>
      <c r="D436" s="17" t="str">
        <f>IF(C436=1,COUNTIF($C$1:$C436,1),"")</f>
        <v/>
      </c>
      <c r="E436" s="7"/>
    </row>
    <row r="437" spans="3:5">
      <c r="C437" s="17">
        <f t="shared" si="6"/>
        <v>0</v>
      </c>
      <c r="D437" s="17" t="str">
        <f>IF(C437=1,COUNTIF($C$1:$C437,1),"")</f>
        <v/>
      </c>
      <c r="E437" s="7"/>
    </row>
    <row r="438" spans="3:5">
      <c r="C438" s="17">
        <f t="shared" si="6"/>
        <v>0</v>
      </c>
      <c r="D438" s="17" t="str">
        <f>IF(C438=1,COUNTIF($C$1:$C438,1),"")</f>
        <v/>
      </c>
      <c r="E438" s="7"/>
    </row>
    <row r="439" spans="3:5">
      <c r="C439" s="17">
        <f t="shared" si="6"/>
        <v>0</v>
      </c>
      <c r="D439" s="17" t="str">
        <f>IF(C439=1,COUNTIF($C$1:$C439,1),"")</f>
        <v/>
      </c>
      <c r="E439" s="7"/>
    </row>
    <row r="440" spans="3:5">
      <c r="C440" s="17">
        <f t="shared" si="6"/>
        <v>0</v>
      </c>
      <c r="D440" s="17" t="str">
        <f>IF(C440=1,COUNTIF($C$1:$C440,1),"")</f>
        <v/>
      </c>
      <c r="E440" s="7"/>
    </row>
    <row r="441" spans="3:5">
      <c r="C441" s="17">
        <f t="shared" si="6"/>
        <v>0</v>
      </c>
      <c r="D441" s="17" t="str">
        <f>IF(C441=1,COUNTIF($C$1:$C441,1),"")</f>
        <v/>
      </c>
      <c r="E441" s="7"/>
    </row>
    <row r="442" spans="3:5">
      <c r="C442" s="17">
        <f t="shared" si="6"/>
        <v>0</v>
      </c>
      <c r="D442" s="17" t="str">
        <f>IF(C442=1,COUNTIF($C$1:$C442,1),"")</f>
        <v/>
      </c>
      <c r="E442" s="7"/>
    </row>
    <row r="443" spans="3:5">
      <c r="C443" s="17">
        <f t="shared" si="6"/>
        <v>0</v>
      </c>
      <c r="D443" s="17" t="str">
        <f>IF(C443=1,COUNTIF($C$1:$C443,1),"")</f>
        <v/>
      </c>
      <c r="E443" s="7"/>
    </row>
    <row r="444" spans="3:5">
      <c r="C444" s="17">
        <f t="shared" si="6"/>
        <v>0</v>
      </c>
      <c r="D444" s="17" t="str">
        <f>IF(C444=1,COUNTIF($C$1:$C444,1),"")</f>
        <v/>
      </c>
      <c r="E444" s="7"/>
    </row>
    <row r="445" spans="3:5">
      <c r="C445" s="17">
        <f t="shared" si="6"/>
        <v>0</v>
      </c>
      <c r="D445" s="17" t="str">
        <f>IF(C445=1,COUNTIF($C$1:$C445,1),"")</f>
        <v/>
      </c>
      <c r="E445" s="7"/>
    </row>
    <row r="446" spans="3:5">
      <c r="C446" s="17">
        <f t="shared" si="6"/>
        <v>0</v>
      </c>
      <c r="D446" s="17" t="str">
        <f>IF(C446=1,COUNTIF($C$1:$C446,1),"")</f>
        <v/>
      </c>
      <c r="E446" s="7"/>
    </row>
    <row r="447" spans="3:5">
      <c r="C447" s="17">
        <f t="shared" si="6"/>
        <v>0</v>
      </c>
      <c r="D447" s="17" t="str">
        <f>IF(C447=1,COUNTIF($C$1:$C447,1),"")</f>
        <v/>
      </c>
      <c r="E447" s="7"/>
    </row>
    <row r="448" spans="3:5">
      <c r="C448" s="17">
        <f t="shared" si="6"/>
        <v>0</v>
      </c>
      <c r="D448" s="17" t="str">
        <f>IF(C448=1,COUNTIF($C$1:$C448,1),"")</f>
        <v/>
      </c>
      <c r="E448" s="7"/>
    </row>
    <row r="449" spans="3:5">
      <c r="C449" s="17">
        <f t="shared" si="6"/>
        <v>0</v>
      </c>
      <c r="D449" s="17" t="str">
        <f>IF(C449=1,COUNTIF($C$1:$C449,1),"")</f>
        <v/>
      </c>
      <c r="E449" s="7"/>
    </row>
    <row r="450" spans="3:5">
      <c r="C450" s="17">
        <f t="shared" ref="C450:C513" si="7">--ISNUMBER(SEARCH($B$1,A450))</f>
        <v>0</v>
      </c>
      <c r="D450" s="17" t="str">
        <f>IF(C450=1,COUNTIF($C$1:$C450,1),"")</f>
        <v/>
      </c>
      <c r="E450" s="7"/>
    </row>
    <row r="451" spans="3:5">
      <c r="C451" s="17">
        <f t="shared" si="7"/>
        <v>0</v>
      </c>
      <c r="D451" s="17" t="str">
        <f>IF(C451=1,COUNTIF($C$1:$C451,1),"")</f>
        <v/>
      </c>
      <c r="E451" s="7"/>
    </row>
    <row r="452" spans="3:5">
      <c r="C452" s="17">
        <f t="shared" si="7"/>
        <v>0</v>
      </c>
      <c r="D452" s="17" t="str">
        <f>IF(C452=1,COUNTIF($C$1:$C452,1),"")</f>
        <v/>
      </c>
      <c r="E452" s="7"/>
    </row>
    <row r="453" spans="3:5">
      <c r="C453" s="17">
        <f t="shared" si="7"/>
        <v>0</v>
      </c>
      <c r="D453" s="17" t="str">
        <f>IF(C453=1,COUNTIF($C$1:$C453,1),"")</f>
        <v/>
      </c>
      <c r="E453" s="7"/>
    </row>
    <row r="454" spans="3:5">
      <c r="C454" s="17">
        <f t="shared" si="7"/>
        <v>0</v>
      </c>
      <c r="D454" s="17" t="str">
        <f>IF(C454=1,COUNTIF($C$1:$C454,1),"")</f>
        <v/>
      </c>
      <c r="E454" s="7"/>
    </row>
    <row r="455" spans="3:5">
      <c r="C455" s="17">
        <f t="shared" si="7"/>
        <v>0</v>
      </c>
      <c r="D455" s="17" t="str">
        <f>IF(C455=1,COUNTIF($C$1:$C455,1),"")</f>
        <v/>
      </c>
      <c r="E455" s="7"/>
    </row>
    <row r="456" spans="3:5">
      <c r="C456" s="17">
        <f t="shared" si="7"/>
        <v>0</v>
      </c>
      <c r="D456" s="17" t="str">
        <f>IF(C456=1,COUNTIF($C$1:$C456,1),"")</f>
        <v/>
      </c>
      <c r="E456" s="7"/>
    </row>
    <row r="457" spans="3:5">
      <c r="C457" s="17">
        <f t="shared" si="7"/>
        <v>0</v>
      </c>
      <c r="D457" s="17" t="str">
        <f>IF(C457=1,COUNTIF($C$1:$C457,1),"")</f>
        <v/>
      </c>
      <c r="E457" s="7"/>
    </row>
    <row r="458" spans="3:5">
      <c r="C458" s="17">
        <f t="shared" si="7"/>
        <v>0</v>
      </c>
      <c r="D458" s="17" t="str">
        <f>IF(C458=1,COUNTIF($C$1:$C458,1),"")</f>
        <v/>
      </c>
      <c r="E458" s="7"/>
    </row>
    <row r="459" spans="3:5">
      <c r="C459" s="17">
        <f t="shared" si="7"/>
        <v>0</v>
      </c>
      <c r="D459" s="17" t="str">
        <f>IF(C459=1,COUNTIF($C$1:$C459,1),"")</f>
        <v/>
      </c>
      <c r="E459" s="7"/>
    </row>
    <row r="460" spans="3:5">
      <c r="C460" s="17">
        <f t="shared" si="7"/>
        <v>0</v>
      </c>
      <c r="D460" s="17" t="str">
        <f>IF(C460=1,COUNTIF($C$1:$C460,1),"")</f>
        <v/>
      </c>
      <c r="E460" s="7"/>
    </row>
    <row r="461" spans="3:5">
      <c r="C461" s="17">
        <f t="shared" si="7"/>
        <v>0</v>
      </c>
      <c r="D461" s="17" t="str">
        <f>IF(C461=1,COUNTIF($C$1:$C461,1),"")</f>
        <v/>
      </c>
      <c r="E461" s="7"/>
    </row>
    <row r="462" spans="3:5">
      <c r="C462" s="17">
        <f t="shared" si="7"/>
        <v>0</v>
      </c>
      <c r="D462" s="17" t="str">
        <f>IF(C462=1,COUNTIF($C$1:$C462,1),"")</f>
        <v/>
      </c>
      <c r="E462" s="7"/>
    </row>
    <row r="463" spans="3:5">
      <c r="C463" s="17">
        <f t="shared" si="7"/>
        <v>0</v>
      </c>
      <c r="D463" s="17" t="str">
        <f>IF(C463=1,COUNTIF($C$1:$C463,1),"")</f>
        <v/>
      </c>
      <c r="E463" s="7"/>
    </row>
    <row r="464" spans="3:5">
      <c r="C464" s="17">
        <f t="shared" si="7"/>
        <v>0</v>
      </c>
      <c r="D464" s="17" t="str">
        <f>IF(C464=1,COUNTIF($C$1:$C464,1),"")</f>
        <v/>
      </c>
      <c r="E464" s="7"/>
    </row>
    <row r="465" spans="3:5">
      <c r="C465" s="17">
        <f t="shared" si="7"/>
        <v>0</v>
      </c>
      <c r="D465" s="17" t="str">
        <f>IF(C465=1,COUNTIF($C$1:$C465,1),"")</f>
        <v/>
      </c>
      <c r="E465" s="7"/>
    </row>
    <row r="466" spans="3:5">
      <c r="C466" s="17">
        <f t="shared" si="7"/>
        <v>0</v>
      </c>
      <c r="D466" s="17" t="str">
        <f>IF(C466=1,COUNTIF($C$1:$C466,1),"")</f>
        <v/>
      </c>
      <c r="E466" s="7"/>
    </row>
    <row r="467" spans="3:5">
      <c r="C467" s="17">
        <f t="shared" si="7"/>
        <v>0</v>
      </c>
      <c r="D467" s="17" t="str">
        <f>IF(C467=1,COUNTIF($C$1:$C467,1),"")</f>
        <v/>
      </c>
      <c r="E467" s="7"/>
    </row>
    <row r="468" spans="3:5">
      <c r="C468" s="17">
        <f t="shared" si="7"/>
        <v>0</v>
      </c>
      <c r="D468" s="17" t="str">
        <f>IF(C468=1,COUNTIF($C$1:$C468,1),"")</f>
        <v/>
      </c>
      <c r="E468" s="7"/>
    </row>
    <row r="469" spans="3:5">
      <c r="C469" s="17">
        <f t="shared" si="7"/>
        <v>0</v>
      </c>
      <c r="D469" s="17" t="str">
        <f>IF(C469=1,COUNTIF($C$1:$C469,1),"")</f>
        <v/>
      </c>
      <c r="E469" s="7"/>
    </row>
    <row r="470" spans="3:5">
      <c r="C470" s="17">
        <f t="shared" si="7"/>
        <v>0</v>
      </c>
      <c r="D470" s="17" t="str">
        <f>IF(C470=1,COUNTIF($C$1:$C470,1),"")</f>
        <v/>
      </c>
      <c r="E470" s="7"/>
    </row>
    <row r="471" spans="3:5">
      <c r="C471" s="17">
        <f t="shared" si="7"/>
        <v>0</v>
      </c>
      <c r="D471" s="17" t="str">
        <f>IF(C471=1,COUNTIF($C$1:$C471,1),"")</f>
        <v/>
      </c>
      <c r="E471" s="7"/>
    </row>
    <row r="472" spans="3:5">
      <c r="C472" s="17">
        <f t="shared" si="7"/>
        <v>0</v>
      </c>
      <c r="D472" s="17" t="str">
        <f>IF(C472=1,COUNTIF($C$1:$C472,1),"")</f>
        <v/>
      </c>
      <c r="E472" s="7"/>
    </row>
    <row r="473" spans="3:5">
      <c r="C473" s="17">
        <f t="shared" si="7"/>
        <v>0</v>
      </c>
      <c r="D473" s="17" t="str">
        <f>IF(C473=1,COUNTIF($C$1:$C473,1),"")</f>
        <v/>
      </c>
      <c r="E473" s="7"/>
    </row>
    <row r="474" spans="3:5">
      <c r="C474" s="17">
        <f t="shared" si="7"/>
        <v>0</v>
      </c>
      <c r="D474" s="17" t="str">
        <f>IF(C474=1,COUNTIF($C$1:$C474,1),"")</f>
        <v/>
      </c>
      <c r="E474" s="7"/>
    </row>
    <row r="475" spans="3:5">
      <c r="C475" s="17">
        <f t="shared" si="7"/>
        <v>0</v>
      </c>
      <c r="D475" s="17" t="str">
        <f>IF(C475=1,COUNTIF($C$1:$C475,1),"")</f>
        <v/>
      </c>
      <c r="E475" s="7"/>
    </row>
    <row r="476" spans="3:5">
      <c r="C476" s="17">
        <f t="shared" si="7"/>
        <v>0</v>
      </c>
      <c r="D476" s="17" t="str">
        <f>IF(C476=1,COUNTIF($C$1:$C476,1),"")</f>
        <v/>
      </c>
      <c r="E476" s="7"/>
    </row>
    <row r="477" spans="3:5">
      <c r="C477" s="17">
        <f t="shared" si="7"/>
        <v>0</v>
      </c>
      <c r="D477" s="17" t="str">
        <f>IF(C477=1,COUNTIF($C$1:$C477,1),"")</f>
        <v/>
      </c>
      <c r="E477" s="7"/>
    </row>
    <row r="478" spans="3:5">
      <c r="C478" s="17">
        <f t="shared" si="7"/>
        <v>0</v>
      </c>
      <c r="D478" s="17" t="str">
        <f>IF(C478=1,COUNTIF($C$1:$C478,1),"")</f>
        <v/>
      </c>
      <c r="E478" s="7"/>
    </row>
    <row r="479" spans="3:5">
      <c r="C479" s="17">
        <f t="shared" si="7"/>
        <v>0</v>
      </c>
      <c r="D479" s="17" t="str">
        <f>IF(C479=1,COUNTIF($C$1:$C479,1),"")</f>
        <v/>
      </c>
      <c r="E479" s="7"/>
    </row>
    <row r="480" spans="3:5">
      <c r="C480" s="17">
        <f t="shared" si="7"/>
        <v>0</v>
      </c>
      <c r="D480" s="17" t="str">
        <f>IF(C480=1,COUNTIF($C$1:$C480,1),"")</f>
        <v/>
      </c>
      <c r="E480" s="7"/>
    </row>
    <row r="481" spans="3:5">
      <c r="C481" s="17">
        <f t="shared" si="7"/>
        <v>0</v>
      </c>
      <c r="D481" s="17" t="str">
        <f>IF(C481=1,COUNTIF($C$1:$C481,1),"")</f>
        <v/>
      </c>
      <c r="E481" s="7"/>
    </row>
    <row r="482" spans="3:5">
      <c r="C482" s="17">
        <f t="shared" si="7"/>
        <v>0</v>
      </c>
      <c r="D482" s="17" t="str">
        <f>IF(C482=1,COUNTIF($C$1:$C482,1),"")</f>
        <v/>
      </c>
      <c r="E482" s="7"/>
    </row>
    <row r="483" spans="3:5">
      <c r="C483" s="17">
        <f t="shared" si="7"/>
        <v>0</v>
      </c>
      <c r="D483" s="17" t="str">
        <f>IF(C483=1,COUNTIF($C$1:$C483,1),"")</f>
        <v/>
      </c>
      <c r="E483" s="7"/>
    </row>
    <row r="484" spans="3:5">
      <c r="C484" s="17">
        <f t="shared" si="7"/>
        <v>0</v>
      </c>
      <c r="D484" s="17" t="str">
        <f>IF(C484=1,COUNTIF($C$1:$C484,1),"")</f>
        <v/>
      </c>
      <c r="E484" s="7"/>
    </row>
    <row r="485" spans="3:5">
      <c r="C485" s="17">
        <f t="shared" si="7"/>
        <v>0</v>
      </c>
      <c r="D485" s="17" t="str">
        <f>IF(C485=1,COUNTIF($C$1:$C485,1),"")</f>
        <v/>
      </c>
      <c r="E485" s="7"/>
    </row>
    <row r="486" spans="3:5">
      <c r="C486" s="17">
        <f t="shared" si="7"/>
        <v>0</v>
      </c>
      <c r="D486" s="17" t="str">
        <f>IF(C486=1,COUNTIF($C$1:$C486,1),"")</f>
        <v/>
      </c>
      <c r="E486" s="7"/>
    </row>
    <row r="487" spans="3:5">
      <c r="C487" s="17">
        <f t="shared" si="7"/>
        <v>0</v>
      </c>
      <c r="D487" s="17" t="str">
        <f>IF(C487=1,COUNTIF($C$1:$C487,1),"")</f>
        <v/>
      </c>
      <c r="E487" s="7"/>
    </row>
    <row r="488" spans="3:5">
      <c r="C488" s="17">
        <f t="shared" si="7"/>
        <v>0</v>
      </c>
      <c r="D488" s="17" t="str">
        <f>IF(C488=1,COUNTIF($C$1:$C488,1),"")</f>
        <v/>
      </c>
      <c r="E488" s="7"/>
    </row>
    <row r="489" spans="3:5">
      <c r="C489" s="17">
        <f t="shared" si="7"/>
        <v>0</v>
      </c>
      <c r="D489" s="17" t="str">
        <f>IF(C489=1,COUNTIF($C$1:$C489,1),"")</f>
        <v/>
      </c>
      <c r="E489" s="7"/>
    </row>
    <row r="490" spans="3:5">
      <c r="C490" s="17">
        <f t="shared" si="7"/>
        <v>0</v>
      </c>
      <c r="D490" s="17" t="str">
        <f>IF(C490=1,COUNTIF($C$1:$C490,1),"")</f>
        <v/>
      </c>
      <c r="E490" s="7"/>
    </row>
    <row r="491" spans="3:5">
      <c r="C491" s="17">
        <f t="shared" si="7"/>
        <v>0</v>
      </c>
      <c r="D491" s="17" t="str">
        <f>IF(C491=1,COUNTIF($C$1:$C491,1),"")</f>
        <v/>
      </c>
      <c r="E491" s="7"/>
    </row>
    <row r="492" spans="3:5">
      <c r="C492" s="17">
        <f t="shared" si="7"/>
        <v>0</v>
      </c>
      <c r="D492" s="17" t="str">
        <f>IF(C492=1,COUNTIF($C$1:$C492,1),"")</f>
        <v/>
      </c>
      <c r="E492" s="7"/>
    </row>
    <row r="493" spans="3:5">
      <c r="C493" s="17">
        <f t="shared" si="7"/>
        <v>0</v>
      </c>
      <c r="D493" s="17" t="str">
        <f>IF(C493=1,COUNTIF($C$1:$C493,1),"")</f>
        <v/>
      </c>
      <c r="E493" s="7"/>
    </row>
    <row r="494" spans="3:5">
      <c r="C494" s="17">
        <f t="shared" si="7"/>
        <v>0</v>
      </c>
      <c r="D494" s="17" t="str">
        <f>IF(C494=1,COUNTIF($C$1:$C494,1),"")</f>
        <v/>
      </c>
      <c r="E494" s="7"/>
    </row>
    <row r="495" spans="3:5">
      <c r="C495" s="17">
        <f t="shared" si="7"/>
        <v>0</v>
      </c>
      <c r="D495" s="17" t="str">
        <f>IF(C495=1,COUNTIF($C$1:$C495,1),"")</f>
        <v/>
      </c>
      <c r="E495" s="7"/>
    </row>
    <row r="496" spans="3:5">
      <c r="C496" s="17">
        <f t="shared" si="7"/>
        <v>0</v>
      </c>
      <c r="D496" s="17" t="str">
        <f>IF(C496=1,COUNTIF($C$1:$C496,1),"")</f>
        <v/>
      </c>
      <c r="E496" s="7"/>
    </row>
    <row r="497" spans="3:5">
      <c r="C497" s="17">
        <f t="shared" si="7"/>
        <v>0</v>
      </c>
      <c r="D497" s="17" t="str">
        <f>IF(C497=1,COUNTIF($C$1:$C497,1),"")</f>
        <v/>
      </c>
      <c r="E497" s="7"/>
    </row>
    <row r="498" spans="3:5">
      <c r="C498" s="17">
        <f t="shared" si="7"/>
        <v>0</v>
      </c>
      <c r="D498" s="17" t="str">
        <f>IF(C498=1,COUNTIF($C$1:$C498,1),"")</f>
        <v/>
      </c>
      <c r="E498" s="7"/>
    </row>
    <row r="499" spans="3:5">
      <c r="C499" s="17">
        <f t="shared" si="7"/>
        <v>0</v>
      </c>
      <c r="D499" s="17" t="str">
        <f>IF(C499=1,COUNTIF($C$1:$C499,1),"")</f>
        <v/>
      </c>
      <c r="E499" s="7"/>
    </row>
    <row r="500" spans="3:5">
      <c r="C500" s="17">
        <f t="shared" si="7"/>
        <v>0</v>
      </c>
      <c r="D500" s="17" t="str">
        <f>IF(C500=1,COUNTIF($C$1:$C500,1),"")</f>
        <v/>
      </c>
      <c r="E500" s="7"/>
    </row>
    <row r="501" spans="3:5">
      <c r="C501" s="17">
        <f t="shared" si="7"/>
        <v>0</v>
      </c>
      <c r="D501" s="17" t="str">
        <f>IF(C501=1,COUNTIF($C$1:$C501,1),"")</f>
        <v/>
      </c>
      <c r="E501" s="7"/>
    </row>
    <row r="502" spans="3:5">
      <c r="C502" s="17">
        <f t="shared" si="7"/>
        <v>0</v>
      </c>
      <c r="D502" s="17" t="str">
        <f>IF(C502=1,COUNTIF($C$1:$C502,1),"")</f>
        <v/>
      </c>
      <c r="E502" s="7"/>
    </row>
    <row r="503" spans="3:5">
      <c r="C503" s="17">
        <f t="shared" si="7"/>
        <v>0</v>
      </c>
      <c r="D503" s="17" t="str">
        <f>IF(C503=1,COUNTIF($C$1:$C503,1),"")</f>
        <v/>
      </c>
      <c r="E503" s="7"/>
    </row>
    <row r="504" spans="3:5">
      <c r="C504" s="17">
        <f t="shared" si="7"/>
        <v>0</v>
      </c>
      <c r="D504" s="17" t="str">
        <f>IF(C504=1,COUNTIF($C$1:$C504,1),"")</f>
        <v/>
      </c>
      <c r="E504" s="7"/>
    </row>
    <row r="505" spans="3:5">
      <c r="C505" s="17">
        <f t="shared" si="7"/>
        <v>0</v>
      </c>
      <c r="D505" s="17" t="str">
        <f>IF(C505=1,COUNTIF($C$1:$C505,1),"")</f>
        <v/>
      </c>
      <c r="E505" s="7"/>
    </row>
    <row r="506" spans="3:5">
      <c r="C506" s="17">
        <f t="shared" si="7"/>
        <v>0</v>
      </c>
      <c r="D506" s="17" t="str">
        <f>IF(C506=1,COUNTIF($C$1:$C506,1),"")</f>
        <v/>
      </c>
      <c r="E506" s="7"/>
    </row>
    <row r="507" spans="3:5">
      <c r="C507" s="17">
        <f t="shared" si="7"/>
        <v>0</v>
      </c>
      <c r="D507" s="17" t="str">
        <f>IF(C507=1,COUNTIF($C$1:$C507,1),"")</f>
        <v/>
      </c>
      <c r="E507" s="7"/>
    </row>
    <row r="508" spans="3:5">
      <c r="C508" s="17">
        <f t="shared" si="7"/>
        <v>0</v>
      </c>
      <c r="D508" s="17" t="str">
        <f>IF(C508=1,COUNTIF($C$1:$C508,1),"")</f>
        <v/>
      </c>
      <c r="E508" s="7"/>
    </row>
    <row r="509" spans="3:5">
      <c r="C509" s="17">
        <f t="shared" si="7"/>
        <v>0</v>
      </c>
      <c r="D509" s="17" t="str">
        <f>IF(C509=1,COUNTIF($C$1:$C509,1),"")</f>
        <v/>
      </c>
      <c r="E509" s="7"/>
    </row>
    <row r="510" spans="3:5">
      <c r="C510" s="17">
        <f t="shared" si="7"/>
        <v>0</v>
      </c>
      <c r="D510" s="17" t="str">
        <f>IF(C510=1,COUNTIF($C$1:$C510,1),"")</f>
        <v/>
      </c>
      <c r="E510" s="7"/>
    </row>
    <row r="511" spans="3:5">
      <c r="C511" s="17">
        <f t="shared" si="7"/>
        <v>0</v>
      </c>
      <c r="D511" s="17" t="str">
        <f>IF(C511=1,COUNTIF($C$1:$C511,1),"")</f>
        <v/>
      </c>
      <c r="E511" s="7"/>
    </row>
    <row r="512" spans="3:5">
      <c r="C512" s="17">
        <f t="shared" si="7"/>
        <v>0</v>
      </c>
      <c r="D512" s="17" t="str">
        <f>IF(C512=1,COUNTIF($C$1:$C512,1),"")</f>
        <v/>
      </c>
      <c r="E512" s="7"/>
    </row>
    <row r="513" spans="3:5">
      <c r="C513" s="17">
        <f t="shared" si="7"/>
        <v>0</v>
      </c>
      <c r="D513" s="17" t="str">
        <f>IF(C513=1,COUNTIF($C$1:$C513,1),"")</f>
        <v/>
      </c>
      <c r="E513" s="7"/>
    </row>
    <row r="514" spans="3:5">
      <c r="C514" s="17">
        <f t="shared" ref="C514:C577" si="8">--ISNUMBER(SEARCH($B$1,A514))</f>
        <v>0</v>
      </c>
      <c r="D514" s="17" t="str">
        <f>IF(C514=1,COUNTIF($C$1:$C514,1),"")</f>
        <v/>
      </c>
      <c r="E514" s="7"/>
    </row>
    <row r="515" spans="3:5">
      <c r="C515" s="17">
        <f t="shared" si="8"/>
        <v>0</v>
      </c>
      <c r="D515" s="17" t="str">
        <f>IF(C515=1,COUNTIF($C$1:$C515,1),"")</f>
        <v/>
      </c>
      <c r="E515" s="7"/>
    </row>
    <row r="516" spans="3:5">
      <c r="C516" s="17">
        <f t="shared" si="8"/>
        <v>0</v>
      </c>
      <c r="D516" s="17" t="str">
        <f>IF(C516=1,COUNTIF($C$1:$C516,1),"")</f>
        <v/>
      </c>
      <c r="E516" s="7"/>
    </row>
    <row r="517" spans="3:5">
      <c r="C517" s="17">
        <f t="shared" si="8"/>
        <v>0</v>
      </c>
      <c r="D517" s="17" t="str">
        <f>IF(C517=1,COUNTIF($C$1:$C517,1),"")</f>
        <v/>
      </c>
      <c r="E517" s="7"/>
    </row>
    <row r="518" spans="3:5">
      <c r="C518" s="17">
        <f t="shared" si="8"/>
        <v>0</v>
      </c>
      <c r="D518" s="17" t="str">
        <f>IF(C518=1,COUNTIF($C$1:$C518,1),"")</f>
        <v/>
      </c>
      <c r="E518" s="7"/>
    </row>
    <row r="519" spans="3:5">
      <c r="C519" s="17">
        <f t="shared" si="8"/>
        <v>0</v>
      </c>
      <c r="D519" s="17" t="str">
        <f>IF(C519=1,COUNTIF($C$1:$C519,1),"")</f>
        <v/>
      </c>
      <c r="E519" s="7"/>
    </row>
    <row r="520" spans="3:5">
      <c r="C520" s="17">
        <f t="shared" si="8"/>
        <v>0</v>
      </c>
      <c r="D520" s="17" t="str">
        <f>IF(C520=1,COUNTIF($C$1:$C520,1),"")</f>
        <v/>
      </c>
      <c r="E520" s="7"/>
    </row>
    <row r="521" spans="3:5">
      <c r="C521" s="17">
        <f t="shared" si="8"/>
        <v>0</v>
      </c>
      <c r="D521" s="17" t="str">
        <f>IF(C521=1,COUNTIF($C$1:$C521,1),"")</f>
        <v/>
      </c>
      <c r="E521" s="7"/>
    </row>
    <row r="522" spans="3:5">
      <c r="C522" s="17">
        <f t="shared" si="8"/>
        <v>0</v>
      </c>
      <c r="D522" s="17" t="str">
        <f>IF(C522=1,COUNTIF($C$1:$C522,1),"")</f>
        <v/>
      </c>
      <c r="E522" s="7"/>
    </row>
    <row r="523" spans="3:5">
      <c r="C523" s="17">
        <f t="shared" si="8"/>
        <v>0</v>
      </c>
      <c r="D523" s="17" t="str">
        <f>IF(C523=1,COUNTIF($C$1:$C523,1),"")</f>
        <v/>
      </c>
      <c r="E523" s="7"/>
    </row>
    <row r="524" spans="3:5">
      <c r="C524" s="17">
        <f t="shared" si="8"/>
        <v>0</v>
      </c>
      <c r="D524" s="17" t="str">
        <f>IF(C524=1,COUNTIF($C$1:$C524,1),"")</f>
        <v/>
      </c>
      <c r="E524" s="7"/>
    </row>
    <row r="525" spans="3:5">
      <c r="C525" s="17">
        <f t="shared" si="8"/>
        <v>0</v>
      </c>
      <c r="D525" s="17" t="str">
        <f>IF(C525=1,COUNTIF($C$1:$C525,1),"")</f>
        <v/>
      </c>
      <c r="E525" s="7"/>
    </row>
    <row r="526" spans="3:5">
      <c r="C526" s="17">
        <f t="shared" si="8"/>
        <v>0</v>
      </c>
      <c r="D526" s="17" t="str">
        <f>IF(C526=1,COUNTIF($C$1:$C526,1),"")</f>
        <v/>
      </c>
      <c r="E526" s="7"/>
    </row>
    <row r="527" spans="3:5">
      <c r="C527" s="17">
        <f t="shared" si="8"/>
        <v>0</v>
      </c>
      <c r="D527" s="17" t="str">
        <f>IF(C527=1,COUNTIF($C$1:$C527,1),"")</f>
        <v/>
      </c>
      <c r="E527" s="7"/>
    </row>
    <row r="528" spans="3:5">
      <c r="C528" s="17">
        <f t="shared" si="8"/>
        <v>0</v>
      </c>
      <c r="D528" s="17" t="str">
        <f>IF(C528=1,COUNTIF($C$1:$C528,1),"")</f>
        <v/>
      </c>
      <c r="E528" s="7"/>
    </row>
    <row r="529" spans="3:5">
      <c r="C529" s="17">
        <f t="shared" si="8"/>
        <v>0</v>
      </c>
      <c r="D529" s="17" t="str">
        <f>IF(C529=1,COUNTIF($C$1:$C529,1),"")</f>
        <v/>
      </c>
      <c r="E529" s="7"/>
    </row>
    <row r="530" spans="3:5">
      <c r="C530" s="17">
        <f t="shared" si="8"/>
        <v>0</v>
      </c>
      <c r="D530" s="17" t="str">
        <f>IF(C530=1,COUNTIF($C$1:$C530,1),"")</f>
        <v/>
      </c>
      <c r="E530" s="7"/>
    </row>
    <row r="531" spans="3:5">
      <c r="C531" s="17">
        <f t="shared" si="8"/>
        <v>0</v>
      </c>
      <c r="D531" s="17" t="str">
        <f>IF(C531=1,COUNTIF($C$1:$C531,1),"")</f>
        <v/>
      </c>
      <c r="E531" s="7"/>
    </row>
    <row r="532" spans="3:5">
      <c r="C532" s="17">
        <f t="shared" si="8"/>
        <v>0</v>
      </c>
      <c r="D532" s="17" t="str">
        <f>IF(C532=1,COUNTIF($C$1:$C532,1),"")</f>
        <v/>
      </c>
      <c r="E532" s="7"/>
    </row>
    <row r="533" spans="3:5">
      <c r="C533" s="17">
        <f t="shared" si="8"/>
        <v>0</v>
      </c>
      <c r="D533" s="17" t="str">
        <f>IF(C533=1,COUNTIF($C$1:$C533,1),"")</f>
        <v/>
      </c>
      <c r="E533" s="7"/>
    </row>
    <row r="534" spans="3:5">
      <c r="C534" s="17">
        <f t="shared" si="8"/>
        <v>0</v>
      </c>
      <c r="D534" s="17" t="str">
        <f>IF(C534=1,COUNTIF($C$1:$C534,1),"")</f>
        <v/>
      </c>
      <c r="E534" s="7"/>
    </row>
    <row r="535" spans="3:5">
      <c r="C535" s="17">
        <f t="shared" si="8"/>
        <v>0</v>
      </c>
      <c r="D535" s="17" t="str">
        <f>IF(C535=1,COUNTIF($C$1:$C535,1),"")</f>
        <v/>
      </c>
      <c r="E535" s="7"/>
    </row>
    <row r="536" spans="3:5">
      <c r="C536" s="17">
        <f t="shared" si="8"/>
        <v>0</v>
      </c>
      <c r="D536" s="17" t="str">
        <f>IF(C536=1,COUNTIF($C$1:$C536,1),"")</f>
        <v/>
      </c>
      <c r="E536" s="7"/>
    </row>
    <row r="537" spans="3:5">
      <c r="C537" s="17">
        <f t="shared" si="8"/>
        <v>0</v>
      </c>
      <c r="D537" s="17" t="str">
        <f>IF(C537=1,COUNTIF($C$1:$C537,1),"")</f>
        <v/>
      </c>
      <c r="E537" s="7"/>
    </row>
    <row r="538" spans="3:5">
      <c r="C538" s="17">
        <f t="shared" si="8"/>
        <v>0</v>
      </c>
      <c r="D538" s="17" t="str">
        <f>IF(C538=1,COUNTIF($C$1:$C538,1),"")</f>
        <v/>
      </c>
      <c r="E538" s="7"/>
    </row>
    <row r="539" spans="3:5">
      <c r="C539" s="17">
        <f t="shared" si="8"/>
        <v>0</v>
      </c>
      <c r="D539" s="17" t="str">
        <f>IF(C539=1,COUNTIF($C$1:$C539,1),"")</f>
        <v/>
      </c>
      <c r="E539" s="7"/>
    </row>
    <row r="540" spans="3:5">
      <c r="C540" s="17">
        <f t="shared" si="8"/>
        <v>0</v>
      </c>
      <c r="D540" s="17" t="str">
        <f>IF(C540=1,COUNTIF($C$1:$C540,1),"")</f>
        <v/>
      </c>
      <c r="E540" s="7"/>
    </row>
    <row r="541" spans="3:5">
      <c r="C541" s="17">
        <f t="shared" si="8"/>
        <v>0</v>
      </c>
      <c r="D541" s="17" t="str">
        <f>IF(C541=1,COUNTIF($C$1:$C541,1),"")</f>
        <v/>
      </c>
      <c r="E541" s="7"/>
    </row>
    <row r="542" spans="3:5">
      <c r="C542" s="17">
        <f t="shared" si="8"/>
        <v>0</v>
      </c>
      <c r="D542" s="17" t="str">
        <f>IF(C542=1,COUNTIF($C$1:$C542,1),"")</f>
        <v/>
      </c>
      <c r="E542" s="7"/>
    </row>
    <row r="543" spans="3:5">
      <c r="C543" s="17">
        <f t="shared" si="8"/>
        <v>0</v>
      </c>
      <c r="D543" s="17" t="str">
        <f>IF(C543=1,COUNTIF($C$1:$C543,1),"")</f>
        <v/>
      </c>
      <c r="E543" s="7"/>
    </row>
    <row r="544" spans="3:5">
      <c r="C544" s="17">
        <f t="shared" si="8"/>
        <v>0</v>
      </c>
      <c r="D544" s="17" t="str">
        <f>IF(C544=1,COUNTIF($C$1:$C544,1),"")</f>
        <v/>
      </c>
      <c r="E544" s="7"/>
    </row>
    <row r="545" spans="3:5">
      <c r="C545" s="17">
        <f t="shared" si="8"/>
        <v>0</v>
      </c>
      <c r="D545" s="17" t="str">
        <f>IF(C545=1,COUNTIF($C$1:$C545,1),"")</f>
        <v/>
      </c>
      <c r="E545" s="7"/>
    </row>
    <row r="546" spans="3:5">
      <c r="C546" s="17">
        <f t="shared" si="8"/>
        <v>0</v>
      </c>
      <c r="D546" s="17" t="str">
        <f>IF(C546=1,COUNTIF($C$1:$C546,1),"")</f>
        <v/>
      </c>
      <c r="E546" s="7"/>
    </row>
    <row r="547" spans="3:5">
      <c r="C547" s="17">
        <f t="shared" si="8"/>
        <v>0</v>
      </c>
      <c r="D547" s="17" t="str">
        <f>IF(C547=1,COUNTIF($C$1:$C547,1),"")</f>
        <v/>
      </c>
      <c r="E547" s="7"/>
    </row>
    <row r="548" spans="3:5">
      <c r="C548" s="17">
        <f t="shared" si="8"/>
        <v>0</v>
      </c>
      <c r="D548" s="17" t="str">
        <f>IF(C548=1,COUNTIF($C$1:$C548,1),"")</f>
        <v/>
      </c>
      <c r="E548" s="7"/>
    </row>
    <row r="549" spans="3:5">
      <c r="C549" s="17">
        <f t="shared" si="8"/>
        <v>0</v>
      </c>
      <c r="D549" s="17" t="str">
        <f>IF(C549=1,COUNTIF($C$1:$C549,1),"")</f>
        <v/>
      </c>
      <c r="E549" s="7"/>
    </row>
    <row r="550" spans="3:5">
      <c r="C550" s="17">
        <f t="shared" si="8"/>
        <v>0</v>
      </c>
      <c r="D550" s="17" t="str">
        <f>IF(C550=1,COUNTIF($C$1:$C550,1),"")</f>
        <v/>
      </c>
      <c r="E550" s="7"/>
    </row>
    <row r="551" spans="3:5">
      <c r="C551" s="17">
        <f t="shared" si="8"/>
        <v>0</v>
      </c>
      <c r="D551" s="17" t="str">
        <f>IF(C551=1,COUNTIF($C$1:$C551,1),"")</f>
        <v/>
      </c>
      <c r="E551" s="7"/>
    </row>
    <row r="552" spans="3:5">
      <c r="C552" s="17">
        <f t="shared" si="8"/>
        <v>0</v>
      </c>
      <c r="D552" s="17" t="str">
        <f>IF(C552=1,COUNTIF($C$1:$C552,1),"")</f>
        <v/>
      </c>
      <c r="E552" s="7"/>
    </row>
    <row r="553" spans="3:5">
      <c r="C553" s="17">
        <f t="shared" si="8"/>
        <v>0</v>
      </c>
      <c r="D553" s="17" t="str">
        <f>IF(C553=1,COUNTIF($C$1:$C553,1),"")</f>
        <v/>
      </c>
      <c r="E553" s="7"/>
    </row>
    <row r="554" spans="3:5">
      <c r="C554" s="17">
        <f t="shared" si="8"/>
        <v>0</v>
      </c>
      <c r="D554" s="17" t="str">
        <f>IF(C554=1,COUNTIF($C$1:$C554,1),"")</f>
        <v/>
      </c>
      <c r="E554" s="7"/>
    </row>
    <row r="555" spans="3:5">
      <c r="C555" s="17">
        <f t="shared" si="8"/>
        <v>0</v>
      </c>
      <c r="D555" s="17" t="str">
        <f>IF(C555=1,COUNTIF($C$1:$C555,1),"")</f>
        <v/>
      </c>
      <c r="E555" s="7"/>
    </row>
    <row r="556" spans="3:5">
      <c r="C556" s="17">
        <f t="shared" si="8"/>
        <v>0</v>
      </c>
      <c r="D556" s="17" t="str">
        <f>IF(C556=1,COUNTIF($C$1:$C556,1),"")</f>
        <v/>
      </c>
      <c r="E556" s="7"/>
    </row>
    <row r="557" spans="3:5">
      <c r="C557" s="17">
        <f t="shared" si="8"/>
        <v>0</v>
      </c>
      <c r="D557" s="17" t="str">
        <f>IF(C557=1,COUNTIF($C$1:$C557,1),"")</f>
        <v/>
      </c>
      <c r="E557" s="7"/>
    </row>
    <row r="558" spans="3:5">
      <c r="C558" s="17">
        <f t="shared" si="8"/>
        <v>0</v>
      </c>
      <c r="D558" s="17" t="str">
        <f>IF(C558=1,COUNTIF($C$1:$C558,1),"")</f>
        <v/>
      </c>
      <c r="E558" s="7"/>
    </row>
    <row r="559" spans="3:5">
      <c r="C559" s="17">
        <f t="shared" si="8"/>
        <v>0</v>
      </c>
      <c r="D559" s="17" t="str">
        <f>IF(C559=1,COUNTIF($C$1:$C559,1),"")</f>
        <v/>
      </c>
      <c r="E559" s="7"/>
    </row>
    <row r="560" spans="3:5">
      <c r="C560" s="17">
        <f t="shared" si="8"/>
        <v>0</v>
      </c>
      <c r="D560" s="17" t="str">
        <f>IF(C560=1,COUNTIF($C$1:$C560,1),"")</f>
        <v/>
      </c>
      <c r="E560" s="7"/>
    </row>
    <row r="561" spans="3:5">
      <c r="C561" s="17">
        <f t="shared" si="8"/>
        <v>0</v>
      </c>
      <c r="D561" s="17" t="str">
        <f>IF(C561=1,COUNTIF($C$1:$C561,1),"")</f>
        <v/>
      </c>
      <c r="E561" s="7"/>
    </row>
    <row r="562" spans="3:5">
      <c r="C562" s="17">
        <f t="shared" si="8"/>
        <v>0</v>
      </c>
      <c r="D562" s="17" t="str">
        <f>IF(C562=1,COUNTIF($C$1:$C562,1),"")</f>
        <v/>
      </c>
      <c r="E562" s="7"/>
    </row>
    <row r="563" spans="3:5">
      <c r="C563" s="17">
        <f t="shared" si="8"/>
        <v>0</v>
      </c>
      <c r="D563" s="17" t="str">
        <f>IF(C563=1,COUNTIF($C$1:$C563,1),"")</f>
        <v/>
      </c>
      <c r="E563" s="7"/>
    </row>
    <row r="564" spans="3:5">
      <c r="C564" s="17">
        <f t="shared" si="8"/>
        <v>0</v>
      </c>
      <c r="D564" s="17" t="str">
        <f>IF(C564=1,COUNTIF($C$1:$C564,1),"")</f>
        <v/>
      </c>
      <c r="E564" s="7"/>
    </row>
    <row r="565" spans="3:5">
      <c r="C565" s="17">
        <f t="shared" si="8"/>
        <v>0</v>
      </c>
      <c r="D565" s="17" t="str">
        <f>IF(C565=1,COUNTIF($C$1:$C565,1),"")</f>
        <v/>
      </c>
      <c r="E565" s="7"/>
    </row>
    <row r="566" spans="3:5">
      <c r="C566" s="17">
        <f t="shared" si="8"/>
        <v>0</v>
      </c>
      <c r="D566" s="17" t="str">
        <f>IF(C566=1,COUNTIF($C$1:$C566,1),"")</f>
        <v/>
      </c>
      <c r="E566" s="7"/>
    </row>
    <row r="567" spans="3:5">
      <c r="C567" s="17">
        <f t="shared" si="8"/>
        <v>0</v>
      </c>
      <c r="D567" s="17" t="str">
        <f>IF(C567=1,COUNTIF($C$1:$C567,1),"")</f>
        <v/>
      </c>
      <c r="E567" s="7"/>
    </row>
    <row r="568" spans="3:5">
      <c r="C568" s="17">
        <f t="shared" si="8"/>
        <v>0</v>
      </c>
      <c r="D568" s="17" t="str">
        <f>IF(C568=1,COUNTIF($C$1:$C568,1),"")</f>
        <v/>
      </c>
      <c r="E568" s="7"/>
    </row>
    <row r="569" spans="3:5">
      <c r="C569" s="17">
        <f t="shared" si="8"/>
        <v>0</v>
      </c>
      <c r="D569" s="17" t="str">
        <f>IF(C569=1,COUNTIF($C$1:$C569,1),"")</f>
        <v/>
      </c>
      <c r="E569" s="7"/>
    </row>
    <row r="570" spans="3:5">
      <c r="C570" s="17">
        <f t="shared" si="8"/>
        <v>0</v>
      </c>
      <c r="D570" s="17" t="str">
        <f>IF(C570=1,COUNTIF($C$1:$C570,1),"")</f>
        <v/>
      </c>
      <c r="E570" s="7"/>
    </row>
    <row r="571" spans="3:5">
      <c r="C571" s="17">
        <f t="shared" si="8"/>
        <v>0</v>
      </c>
      <c r="D571" s="17" t="str">
        <f>IF(C571=1,COUNTIF($C$1:$C571,1),"")</f>
        <v/>
      </c>
      <c r="E571" s="7"/>
    </row>
    <row r="572" spans="3:5">
      <c r="C572" s="17">
        <f t="shared" si="8"/>
        <v>0</v>
      </c>
      <c r="D572" s="17" t="str">
        <f>IF(C572=1,COUNTIF($C$1:$C572,1),"")</f>
        <v/>
      </c>
      <c r="E572" s="7"/>
    </row>
    <row r="573" spans="3:5">
      <c r="C573" s="17">
        <f t="shared" si="8"/>
        <v>0</v>
      </c>
      <c r="D573" s="17" t="str">
        <f>IF(C573=1,COUNTIF($C$1:$C573,1),"")</f>
        <v/>
      </c>
      <c r="E573" s="7"/>
    </row>
    <row r="574" spans="3:5">
      <c r="C574" s="17">
        <f t="shared" si="8"/>
        <v>0</v>
      </c>
      <c r="D574" s="17" t="str">
        <f>IF(C574=1,COUNTIF($C$1:$C574,1),"")</f>
        <v/>
      </c>
      <c r="E574" s="7"/>
    </row>
    <row r="575" spans="3:5">
      <c r="C575" s="17">
        <f t="shared" si="8"/>
        <v>0</v>
      </c>
      <c r="D575" s="17" t="str">
        <f>IF(C575=1,COUNTIF($C$1:$C575,1),"")</f>
        <v/>
      </c>
      <c r="E575" s="7"/>
    </row>
    <row r="576" spans="3:5">
      <c r="C576" s="17">
        <f t="shared" si="8"/>
        <v>0</v>
      </c>
      <c r="D576" s="17" t="str">
        <f>IF(C576=1,COUNTIF($C$1:$C576,1),"")</f>
        <v/>
      </c>
      <c r="E576" s="7"/>
    </row>
    <row r="577" spans="3:5">
      <c r="C577" s="17">
        <f t="shared" si="8"/>
        <v>0</v>
      </c>
      <c r="D577" s="17" t="str">
        <f>IF(C577=1,COUNTIF($C$1:$C577,1),"")</f>
        <v/>
      </c>
      <c r="E577" s="7"/>
    </row>
    <row r="578" spans="3:5">
      <c r="C578" s="17">
        <f t="shared" ref="C578:C641" si="9">--ISNUMBER(SEARCH($B$1,A578))</f>
        <v>0</v>
      </c>
      <c r="D578" s="17" t="str">
        <f>IF(C578=1,COUNTIF($C$1:$C578,1),"")</f>
        <v/>
      </c>
      <c r="E578" s="7"/>
    </row>
    <row r="579" spans="3:5">
      <c r="C579" s="17">
        <f t="shared" si="9"/>
        <v>0</v>
      </c>
      <c r="D579" s="17" t="str">
        <f>IF(C579=1,COUNTIF($C$1:$C579,1),"")</f>
        <v/>
      </c>
      <c r="E579" s="7"/>
    </row>
    <row r="580" spans="3:5">
      <c r="C580" s="17">
        <f t="shared" si="9"/>
        <v>0</v>
      </c>
      <c r="D580" s="17" t="str">
        <f>IF(C580=1,COUNTIF($C$1:$C580,1),"")</f>
        <v/>
      </c>
      <c r="E580" s="7"/>
    </row>
    <row r="581" spans="3:5">
      <c r="C581" s="17">
        <f t="shared" si="9"/>
        <v>0</v>
      </c>
      <c r="D581" s="17" t="str">
        <f>IF(C581=1,COUNTIF($C$1:$C581,1),"")</f>
        <v/>
      </c>
      <c r="E581" s="7"/>
    </row>
    <row r="582" spans="3:5">
      <c r="C582" s="17">
        <f t="shared" si="9"/>
        <v>0</v>
      </c>
      <c r="D582" s="17" t="str">
        <f>IF(C582=1,COUNTIF($C$1:$C582,1),"")</f>
        <v/>
      </c>
      <c r="E582" s="7"/>
    </row>
    <row r="583" spans="3:5">
      <c r="C583" s="17">
        <f t="shared" si="9"/>
        <v>0</v>
      </c>
      <c r="D583" s="17" t="str">
        <f>IF(C583=1,COUNTIF($C$1:$C583,1),"")</f>
        <v/>
      </c>
      <c r="E583" s="7"/>
    </row>
    <row r="584" spans="3:5">
      <c r="C584" s="17">
        <f t="shared" si="9"/>
        <v>0</v>
      </c>
      <c r="D584" s="17" t="str">
        <f>IF(C584=1,COUNTIF($C$1:$C584,1),"")</f>
        <v/>
      </c>
      <c r="E584" s="7"/>
    </row>
    <row r="585" spans="3:5">
      <c r="C585" s="17">
        <f t="shared" si="9"/>
        <v>0</v>
      </c>
      <c r="D585" s="17" t="str">
        <f>IF(C585=1,COUNTIF($C$1:$C585,1),"")</f>
        <v/>
      </c>
      <c r="E585" s="7"/>
    </row>
    <row r="586" spans="3:5">
      <c r="C586" s="17">
        <f t="shared" si="9"/>
        <v>0</v>
      </c>
      <c r="D586" s="17" t="str">
        <f>IF(C586=1,COUNTIF($C$1:$C586,1),"")</f>
        <v/>
      </c>
      <c r="E586" s="7"/>
    </row>
    <row r="587" spans="3:5">
      <c r="C587" s="17">
        <f t="shared" si="9"/>
        <v>0</v>
      </c>
      <c r="D587" s="17" t="str">
        <f>IF(C587=1,COUNTIF($C$1:$C587,1),"")</f>
        <v/>
      </c>
      <c r="E587" s="7"/>
    </row>
    <row r="588" spans="3:5">
      <c r="C588" s="17">
        <f t="shared" si="9"/>
        <v>0</v>
      </c>
      <c r="D588" s="17" t="str">
        <f>IF(C588=1,COUNTIF($C$1:$C588,1),"")</f>
        <v/>
      </c>
      <c r="E588" s="7"/>
    </row>
    <row r="589" spans="3:5">
      <c r="C589" s="17">
        <f t="shared" si="9"/>
        <v>0</v>
      </c>
      <c r="D589" s="17" t="str">
        <f>IF(C589=1,COUNTIF($C$1:$C589,1),"")</f>
        <v/>
      </c>
      <c r="E589" s="7"/>
    </row>
    <row r="590" spans="3:5">
      <c r="C590" s="17">
        <f t="shared" si="9"/>
        <v>0</v>
      </c>
      <c r="D590" s="17" t="str">
        <f>IF(C590=1,COUNTIF($C$1:$C590,1),"")</f>
        <v/>
      </c>
      <c r="E590" s="7"/>
    </row>
    <row r="591" spans="3:5">
      <c r="C591" s="17">
        <f t="shared" si="9"/>
        <v>0</v>
      </c>
      <c r="D591" s="17" t="str">
        <f>IF(C591=1,COUNTIF($C$1:$C591,1),"")</f>
        <v/>
      </c>
      <c r="E591" s="7"/>
    </row>
    <row r="592" spans="3:5">
      <c r="C592" s="17">
        <f t="shared" si="9"/>
        <v>0</v>
      </c>
      <c r="D592" s="17" t="str">
        <f>IF(C592=1,COUNTIF($C$1:$C592,1),"")</f>
        <v/>
      </c>
      <c r="E592" s="7"/>
    </row>
    <row r="593" spans="3:5">
      <c r="C593" s="17">
        <f t="shared" si="9"/>
        <v>0</v>
      </c>
      <c r="D593" s="17" t="str">
        <f>IF(C593=1,COUNTIF($C$1:$C593,1),"")</f>
        <v/>
      </c>
      <c r="E593" s="7"/>
    </row>
    <row r="594" spans="3:5">
      <c r="C594" s="17">
        <f t="shared" si="9"/>
        <v>0</v>
      </c>
      <c r="D594" s="17" t="str">
        <f>IF(C594=1,COUNTIF($C$1:$C594,1),"")</f>
        <v/>
      </c>
      <c r="E594" s="7"/>
    </row>
    <row r="595" spans="3:5">
      <c r="C595" s="17">
        <f t="shared" si="9"/>
        <v>0</v>
      </c>
      <c r="D595" s="17" t="str">
        <f>IF(C595=1,COUNTIF($C$1:$C595,1),"")</f>
        <v/>
      </c>
      <c r="E595" s="7"/>
    </row>
    <row r="596" spans="3:5">
      <c r="C596" s="17">
        <f t="shared" si="9"/>
        <v>0</v>
      </c>
      <c r="D596" s="17" t="str">
        <f>IF(C596=1,COUNTIF($C$1:$C596,1),"")</f>
        <v/>
      </c>
      <c r="E596" s="7"/>
    </row>
    <row r="597" spans="3:5">
      <c r="C597" s="17">
        <f t="shared" si="9"/>
        <v>0</v>
      </c>
      <c r="D597" s="17" t="str">
        <f>IF(C597=1,COUNTIF($C$1:$C597,1),"")</f>
        <v/>
      </c>
      <c r="E597" s="7"/>
    </row>
    <row r="598" spans="3:5">
      <c r="C598" s="17">
        <f t="shared" si="9"/>
        <v>0</v>
      </c>
      <c r="D598" s="17" t="str">
        <f>IF(C598=1,COUNTIF($C$1:$C598,1),"")</f>
        <v/>
      </c>
      <c r="E598" s="7"/>
    </row>
    <row r="599" spans="3:5">
      <c r="C599" s="17">
        <f t="shared" si="9"/>
        <v>0</v>
      </c>
      <c r="D599" s="17" t="str">
        <f>IF(C599=1,COUNTIF($C$1:$C599,1),"")</f>
        <v/>
      </c>
      <c r="E599" s="7"/>
    </row>
    <row r="600" spans="3:5">
      <c r="C600" s="17">
        <f t="shared" si="9"/>
        <v>0</v>
      </c>
      <c r="D600" s="17" t="str">
        <f>IF(C600=1,COUNTIF($C$1:$C600,1),"")</f>
        <v/>
      </c>
      <c r="E600" s="7"/>
    </row>
    <row r="601" spans="3:5">
      <c r="C601" s="17">
        <f t="shared" si="9"/>
        <v>0</v>
      </c>
      <c r="D601" s="17" t="str">
        <f>IF(C601=1,COUNTIF($C$1:$C601,1),"")</f>
        <v/>
      </c>
      <c r="E601" s="7"/>
    </row>
    <row r="602" spans="3:5">
      <c r="C602" s="17">
        <f t="shared" si="9"/>
        <v>0</v>
      </c>
      <c r="D602" s="17" t="str">
        <f>IF(C602=1,COUNTIF($C$1:$C602,1),"")</f>
        <v/>
      </c>
      <c r="E602" s="7"/>
    </row>
    <row r="603" spans="3:5">
      <c r="C603" s="17">
        <f t="shared" si="9"/>
        <v>0</v>
      </c>
      <c r="D603" s="17" t="str">
        <f>IF(C603=1,COUNTIF($C$1:$C603,1),"")</f>
        <v/>
      </c>
      <c r="E603" s="7"/>
    </row>
    <row r="604" spans="3:5">
      <c r="C604" s="17">
        <f t="shared" si="9"/>
        <v>0</v>
      </c>
      <c r="D604" s="17" t="str">
        <f>IF(C604=1,COUNTIF($C$1:$C604,1),"")</f>
        <v/>
      </c>
      <c r="E604" s="7"/>
    </row>
    <row r="605" spans="3:5">
      <c r="C605" s="17">
        <f t="shared" si="9"/>
        <v>0</v>
      </c>
      <c r="D605" s="17" t="str">
        <f>IF(C605=1,COUNTIF($C$1:$C605,1),"")</f>
        <v/>
      </c>
      <c r="E605" s="7"/>
    </row>
    <row r="606" spans="3:5">
      <c r="C606" s="17">
        <f t="shared" si="9"/>
        <v>0</v>
      </c>
      <c r="D606" s="17" t="str">
        <f>IF(C606=1,COUNTIF($C$1:$C606,1),"")</f>
        <v/>
      </c>
      <c r="E606" s="7"/>
    </row>
    <row r="607" spans="3:5">
      <c r="C607" s="17">
        <f t="shared" si="9"/>
        <v>0</v>
      </c>
      <c r="D607" s="17" t="str">
        <f>IF(C607=1,COUNTIF($C$1:$C607,1),"")</f>
        <v/>
      </c>
      <c r="E607" s="7"/>
    </row>
    <row r="608" spans="3:5">
      <c r="C608" s="17">
        <f t="shared" si="9"/>
        <v>0</v>
      </c>
      <c r="D608" s="17" t="str">
        <f>IF(C608=1,COUNTIF($C$1:$C608,1),"")</f>
        <v/>
      </c>
      <c r="E608" s="7"/>
    </row>
    <row r="609" spans="3:5">
      <c r="C609" s="17">
        <f t="shared" si="9"/>
        <v>0</v>
      </c>
      <c r="D609" s="17" t="str">
        <f>IF(C609=1,COUNTIF($C$1:$C609,1),"")</f>
        <v/>
      </c>
      <c r="E609" s="7"/>
    </row>
    <row r="610" spans="3:5">
      <c r="C610" s="17">
        <f t="shared" si="9"/>
        <v>0</v>
      </c>
      <c r="D610" s="17" t="str">
        <f>IF(C610=1,COUNTIF($C$1:$C610,1),"")</f>
        <v/>
      </c>
      <c r="E610" s="7"/>
    </row>
    <row r="611" spans="3:5">
      <c r="C611" s="17">
        <f t="shared" si="9"/>
        <v>0</v>
      </c>
      <c r="D611" s="17" t="str">
        <f>IF(C611=1,COUNTIF($C$1:$C611,1),"")</f>
        <v/>
      </c>
      <c r="E611" s="7"/>
    </row>
    <row r="612" spans="3:5">
      <c r="C612" s="17">
        <f t="shared" si="9"/>
        <v>0</v>
      </c>
      <c r="D612" s="17" t="str">
        <f>IF(C612=1,COUNTIF($C$1:$C612,1),"")</f>
        <v/>
      </c>
      <c r="E612" s="7"/>
    </row>
    <row r="613" spans="3:5">
      <c r="C613" s="17">
        <f t="shared" si="9"/>
        <v>0</v>
      </c>
      <c r="D613" s="17" t="str">
        <f>IF(C613=1,COUNTIF($C$1:$C613,1),"")</f>
        <v/>
      </c>
      <c r="E613" s="7"/>
    </row>
    <row r="614" spans="3:5">
      <c r="C614" s="17">
        <f t="shared" si="9"/>
        <v>0</v>
      </c>
      <c r="D614" s="17" t="str">
        <f>IF(C614=1,COUNTIF($C$1:$C614,1),"")</f>
        <v/>
      </c>
      <c r="E614" s="7"/>
    </row>
    <row r="615" spans="3:5">
      <c r="C615" s="17">
        <f t="shared" si="9"/>
        <v>0</v>
      </c>
      <c r="D615" s="17" t="str">
        <f>IF(C615=1,COUNTIF($C$1:$C615,1),"")</f>
        <v/>
      </c>
      <c r="E615" s="7"/>
    </row>
    <row r="616" spans="3:5">
      <c r="C616" s="17">
        <f t="shared" si="9"/>
        <v>0</v>
      </c>
      <c r="D616" s="17" t="str">
        <f>IF(C616=1,COUNTIF($C$1:$C616,1),"")</f>
        <v/>
      </c>
      <c r="E616" s="7"/>
    </row>
    <row r="617" spans="3:5">
      <c r="C617" s="17">
        <f t="shared" si="9"/>
        <v>0</v>
      </c>
      <c r="D617" s="17" t="str">
        <f>IF(C617=1,COUNTIF($C$1:$C617,1),"")</f>
        <v/>
      </c>
      <c r="E617" s="7"/>
    </row>
    <row r="618" spans="3:5">
      <c r="C618" s="17">
        <f t="shared" si="9"/>
        <v>0</v>
      </c>
      <c r="D618" s="17" t="str">
        <f>IF(C618=1,COUNTIF($C$1:$C618,1),"")</f>
        <v/>
      </c>
      <c r="E618" s="7"/>
    </row>
    <row r="619" spans="3:5">
      <c r="C619" s="17">
        <f t="shared" si="9"/>
        <v>0</v>
      </c>
      <c r="D619" s="17" t="str">
        <f>IF(C619=1,COUNTIF($C$1:$C619,1),"")</f>
        <v/>
      </c>
      <c r="E619" s="7"/>
    </row>
    <row r="620" spans="3:5">
      <c r="C620" s="17">
        <f t="shared" si="9"/>
        <v>0</v>
      </c>
      <c r="D620" s="17" t="str">
        <f>IF(C620=1,COUNTIF($C$1:$C620,1),"")</f>
        <v/>
      </c>
      <c r="E620" s="7"/>
    </row>
    <row r="621" spans="3:5">
      <c r="C621" s="17">
        <f t="shared" si="9"/>
        <v>0</v>
      </c>
      <c r="D621" s="17" t="str">
        <f>IF(C621=1,COUNTIF($C$1:$C621,1),"")</f>
        <v/>
      </c>
      <c r="E621" s="7"/>
    </row>
    <row r="622" spans="3:5">
      <c r="C622" s="17">
        <f t="shared" si="9"/>
        <v>0</v>
      </c>
      <c r="D622" s="17" t="str">
        <f>IF(C622=1,COUNTIF($C$1:$C622,1),"")</f>
        <v/>
      </c>
      <c r="E622" s="7"/>
    </row>
    <row r="623" spans="3:5">
      <c r="C623" s="17">
        <f t="shared" si="9"/>
        <v>0</v>
      </c>
      <c r="D623" s="17" t="str">
        <f>IF(C623=1,COUNTIF($C$1:$C623,1),"")</f>
        <v/>
      </c>
      <c r="E623" s="7"/>
    </row>
    <row r="624" spans="3:5">
      <c r="C624" s="17">
        <f t="shared" si="9"/>
        <v>0</v>
      </c>
      <c r="D624" s="17" t="str">
        <f>IF(C624=1,COUNTIF($C$1:$C624,1),"")</f>
        <v/>
      </c>
      <c r="E624" s="7"/>
    </row>
    <row r="625" spans="3:5">
      <c r="C625" s="17">
        <f t="shared" si="9"/>
        <v>0</v>
      </c>
      <c r="D625" s="17" t="str">
        <f>IF(C625=1,COUNTIF($C$1:$C625,1),"")</f>
        <v/>
      </c>
      <c r="E625" s="7"/>
    </row>
    <row r="626" spans="3:5">
      <c r="C626" s="17">
        <f t="shared" si="9"/>
        <v>0</v>
      </c>
      <c r="D626" s="17" t="str">
        <f>IF(C626=1,COUNTIF($C$1:$C626,1),"")</f>
        <v/>
      </c>
      <c r="E626" s="7"/>
    </row>
    <row r="627" spans="3:5">
      <c r="C627" s="17">
        <f t="shared" si="9"/>
        <v>0</v>
      </c>
      <c r="D627" s="17" t="str">
        <f>IF(C627=1,COUNTIF($C$1:$C627,1),"")</f>
        <v/>
      </c>
      <c r="E627" s="7"/>
    </row>
    <row r="628" spans="3:5">
      <c r="C628" s="17">
        <f t="shared" si="9"/>
        <v>0</v>
      </c>
      <c r="D628" s="17" t="str">
        <f>IF(C628=1,COUNTIF($C$1:$C628,1),"")</f>
        <v/>
      </c>
      <c r="E628" s="7"/>
    </row>
    <row r="629" spans="3:5">
      <c r="C629" s="17">
        <f t="shared" si="9"/>
        <v>0</v>
      </c>
      <c r="D629" s="17" t="str">
        <f>IF(C629=1,COUNTIF($C$1:$C629,1),"")</f>
        <v/>
      </c>
      <c r="E629" s="7"/>
    </row>
    <row r="630" spans="3:5">
      <c r="C630" s="17">
        <f t="shared" si="9"/>
        <v>0</v>
      </c>
      <c r="D630" s="17" t="str">
        <f>IF(C630=1,COUNTIF($C$1:$C630,1),"")</f>
        <v/>
      </c>
      <c r="E630" s="7"/>
    </row>
    <row r="631" spans="3:5">
      <c r="C631" s="17">
        <f t="shared" si="9"/>
        <v>0</v>
      </c>
      <c r="D631" s="17" t="str">
        <f>IF(C631=1,COUNTIF($C$1:$C631,1),"")</f>
        <v/>
      </c>
      <c r="E631" s="7"/>
    </row>
    <row r="632" spans="3:5">
      <c r="C632" s="17">
        <f t="shared" si="9"/>
        <v>0</v>
      </c>
      <c r="D632" s="17" t="str">
        <f>IF(C632=1,COUNTIF($C$1:$C632,1),"")</f>
        <v/>
      </c>
      <c r="E632" s="7"/>
    </row>
    <row r="633" spans="3:5">
      <c r="C633" s="17">
        <f t="shared" si="9"/>
        <v>0</v>
      </c>
      <c r="D633" s="17" t="str">
        <f>IF(C633=1,COUNTIF($C$1:$C633,1),"")</f>
        <v/>
      </c>
      <c r="E633" s="7"/>
    </row>
    <row r="634" spans="3:5">
      <c r="C634" s="17">
        <f t="shared" si="9"/>
        <v>0</v>
      </c>
      <c r="D634" s="17" t="str">
        <f>IF(C634=1,COUNTIF($C$1:$C634,1),"")</f>
        <v/>
      </c>
      <c r="E634" s="7"/>
    </row>
    <row r="635" spans="3:5">
      <c r="C635" s="17">
        <f t="shared" si="9"/>
        <v>0</v>
      </c>
      <c r="D635" s="17" t="str">
        <f>IF(C635=1,COUNTIF($C$1:$C635,1),"")</f>
        <v/>
      </c>
      <c r="E635" s="7"/>
    </row>
    <row r="636" spans="3:5">
      <c r="C636" s="17">
        <f t="shared" si="9"/>
        <v>0</v>
      </c>
      <c r="D636" s="17" t="str">
        <f>IF(C636=1,COUNTIF($C$1:$C636,1),"")</f>
        <v/>
      </c>
      <c r="E636" s="7"/>
    </row>
    <row r="637" spans="3:5">
      <c r="C637" s="17">
        <f t="shared" si="9"/>
        <v>0</v>
      </c>
      <c r="D637" s="17" t="str">
        <f>IF(C637=1,COUNTIF($C$1:$C637,1),"")</f>
        <v/>
      </c>
      <c r="E637" s="7"/>
    </row>
    <row r="638" spans="3:5">
      <c r="C638" s="17">
        <f t="shared" si="9"/>
        <v>0</v>
      </c>
      <c r="D638" s="17" t="str">
        <f>IF(C638=1,COUNTIF($C$1:$C638,1),"")</f>
        <v/>
      </c>
      <c r="E638" s="7"/>
    </row>
    <row r="639" spans="3:5">
      <c r="C639" s="17">
        <f t="shared" si="9"/>
        <v>0</v>
      </c>
      <c r="D639" s="17" t="str">
        <f>IF(C639=1,COUNTIF($C$1:$C639,1),"")</f>
        <v/>
      </c>
      <c r="E639" s="7"/>
    </row>
    <row r="640" spans="3:5">
      <c r="C640" s="17">
        <f t="shared" si="9"/>
        <v>0</v>
      </c>
      <c r="D640" s="17" t="str">
        <f>IF(C640=1,COUNTIF($C$1:$C640,1),"")</f>
        <v/>
      </c>
      <c r="E640" s="7"/>
    </row>
    <row r="641" spans="3:5">
      <c r="C641" s="17">
        <f t="shared" si="9"/>
        <v>0</v>
      </c>
      <c r="D641" s="17" t="str">
        <f>IF(C641=1,COUNTIF($C$1:$C641,1),"")</f>
        <v/>
      </c>
      <c r="E641" s="7"/>
    </row>
    <row r="642" spans="3:5">
      <c r="C642" s="17">
        <f t="shared" ref="C642:C705" si="10">--ISNUMBER(SEARCH($B$1,A642))</f>
        <v>0</v>
      </c>
      <c r="D642" s="17" t="str">
        <f>IF(C642=1,COUNTIF($C$1:$C642,1),"")</f>
        <v/>
      </c>
      <c r="E642" s="7"/>
    </row>
    <row r="643" spans="3:5">
      <c r="C643" s="17">
        <f t="shared" si="10"/>
        <v>0</v>
      </c>
      <c r="D643" s="17" t="str">
        <f>IF(C643=1,COUNTIF($C$1:$C643,1),"")</f>
        <v/>
      </c>
      <c r="E643" s="7"/>
    </row>
    <row r="644" spans="3:5">
      <c r="C644" s="17">
        <f t="shared" si="10"/>
        <v>0</v>
      </c>
      <c r="D644" s="17" t="str">
        <f>IF(C644=1,COUNTIF($C$1:$C644,1),"")</f>
        <v/>
      </c>
      <c r="E644" s="7"/>
    </row>
    <row r="645" spans="3:5">
      <c r="C645" s="17">
        <f t="shared" si="10"/>
        <v>0</v>
      </c>
      <c r="D645" s="17" t="str">
        <f>IF(C645=1,COUNTIF($C$1:$C645,1),"")</f>
        <v/>
      </c>
      <c r="E645" s="7"/>
    </row>
    <row r="646" spans="3:5">
      <c r="C646" s="17">
        <f t="shared" si="10"/>
        <v>0</v>
      </c>
      <c r="D646" s="17" t="str">
        <f>IF(C646=1,COUNTIF($C$1:$C646,1),"")</f>
        <v/>
      </c>
      <c r="E646" s="7"/>
    </row>
    <row r="647" spans="3:5">
      <c r="C647" s="17">
        <f t="shared" si="10"/>
        <v>0</v>
      </c>
      <c r="D647" s="17" t="str">
        <f>IF(C647=1,COUNTIF($C$1:$C647,1),"")</f>
        <v/>
      </c>
      <c r="E647" s="7"/>
    </row>
    <row r="648" spans="3:5">
      <c r="C648" s="17">
        <f t="shared" si="10"/>
        <v>0</v>
      </c>
      <c r="D648" s="17" t="str">
        <f>IF(C648=1,COUNTIF($C$1:$C648,1),"")</f>
        <v/>
      </c>
      <c r="E648" s="7"/>
    </row>
    <row r="649" spans="3:5">
      <c r="C649" s="17">
        <f t="shared" si="10"/>
        <v>0</v>
      </c>
      <c r="D649" s="17" t="str">
        <f>IF(C649=1,COUNTIF($C$1:$C649,1),"")</f>
        <v/>
      </c>
      <c r="E649" s="7"/>
    </row>
    <row r="650" spans="3:5">
      <c r="C650" s="17">
        <f t="shared" si="10"/>
        <v>0</v>
      </c>
      <c r="D650" s="17" t="str">
        <f>IF(C650=1,COUNTIF($C$1:$C650,1),"")</f>
        <v/>
      </c>
      <c r="E650" s="7"/>
    </row>
    <row r="651" spans="3:5">
      <c r="C651" s="17">
        <f t="shared" si="10"/>
        <v>0</v>
      </c>
      <c r="D651" s="17" t="str">
        <f>IF(C651=1,COUNTIF($C$1:$C651,1),"")</f>
        <v/>
      </c>
      <c r="E651" s="7"/>
    </row>
    <row r="652" spans="3:5">
      <c r="C652" s="17">
        <f t="shared" si="10"/>
        <v>0</v>
      </c>
      <c r="D652" s="17" t="str">
        <f>IF(C652=1,COUNTIF($C$1:$C652,1),"")</f>
        <v/>
      </c>
      <c r="E652" s="7"/>
    </row>
    <row r="653" spans="3:5">
      <c r="C653" s="17">
        <f t="shared" si="10"/>
        <v>0</v>
      </c>
      <c r="D653" s="17" t="str">
        <f>IF(C653=1,COUNTIF($C$1:$C653,1),"")</f>
        <v/>
      </c>
      <c r="E653" s="7"/>
    </row>
    <row r="654" spans="3:5">
      <c r="C654" s="17">
        <f t="shared" si="10"/>
        <v>0</v>
      </c>
      <c r="D654" s="17" t="str">
        <f>IF(C654=1,COUNTIF($C$1:$C654,1),"")</f>
        <v/>
      </c>
      <c r="E654" s="7"/>
    </row>
    <row r="655" spans="3:5">
      <c r="C655" s="17">
        <f t="shared" si="10"/>
        <v>0</v>
      </c>
      <c r="D655" s="17" t="str">
        <f>IF(C655=1,COUNTIF($C$1:$C655,1),"")</f>
        <v/>
      </c>
      <c r="E655" s="7"/>
    </row>
    <row r="656" spans="3:5">
      <c r="C656" s="17">
        <f t="shared" si="10"/>
        <v>0</v>
      </c>
      <c r="D656" s="17" t="str">
        <f>IF(C656=1,COUNTIF($C$1:$C656,1),"")</f>
        <v/>
      </c>
      <c r="E656" s="7"/>
    </row>
    <row r="657" spans="3:5">
      <c r="C657" s="17">
        <f t="shared" si="10"/>
        <v>0</v>
      </c>
      <c r="D657" s="17" t="str">
        <f>IF(C657=1,COUNTIF($C$1:$C657,1),"")</f>
        <v/>
      </c>
      <c r="E657" s="7"/>
    </row>
    <row r="658" spans="3:5">
      <c r="C658" s="17">
        <f t="shared" si="10"/>
        <v>0</v>
      </c>
      <c r="D658" s="17" t="str">
        <f>IF(C658=1,COUNTIF($C$1:$C658,1),"")</f>
        <v/>
      </c>
      <c r="E658" s="7"/>
    </row>
    <row r="659" spans="3:5">
      <c r="C659" s="17">
        <f t="shared" si="10"/>
        <v>0</v>
      </c>
      <c r="D659" s="17" t="str">
        <f>IF(C659=1,COUNTIF($C$1:$C659,1),"")</f>
        <v/>
      </c>
      <c r="E659" s="7"/>
    </row>
    <row r="660" spans="3:5">
      <c r="C660" s="17">
        <f t="shared" si="10"/>
        <v>0</v>
      </c>
      <c r="D660" s="17" t="str">
        <f>IF(C660=1,COUNTIF($C$1:$C660,1),"")</f>
        <v/>
      </c>
      <c r="E660" s="7"/>
    </row>
    <row r="661" spans="3:5">
      <c r="C661" s="17">
        <f t="shared" si="10"/>
        <v>0</v>
      </c>
      <c r="D661" s="17" t="str">
        <f>IF(C661=1,COUNTIF($C$1:$C661,1),"")</f>
        <v/>
      </c>
      <c r="E661" s="7"/>
    </row>
    <row r="662" spans="3:5">
      <c r="C662" s="17">
        <f t="shared" si="10"/>
        <v>0</v>
      </c>
      <c r="D662" s="17" t="str">
        <f>IF(C662=1,COUNTIF($C$1:$C662,1),"")</f>
        <v/>
      </c>
      <c r="E662" s="7"/>
    </row>
    <row r="663" spans="3:5">
      <c r="C663" s="17">
        <f t="shared" si="10"/>
        <v>0</v>
      </c>
      <c r="D663" s="17" t="str">
        <f>IF(C663=1,COUNTIF($C$1:$C663,1),"")</f>
        <v/>
      </c>
      <c r="E663" s="7"/>
    </row>
    <row r="664" spans="3:5">
      <c r="C664" s="17">
        <f t="shared" si="10"/>
        <v>0</v>
      </c>
      <c r="D664" s="17" t="str">
        <f>IF(C664=1,COUNTIF($C$1:$C664,1),"")</f>
        <v/>
      </c>
      <c r="E664" s="7"/>
    </row>
    <row r="665" spans="3:5">
      <c r="C665" s="17">
        <f t="shared" si="10"/>
        <v>0</v>
      </c>
      <c r="D665" s="17" t="str">
        <f>IF(C665=1,COUNTIF($C$1:$C665,1),"")</f>
        <v/>
      </c>
      <c r="E665" s="7"/>
    </row>
    <row r="666" spans="3:5">
      <c r="C666" s="17">
        <f t="shared" si="10"/>
        <v>0</v>
      </c>
      <c r="D666" s="17" t="str">
        <f>IF(C666=1,COUNTIF($C$1:$C666,1),"")</f>
        <v/>
      </c>
      <c r="E666" s="7"/>
    </row>
    <row r="667" spans="3:5">
      <c r="C667" s="17">
        <f t="shared" si="10"/>
        <v>0</v>
      </c>
      <c r="D667" s="17" t="str">
        <f>IF(C667=1,COUNTIF($C$1:$C667,1),"")</f>
        <v/>
      </c>
      <c r="E667" s="7"/>
    </row>
    <row r="668" spans="3:5">
      <c r="C668" s="17">
        <f t="shared" si="10"/>
        <v>0</v>
      </c>
      <c r="D668" s="17" t="str">
        <f>IF(C668=1,COUNTIF($C$1:$C668,1),"")</f>
        <v/>
      </c>
      <c r="E668" s="7"/>
    </row>
    <row r="669" spans="3:5">
      <c r="C669" s="17">
        <f t="shared" si="10"/>
        <v>0</v>
      </c>
      <c r="D669" s="17" t="str">
        <f>IF(C669=1,COUNTIF($C$1:$C669,1),"")</f>
        <v/>
      </c>
      <c r="E669" s="7"/>
    </row>
    <row r="670" spans="3:5">
      <c r="C670" s="17">
        <f t="shared" si="10"/>
        <v>0</v>
      </c>
      <c r="D670" s="17" t="str">
        <f>IF(C670=1,COUNTIF($C$1:$C670,1),"")</f>
        <v/>
      </c>
      <c r="E670" s="7"/>
    </row>
    <row r="671" spans="3:5">
      <c r="C671" s="17">
        <f t="shared" si="10"/>
        <v>0</v>
      </c>
      <c r="D671" s="17" t="str">
        <f>IF(C671=1,COUNTIF($C$1:$C671,1),"")</f>
        <v/>
      </c>
      <c r="E671" s="7"/>
    </row>
    <row r="672" spans="3:5">
      <c r="C672" s="17">
        <f t="shared" si="10"/>
        <v>0</v>
      </c>
      <c r="D672" s="17" t="str">
        <f>IF(C672=1,COUNTIF($C$1:$C672,1),"")</f>
        <v/>
      </c>
      <c r="E672" s="7"/>
    </row>
    <row r="673" spans="3:5">
      <c r="C673" s="17">
        <f t="shared" si="10"/>
        <v>0</v>
      </c>
      <c r="D673" s="17" t="str">
        <f>IF(C673=1,COUNTIF($C$1:$C673,1),"")</f>
        <v/>
      </c>
      <c r="E673" s="7"/>
    </row>
    <row r="674" spans="3:5">
      <c r="C674" s="17">
        <f t="shared" si="10"/>
        <v>0</v>
      </c>
      <c r="D674" s="17" t="str">
        <f>IF(C674=1,COUNTIF($C$1:$C674,1),"")</f>
        <v/>
      </c>
      <c r="E674" s="7"/>
    </row>
    <row r="675" spans="3:5">
      <c r="C675" s="17">
        <f t="shared" si="10"/>
        <v>0</v>
      </c>
      <c r="D675" s="17" t="str">
        <f>IF(C675=1,COUNTIF($C$1:$C675,1),"")</f>
        <v/>
      </c>
      <c r="E675" s="7"/>
    </row>
    <row r="676" spans="3:5">
      <c r="C676" s="17">
        <f t="shared" si="10"/>
        <v>0</v>
      </c>
      <c r="D676" s="17" t="str">
        <f>IF(C676=1,COUNTIF($C$1:$C676,1),"")</f>
        <v/>
      </c>
      <c r="E676" s="7"/>
    </row>
    <row r="677" spans="3:5">
      <c r="C677" s="17">
        <f t="shared" si="10"/>
        <v>0</v>
      </c>
      <c r="D677" s="17" t="str">
        <f>IF(C677=1,COUNTIF($C$1:$C677,1),"")</f>
        <v/>
      </c>
      <c r="E677" s="7"/>
    </row>
    <row r="678" spans="3:5">
      <c r="C678" s="17">
        <f t="shared" si="10"/>
        <v>0</v>
      </c>
      <c r="D678" s="17" t="str">
        <f>IF(C678=1,COUNTIF($C$1:$C678,1),"")</f>
        <v/>
      </c>
      <c r="E678" s="7"/>
    </row>
    <row r="679" spans="3:5">
      <c r="C679" s="17">
        <f t="shared" si="10"/>
        <v>0</v>
      </c>
      <c r="D679" s="17" t="str">
        <f>IF(C679=1,COUNTIF($C$1:$C679,1),"")</f>
        <v/>
      </c>
      <c r="E679" s="7"/>
    </row>
    <row r="680" spans="3:5">
      <c r="C680" s="17">
        <f t="shared" si="10"/>
        <v>0</v>
      </c>
      <c r="D680" s="17" t="str">
        <f>IF(C680=1,COUNTIF($C$1:$C680,1),"")</f>
        <v/>
      </c>
      <c r="E680" s="7"/>
    </row>
    <row r="681" spans="3:5">
      <c r="C681" s="17">
        <f t="shared" si="10"/>
        <v>0</v>
      </c>
      <c r="D681" s="17" t="str">
        <f>IF(C681=1,COUNTIF($C$1:$C681,1),"")</f>
        <v/>
      </c>
      <c r="E681" s="7"/>
    </row>
    <row r="682" spans="3:5">
      <c r="C682" s="17">
        <f t="shared" si="10"/>
        <v>0</v>
      </c>
      <c r="D682" s="17" t="str">
        <f>IF(C682=1,COUNTIF($C$1:$C682,1),"")</f>
        <v/>
      </c>
      <c r="E682" s="7"/>
    </row>
    <row r="683" spans="3:5">
      <c r="C683" s="17">
        <f t="shared" si="10"/>
        <v>0</v>
      </c>
      <c r="D683" s="17" t="str">
        <f>IF(C683=1,COUNTIF($C$1:$C683,1),"")</f>
        <v/>
      </c>
      <c r="E683" s="7"/>
    </row>
    <row r="684" spans="3:5">
      <c r="C684" s="17">
        <f t="shared" si="10"/>
        <v>0</v>
      </c>
      <c r="D684" s="17" t="str">
        <f>IF(C684=1,COUNTIF($C$1:$C684,1),"")</f>
        <v/>
      </c>
      <c r="E684" s="7"/>
    </row>
    <row r="685" spans="3:5">
      <c r="C685" s="17">
        <f t="shared" si="10"/>
        <v>0</v>
      </c>
      <c r="D685" s="17" t="str">
        <f>IF(C685=1,COUNTIF($C$1:$C685,1),"")</f>
        <v/>
      </c>
      <c r="E685" s="7"/>
    </row>
    <row r="686" spans="3:5">
      <c r="C686" s="17">
        <f t="shared" si="10"/>
        <v>0</v>
      </c>
      <c r="D686" s="17" t="str">
        <f>IF(C686=1,COUNTIF($C$1:$C686,1),"")</f>
        <v/>
      </c>
      <c r="E686" s="7"/>
    </row>
    <row r="687" spans="3:5">
      <c r="C687" s="17">
        <f t="shared" si="10"/>
        <v>0</v>
      </c>
      <c r="D687" s="17" t="str">
        <f>IF(C687=1,COUNTIF($C$1:$C687,1),"")</f>
        <v/>
      </c>
      <c r="E687" s="7"/>
    </row>
    <row r="688" spans="3:5">
      <c r="C688" s="17">
        <f t="shared" si="10"/>
        <v>0</v>
      </c>
      <c r="D688" s="17" t="str">
        <f>IF(C688=1,COUNTIF($C$1:$C688,1),"")</f>
        <v/>
      </c>
      <c r="E688" s="7"/>
    </row>
    <row r="689" spans="3:5">
      <c r="C689" s="17">
        <f t="shared" si="10"/>
        <v>0</v>
      </c>
      <c r="D689" s="17" t="str">
        <f>IF(C689=1,COUNTIF($C$1:$C689,1),"")</f>
        <v/>
      </c>
      <c r="E689" s="7"/>
    </row>
    <row r="690" spans="3:5">
      <c r="C690" s="17">
        <f t="shared" si="10"/>
        <v>0</v>
      </c>
      <c r="D690" s="17" t="str">
        <f>IF(C690=1,COUNTIF($C$1:$C690,1),"")</f>
        <v/>
      </c>
      <c r="E690" s="7"/>
    </row>
    <row r="691" spans="3:5">
      <c r="C691" s="17">
        <f t="shared" si="10"/>
        <v>0</v>
      </c>
      <c r="D691" s="17" t="str">
        <f>IF(C691=1,COUNTIF($C$1:$C691,1),"")</f>
        <v/>
      </c>
      <c r="E691" s="7"/>
    </row>
    <row r="692" spans="3:5">
      <c r="C692" s="17">
        <f t="shared" si="10"/>
        <v>0</v>
      </c>
      <c r="D692" s="17" t="str">
        <f>IF(C692=1,COUNTIF($C$1:$C692,1),"")</f>
        <v/>
      </c>
      <c r="E692" s="7"/>
    </row>
    <row r="693" spans="3:5">
      <c r="C693" s="17">
        <f t="shared" si="10"/>
        <v>0</v>
      </c>
      <c r="D693" s="17" t="str">
        <f>IF(C693=1,COUNTIF($C$1:$C693,1),"")</f>
        <v/>
      </c>
      <c r="E693" s="7"/>
    </row>
    <row r="694" spans="3:5">
      <c r="C694" s="17">
        <f t="shared" si="10"/>
        <v>0</v>
      </c>
      <c r="D694" s="17" t="str">
        <f>IF(C694=1,COUNTIF($C$1:$C694,1),"")</f>
        <v/>
      </c>
      <c r="E694" s="7"/>
    </row>
    <row r="695" spans="3:5">
      <c r="C695" s="17">
        <f t="shared" si="10"/>
        <v>0</v>
      </c>
      <c r="D695" s="17" t="str">
        <f>IF(C695=1,COUNTIF($C$1:$C695,1),"")</f>
        <v/>
      </c>
      <c r="E695" s="7"/>
    </row>
    <row r="696" spans="3:5">
      <c r="C696" s="17">
        <f t="shared" si="10"/>
        <v>0</v>
      </c>
      <c r="D696" s="17" t="str">
        <f>IF(C696=1,COUNTIF($C$1:$C696,1),"")</f>
        <v/>
      </c>
      <c r="E696" s="7"/>
    </row>
    <row r="697" spans="3:5">
      <c r="C697" s="17">
        <f t="shared" si="10"/>
        <v>0</v>
      </c>
      <c r="D697" s="17" t="str">
        <f>IF(C697=1,COUNTIF($C$1:$C697,1),"")</f>
        <v/>
      </c>
      <c r="E697" s="7"/>
    </row>
    <row r="698" spans="3:5">
      <c r="C698" s="17">
        <f t="shared" si="10"/>
        <v>0</v>
      </c>
      <c r="D698" s="17" t="str">
        <f>IF(C698=1,COUNTIF($C$1:$C698,1),"")</f>
        <v/>
      </c>
      <c r="E698" s="7"/>
    </row>
    <row r="699" spans="3:5">
      <c r="C699" s="17">
        <f t="shared" si="10"/>
        <v>0</v>
      </c>
      <c r="D699" s="17" t="str">
        <f>IF(C699=1,COUNTIF($C$1:$C699,1),"")</f>
        <v/>
      </c>
      <c r="E699" s="7"/>
    </row>
    <row r="700" spans="3:5">
      <c r="C700" s="17">
        <f t="shared" si="10"/>
        <v>0</v>
      </c>
      <c r="D700" s="17" t="str">
        <f>IF(C700=1,COUNTIF($C$1:$C700,1),"")</f>
        <v/>
      </c>
      <c r="E700" s="7"/>
    </row>
    <row r="701" spans="3:5">
      <c r="C701" s="17">
        <f t="shared" si="10"/>
        <v>0</v>
      </c>
      <c r="D701" s="17" t="str">
        <f>IF(C701=1,COUNTIF($C$1:$C701,1),"")</f>
        <v/>
      </c>
      <c r="E701" s="7"/>
    </row>
    <row r="702" spans="3:5">
      <c r="C702" s="17">
        <f t="shared" si="10"/>
        <v>0</v>
      </c>
      <c r="D702" s="17" t="str">
        <f>IF(C702=1,COUNTIF($C$1:$C702,1),"")</f>
        <v/>
      </c>
      <c r="E702" s="7"/>
    </row>
    <row r="703" spans="3:5">
      <c r="C703" s="17">
        <f t="shared" si="10"/>
        <v>0</v>
      </c>
      <c r="D703" s="17" t="str">
        <f>IF(C703=1,COUNTIF($C$1:$C703,1),"")</f>
        <v/>
      </c>
      <c r="E703" s="7"/>
    </row>
    <row r="704" spans="3:5">
      <c r="C704" s="17">
        <f t="shared" si="10"/>
        <v>0</v>
      </c>
      <c r="D704" s="17" t="str">
        <f>IF(C704=1,COUNTIF($C$1:$C704,1),"")</f>
        <v/>
      </c>
      <c r="E704" s="7"/>
    </row>
    <row r="705" spans="3:5">
      <c r="C705" s="17">
        <f t="shared" si="10"/>
        <v>0</v>
      </c>
      <c r="D705" s="17" t="str">
        <f>IF(C705=1,COUNTIF($C$1:$C705,1),"")</f>
        <v/>
      </c>
      <c r="E705" s="7"/>
    </row>
    <row r="706" spans="3:5">
      <c r="C706" s="17">
        <f t="shared" ref="C706:C769" si="11">--ISNUMBER(SEARCH($B$1,A706))</f>
        <v>0</v>
      </c>
      <c r="D706" s="17" t="str">
        <f>IF(C706=1,COUNTIF($C$1:$C706,1),"")</f>
        <v/>
      </c>
      <c r="E706" s="7"/>
    </row>
    <row r="707" spans="3:5">
      <c r="C707" s="17">
        <f t="shared" si="11"/>
        <v>0</v>
      </c>
      <c r="D707" s="17" t="str">
        <f>IF(C707=1,COUNTIF($C$1:$C707,1),"")</f>
        <v/>
      </c>
      <c r="E707" s="7"/>
    </row>
    <row r="708" spans="3:5">
      <c r="C708" s="17">
        <f t="shared" si="11"/>
        <v>0</v>
      </c>
      <c r="D708" s="17" t="str">
        <f>IF(C708=1,COUNTIF($C$1:$C708,1),"")</f>
        <v/>
      </c>
      <c r="E708" s="7"/>
    </row>
    <row r="709" spans="3:5">
      <c r="C709" s="17">
        <f t="shared" si="11"/>
        <v>0</v>
      </c>
      <c r="D709" s="17" t="str">
        <f>IF(C709=1,COUNTIF($C$1:$C709,1),"")</f>
        <v/>
      </c>
      <c r="E709" s="7"/>
    </row>
    <row r="710" spans="3:5">
      <c r="C710" s="17">
        <f t="shared" si="11"/>
        <v>0</v>
      </c>
      <c r="D710" s="17" t="str">
        <f>IF(C710=1,COUNTIF($C$1:$C710,1),"")</f>
        <v/>
      </c>
      <c r="E710" s="7"/>
    </row>
    <row r="711" spans="3:5">
      <c r="C711" s="17">
        <f t="shared" si="11"/>
        <v>0</v>
      </c>
      <c r="D711" s="17" t="str">
        <f>IF(C711=1,COUNTIF($C$1:$C711,1),"")</f>
        <v/>
      </c>
      <c r="E711" s="7"/>
    </row>
    <row r="712" spans="3:5">
      <c r="C712" s="17">
        <f t="shared" si="11"/>
        <v>0</v>
      </c>
      <c r="D712" s="17" t="str">
        <f>IF(C712=1,COUNTIF($C$1:$C712,1),"")</f>
        <v/>
      </c>
      <c r="E712" s="7"/>
    </row>
    <row r="713" spans="3:5">
      <c r="C713" s="17">
        <f t="shared" si="11"/>
        <v>0</v>
      </c>
      <c r="D713" s="17" t="str">
        <f>IF(C713=1,COUNTIF($C$1:$C713,1),"")</f>
        <v/>
      </c>
      <c r="E713" s="7"/>
    </row>
    <row r="714" spans="3:5">
      <c r="C714" s="17">
        <f t="shared" si="11"/>
        <v>0</v>
      </c>
      <c r="D714" s="17" t="str">
        <f>IF(C714=1,COUNTIF($C$1:$C714,1),"")</f>
        <v/>
      </c>
      <c r="E714" s="7"/>
    </row>
    <row r="715" spans="3:5">
      <c r="C715" s="17">
        <f t="shared" si="11"/>
        <v>0</v>
      </c>
      <c r="D715" s="17" t="str">
        <f>IF(C715=1,COUNTIF($C$1:$C715,1),"")</f>
        <v/>
      </c>
      <c r="E715" s="7"/>
    </row>
    <row r="716" spans="3:5">
      <c r="C716" s="17">
        <f t="shared" si="11"/>
        <v>0</v>
      </c>
      <c r="D716" s="17" t="str">
        <f>IF(C716=1,COUNTIF($C$1:$C716,1),"")</f>
        <v/>
      </c>
      <c r="E716" s="7"/>
    </row>
    <row r="717" spans="3:5">
      <c r="C717" s="17">
        <f t="shared" si="11"/>
        <v>0</v>
      </c>
      <c r="D717" s="17" t="str">
        <f>IF(C717=1,COUNTIF($C$1:$C717,1),"")</f>
        <v/>
      </c>
      <c r="E717" s="7"/>
    </row>
    <row r="718" spans="3:5">
      <c r="C718" s="17">
        <f t="shared" si="11"/>
        <v>0</v>
      </c>
      <c r="D718" s="17" t="str">
        <f>IF(C718=1,COUNTIF($C$1:$C718,1),"")</f>
        <v/>
      </c>
      <c r="E718" s="7"/>
    </row>
    <row r="719" spans="3:5">
      <c r="C719" s="17">
        <f t="shared" si="11"/>
        <v>0</v>
      </c>
      <c r="D719" s="17" t="str">
        <f>IF(C719=1,COUNTIF($C$1:$C719,1),"")</f>
        <v/>
      </c>
      <c r="E719" s="7"/>
    </row>
    <row r="720" spans="3:5">
      <c r="C720" s="17">
        <f t="shared" si="11"/>
        <v>0</v>
      </c>
      <c r="D720" s="17" t="str">
        <f>IF(C720=1,COUNTIF($C$1:$C720,1),"")</f>
        <v/>
      </c>
      <c r="E720" s="7"/>
    </row>
    <row r="721" spans="3:5">
      <c r="C721" s="17">
        <f t="shared" si="11"/>
        <v>0</v>
      </c>
      <c r="D721" s="17" t="str">
        <f>IF(C721=1,COUNTIF($C$1:$C721,1),"")</f>
        <v/>
      </c>
      <c r="E721" s="7"/>
    </row>
    <row r="722" spans="3:5">
      <c r="C722" s="17">
        <f t="shared" si="11"/>
        <v>0</v>
      </c>
      <c r="D722" s="17" t="str">
        <f>IF(C722=1,COUNTIF($C$1:$C722,1),"")</f>
        <v/>
      </c>
      <c r="E722" s="7"/>
    </row>
    <row r="723" spans="3:5">
      <c r="C723" s="17">
        <f t="shared" si="11"/>
        <v>0</v>
      </c>
      <c r="D723" s="17" t="str">
        <f>IF(C723=1,COUNTIF($C$1:$C723,1),"")</f>
        <v/>
      </c>
      <c r="E723" s="7"/>
    </row>
    <row r="724" spans="3:5">
      <c r="C724" s="17">
        <f t="shared" si="11"/>
        <v>0</v>
      </c>
      <c r="D724" s="17" t="str">
        <f>IF(C724=1,COUNTIF($C$1:$C724,1),"")</f>
        <v/>
      </c>
      <c r="E724" s="7"/>
    </row>
    <row r="725" spans="3:5">
      <c r="C725" s="17">
        <f t="shared" si="11"/>
        <v>0</v>
      </c>
      <c r="D725" s="17" t="str">
        <f>IF(C725=1,COUNTIF($C$1:$C725,1),"")</f>
        <v/>
      </c>
      <c r="E725" s="7"/>
    </row>
    <row r="726" spans="3:5">
      <c r="C726" s="17">
        <f t="shared" si="11"/>
        <v>0</v>
      </c>
      <c r="D726" s="17" t="str">
        <f>IF(C726=1,COUNTIF($C$1:$C726,1),"")</f>
        <v/>
      </c>
      <c r="E726" s="7"/>
    </row>
    <row r="727" spans="3:5">
      <c r="C727" s="17">
        <f t="shared" si="11"/>
        <v>0</v>
      </c>
      <c r="D727" s="17" t="str">
        <f>IF(C727=1,COUNTIF($C$1:$C727,1),"")</f>
        <v/>
      </c>
      <c r="E727" s="7"/>
    </row>
    <row r="728" spans="3:5">
      <c r="C728" s="17">
        <f t="shared" si="11"/>
        <v>0</v>
      </c>
      <c r="D728" s="17" t="str">
        <f>IF(C728=1,COUNTIF($C$1:$C728,1),"")</f>
        <v/>
      </c>
      <c r="E728" s="7"/>
    </row>
    <row r="729" spans="3:5">
      <c r="C729" s="17">
        <f t="shared" si="11"/>
        <v>0</v>
      </c>
      <c r="D729" s="17" t="str">
        <f>IF(C729=1,COUNTIF($C$1:$C729,1),"")</f>
        <v/>
      </c>
      <c r="E729" s="7"/>
    </row>
    <row r="730" spans="3:5">
      <c r="C730" s="17">
        <f t="shared" si="11"/>
        <v>0</v>
      </c>
      <c r="D730" s="17" t="str">
        <f>IF(C730=1,COUNTIF($C$1:$C730,1),"")</f>
        <v/>
      </c>
      <c r="E730" s="7"/>
    </row>
    <row r="731" spans="3:5">
      <c r="C731" s="17">
        <f t="shared" si="11"/>
        <v>0</v>
      </c>
      <c r="D731" s="17" t="str">
        <f>IF(C731=1,COUNTIF($C$1:$C731,1),"")</f>
        <v/>
      </c>
      <c r="E731" s="7"/>
    </row>
    <row r="732" spans="3:5">
      <c r="C732" s="17">
        <f t="shared" si="11"/>
        <v>0</v>
      </c>
      <c r="D732" s="17" t="str">
        <f>IF(C732=1,COUNTIF($C$1:$C732,1),"")</f>
        <v/>
      </c>
      <c r="E732" s="7"/>
    </row>
    <row r="733" spans="3:5">
      <c r="C733" s="17">
        <f t="shared" si="11"/>
        <v>0</v>
      </c>
      <c r="D733" s="17" t="str">
        <f>IF(C733=1,COUNTIF($C$1:$C733,1),"")</f>
        <v/>
      </c>
      <c r="E733" s="7"/>
    </row>
    <row r="734" spans="3:5">
      <c r="C734" s="17">
        <f t="shared" si="11"/>
        <v>0</v>
      </c>
      <c r="D734" s="17" t="str">
        <f>IF(C734=1,COUNTIF($C$1:$C734,1),"")</f>
        <v/>
      </c>
      <c r="E734" s="7"/>
    </row>
    <row r="735" spans="3:5">
      <c r="C735" s="17">
        <f t="shared" si="11"/>
        <v>0</v>
      </c>
      <c r="D735" s="17" t="str">
        <f>IF(C735=1,COUNTIF($C$1:$C735,1),"")</f>
        <v/>
      </c>
      <c r="E735" s="7"/>
    </row>
    <row r="736" spans="3:5">
      <c r="C736" s="17">
        <f t="shared" si="11"/>
        <v>0</v>
      </c>
      <c r="D736" s="17" t="str">
        <f>IF(C736=1,COUNTIF($C$1:$C736,1),"")</f>
        <v/>
      </c>
      <c r="E736" s="7"/>
    </row>
    <row r="737" spans="3:5">
      <c r="C737" s="17">
        <f t="shared" si="11"/>
        <v>0</v>
      </c>
      <c r="D737" s="17" t="str">
        <f>IF(C737=1,COUNTIF($C$1:$C737,1),"")</f>
        <v/>
      </c>
      <c r="E737" s="7"/>
    </row>
    <row r="738" spans="3:5">
      <c r="C738" s="17">
        <f t="shared" si="11"/>
        <v>0</v>
      </c>
      <c r="D738" s="17" t="str">
        <f>IF(C738=1,COUNTIF($C$1:$C738,1),"")</f>
        <v/>
      </c>
      <c r="E738" s="7"/>
    </row>
    <row r="739" spans="3:5">
      <c r="C739" s="17">
        <f t="shared" si="11"/>
        <v>0</v>
      </c>
      <c r="D739" s="17" t="str">
        <f>IF(C739=1,COUNTIF($C$1:$C739,1),"")</f>
        <v/>
      </c>
      <c r="E739" s="7"/>
    </row>
    <row r="740" spans="3:5">
      <c r="C740" s="17">
        <f t="shared" si="11"/>
        <v>0</v>
      </c>
      <c r="D740" s="17" t="str">
        <f>IF(C740=1,COUNTIF($C$1:$C740,1),"")</f>
        <v/>
      </c>
      <c r="E740" s="7" t="str">
        <f>IFERROR(INDEX($A$1:$A$5000,MATCH(ROWS($D$1:$D740),$D$1:$D$5000,0)),"")</f>
        <v/>
      </c>
    </row>
    <row r="741" spans="3:5">
      <c r="C741" s="17">
        <f t="shared" si="11"/>
        <v>0</v>
      </c>
      <c r="D741" s="17" t="str">
        <f>IF(C741=1,COUNTIF($C$1:$C741,1),"")</f>
        <v/>
      </c>
      <c r="E741" s="7" t="str">
        <f>IFERROR(INDEX($A$1:$A$5000,MATCH(ROWS($D$1:$D741),$D$1:$D$5000,0)),"")</f>
        <v/>
      </c>
    </row>
    <row r="742" spans="3:5">
      <c r="C742" s="17">
        <f t="shared" si="11"/>
        <v>0</v>
      </c>
      <c r="D742" s="17" t="str">
        <f>IF(C742=1,COUNTIF($C$1:$C742,1),"")</f>
        <v/>
      </c>
      <c r="E742" s="7" t="str">
        <f>IFERROR(INDEX($A$1:$A$5000,MATCH(ROWS($D$1:$D742),$D$1:$D$5000,0)),"")</f>
        <v/>
      </c>
    </row>
    <row r="743" spans="3:5">
      <c r="C743" s="17">
        <f t="shared" si="11"/>
        <v>0</v>
      </c>
      <c r="D743" s="17" t="str">
        <f>IF(C743=1,COUNTIF($C$1:$C743,1),"")</f>
        <v/>
      </c>
      <c r="E743" s="7" t="str">
        <f>IFERROR(INDEX($A$1:$A$5000,MATCH(ROWS($D$1:$D743),$D$1:$D$5000,0)),"")</f>
        <v/>
      </c>
    </row>
    <row r="744" spans="3:5">
      <c r="C744" s="17">
        <f t="shared" si="11"/>
        <v>0</v>
      </c>
      <c r="D744" s="17" t="str">
        <f>IF(C744=1,COUNTIF($C$1:$C744,1),"")</f>
        <v/>
      </c>
      <c r="E744" s="7" t="str">
        <f>IFERROR(INDEX($A$1:$A$5000,MATCH(ROWS($D$1:$D744),$D$1:$D$5000,0)),"")</f>
        <v/>
      </c>
    </row>
    <row r="745" spans="3:5">
      <c r="C745" s="17">
        <f t="shared" si="11"/>
        <v>0</v>
      </c>
      <c r="D745" s="17" t="str">
        <f>IF(C745=1,COUNTIF($C$1:$C745,1),"")</f>
        <v/>
      </c>
      <c r="E745" s="7" t="str">
        <f>IFERROR(INDEX($A$1:$A$5000,MATCH(ROWS($D$1:$D745),$D$1:$D$5000,0)),"")</f>
        <v/>
      </c>
    </row>
    <row r="746" spans="3:5">
      <c r="C746" s="17">
        <f t="shared" si="11"/>
        <v>0</v>
      </c>
      <c r="D746" s="17" t="str">
        <f>IF(C746=1,COUNTIF($C$1:$C746,1),"")</f>
        <v/>
      </c>
      <c r="E746" s="7" t="str">
        <f>IFERROR(INDEX($A$1:$A$5000,MATCH(ROWS($D$1:$D746),$D$1:$D$5000,0)),"")</f>
        <v/>
      </c>
    </row>
    <row r="747" spans="3:5">
      <c r="C747" s="17">
        <f t="shared" si="11"/>
        <v>0</v>
      </c>
      <c r="D747" s="17" t="str">
        <f>IF(C747=1,COUNTIF($C$1:$C747,1),"")</f>
        <v/>
      </c>
      <c r="E747" s="7" t="str">
        <f>IFERROR(INDEX($A$1:$A$5000,MATCH(ROWS($D$1:$D747),$D$1:$D$5000,0)),"")</f>
        <v/>
      </c>
    </row>
    <row r="748" spans="3:5">
      <c r="C748" s="17">
        <f t="shared" si="11"/>
        <v>0</v>
      </c>
      <c r="D748" s="17" t="str">
        <f>IF(C748=1,COUNTIF($C$1:$C748,1),"")</f>
        <v/>
      </c>
      <c r="E748" s="7" t="str">
        <f>IFERROR(INDEX($A$1:$A$5000,MATCH(ROWS($D$1:$D748),$D$1:$D$5000,0)),"")</f>
        <v/>
      </c>
    </row>
    <row r="749" spans="3:5">
      <c r="C749" s="17">
        <f t="shared" si="11"/>
        <v>0</v>
      </c>
      <c r="D749" s="17" t="str">
        <f>IF(C749=1,COUNTIF($C$1:$C749,1),"")</f>
        <v/>
      </c>
      <c r="E749" s="7" t="str">
        <f>IFERROR(INDEX($A$1:$A$5000,MATCH(ROWS($D$1:$D749),$D$1:$D$5000,0)),"")</f>
        <v/>
      </c>
    </row>
    <row r="750" spans="3:5">
      <c r="C750" s="17">
        <f t="shared" si="11"/>
        <v>0</v>
      </c>
      <c r="D750" s="17" t="str">
        <f>IF(C750=1,COUNTIF($C$1:$C750,1),"")</f>
        <v/>
      </c>
      <c r="E750" s="7" t="str">
        <f>IFERROR(INDEX($A$1:$A$5000,MATCH(ROWS($D$1:$D750),$D$1:$D$5000,0)),"")</f>
        <v/>
      </c>
    </row>
    <row r="751" spans="3:5">
      <c r="C751" s="17">
        <f t="shared" si="11"/>
        <v>0</v>
      </c>
      <c r="D751" s="17" t="str">
        <f>IF(C751=1,COUNTIF($C$1:$C751,1),"")</f>
        <v/>
      </c>
      <c r="E751" s="7" t="str">
        <f>IFERROR(INDEX($A$1:$A$5000,MATCH(ROWS($D$1:$D751),$D$1:$D$5000,0)),"")</f>
        <v/>
      </c>
    </row>
    <row r="752" spans="3:5">
      <c r="C752" s="17">
        <f t="shared" si="11"/>
        <v>0</v>
      </c>
      <c r="D752" s="17" t="str">
        <f>IF(C752=1,COUNTIF($C$1:$C752,1),"")</f>
        <v/>
      </c>
      <c r="E752" s="7" t="str">
        <f>IFERROR(INDEX($A$1:$A$5000,MATCH(ROWS($D$1:$D752),$D$1:$D$5000,0)),"")</f>
        <v/>
      </c>
    </row>
    <row r="753" spans="3:5">
      <c r="C753" s="17">
        <f t="shared" si="11"/>
        <v>0</v>
      </c>
      <c r="D753" s="17" t="str">
        <f>IF(C753=1,COUNTIF($C$1:$C753,1),"")</f>
        <v/>
      </c>
      <c r="E753" s="7" t="str">
        <f>IFERROR(INDEX($A$1:$A$5000,MATCH(ROWS($D$1:$D753),$D$1:$D$5000,0)),"")</f>
        <v/>
      </c>
    </row>
    <row r="754" spans="3:5">
      <c r="C754" s="17">
        <f t="shared" si="11"/>
        <v>0</v>
      </c>
      <c r="D754" s="17" t="str">
        <f>IF(C754=1,COUNTIF($C$1:$C754,1),"")</f>
        <v/>
      </c>
      <c r="E754" s="7" t="str">
        <f>IFERROR(INDEX($A$1:$A$5000,MATCH(ROWS($D$1:$D754),$D$1:$D$5000,0)),"")</f>
        <v/>
      </c>
    </row>
    <row r="755" spans="3:5">
      <c r="C755" s="17">
        <f t="shared" si="11"/>
        <v>0</v>
      </c>
      <c r="D755" s="17" t="str">
        <f>IF(C755=1,COUNTIF($C$1:$C755,1),"")</f>
        <v/>
      </c>
      <c r="E755" s="7" t="str">
        <f>IFERROR(INDEX($A$1:$A$5000,MATCH(ROWS($D$1:$D755),$D$1:$D$5000,0)),"")</f>
        <v/>
      </c>
    </row>
    <row r="756" spans="3:5">
      <c r="C756" s="17">
        <f t="shared" si="11"/>
        <v>0</v>
      </c>
      <c r="D756" s="17" t="str">
        <f>IF(C756=1,COUNTIF($C$1:$C756,1),"")</f>
        <v/>
      </c>
      <c r="E756" s="7" t="str">
        <f>IFERROR(INDEX($A$1:$A$5000,MATCH(ROWS($D$1:$D756),$D$1:$D$5000,0)),"")</f>
        <v/>
      </c>
    </row>
    <row r="757" spans="3:5">
      <c r="C757" s="17">
        <f t="shared" si="11"/>
        <v>0</v>
      </c>
      <c r="D757" s="17" t="str">
        <f>IF(C757=1,COUNTIF($C$1:$C757,1),"")</f>
        <v/>
      </c>
      <c r="E757" s="7" t="str">
        <f>IFERROR(INDEX($A$1:$A$5000,MATCH(ROWS($D$1:$D757),$D$1:$D$5000,0)),"")</f>
        <v/>
      </c>
    </row>
    <row r="758" spans="3:5">
      <c r="C758" s="17">
        <f t="shared" si="11"/>
        <v>0</v>
      </c>
      <c r="D758" s="17" t="str">
        <f>IF(C758=1,COUNTIF($C$1:$C758,1),"")</f>
        <v/>
      </c>
      <c r="E758" s="7" t="str">
        <f>IFERROR(INDEX($A$1:$A$5000,MATCH(ROWS($D$1:$D758),$D$1:$D$5000,0)),"")</f>
        <v/>
      </c>
    </row>
    <row r="759" spans="3:5">
      <c r="C759" s="17">
        <f t="shared" si="11"/>
        <v>0</v>
      </c>
      <c r="D759" s="17" t="str">
        <f>IF(C759=1,COUNTIF($C$1:$C759,1),"")</f>
        <v/>
      </c>
      <c r="E759" s="7" t="str">
        <f>IFERROR(INDEX($A$1:$A$5000,MATCH(ROWS($D$1:$D759),$D$1:$D$5000,0)),"")</f>
        <v/>
      </c>
    </row>
    <row r="760" spans="3:5">
      <c r="C760" s="17">
        <f t="shared" si="11"/>
        <v>0</v>
      </c>
      <c r="D760" s="17" t="str">
        <f>IF(C760=1,COUNTIF($C$1:$C760,1),"")</f>
        <v/>
      </c>
      <c r="E760" s="7" t="str">
        <f>IFERROR(INDEX($A$1:$A$5000,MATCH(ROWS($D$1:$D760),$D$1:$D$5000,0)),"")</f>
        <v/>
      </c>
    </row>
    <row r="761" spans="3:5">
      <c r="C761" s="17">
        <f t="shared" si="11"/>
        <v>0</v>
      </c>
      <c r="D761" s="17" t="str">
        <f>IF(C761=1,COUNTIF($C$1:$C761,1),"")</f>
        <v/>
      </c>
      <c r="E761" s="7" t="str">
        <f>IFERROR(INDEX($A$1:$A$5000,MATCH(ROWS($D$1:$D761),$D$1:$D$5000,0)),"")</f>
        <v/>
      </c>
    </row>
    <row r="762" spans="3:5">
      <c r="C762" s="17">
        <f t="shared" si="11"/>
        <v>0</v>
      </c>
      <c r="D762" s="17" t="str">
        <f>IF(C762=1,COUNTIF($C$1:$C762,1),"")</f>
        <v/>
      </c>
      <c r="E762" s="7" t="str">
        <f>IFERROR(INDEX($A$1:$A$5000,MATCH(ROWS($D$1:$D762),$D$1:$D$5000,0)),"")</f>
        <v/>
      </c>
    </row>
    <row r="763" spans="3:5">
      <c r="C763" s="17">
        <f t="shared" si="11"/>
        <v>0</v>
      </c>
      <c r="D763" s="17" t="str">
        <f>IF(C763=1,COUNTIF($C$1:$C763,1),"")</f>
        <v/>
      </c>
      <c r="E763" s="7" t="str">
        <f>IFERROR(INDEX($A$1:$A$5000,MATCH(ROWS($D$1:$D763),$D$1:$D$5000,0)),"")</f>
        <v/>
      </c>
    </row>
    <row r="764" spans="3:5">
      <c r="C764" s="17">
        <f t="shared" si="11"/>
        <v>0</v>
      </c>
      <c r="D764" s="17" t="str">
        <f>IF(C764=1,COUNTIF($C$1:$C764,1),"")</f>
        <v/>
      </c>
      <c r="E764" s="7" t="str">
        <f>IFERROR(INDEX($A$1:$A$5000,MATCH(ROWS($D$1:$D764),$D$1:$D$5000,0)),"")</f>
        <v/>
      </c>
    </row>
    <row r="765" spans="3:5">
      <c r="C765" s="17">
        <f t="shared" si="11"/>
        <v>0</v>
      </c>
      <c r="D765" s="17" t="str">
        <f>IF(C765=1,COUNTIF($C$1:$C765,1),"")</f>
        <v/>
      </c>
      <c r="E765" s="7" t="str">
        <f>IFERROR(INDEX($A$1:$A$5000,MATCH(ROWS($D$1:$D765),$D$1:$D$5000,0)),"")</f>
        <v/>
      </c>
    </row>
    <row r="766" spans="3:5">
      <c r="C766" s="17">
        <f t="shared" si="11"/>
        <v>0</v>
      </c>
      <c r="D766" s="17" t="str">
        <f>IF(C766=1,COUNTIF($C$1:$C766,1),"")</f>
        <v/>
      </c>
      <c r="E766" s="7" t="str">
        <f>IFERROR(INDEX($A$1:$A$5000,MATCH(ROWS($D$1:$D766),$D$1:$D$5000,0)),"")</f>
        <v/>
      </c>
    </row>
    <row r="767" spans="3:5">
      <c r="C767" s="17">
        <f t="shared" si="11"/>
        <v>0</v>
      </c>
      <c r="D767" s="17" t="str">
        <f>IF(C767=1,COUNTIF($C$1:$C767,1),"")</f>
        <v/>
      </c>
      <c r="E767" s="7" t="str">
        <f>IFERROR(INDEX($A$1:$A$5000,MATCH(ROWS($D$1:$D767),$D$1:$D$5000,0)),"")</f>
        <v/>
      </c>
    </row>
    <row r="768" spans="3:5">
      <c r="C768" s="17">
        <f t="shared" si="11"/>
        <v>0</v>
      </c>
      <c r="D768" s="17" t="str">
        <f>IF(C768=1,COUNTIF($C$1:$C768,1),"")</f>
        <v/>
      </c>
      <c r="E768" s="7" t="str">
        <f>IFERROR(INDEX($A$1:$A$5000,MATCH(ROWS($D$1:$D768),$D$1:$D$5000,0)),"")</f>
        <v/>
      </c>
    </row>
    <row r="769" spans="3:5">
      <c r="C769" s="17">
        <f t="shared" si="11"/>
        <v>0</v>
      </c>
      <c r="D769" s="17" t="str">
        <f>IF(C769=1,COUNTIF($C$1:$C769,1),"")</f>
        <v/>
      </c>
      <c r="E769" s="7" t="str">
        <f>IFERROR(INDEX($A$1:$A$5000,MATCH(ROWS($D$1:$D769),$D$1:$D$5000,0)),"")</f>
        <v/>
      </c>
    </row>
    <row r="770" spans="3:5">
      <c r="C770" s="17">
        <f t="shared" ref="C770:C833" si="12">--ISNUMBER(SEARCH($B$1,A770))</f>
        <v>0</v>
      </c>
      <c r="D770" s="17" t="str">
        <f>IF(C770=1,COUNTIF($C$1:$C770,1),"")</f>
        <v/>
      </c>
      <c r="E770" s="7" t="str">
        <f>IFERROR(INDEX($A$1:$A$5000,MATCH(ROWS($D$1:$D770),$D$1:$D$5000,0)),"")</f>
        <v/>
      </c>
    </row>
    <row r="771" spans="3:5">
      <c r="C771" s="17">
        <f t="shared" si="12"/>
        <v>0</v>
      </c>
      <c r="D771" s="17" t="str">
        <f>IF(C771=1,COUNTIF($C$1:$C771,1),"")</f>
        <v/>
      </c>
      <c r="E771" s="7" t="str">
        <f>IFERROR(INDEX($A$1:$A$5000,MATCH(ROWS($D$1:$D771),$D$1:$D$5000,0)),"")</f>
        <v/>
      </c>
    </row>
    <row r="772" spans="3:5">
      <c r="C772" s="17">
        <f t="shared" si="12"/>
        <v>0</v>
      </c>
      <c r="D772" s="17" t="str">
        <f>IF(C772=1,COUNTIF($C$1:$C772,1),"")</f>
        <v/>
      </c>
      <c r="E772" s="7" t="str">
        <f>IFERROR(INDEX($A$1:$A$5000,MATCH(ROWS($D$1:$D772),$D$1:$D$5000,0)),"")</f>
        <v/>
      </c>
    </row>
    <row r="773" spans="3:5">
      <c r="C773" s="17">
        <f t="shared" si="12"/>
        <v>0</v>
      </c>
      <c r="D773" s="17" t="str">
        <f>IF(C773=1,COUNTIF($C$1:$C773,1),"")</f>
        <v/>
      </c>
      <c r="E773" s="7" t="str">
        <f>IFERROR(INDEX($A$1:$A$5000,MATCH(ROWS($D$1:$D773),$D$1:$D$5000,0)),"")</f>
        <v/>
      </c>
    </row>
    <row r="774" spans="3:5">
      <c r="C774" s="17">
        <f t="shared" si="12"/>
        <v>0</v>
      </c>
      <c r="D774" s="17" t="str">
        <f>IF(C774=1,COUNTIF($C$1:$C774,1),"")</f>
        <v/>
      </c>
      <c r="E774" s="7" t="str">
        <f>IFERROR(INDEX($A$1:$A$5000,MATCH(ROWS($D$1:$D774),$D$1:$D$5000,0)),"")</f>
        <v/>
      </c>
    </row>
    <row r="775" spans="3:5">
      <c r="C775" s="17">
        <f t="shared" si="12"/>
        <v>0</v>
      </c>
      <c r="D775" s="17" t="str">
        <f>IF(C775=1,COUNTIF($C$1:$C775,1),"")</f>
        <v/>
      </c>
      <c r="E775" s="7" t="str">
        <f>IFERROR(INDEX($A$1:$A$5000,MATCH(ROWS($D$1:$D775),$D$1:$D$5000,0)),"")</f>
        <v/>
      </c>
    </row>
    <row r="776" spans="3:5">
      <c r="C776" s="17">
        <f t="shared" si="12"/>
        <v>0</v>
      </c>
      <c r="D776" s="17" t="str">
        <f>IF(C776=1,COUNTIF($C$1:$C776,1),"")</f>
        <v/>
      </c>
      <c r="E776" s="7" t="str">
        <f>IFERROR(INDEX($A$1:$A$5000,MATCH(ROWS($D$1:$D776),$D$1:$D$5000,0)),"")</f>
        <v/>
      </c>
    </row>
    <row r="777" spans="3:5">
      <c r="C777" s="17">
        <f t="shared" si="12"/>
        <v>0</v>
      </c>
      <c r="D777" s="17" t="str">
        <f>IF(C777=1,COUNTIF($C$1:$C777,1),"")</f>
        <v/>
      </c>
      <c r="E777" s="7" t="str">
        <f>IFERROR(INDEX($A$1:$A$5000,MATCH(ROWS($D$1:$D777),$D$1:$D$5000,0)),"")</f>
        <v/>
      </c>
    </row>
    <row r="778" spans="3:5">
      <c r="C778" s="17">
        <f t="shared" si="12"/>
        <v>0</v>
      </c>
      <c r="D778" s="17" t="str">
        <f>IF(C778=1,COUNTIF($C$1:$C778,1),"")</f>
        <v/>
      </c>
      <c r="E778" s="7" t="str">
        <f>IFERROR(INDEX($A$1:$A$5000,MATCH(ROWS($D$1:$D778),$D$1:$D$5000,0)),"")</f>
        <v/>
      </c>
    </row>
    <row r="779" spans="3:5">
      <c r="C779" s="17">
        <f t="shared" si="12"/>
        <v>0</v>
      </c>
      <c r="D779" s="17" t="str">
        <f>IF(C779=1,COUNTIF($C$1:$C779,1),"")</f>
        <v/>
      </c>
      <c r="E779" s="7" t="str">
        <f>IFERROR(INDEX($A$1:$A$5000,MATCH(ROWS($D$1:$D779),$D$1:$D$5000,0)),"")</f>
        <v/>
      </c>
    </row>
    <row r="780" spans="3:5">
      <c r="C780" s="17">
        <f t="shared" si="12"/>
        <v>0</v>
      </c>
      <c r="D780" s="17" t="str">
        <f>IF(C780=1,COUNTIF($C$1:$C780,1),"")</f>
        <v/>
      </c>
      <c r="E780" s="7" t="str">
        <f>IFERROR(INDEX($A$1:$A$5000,MATCH(ROWS($D$1:$D780),$D$1:$D$5000,0)),"")</f>
        <v/>
      </c>
    </row>
    <row r="781" spans="3:5">
      <c r="C781" s="17">
        <f t="shared" si="12"/>
        <v>0</v>
      </c>
      <c r="D781" s="17" t="str">
        <f>IF(C781=1,COUNTIF($C$1:$C781,1),"")</f>
        <v/>
      </c>
      <c r="E781" s="7" t="str">
        <f>IFERROR(INDEX($A$1:$A$5000,MATCH(ROWS($D$1:$D781),$D$1:$D$5000,0)),"")</f>
        <v/>
      </c>
    </row>
    <row r="782" spans="3:5">
      <c r="C782" s="17">
        <f t="shared" si="12"/>
        <v>0</v>
      </c>
      <c r="D782" s="17" t="str">
        <f>IF(C782=1,COUNTIF($C$1:$C782,1),"")</f>
        <v/>
      </c>
      <c r="E782" s="7" t="str">
        <f>IFERROR(INDEX($A$1:$A$5000,MATCH(ROWS($D$1:$D782),$D$1:$D$5000,0)),"")</f>
        <v/>
      </c>
    </row>
    <row r="783" spans="3:5">
      <c r="C783" s="17">
        <f t="shared" si="12"/>
        <v>0</v>
      </c>
      <c r="D783" s="17" t="str">
        <f>IF(C783=1,COUNTIF($C$1:$C783,1),"")</f>
        <v/>
      </c>
      <c r="E783" s="7" t="str">
        <f>IFERROR(INDEX($A$1:$A$5000,MATCH(ROWS($D$1:$D783),$D$1:$D$5000,0)),"")</f>
        <v/>
      </c>
    </row>
    <row r="784" spans="3:5">
      <c r="C784" s="17">
        <f t="shared" si="12"/>
        <v>0</v>
      </c>
      <c r="D784" s="17" t="str">
        <f>IF(C784=1,COUNTIF($C$1:$C784,1),"")</f>
        <v/>
      </c>
      <c r="E784" s="7" t="str">
        <f>IFERROR(INDEX($A$1:$A$5000,MATCH(ROWS($D$1:$D784),$D$1:$D$5000,0)),"")</f>
        <v/>
      </c>
    </row>
    <row r="785" spans="3:5">
      <c r="C785" s="17">
        <f t="shared" si="12"/>
        <v>0</v>
      </c>
      <c r="D785" s="17" t="str">
        <f>IF(C785=1,COUNTIF($C$1:$C785,1),"")</f>
        <v/>
      </c>
      <c r="E785" s="7" t="str">
        <f>IFERROR(INDEX($A$1:$A$5000,MATCH(ROWS($D$1:$D785),$D$1:$D$5000,0)),"")</f>
        <v/>
      </c>
    </row>
    <row r="786" spans="3:5">
      <c r="C786" s="17">
        <f t="shared" si="12"/>
        <v>0</v>
      </c>
      <c r="D786" s="17" t="str">
        <f>IF(C786=1,COUNTIF($C$1:$C786,1),"")</f>
        <v/>
      </c>
      <c r="E786" s="7" t="str">
        <f>IFERROR(INDEX($A$1:$A$5000,MATCH(ROWS($D$1:$D786),$D$1:$D$5000,0)),"")</f>
        <v/>
      </c>
    </row>
    <row r="787" spans="3:5">
      <c r="C787" s="17">
        <f t="shared" si="12"/>
        <v>0</v>
      </c>
      <c r="D787" s="17" t="str">
        <f>IF(C787=1,COUNTIF($C$1:$C787,1),"")</f>
        <v/>
      </c>
      <c r="E787" s="7" t="str">
        <f>IFERROR(INDEX($A$1:$A$5000,MATCH(ROWS($D$1:$D787),$D$1:$D$5000,0)),"")</f>
        <v/>
      </c>
    </row>
    <row r="788" spans="3:5">
      <c r="C788" s="17">
        <f t="shared" si="12"/>
        <v>0</v>
      </c>
      <c r="D788" s="17" t="str">
        <f>IF(C788=1,COUNTIF($C$1:$C788,1),"")</f>
        <v/>
      </c>
      <c r="E788" s="7" t="str">
        <f>IFERROR(INDEX($A$1:$A$5000,MATCH(ROWS($D$1:$D788),$D$1:$D$5000,0)),"")</f>
        <v/>
      </c>
    </row>
    <row r="789" spans="3:5">
      <c r="C789" s="17">
        <f t="shared" si="12"/>
        <v>0</v>
      </c>
      <c r="D789" s="17" t="str">
        <f>IF(C789=1,COUNTIF($C$1:$C789,1),"")</f>
        <v/>
      </c>
      <c r="E789" s="7" t="str">
        <f>IFERROR(INDEX($A$1:$A$5000,MATCH(ROWS($D$1:$D789),$D$1:$D$5000,0)),"")</f>
        <v/>
      </c>
    </row>
    <row r="790" spans="3:5">
      <c r="C790" s="17">
        <f t="shared" si="12"/>
        <v>0</v>
      </c>
      <c r="D790" s="17" t="str">
        <f>IF(C790=1,COUNTIF($C$1:$C790,1),"")</f>
        <v/>
      </c>
      <c r="E790" s="7" t="str">
        <f>IFERROR(INDEX($A$1:$A$5000,MATCH(ROWS($D$1:$D790),$D$1:$D$5000,0)),"")</f>
        <v/>
      </c>
    </row>
    <row r="791" spans="3:5">
      <c r="C791" s="17">
        <f t="shared" si="12"/>
        <v>0</v>
      </c>
      <c r="D791" s="17" t="str">
        <f>IF(C791=1,COUNTIF($C$1:$C791,1),"")</f>
        <v/>
      </c>
      <c r="E791" s="7" t="str">
        <f>IFERROR(INDEX($A$1:$A$5000,MATCH(ROWS($D$1:$D791),$D$1:$D$5000,0)),"")</f>
        <v/>
      </c>
    </row>
    <row r="792" spans="3:5">
      <c r="C792" s="17">
        <f t="shared" si="12"/>
        <v>0</v>
      </c>
      <c r="D792" s="17" t="str">
        <f>IF(C792=1,COUNTIF($C$1:$C792,1),"")</f>
        <v/>
      </c>
      <c r="E792" s="7" t="str">
        <f>IFERROR(INDEX($A$1:$A$5000,MATCH(ROWS($D$1:$D792),$D$1:$D$5000,0)),"")</f>
        <v/>
      </c>
    </row>
    <row r="793" spans="3:5">
      <c r="C793" s="17">
        <f t="shared" si="12"/>
        <v>0</v>
      </c>
      <c r="D793" s="17" t="str">
        <f>IF(C793=1,COUNTIF($C$1:$C793,1),"")</f>
        <v/>
      </c>
      <c r="E793" s="7" t="str">
        <f>IFERROR(INDEX($A$1:$A$5000,MATCH(ROWS($D$1:$D793),$D$1:$D$5000,0)),"")</f>
        <v/>
      </c>
    </row>
    <row r="794" spans="3:5">
      <c r="C794" s="17">
        <f t="shared" si="12"/>
        <v>0</v>
      </c>
      <c r="D794" s="17" t="str">
        <f>IF(C794=1,COUNTIF($C$1:$C794,1),"")</f>
        <v/>
      </c>
      <c r="E794" s="7" t="str">
        <f>IFERROR(INDEX($A$1:$A$5000,MATCH(ROWS($D$1:$D794),$D$1:$D$5000,0)),"")</f>
        <v/>
      </c>
    </row>
    <row r="795" spans="3:5">
      <c r="C795" s="17">
        <f t="shared" si="12"/>
        <v>0</v>
      </c>
      <c r="D795" s="17" t="str">
        <f>IF(C795=1,COUNTIF($C$1:$C795,1),"")</f>
        <v/>
      </c>
      <c r="E795" s="7" t="str">
        <f>IFERROR(INDEX($A$1:$A$5000,MATCH(ROWS($D$1:$D795),$D$1:$D$5000,0)),"")</f>
        <v/>
      </c>
    </row>
    <row r="796" spans="3:5">
      <c r="C796" s="17">
        <f t="shared" si="12"/>
        <v>0</v>
      </c>
      <c r="D796" s="17" t="str">
        <f>IF(C796=1,COUNTIF($C$1:$C796,1),"")</f>
        <v/>
      </c>
      <c r="E796" s="7" t="str">
        <f>IFERROR(INDEX($A$1:$A$5000,MATCH(ROWS($D$1:$D796),$D$1:$D$5000,0)),"")</f>
        <v/>
      </c>
    </row>
    <row r="797" spans="3:5">
      <c r="C797" s="17">
        <f t="shared" si="12"/>
        <v>0</v>
      </c>
      <c r="D797" s="17" t="str">
        <f>IF(C797=1,COUNTIF($C$1:$C797,1),"")</f>
        <v/>
      </c>
      <c r="E797" s="7" t="str">
        <f>IFERROR(INDEX($A$1:$A$5000,MATCH(ROWS($D$1:$D797),$D$1:$D$5000,0)),"")</f>
        <v/>
      </c>
    </row>
    <row r="798" spans="3:5">
      <c r="C798" s="17">
        <f t="shared" si="12"/>
        <v>0</v>
      </c>
      <c r="D798" s="17" t="str">
        <f>IF(C798=1,COUNTIF($C$1:$C798,1),"")</f>
        <v/>
      </c>
      <c r="E798" s="7" t="str">
        <f>IFERROR(INDEX($A$1:$A$5000,MATCH(ROWS($D$1:$D798),$D$1:$D$5000,0)),"")</f>
        <v/>
      </c>
    </row>
    <row r="799" spans="3:5">
      <c r="C799" s="17">
        <f t="shared" si="12"/>
        <v>0</v>
      </c>
      <c r="D799" s="17" t="str">
        <f>IF(C799=1,COUNTIF($C$1:$C799,1),"")</f>
        <v/>
      </c>
      <c r="E799" s="7" t="str">
        <f>IFERROR(INDEX($A$1:$A$5000,MATCH(ROWS($D$1:$D799),$D$1:$D$5000,0)),"")</f>
        <v/>
      </c>
    </row>
    <row r="800" spans="3:5">
      <c r="C800" s="17">
        <f t="shared" si="12"/>
        <v>0</v>
      </c>
      <c r="D800" s="17" t="str">
        <f>IF(C800=1,COUNTIF($C$1:$C800,1),"")</f>
        <v/>
      </c>
      <c r="E800" s="7" t="str">
        <f>IFERROR(INDEX($A$1:$A$5000,MATCH(ROWS($D$1:$D800),$D$1:$D$5000,0)),"")</f>
        <v/>
      </c>
    </row>
    <row r="801" spans="3:5">
      <c r="C801" s="17">
        <f t="shared" si="12"/>
        <v>0</v>
      </c>
      <c r="D801" s="17" t="str">
        <f>IF(C801=1,COUNTIF($C$1:$C801,1),"")</f>
        <v/>
      </c>
      <c r="E801" s="7" t="str">
        <f>IFERROR(INDEX($A$1:$A$5000,MATCH(ROWS($D$1:$D801),$D$1:$D$5000,0)),"")</f>
        <v/>
      </c>
    </row>
    <row r="802" spans="3:5">
      <c r="C802" s="17">
        <f t="shared" si="12"/>
        <v>0</v>
      </c>
      <c r="D802" s="17" t="str">
        <f>IF(C802=1,COUNTIF($C$1:$C802,1),"")</f>
        <v/>
      </c>
      <c r="E802" s="7" t="str">
        <f>IFERROR(INDEX($A$1:$A$5000,MATCH(ROWS($D$1:$D802),$D$1:$D$5000,0)),"")</f>
        <v/>
      </c>
    </row>
    <row r="803" spans="3:5">
      <c r="C803" s="17">
        <f t="shared" si="12"/>
        <v>0</v>
      </c>
      <c r="D803" s="17" t="str">
        <f>IF(C803=1,COUNTIF($C$1:$C803,1),"")</f>
        <v/>
      </c>
      <c r="E803" s="7" t="str">
        <f>IFERROR(INDEX($A$1:$A$5000,MATCH(ROWS($D$1:$D803),$D$1:$D$5000,0)),"")</f>
        <v/>
      </c>
    </row>
    <row r="804" spans="3:5">
      <c r="C804" s="17">
        <f t="shared" si="12"/>
        <v>0</v>
      </c>
      <c r="D804" s="17" t="str">
        <f>IF(C804=1,COUNTIF($C$1:$C804,1),"")</f>
        <v/>
      </c>
      <c r="E804" s="7" t="str">
        <f>IFERROR(INDEX($A$1:$A$5000,MATCH(ROWS($D$1:$D804),$D$1:$D$5000,0)),"")</f>
        <v/>
      </c>
    </row>
    <row r="805" spans="3:5">
      <c r="C805" s="17">
        <f t="shared" si="12"/>
        <v>0</v>
      </c>
      <c r="D805" s="17" t="str">
        <f>IF(C805=1,COUNTIF($C$1:$C805,1),"")</f>
        <v/>
      </c>
      <c r="E805" s="7" t="str">
        <f>IFERROR(INDEX($A$1:$A$5000,MATCH(ROWS($D$1:$D805),$D$1:$D$5000,0)),"")</f>
        <v/>
      </c>
    </row>
    <row r="806" spans="3:5">
      <c r="C806" s="17">
        <f t="shared" si="12"/>
        <v>0</v>
      </c>
      <c r="D806" s="17" t="str">
        <f>IF(C806=1,COUNTIF($C$1:$C806,1),"")</f>
        <v/>
      </c>
      <c r="E806" s="7" t="str">
        <f>IFERROR(INDEX($A$1:$A$5000,MATCH(ROWS($D$1:$D806),$D$1:$D$5000,0)),"")</f>
        <v/>
      </c>
    </row>
    <row r="807" spans="3:5">
      <c r="C807" s="17">
        <f t="shared" si="12"/>
        <v>0</v>
      </c>
      <c r="D807" s="17" t="str">
        <f>IF(C807=1,COUNTIF($C$1:$C807,1),"")</f>
        <v/>
      </c>
      <c r="E807" s="7" t="str">
        <f>IFERROR(INDEX($A$1:$A$5000,MATCH(ROWS($D$1:$D807),$D$1:$D$5000,0)),"")</f>
        <v/>
      </c>
    </row>
    <row r="808" spans="3:5">
      <c r="C808" s="17">
        <f t="shared" si="12"/>
        <v>0</v>
      </c>
      <c r="D808" s="17" t="str">
        <f>IF(C808=1,COUNTIF($C$1:$C808,1),"")</f>
        <v/>
      </c>
      <c r="E808" s="7" t="str">
        <f>IFERROR(INDEX($A$1:$A$5000,MATCH(ROWS($D$1:$D808),$D$1:$D$5000,0)),"")</f>
        <v/>
      </c>
    </row>
    <row r="809" spans="3:5">
      <c r="C809" s="17">
        <f t="shared" si="12"/>
        <v>0</v>
      </c>
      <c r="D809" s="17" t="str">
        <f>IF(C809=1,COUNTIF($C$1:$C809,1),"")</f>
        <v/>
      </c>
      <c r="E809" s="7" t="str">
        <f>IFERROR(INDEX($A$1:$A$5000,MATCH(ROWS($D$1:$D809),$D$1:$D$5000,0)),"")</f>
        <v/>
      </c>
    </row>
    <row r="810" spans="3:5">
      <c r="C810" s="17">
        <f t="shared" si="12"/>
        <v>0</v>
      </c>
      <c r="D810" s="17" t="str">
        <f>IF(C810=1,COUNTIF($C$1:$C810,1),"")</f>
        <v/>
      </c>
      <c r="E810" s="7" t="str">
        <f>IFERROR(INDEX($A$1:$A$5000,MATCH(ROWS($D$1:$D810),$D$1:$D$5000,0)),"")</f>
        <v/>
      </c>
    </row>
    <row r="811" spans="3:5">
      <c r="C811" s="17">
        <f t="shared" si="12"/>
        <v>0</v>
      </c>
      <c r="D811" s="17" t="str">
        <f>IF(C811=1,COUNTIF($C$1:$C811,1),"")</f>
        <v/>
      </c>
      <c r="E811" s="7" t="str">
        <f>IFERROR(INDEX($A$1:$A$5000,MATCH(ROWS($D$1:$D811),$D$1:$D$5000,0)),"")</f>
        <v/>
      </c>
    </row>
    <row r="812" spans="3:5">
      <c r="C812" s="17">
        <f t="shared" si="12"/>
        <v>0</v>
      </c>
      <c r="D812" s="17" t="str">
        <f>IF(C812=1,COUNTIF($C$1:$C812,1),"")</f>
        <v/>
      </c>
      <c r="E812" s="7" t="str">
        <f>IFERROR(INDEX($A$1:$A$5000,MATCH(ROWS($D$1:$D812),$D$1:$D$5000,0)),"")</f>
        <v/>
      </c>
    </row>
    <row r="813" spans="3:5">
      <c r="C813" s="17">
        <f t="shared" si="12"/>
        <v>0</v>
      </c>
      <c r="D813" s="17" t="str">
        <f>IF(C813=1,COUNTIF($C$1:$C813,1),"")</f>
        <v/>
      </c>
      <c r="E813" s="7" t="str">
        <f>IFERROR(INDEX($A$1:$A$5000,MATCH(ROWS($D$1:$D813),$D$1:$D$5000,0)),"")</f>
        <v/>
      </c>
    </row>
    <row r="814" spans="3:5">
      <c r="C814" s="17">
        <f t="shared" si="12"/>
        <v>0</v>
      </c>
      <c r="D814" s="17" t="str">
        <f>IF(C814=1,COUNTIF($C$1:$C814,1),"")</f>
        <v/>
      </c>
      <c r="E814" s="7" t="str">
        <f>IFERROR(INDEX($A$1:$A$5000,MATCH(ROWS($D$1:$D814),$D$1:$D$5000,0)),"")</f>
        <v/>
      </c>
    </row>
    <row r="815" spans="3:5">
      <c r="C815" s="17">
        <f t="shared" si="12"/>
        <v>0</v>
      </c>
      <c r="D815" s="17" t="str">
        <f>IF(C815=1,COUNTIF($C$1:$C815,1),"")</f>
        <v/>
      </c>
      <c r="E815" s="7" t="str">
        <f>IFERROR(INDEX($A$1:$A$5000,MATCH(ROWS($D$1:$D815),$D$1:$D$5000,0)),"")</f>
        <v/>
      </c>
    </row>
    <row r="816" spans="3:5">
      <c r="C816" s="17">
        <f t="shared" si="12"/>
        <v>0</v>
      </c>
      <c r="D816" s="17" t="str">
        <f>IF(C816=1,COUNTIF($C$1:$C816,1),"")</f>
        <v/>
      </c>
      <c r="E816" s="7" t="str">
        <f>IFERROR(INDEX($A$1:$A$5000,MATCH(ROWS($D$1:$D816),$D$1:$D$5000,0)),"")</f>
        <v/>
      </c>
    </row>
    <row r="817" spans="3:5">
      <c r="C817" s="17">
        <f t="shared" si="12"/>
        <v>0</v>
      </c>
      <c r="D817" s="17" t="str">
        <f>IF(C817=1,COUNTIF($C$1:$C817,1),"")</f>
        <v/>
      </c>
      <c r="E817" s="7" t="str">
        <f>IFERROR(INDEX($A$1:$A$5000,MATCH(ROWS($D$1:$D817),$D$1:$D$5000,0)),"")</f>
        <v/>
      </c>
    </row>
    <row r="818" spans="3:5">
      <c r="C818" s="17">
        <f t="shared" si="12"/>
        <v>0</v>
      </c>
      <c r="D818" s="17" t="str">
        <f>IF(C818=1,COUNTIF($C$1:$C818,1),"")</f>
        <v/>
      </c>
      <c r="E818" s="7" t="str">
        <f>IFERROR(INDEX($A$1:$A$5000,MATCH(ROWS($D$1:$D818),$D$1:$D$5000,0)),"")</f>
        <v/>
      </c>
    </row>
    <row r="819" spans="3:5">
      <c r="C819" s="17">
        <f t="shared" si="12"/>
        <v>0</v>
      </c>
      <c r="D819" s="17" t="str">
        <f>IF(C819=1,COUNTIF($C$1:$C819,1),"")</f>
        <v/>
      </c>
      <c r="E819" s="7" t="str">
        <f>IFERROR(INDEX($A$1:$A$5000,MATCH(ROWS($D$1:$D819),$D$1:$D$5000,0)),"")</f>
        <v/>
      </c>
    </row>
    <row r="820" spans="3:5">
      <c r="C820" s="17">
        <f t="shared" si="12"/>
        <v>0</v>
      </c>
      <c r="D820" s="17" t="str">
        <f>IF(C820=1,COUNTIF($C$1:$C820,1),"")</f>
        <v/>
      </c>
      <c r="E820" s="7" t="str">
        <f>IFERROR(INDEX($A$1:$A$5000,MATCH(ROWS($D$1:$D820),$D$1:$D$5000,0)),"")</f>
        <v/>
      </c>
    </row>
    <row r="821" spans="3:5">
      <c r="C821" s="17">
        <f t="shared" si="12"/>
        <v>0</v>
      </c>
      <c r="D821" s="17" t="str">
        <f>IF(C821=1,COUNTIF($C$1:$C821,1),"")</f>
        <v/>
      </c>
      <c r="E821" s="7" t="str">
        <f>IFERROR(INDEX($A$1:$A$5000,MATCH(ROWS($D$1:$D821),$D$1:$D$5000,0)),"")</f>
        <v/>
      </c>
    </row>
    <row r="822" spans="3:5">
      <c r="C822" s="17">
        <f t="shared" si="12"/>
        <v>0</v>
      </c>
      <c r="D822" s="17" t="str">
        <f>IF(C822=1,COUNTIF($C$1:$C822,1),"")</f>
        <v/>
      </c>
      <c r="E822" s="7" t="str">
        <f>IFERROR(INDEX($A$1:$A$5000,MATCH(ROWS($D$1:$D822),$D$1:$D$5000,0)),"")</f>
        <v/>
      </c>
    </row>
    <row r="823" spans="3:5">
      <c r="C823" s="17">
        <f t="shared" si="12"/>
        <v>0</v>
      </c>
      <c r="D823" s="17" t="str">
        <f>IF(C823=1,COUNTIF($C$1:$C823,1),"")</f>
        <v/>
      </c>
      <c r="E823" s="7" t="str">
        <f>IFERROR(INDEX($A$1:$A$5000,MATCH(ROWS($D$1:$D823),$D$1:$D$5000,0)),"")</f>
        <v/>
      </c>
    </row>
    <row r="824" spans="3:5">
      <c r="C824" s="17">
        <f t="shared" si="12"/>
        <v>0</v>
      </c>
      <c r="D824" s="17" t="str">
        <f>IF(C824=1,COUNTIF($C$1:$C824,1),"")</f>
        <v/>
      </c>
      <c r="E824" s="7" t="str">
        <f>IFERROR(INDEX($A$1:$A$5000,MATCH(ROWS($D$1:$D824),$D$1:$D$5000,0)),"")</f>
        <v/>
      </c>
    </row>
    <row r="825" spans="3:5">
      <c r="C825" s="17">
        <f t="shared" si="12"/>
        <v>0</v>
      </c>
      <c r="D825" s="17" t="str">
        <f>IF(C825=1,COUNTIF($C$1:$C825,1),"")</f>
        <v/>
      </c>
      <c r="E825" s="7" t="str">
        <f>IFERROR(INDEX($A$1:$A$5000,MATCH(ROWS($D$1:$D825),$D$1:$D$5000,0)),"")</f>
        <v/>
      </c>
    </row>
    <row r="826" spans="3:5">
      <c r="C826" s="17">
        <f t="shared" si="12"/>
        <v>0</v>
      </c>
      <c r="D826" s="17" t="str">
        <f>IF(C826=1,COUNTIF($C$1:$C826,1),"")</f>
        <v/>
      </c>
      <c r="E826" s="7" t="str">
        <f>IFERROR(INDEX($A$1:$A$5000,MATCH(ROWS($D$1:$D826),$D$1:$D$5000,0)),"")</f>
        <v/>
      </c>
    </row>
    <row r="827" spans="3:5">
      <c r="C827" s="17">
        <f t="shared" si="12"/>
        <v>0</v>
      </c>
      <c r="D827" s="17" t="str">
        <f>IF(C827=1,COUNTIF($C$1:$C827,1),"")</f>
        <v/>
      </c>
      <c r="E827" s="7" t="str">
        <f>IFERROR(INDEX($A$1:$A$5000,MATCH(ROWS($D$1:$D827),$D$1:$D$5000,0)),"")</f>
        <v/>
      </c>
    </row>
    <row r="828" spans="3:5">
      <c r="C828" s="17">
        <f t="shared" si="12"/>
        <v>0</v>
      </c>
      <c r="D828" s="17" t="str">
        <f>IF(C828=1,COUNTIF($C$1:$C828,1),"")</f>
        <v/>
      </c>
      <c r="E828" s="7" t="str">
        <f>IFERROR(INDEX($A$1:$A$5000,MATCH(ROWS($D$1:$D828),$D$1:$D$5000,0)),"")</f>
        <v/>
      </c>
    </row>
    <row r="829" spans="3:5">
      <c r="C829" s="17">
        <f t="shared" si="12"/>
        <v>0</v>
      </c>
      <c r="D829" s="17" t="str">
        <f>IF(C829=1,COUNTIF($C$1:$C829,1),"")</f>
        <v/>
      </c>
      <c r="E829" s="7" t="str">
        <f>IFERROR(INDEX($A$1:$A$5000,MATCH(ROWS($D$1:$D829),$D$1:$D$5000,0)),"")</f>
        <v/>
      </c>
    </row>
    <row r="830" spans="3:5">
      <c r="C830" s="17">
        <f t="shared" si="12"/>
        <v>0</v>
      </c>
      <c r="D830" s="17" t="str">
        <f>IF(C830=1,COUNTIF($C$1:$C830,1),"")</f>
        <v/>
      </c>
      <c r="E830" s="7" t="str">
        <f>IFERROR(INDEX($A$1:$A$5000,MATCH(ROWS($D$1:$D830),$D$1:$D$5000,0)),"")</f>
        <v/>
      </c>
    </row>
    <row r="831" spans="3:5">
      <c r="C831" s="17">
        <f t="shared" si="12"/>
        <v>0</v>
      </c>
      <c r="D831" s="17" t="str">
        <f>IF(C831=1,COUNTIF($C$1:$C831,1),"")</f>
        <v/>
      </c>
      <c r="E831" s="7" t="str">
        <f>IFERROR(INDEX($A$1:$A$5000,MATCH(ROWS($D$1:$D831),$D$1:$D$5000,0)),"")</f>
        <v/>
      </c>
    </row>
    <row r="832" spans="3:5">
      <c r="C832" s="17">
        <f t="shared" si="12"/>
        <v>0</v>
      </c>
      <c r="D832" s="17" t="str">
        <f>IF(C832=1,COUNTIF($C$1:$C832,1),"")</f>
        <v/>
      </c>
      <c r="E832" s="7" t="str">
        <f>IFERROR(INDEX($A$1:$A$5000,MATCH(ROWS($D$1:$D832),$D$1:$D$5000,0)),"")</f>
        <v/>
      </c>
    </row>
    <row r="833" spans="3:5">
      <c r="C833" s="17">
        <f t="shared" si="12"/>
        <v>0</v>
      </c>
      <c r="D833" s="17" t="str">
        <f>IF(C833=1,COUNTIF($C$1:$C833,1),"")</f>
        <v/>
      </c>
      <c r="E833" s="7" t="str">
        <f>IFERROR(INDEX($A$1:$A$5000,MATCH(ROWS($D$1:$D833),$D$1:$D$5000,0)),"")</f>
        <v/>
      </c>
    </row>
    <row r="834" spans="3:5">
      <c r="C834" s="17">
        <f t="shared" ref="C834:C897" si="13">--ISNUMBER(SEARCH($B$1,A834))</f>
        <v>0</v>
      </c>
      <c r="D834" s="17" t="str">
        <f>IF(C834=1,COUNTIF($C$1:$C834,1),"")</f>
        <v/>
      </c>
      <c r="E834" s="7" t="str">
        <f>IFERROR(INDEX($A$1:$A$5000,MATCH(ROWS($D$1:$D834),$D$1:$D$5000,0)),"")</f>
        <v/>
      </c>
    </row>
    <row r="835" spans="3:5">
      <c r="C835" s="17">
        <f t="shared" si="13"/>
        <v>0</v>
      </c>
      <c r="D835" s="17" t="str">
        <f>IF(C835=1,COUNTIF($C$1:$C835,1),"")</f>
        <v/>
      </c>
      <c r="E835" s="7" t="str">
        <f>IFERROR(INDEX($A$1:$A$5000,MATCH(ROWS($D$1:$D835),$D$1:$D$5000,0)),"")</f>
        <v/>
      </c>
    </row>
    <row r="836" spans="3:5">
      <c r="C836" s="17">
        <f t="shared" si="13"/>
        <v>0</v>
      </c>
      <c r="D836" s="17" t="str">
        <f>IF(C836=1,COUNTIF($C$1:$C836,1),"")</f>
        <v/>
      </c>
      <c r="E836" s="7" t="str">
        <f>IFERROR(INDEX($A$1:$A$5000,MATCH(ROWS($D$1:$D836),$D$1:$D$5000,0)),"")</f>
        <v/>
      </c>
    </row>
    <row r="837" spans="3:5">
      <c r="C837" s="17">
        <f t="shared" si="13"/>
        <v>0</v>
      </c>
      <c r="D837" s="17" t="str">
        <f>IF(C837=1,COUNTIF($C$1:$C837,1),"")</f>
        <v/>
      </c>
      <c r="E837" s="7" t="str">
        <f>IFERROR(INDEX($A$1:$A$5000,MATCH(ROWS($D$1:$D837),$D$1:$D$5000,0)),"")</f>
        <v/>
      </c>
    </row>
    <row r="838" spans="3:5">
      <c r="C838" s="17">
        <f t="shared" si="13"/>
        <v>0</v>
      </c>
      <c r="D838" s="17" t="str">
        <f>IF(C838=1,COUNTIF($C$1:$C838,1),"")</f>
        <v/>
      </c>
      <c r="E838" s="7" t="str">
        <f>IFERROR(INDEX($A$1:$A$5000,MATCH(ROWS($D$1:$D838),$D$1:$D$5000,0)),"")</f>
        <v/>
      </c>
    </row>
    <row r="839" spans="3:5">
      <c r="C839" s="17">
        <f t="shared" si="13"/>
        <v>0</v>
      </c>
      <c r="D839" s="17" t="str">
        <f>IF(C839=1,COUNTIF($C$1:$C839,1),"")</f>
        <v/>
      </c>
      <c r="E839" s="7" t="str">
        <f>IFERROR(INDEX($A$1:$A$5000,MATCH(ROWS($D$1:$D839),$D$1:$D$5000,0)),"")</f>
        <v/>
      </c>
    </row>
    <row r="840" spans="3:5">
      <c r="C840" s="17">
        <f t="shared" si="13"/>
        <v>0</v>
      </c>
      <c r="D840" s="17" t="str">
        <f>IF(C840=1,COUNTIF($C$1:$C840,1),"")</f>
        <v/>
      </c>
      <c r="E840" s="7" t="str">
        <f>IFERROR(INDEX($A$1:$A$5000,MATCH(ROWS($D$1:$D840),$D$1:$D$5000,0)),"")</f>
        <v/>
      </c>
    </row>
    <row r="841" spans="3:5">
      <c r="C841" s="17">
        <f t="shared" si="13"/>
        <v>0</v>
      </c>
      <c r="D841" s="17" t="str">
        <f>IF(C841=1,COUNTIF($C$1:$C841,1),"")</f>
        <v/>
      </c>
      <c r="E841" s="7" t="str">
        <f>IFERROR(INDEX($A$1:$A$5000,MATCH(ROWS($D$1:$D841),$D$1:$D$5000,0)),"")</f>
        <v/>
      </c>
    </row>
    <row r="842" spans="3:5">
      <c r="C842" s="17">
        <f t="shared" si="13"/>
        <v>0</v>
      </c>
      <c r="D842" s="17" t="str">
        <f>IF(C842=1,COUNTIF($C$1:$C842,1),"")</f>
        <v/>
      </c>
      <c r="E842" s="7" t="str">
        <f>IFERROR(INDEX($A$1:$A$5000,MATCH(ROWS($D$1:$D842),$D$1:$D$5000,0)),"")</f>
        <v/>
      </c>
    </row>
    <row r="843" spans="3:5">
      <c r="C843" s="17">
        <f t="shared" si="13"/>
        <v>0</v>
      </c>
      <c r="D843" s="17" t="str">
        <f>IF(C843=1,COUNTIF($C$1:$C843,1),"")</f>
        <v/>
      </c>
      <c r="E843" s="7" t="str">
        <f>IFERROR(INDEX($A$1:$A$5000,MATCH(ROWS($D$1:$D843),$D$1:$D$5000,0)),"")</f>
        <v/>
      </c>
    </row>
    <row r="844" spans="3:5">
      <c r="C844" s="17">
        <f t="shared" si="13"/>
        <v>0</v>
      </c>
      <c r="D844" s="17" t="str">
        <f>IF(C844=1,COUNTIF($C$1:$C844,1),"")</f>
        <v/>
      </c>
      <c r="E844" s="7" t="str">
        <f>IFERROR(INDEX($A$1:$A$5000,MATCH(ROWS($D$1:$D844),$D$1:$D$5000,0)),"")</f>
        <v/>
      </c>
    </row>
    <row r="845" spans="3:5">
      <c r="C845" s="17">
        <f t="shared" si="13"/>
        <v>0</v>
      </c>
      <c r="D845" s="17" t="str">
        <f>IF(C845=1,COUNTIF($C$1:$C845,1),"")</f>
        <v/>
      </c>
      <c r="E845" s="7" t="str">
        <f>IFERROR(INDEX($A$1:$A$5000,MATCH(ROWS($D$1:$D845),$D$1:$D$5000,0)),"")</f>
        <v/>
      </c>
    </row>
    <row r="846" spans="3:5">
      <c r="C846" s="17">
        <f t="shared" si="13"/>
        <v>0</v>
      </c>
      <c r="D846" s="17" t="str">
        <f>IF(C846=1,COUNTIF($C$1:$C846,1),"")</f>
        <v/>
      </c>
      <c r="E846" s="7" t="str">
        <f>IFERROR(INDEX($A$1:$A$5000,MATCH(ROWS($D$1:$D846),$D$1:$D$5000,0)),"")</f>
        <v/>
      </c>
    </row>
    <row r="847" spans="3:5">
      <c r="C847" s="17">
        <f t="shared" si="13"/>
        <v>0</v>
      </c>
      <c r="D847" s="17" t="str">
        <f>IF(C847=1,COUNTIF($C$1:$C847,1),"")</f>
        <v/>
      </c>
      <c r="E847" s="7" t="str">
        <f>IFERROR(INDEX($A$1:$A$5000,MATCH(ROWS($D$1:$D847),$D$1:$D$5000,0)),"")</f>
        <v/>
      </c>
    </row>
    <row r="848" spans="3:5">
      <c r="C848" s="17">
        <f t="shared" si="13"/>
        <v>0</v>
      </c>
      <c r="D848" s="17" t="str">
        <f>IF(C848=1,COUNTIF($C$1:$C848,1),"")</f>
        <v/>
      </c>
      <c r="E848" s="7" t="str">
        <f>IFERROR(INDEX($A$1:$A$5000,MATCH(ROWS($D$1:$D848),$D$1:$D$5000,0)),"")</f>
        <v/>
      </c>
    </row>
    <row r="849" spans="3:5">
      <c r="C849" s="17">
        <f t="shared" si="13"/>
        <v>0</v>
      </c>
      <c r="D849" s="17" t="str">
        <f>IF(C849=1,COUNTIF($C$1:$C849,1),"")</f>
        <v/>
      </c>
      <c r="E849" s="7" t="str">
        <f>IFERROR(INDEX($A$1:$A$5000,MATCH(ROWS($D$1:$D849),$D$1:$D$5000,0)),"")</f>
        <v/>
      </c>
    </row>
    <row r="850" spans="3:5">
      <c r="C850" s="17">
        <f t="shared" si="13"/>
        <v>0</v>
      </c>
      <c r="D850" s="17" t="str">
        <f>IF(C850=1,COUNTIF($C$1:$C850,1),"")</f>
        <v/>
      </c>
      <c r="E850" s="7" t="str">
        <f>IFERROR(INDEX($A$1:$A$5000,MATCH(ROWS($D$1:$D850),$D$1:$D$5000,0)),"")</f>
        <v/>
      </c>
    </row>
    <row r="851" spans="3:5">
      <c r="C851" s="17">
        <f t="shared" si="13"/>
        <v>0</v>
      </c>
      <c r="D851" s="17" t="str">
        <f>IF(C851=1,COUNTIF($C$1:$C851,1),"")</f>
        <v/>
      </c>
      <c r="E851" s="7" t="str">
        <f>IFERROR(INDEX($A$1:$A$5000,MATCH(ROWS($D$1:$D851),$D$1:$D$5000,0)),"")</f>
        <v/>
      </c>
    </row>
    <row r="852" spans="3:5">
      <c r="C852" s="17">
        <f t="shared" si="13"/>
        <v>0</v>
      </c>
      <c r="D852" s="17" t="str">
        <f>IF(C852=1,COUNTIF($C$1:$C852,1),"")</f>
        <v/>
      </c>
      <c r="E852" s="7" t="str">
        <f>IFERROR(INDEX($A$1:$A$5000,MATCH(ROWS($D$1:$D852),$D$1:$D$5000,0)),"")</f>
        <v/>
      </c>
    </row>
    <row r="853" spans="3:5">
      <c r="C853" s="17">
        <f t="shared" si="13"/>
        <v>0</v>
      </c>
      <c r="D853" s="17" t="str">
        <f>IF(C853=1,COUNTIF($C$1:$C853,1),"")</f>
        <v/>
      </c>
      <c r="E853" s="7" t="str">
        <f>IFERROR(INDEX($A$1:$A$5000,MATCH(ROWS($D$1:$D853),$D$1:$D$5000,0)),"")</f>
        <v/>
      </c>
    </row>
    <row r="854" spans="3:5">
      <c r="C854" s="17">
        <f t="shared" si="13"/>
        <v>0</v>
      </c>
      <c r="D854" s="17" t="str">
        <f>IF(C854=1,COUNTIF($C$1:$C854,1),"")</f>
        <v/>
      </c>
      <c r="E854" s="7" t="str">
        <f>IFERROR(INDEX($A$1:$A$5000,MATCH(ROWS($D$1:$D854),$D$1:$D$5000,0)),"")</f>
        <v/>
      </c>
    </row>
    <row r="855" spans="3:5">
      <c r="C855" s="17">
        <f t="shared" si="13"/>
        <v>0</v>
      </c>
      <c r="D855" s="17" t="str">
        <f>IF(C855=1,COUNTIF($C$1:$C855,1),"")</f>
        <v/>
      </c>
      <c r="E855" s="7" t="str">
        <f>IFERROR(INDEX($A$1:$A$5000,MATCH(ROWS($D$1:$D855),$D$1:$D$5000,0)),"")</f>
        <v/>
      </c>
    </row>
    <row r="856" spans="3:5">
      <c r="C856" s="17">
        <f t="shared" si="13"/>
        <v>0</v>
      </c>
      <c r="D856" s="17" t="str">
        <f>IF(C856=1,COUNTIF($C$1:$C856,1),"")</f>
        <v/>
      </c>
      <c r="E856" s="7" t="str">
        <f>IFERROR(INDEX($A$1:$A$5000,MATCH(ROWS($D$1:$D856),$D$1:$D$5000,0)),"")</f>
        <v/>
      </c>
    </row>
    <row r="857" spans="3:5">
      <c r="C857" s="17">
        <f t="shared" si="13"/>
        <v>0</v>
      </c>
      <c r="D857" s="17" t="str">
        <f>IF(C857=1,COUNTIF($C$1:$C857,1),"")</f>
        <v/>
      </c>
      <c r="E857" s="7" t="str">
        <f>IFERROR(INDEX($A$1:$A$5000,MATCH(ROWS($D$1:$D857),$D$1:$D$5000,0)),"")</f>
        <v/>
      </c>
    </row>
    <row r="858" spans="3:5">
      <c r="C858" s="17">
        <f t="shared" si="13"/>
        <v>0</v>
      </c>
      <c r="D858" s="17" t="str">
        <f>IF(C858=1,COUNTIF($C$1:$C858,1),"")</f>
        <v/>
      </c>
      <c r="E858" s="7" t="str">
        <f>IFERROR(INDEX($A$1:$A$5000,MATCH(ROWS($D$1:$D858),$D$1:$D$5000,0)),"")</f>
        <v/>
      </c>
    </row>
    <row r="859" spans="3:5">
      <c r="C859" s="17">
        <f t="shared" si="13"/>
        <v>0</v>
      </c>
      <c r="D859" s="17" t="str">
        <f>IF(C859=1,COUNTIF($C$1:$C859,1),"")</f>
        <v/>
      </c>
      <c r="E859" s="7" t="str">
        <f>IFERROR(INDEX($A$1:$A$5000,MATCH(ROWS($D$1:$D859),$D$1:$D$5000,0)),"")</f>
        <v/>
      </c>
    </row>
    <row r="860" spans="3:5">
      <c r="C860" s="17">
        <f t="shared" si="13"/>
        <v>0</v>
      </c>
      <c r="D860" s="17" t="str">
        <f>IF(C860=1,COUNTIF($C$1:$C860,1),"")</f>
        <v/>
      </c>
      <c r="E860" s="7" t="str">
        <f>IFERROR(INDEX($A$1:$A$5000,MATCH(ROWS($D$1:$D860),$D$1:$D$5000,0)),"")</f>
        <v/>
      </c>
    </row>
    <row r="861" spans="3:5">
      <c r="C861" s="17">
        <f t="shared" si="13"/>
        <v>0</v>
      </c>
      <c r="D861" s="17" t="str">
        <f>IF(C861=1,COUNTIF($C$1:$C861,1),"")</f>
        <v/>
      </c>
      <c r="E861" s="7" t="str">
        <f>IFERROR(INDEX($A$1:$A$5000,MATCH(ROWS($D$1:$D861),$D$1:$D$5000,0)),"")</f>
        <v/>
      </c>
    </row>
    <row r="862" spans="3:5">
      <c r="C862" s="17">
        <f t="shared" si="13"/>
        <v>0</v>
      </c>
      <c r="D862" s="17" t="str">
        <f>IF(C862=1,COUNTIF($C$1:$C862,1),"")</f>
        <v/>
      </c>
      <c r="E862" s="7" t="str">
        <f>IFERROR(INDEX($A$1:$A$5000,MATCH(ROWS($D$1:$D862),$D$1:$D$5000,0)),"")</f>
        <v/>
      </c>
    </row>
    <row r="863" spans="3:5">
      <c r="C863" s="17">
        <f t="shared" si="13"/>
        <v>0</v>
      </c>
      <c r="D863" s="17" t="str">
        <f>IF(C863=1,COUNTIF($C$1:$C863,1),"")</f>
        <v/>
      </c>
      <c r="E863" s="7" t="str">
        <f>IFERROR(INDEX($A$1:$A$5000,MATCH(ROWS($D$1:$D863),$D$1:$D$5000,0)),"")</f>
        <v/>
      </c>
    </row>
    <row r="864" spans="3:5">
      <c r="C864" s="17">
        <f t="shared" si="13"/>
        <v>0</v>
      </c>
      <c r="D864" s="17" t="str">
        <f>IF(C864=1,COUNTIF($C$1:$C864,1),"")</f>
        <v/>
      </c>
      <c r="E864" s="7" t="str">
        <f>IFERROR(INDEX($A$1:$A$5000,MATCH(ROWS($D$1:$D864),$D$1:$D$5000,0)),"")</f>
        <v/>
      </c>
    </row>
    <row r="865" spans="3:5">
      <c r="C865" s="17">
        <f t="shared" si="13"/>
        <v>0</v>
      </c>
      <c r="D865" s="17" t="str">
        <f>IF(C865=1,COUNTIF($C$1:$C865,1),"")</f>
        <v/>
      </c>
      <c r="E865" s="7" t="str">
        <f>IFERROR(INDEX($A$1:$A$5000,MATCH(ROWS($D$1:$D865),$D$1:$D$5000,0)),"")</f>
        <v/>
      </c>
    </row>
    <row r="866" spans="3:5">
      <c r="C866" s="17">
        <f t="shared" si="13"/>
        <v>0</v>
      </c>
      <c r="D866" s="17" t="str">
        <f>IF(C866=1,COUNTIF($C$1:$C866,1),"")</f>
        <v/>
      </c>
      <c r="E866" s="7" t="str">
        <f>IFERROR(INDEX($A$1:$A$5000,MATCH(ROWS($D$1:$D866),$D$1:$D$5000,0)),"")</f>
        <v/>
      </c>
    </row>
    <row r="867" spans="3:5">
      <c r="C867" s="17">
        <f t="shared" si="13"/>
        <v>0</v>
      </c>
      <c r="D867" s="17" t="str">
        <f>IF(C867=1,COUNTIF($C$1:$C867,1),"")</f>
        <v/>
      </c>
      <c r="E867" s="7" t="str">
        <f>IFERROR(INDEX($A$1:$A$5000,MATCH(ROWS($D$1:$D867),$D$1:$D$5000,0)),"")</f>
        <v/>
      </c>
    </row>
    <row r="868" spans="3:5">
      <c r="C868" s="17">
        <f t="shared" si="13"/>
        <v>0</v>
      </c>
      <c r="D868" s="17" t="str">
        <f>IF(C868=1,COUNTIF($C$1:$C868,1),"")</f>
        <v/>
      </c>
      <c r="E868" s="7" t="str">
        <f>IFERROR(INDEX($A$1:$A$5000,MATCH(ROWS($D$1:$D868),$D$1:$D$5000,0)),"")</f>
        <v/>
      </c>
    </row>
    <row r="869" spans="3:5">
      <c r="C869" s="17">
        <f t="shared" si="13"/>
        <v>0</v>
      </c>
      <c r="D869" s="17" t="str">
        <f>IF(C869=1,COUNTIF($C$1:$C869,1),"")</f>
        <v/>
      </c>
      <c r="E869" s="7" t="str">
        <f>IFERROR(INDEX($A$1:$A$5000,MATCH(ROWS($D$1:$D869),$D$1:$D$5000,0)),"")</f>
        <v/>
      </c>
    </row>
    <row r="870" spans="3:5">
      <c r="C870" s="17">
        <f t="shared" si="13"/>
        <v>0</v>
      </c>
      <c r="D870" s="17" t="str">
        <f>IF(C870=1,COUNTIF($C$1:$C870,1),"")</f>
        <v/>
      </c>
      <c r="E870" s="7" t="str">
        <f>IFERROR(INDEX($A$1:$A$5000,MATCH(ROWS($D$1:$D870),$D$1:$D$5000,0)),"")</f>
        <v/>
      </c>
    </row>
    <row r="871" spans="3:5">
      <c r="C871" s="17">
        <f t="shared" si="13"/>
        <v>0</v>
      </c>
      <c r="D871" s="17" t="str">
        <f>IF(C871=1,COUNTIF($C$1:$C871,1),"")</f>
        <v/>
      </c>
      <c r="E871" s="7" t="str">
        <f>IFERROR(INDEX($A$1:$A$5000,MATCH(ROWS($D$1:$D871),$D$1:$D$5000,0)),"")</f>
        <v/>
      </c>
    </row>
    <row r="872" spans="3:5">
      <c r="C872" s="17">
        <f t="shared" si="13"/>
        <v>0</v>
      </c>
      <c r="D872" s="17" t="str">
        <f>IF(C872=1,COUNTIF($C$1:$C872,1),"")</f>
        <v/>
      </c>
      <c r="E872" s="7" t="str">
        <f>IFERROR(INDEX($A$1:$A$5000,MATCH(ROWS($D$1:$D872),$D$1:$D$5000,0)),"")</f>
        <v/>
      </c>
    </row>
    <row r="873" spans="3:5">
      <c r="C873" s="17">
        <f t="shared" si="13"/>
        <v>0</v>
      </c>
      <c r="D873" s="17" t="str">
        <f>IF(C873=1,COUNTIF($C$1:$C873,1),"")</f>
        <v/>
      </c>
      <c r="E873" s="7" t="str">
        <f>IFERROR(INDEX($A$1:$A$5000,MATCH(ROWS($D$1:$D873),$D$1:$D$5000,0)),"")</f>
        <v/>
      </c>
    </row>
    <row r="874" spans="3:5">
      <c r="C874" s="17">
        <f t="shared" si="13"/>
        <v>0</v>
      </c>
      <c r="D874" s="17" t="str">
        <f>IF(C874=1,COUNTIF($C$1:$C874,1),"")</f>
        <v/>
      </c>
      <c r="E874" s="7" t="str">
        <f>IFERROR(INDEX($A$1:$A$5000,MATCH(ROWS($D$1:$D874),$D$1:$D$5000,0)),"")</f>
        <v/>
      </c>
    </row>
    <row r="875" spans="3:5">
      <c r="C875" s="17">
        <f t="shared" si="13"/>
        <v>0</v>
      </c>
      <c r="D875" s="17" t="str">
        <f>IF(C875=1,COUNTIF($C$1:$C875,1),"")</f>
        <v/>
      </c>
      <c r="E875" s="7" t="str">
        <f>IFERROR(INDEX($A$1:$A$5000,MATCH(ROWS($D$1:$D875),$D$1:$D$5000,0)),"")</f>
        <v/>
      </c>
    </row>
    <row r="876" spans="3:5">
      <c r="C876" s="17">
        <f t="shared" si="13"/>
        <v>0</v>
      </c>
      <c r="D876" s="17" t="str">
        <f>IF(C876=1,COUNTIF($C$1:$C876,1),"")</f>
        <v/>
      </c>
      <c r="E876" s="7" t="str">
        <f>IFERROR(INDEX($A$1:$A$5000,MATCH(ROWS($D$1:$D876),$D$1:$D$5000,0)),"")</f>
        <v/>
      </c>
    </row>
    <row r="877" spans="3:5">
      <c r="C877" s="17">
        <f t="shared" si="13"/>
        <v>0</v>
      </c>
      <c r="D877" s="17" t="str">
        <f>IF(C877=1,COUNTIF($C$1:$C877,1),"")</f>
        <v/>
      </c>
      <c r="E877" s="7" t="str">
        <f>IFERROR(INDEX($A$1:$A$5000,MATCH(ROWS($D$1:$D877),$D$1:$D$5000,0)),"")</f>
        <v/>
      </c>
    </row>
    <row r="878" spans="3:5">
      <c r="C878" s="17">
        <f t="shared" si="13"/>
        <v>0</v>
      </c>
      <c r="D878" s="17" t="str">
        <f>IF(C878=1,COUNTIF($C$1:$C878,1),"")</f>
        <v/>
      </c>
      <c r="E878" s="7" t="str">
        <f>IFERROR(INDEX($A$1:$A$5000,MATCH(ROWS($D$1:$D878),$D$1:$D$5000,0)),"")</f>
        <v/>
      </c>
    </row>
    <row r="879" spans="3:5">
      <c r="C879" s="17">
        <f t="shared" si="13"/>
        <v>0</v>
      </c>
      <c r="D879" s="17" t="str">
        <f>IF(C879=1,COUNTIF($C$1:$C879,1),"")</f>
        <v/>
      </c>
      <c r="E879" s="7" t="str">
        <f>IFERROR(INDEX($A$1:$A$5000,MATCH(ROWS($D$1:$D879),$D$1:$D$5000,0)),"")</f>
        <v/>
      </c>
    </row>
    <row r="880" spans="3:5">
      <c r="C880" s="17">
        <f t="shared" si="13"/>
        <v>0</v>
      </c>
      <c r="D880" s="17" t="str">
        <f>IF(C880=1,COUNTIF($C$1:$C880,1),"")</f>
        <v/>
      </c>
      <c r="E880" s="7" t="str">
        <f>IFERROR(INDEX($A$1:$A$5000,MATCH(ROWS($D$1:$D880),$D$1:$D$5000,0)),"")</f>
        <v/>
      </c>
    </row>
    <row r="881" spans="3:5">
      <c r="C881" s="17">
        <f t="shared" si="13"/>
        <v>0</v>
      </c>
      <c r="D881" s="17" t="str">
        <f>IF(C881=1,COUNTIF($C$1:$C881,1),"")</f>
        <v/>
      </c>
      <c r="E881" s="7" t="str">
        <f>IFERROR(INDEX($A$1:$A$5000,MATCH(ROWS($D$1:$D881),$D$1:$D$5000,0)),"")</f>
        <v/>
      </c>
    </row>
    <row r="882" spans="3:5">
      <c r="C882" s="17">
        <f t="shared" si="13"/>
        <v>0</v>
      </c>
      <c r="D882" s="17" t="str">
        <f>IF(C882=1,COUNTIF($C$1:$C882,1),"")</f>
        <v/>
      </c>
      <c r="E882" s="7" t="str">
        <f>IFERROR(INDEX($A$1:$A$5000,MATCH(ROWS($D$1:$D882),$D$1:$D$5000,0)),"")</f>
        <v/>
      </c>
    </row>
    <row r="883" spans="3:5">
      <c r="C883" s="17">
        <f t="shared" si="13"/>
        <v>0</v>
      </c>
      <c r="D883" s="17" t="str">
        <f>IF(C883=1,COUNTIF($C$1:$C883,1),"")</f>
        <v/>
      </c>
      <c r="E883" s="7" t="str">
        <f>IFERROR(INDEX($A$1:$A$5000,MATCH(ROWS($D$1:$D883),$D$1:$D$5000,0)),"")</f>
        <v/>
      </c>
    </row>
    <row r="884" spans="3:5">
      <c r="C884" s="17">
        <f t="shared" si="13"/>
        <v>0</v>
      </c>
      <c r="D884" s="17" t="str">
        <f>IF(C884=1,COUNTIF($C$1:$C884,1),"")</f>
        <v/>
      </c>
      <c r="E884" s="7" t="str">
        <f>IFERROR(INDEX($A$1:$A$5000,MATCH(ROWS($D$1:$D884),$D$1:$D$5000,0)),"")</f>
        <v/>
      </c>
    </row>
    <row r="885" spans="3:5">
      <c r="C885" s="17">
        <f t="shared" si="13"/>
        <v>0</v>
      </c>
      <c r="D885" s="17" t="str">
        <f>IF(C885=1,COUNTIF($C$1:$C885,1),"")</f>
        <v/>
      </c>
      <c r="E885" s="7" t="str">
        <f>IFERROR(INDEX($A$1:$A$5000,MATCH(ROWS($D$1:$D885),$D$1:$D$5000,0)),"")</f>
        <v/>
      </c>
    </row>
    <row r="886" spans="3:5">
      <c r="C886" s="17">
        <f t="shared" si="13"/>
        <v>0</v>
      </c>
      <c r="D886" s="17" t="str">
        <f>IF(C886=1,COUNTIF($C$1:$C886,1),"")</f>
        <v/>
      </c>
      <c r="E886" s="7" t="str">
        <f>IFERROR(INDEX($A$1:$A$5000,MATCH(ROWS($D$1:$D886),$D$1:$D$5000,0)),"")</f>
        <v/>
      </c>
    </row>
    <row r="887" spans="3:5">
      <c r="C887" s="17">
        <f t="shared" si="13"/>
        <v>0</v>
      </c>
      <c r="D887" s="17" t="str">
        <f>IF(C887=1,COUNTIF($C$1:$C887,1),"")</f>
        <v/>
      </c>
      <c r="E887" s="7" t="str">
        <f>IFERROR(INDEX($A$1:$A$5000,MATCH(ROWS($D$1:$D887),$D$1:$D$5000,0)),"")</f>
        <v/>
      </c>
    </row>
    <row r="888" spans="3:5">
      <c r="C888" s="17">
        <f t="shared" si="13"/>
        <v>0</v>
      </c>
      <c r="D888" s="17" t="str">
        <f>IF(C888=1,COUNTIF($C$1:$C888,1),"")</f>
        <v/>
      </c>
      <c r="E888" s="7" t="str">
        <f>IFERROR(INDEX($A$1:$A$5000,MATCH(ROWS($D$1:$D888),$D$1:$D$5000,0)),"")</f>
        <v/>
      </c>
    </row>
    <row r="889" spans="3:5">
      <c r="C889" s="17">
        <f t="shared" si="13"/>
        <v>0</v>
      </c>
      <c r="D889" s="17" t="str">
        <f>IF(C889=1,COUNTIF($C$1:$C889,1),"")</f>
        <v/>
      </c>
      <c r="E889" s="7" t="str">
        <f>IFERROR(INDEX($A$1:$A$5000,MATCH(ROWS($D$1:$D889),$D$1:$D$5000,0)),"")</f>
        <v/>
      </c>
    </row>
    <row r="890" spans="3:5">
      <c r="C890" s="17">
        <f t="shared" si="13"/>
        <v>0</v>
      </c>
      <c r="D890" s="17" t="str">
        <f>IF(C890=1,COUNTIF($C$1:$C890,1),"")</f>
        <v/>
      </c>
      <c r="E890" s="7" t="str">
        <f>IFERROR(INDEX($A$1:$A$5000,MATCH(ROWS($D$1:$D890),$D$1:$D$5000,0)),"")</f>
        <v/>
      </c>
    </row>
    <row r="891" spans="3:5">
      <c r="C891" s="17">
        <f t="shared" si="13"/>
        <v>0</v>
      </c>
      <c r="D891" s="17" t="str">
        <f>IF(C891=1,COUNTIF($C$1:$C891,1),"")</f>
        <v/>
      </c>
      <c r="E891" s="7" t="str">
        <f>IFERROR(INDEX($A$1:$A$5000,MATCH(ROWS($D$1:$D891),$D$1:$D$5000,0)),"")</f>
        <v/>
      </c>
    </row>
    <row r="892" spans="3:5">
      <c r="C892" s="17">
        <f t="shared" si="13"/>
        <v>0</v>
      </c>
      <c r="D892" s="17" t="str">
        <f>IF(C892=1,COUNTIF($C$1:$C892,1),"")</f>
        <v/>
      </c>
      <c r="E892" s="7" t="str">
        <f>IFERROR(INDEX($A$1:$A$5000,MATCH(ROWS($D$1:$D892),$D$1:$D$5000,0)),"")</f>
        <v/>
      </c>
    </row>
    <row r="893" spans="3:5">
      <c r="C893" s="17">
        <f t="shared" si="13"/>
        <v>0</v>
      </c>
      <c r="D893" s="17" t="str">
        <f>IF(C893=1,COUNTIF($C$1:$C893,1),"")</f>
        <v/>
      </c>
      <c r="E893" s="7" t="str">
        <f>IFERROR(INDEX($A$1:$A$5000,MATCH(ROWS($D$1:$D893),$D$1:$D$5000,0)),"")</f>
        <v/>
      </c>
    </row>
    <row r="894" spans="3:5">
      <c r="C894" s="17">
        <f t="shared" si="13"/>
        <v>0</v>
      </c>
      <c r="D894" s="17" t="str">
        <f>IF(C894=1,COUNTIF($C$1:$C894,1),"")</f>
        <v/>
      </c>
      <c r="E894" s="7" t="str">
        <f>IFERROR(INDEX($A$1:$A$5000,MATCH(ROWS($D$1:$D894),$D$1:$D$5000,0)),"")</f>
        <v/>
      </c>
    </row>
    <row r="895" spans="3:5">
      <c r="C895" s="17">
        <f t="shared" si="13"/>
        <v>0</v>
      </c>
      <c r="D895" s="17" t="str">
        <f>IF(C895=1,COUNTIF($C$1:$C895,1),"")</f>
        <v/>
      </c>
      <c r="E895" s="7" t="str">
        <f>IFERROR(INDEX($A$1:$A$5000,MATCH(ROWS($D$1:$D895),$D$1:$D$5000,0)),"")</f>
        <v/>
      </c>
    </row>
    <row r="896" spans="3:5">
      <c r="C896" s="17">
        <f t="shared" si="13"/>
        <v>0</v>
      </c>
      <c r="D896" s="17" t="str">
        <f>IF(C896=1,COUNTIF($C$1:$C896,1),"")</f>
        <v/>
      </c>
      <c r="E896" s="7" t="str">
        <f>IFERROR(INDEX($A$1:$A$5000,MATCH(ROWS($D$1:$D896),$D$1:$D$5000,0)),"")</f>
        <v/>
      </c>
    </row>
    <row r="897" spans="3:5">
      <c r="C897" s="17">
        <f t="shared" si="13"/>
        <v>0</v>
      </c>
      <c r="D897" s="17" t="str">
        <f>IF(C897=1,COUNTIF($C$1:$C897,1),"")</f>
        <v/>
      </c>
      <c r="E897" s="7" t="str">
        <f>IFERROR(INDEX($A$1:$A$5000,MATCH(ROWS($D$1:$D897),$D$1:$D$5000,0)),"")</f>
        <v/>
      </c>
    </row>
    <row r="898" spans="3:5">
      <c r="C898" s="17">
        <f t="shared" ref="C898:C961" si="14">--ISNUMBER(SEARCH($B$1,A898))</f>
        <v>0</v>
      </c>
      <c r="D898" s="17" t="str">
        <f>IF(C898=1,COUNTIF($C$1:$C898,1),"")</f>
        <v/>
      </c>
      <c r="E898" s="7" t="str">
        <f>IFERROR(INDEX($A$1:$A$5000,MATCH(ROWS($D$1:$D898),$D$1:$D$5000,0)),"")</f>
        <v/>
      </c>
    </row>
    <row r="899" spans="3:5">
      <c r="C899" s="17">
        <f t="shared" si="14"/>
        <v>0</v>
      </c>
      <c r="D899" s="17" t="str">
        <f>IF(C899=1,COUNTIF($C$1:$C899,1),"")</f>
        <v/>
      </c>
      <c r="E899" s="7" t="str">
        <f>IFERROR(INDEX($A$1:$A$5000,MATCH(ROWS($D$1:$D899),$D$1:$D$5000,0)),"")</f>
        <v/>
      </c>
    </row>
    <row r="900" spans="3:5">
      <c r="C900" s="17">
        <f t="shared" si="14"/>
        <v>0</v>
      </c>
      <c r="D900" s="17" t="str">
        <f>IF(C900=1,COUNTIF($C$1:$C900,1),"")</f>
        <v/>
      </c>
      <c r="E900" s="7" t="str">
        <f>IFERROR(INDEX($A$1:$A$5000,MATCH(ROWS($D$1:$D900),$D$1:$D$5000,0)),"")</f>
        <v/>
      </c>
    </row>
    <row r="901" spans="3:5">
      <c r="C901" s="17">
        <f t="shared" si="14"/>
        <v>0</v>
      </c>
      <c r="D901" s="17" t="str">
        <f>IF(C901=1,COUNTIF($C$1:$C901,1),"")</f>
        <v/>
      </c>
      <c r="E901" s="7" t="str">
        <f>IFERROR(INDEX($A$1:$A$5000,MATCH(ROWS($D$1:$D901),$D$1:$D$5000,0)),"")</f>
        <v/>
      </c>
    </row>
    <row r="902" spans="3:5">
      <c r="C902" s="17">
        <f t="shared" si="14"/>
        <v>0</v>
      </c>
      <c r="D902" s="17" t="str">
        <f>IF(C902=1,COUNTIF($C$1:$C902,1),"")</f>
        <v/>
      </c>
      <c r="E902" s="7" t="str">
        <f>IFERROR(INDEX($A$1:$A$5000,MATCH(ROWS($D$1:$D902),$D$1:$D$5000,0)),"")</f>
        <v/>
      </c>
    </row>
    <row r="903" spans="3:5">
      <c r="C903" s="17">
        <f t="shared" si="14"/>
        <v>0</v>
      </c>
      <c r="D903" s="17" t="str">
        <f>IF(C903=1,COUNTIF($C$1:$C903,1),"")</f>
        <v/>
      </c>
      <c r="E903" s="7" t="str">
        <f>IFERROR(INDEX($A$1:$A$5000,MATCH(ROWS($D$1:$D903),$D$1:$D$5000,0)),"")</f>
        <v/>
      </c>
    </row>
    <row r="904" spans="3:5">
      <c r="C904" s="17">
        <f t="shared" si="14"/>
        <v>0</v>
      </c>
      <c r="D904" s="17" t="str">
        <f>IF(C904=1,COUNTIF($C$1:$C904,1),"")</f>
        <v/>
      </c>
      <c r="E904" s="7" t="str">
        <f>IFERROR(INDEX($A$1:$A$5000,MATCH(ROWS($D$1:$D904),$D$1:$D$5000,0)),"")</f>
        <v/>
      </c>
    </row>
    <row r="905" spans="3:5">
      <c r="C905" s="17">
        <f t="shared" si="14"/>
        <v>0</v>
      </c>
      <c r="D905" s="17" t="str">
        <f>IF(C905=1,COUNTIF($C$1:$C905,1),"")</f>
        <v/>
      </c>
      <c r="E905" s="7" t="str">
        <f>IFERROR(INDEX($A$1:$A$5000,MATCH(ROWS($D$1:$D905),$D$1:$D$5000,0)),"")</f>
        <v/>
      </c>
    </row>
    <row r="906" spans="3:5">
      <c r="C906" s="17">
        <f t="shared" si="14"/>
        <v>0</v>
      </c>
      <c r="D906" s="17" t="str">
        <f>IF(C906=1,COUNTIF($C$1:$C906,1),"")</f>
        <v/>
      </c>
      <c r="E906" s="7" t="str">
        <f>IFERROR(INDEX($A$1:$A$5000,MATCH(ROWS($D$1:$D906),$D$1:$D$5000,0)),"")</f>
        <v/>
      </c>
    </row>
    <row r="907" spans="3:5">
      <c r="C907" s="17">
        <f t="shared" si="14"/>
        <v>0</v>
      </c>
      <c r="D907" s="17" t="str">
        <f>IF(C907=1,COUNTIF($C$1:$C907,1),"")</f>
        <v/>
      </c>
      <c r="E907" s="7" t="str">
        <f>IFERROR(INDEX($A$1:$A$5000,MATCH(ROWS($D$1:$D907),$D$1:$D$5000,0)),"")</f>
        <v/>
      </c>
    </row>
    <row r="908" spans="3:5">
      <c r="C908" s="17">
        <f t="shared" si="14"/>
        <v>0</v>
      </c>
      <c r="D908" s="17" t="str">
        <f>IF(C908=1,COUNTIF($C$1:$C908,1),"")</f>
        <v/>
      </c>
      <c r="E908" s="7" t="str">
        <f>IFERROR(INDEX($A$1:$A$5000,MATCH(ROWS($D$1:$D908),$D$1:$D$5000,0)),"")</f>
        <v/>
      </c>
    </row>
    <row r="909" spans="3:5">
      <c r="C909" s="17">
        <f t="shared" si="14"/>
        <v>0</v>
      </c>
      <c r="D909" s="17" t="str">
        <f>IF(C909=1,COUNTIF($C$1:$C909,1),"")</f>
        <v/>
      </c>
      <c r="E909" s="7" t="str">
        <f>IFERROR(INDEX($A$1:$A$5000,MATCH(ROWS($D$1:$D909),$D$1:$D$5000,0)),"")</f>
        <v/>
      </c>
    </row>
    <row r="910" spans="3:5">
      <c r="C910" s="17">
        <f t="shared" si="14"/>
        <v>0</v>
      </c>
      <c r="D910" s="17" t="str">
        <f>IF(C910=1,COUNTIF($C$1:$C910,1),"")</f>
        <v/>
      </c>
      <c r="E910" s="7" t="str">
        <f>IFERROR(INDEX($A$1:$A$5000,MATCH(ROWS($D$1:$D910),$D$1:$D$5000,0)),"")</f>
        <v/>
      </c>
    </row>
    <row r="911" spans="3:5">
      <c r="C911" s="17">
        <f t="shared" si="14"/>
        <v>0</v>
      </c>
      <c r="D911" s="17" t="str">
        <f>IF(C911=1,COUNTIF($C$1:$C911,1),"")</f>
        <v/>
      </c>
      <c r="E911" s="7" t="str">
        <f>IFERROR(INDEX($A$1:$A$5000,MATCH(ROWS($D$1:$D911),$D$1:$D$5000,0)),"")</f>
        <v/>
      </c>
    </row>
    <row r="912" spans="3:5">
      <c r="C912" s="17">
        <f t="shared" si="14"/>
        <v>0</v>
      </c>
      <c r="D912" s="17" t="str">
        <f>IF(C912=1,COUNTIF($C$1:$C912,1),"")</f>
        <v/>
      </c>
      <c r="E912" s="7" t="str">
        <f>IFERROR(INDEX($A$1:$A$5000,MATCH(ROWS($D$1:$D912),$D$1:$D$5000,0)),"")</f>
        <v/>
      </c>
    </row>
    <row r="913" spans="3:5">
      <c r="C913" s="17">
        <f t="shared" si="14"/>
        <v>0</v>
      </c>
      <c r="D913" s="17" t="str">
        <f>IF(C913=1,COUNTIF($C$1:$C913,1),"")</f>
        <v/>
      </c>
      <c r="E913" s="7" t="str">
        <f>IFERROR(INDEX($A$1:$A$5000,MATCH(ROWS($D$1:$D913),$D$1:$D$5000,0)),"")</f>
        <v/>
      </c>
    </row>
    <row r="914" spans="3:5">
      <c r="C914" s="17">
        <f t="shared" si="14"/>
        <v>0</v>
      </c>
      <c r="D914" s="17" t="str">
        <f>IF(C914=1,COUNTIF($C$1:$C914,1),"")</f>
        <v/>
      </c>
      <c r="E914" s="7" t="str">
        <f>IFERROR(INDEX($A$1:$A$5000,MATCH(ROWS($D$1:$D914),$D$1:$D$5000,0)),"")</f>
        <v/>
      </c>
    </row>
    <row r="915" spans="3:5">
      <c r="C915" s="17">
        <f t="shared" si="14"/>
        <v>0</v>
      </c>
      <c r="D915" s="17" t="str">
        <f>IF(C915=1,COUNTIF($C$1:$C915,1),"")</f>
        <v/>
      </c>
      <c r="E915" s="7" t="str">
        <f>IFERROR(INDEX($A$1:$A$5000,MATCH(ROWS($D$1:$D915),$D$1:$D$5000,0)),"")</f>
        <v/>
      </c>
    </row>
    <row r="916" spans="3:5">
      <c r="C916" s="17">
        <f t="shared" si="14"/>
        <v>0</v>
      </c>
      <c r="D916" s="17" t="str">
        <f>IF(C916=1,COUNTIF($C$1:$C916,1),"")</f>
        <v/>
      </c>
      <c r="E916" s="7" t="str">
        <f>IFERROR(INDEX($A$1:$A$5000,MATCH(ROWS($D$1:$D916),$D$1:$D$5000,0)),"")</f>
        <v/>
      </c>
    </row>
    <row r="917" spans="3:5">
      <c r="C917" s="17">
        <f t="shared" si="14"/>
        <v>0</v>
      </c>
      <c r="D917" s="17" t="str">
        <f>IF(C917=1,COUNTIF($C$1:$C917,1),"")</f>
        <v/>
      </c>
      <c r="E917" s="7" t="str">
        <f>IFERROR(INDEX($A$1:$A$5000,MATCH(ROWS($D$1:$D917),$D$1:$D$5000,0)),"")</f>
        <v/>
      </c>
    </row>
    <row r="918" spans="3:5">
      <c r="C918" s="17">
        <f t="shared" si="14"/>
        <v>0</v>
      </c>
      <c r="D918" s="17" t="str">
        <f>IF(C918=1,COUNTIF($C$1:$C918,1),"")</f>
        <v/>
      </c>
      <c r="E918" s="7" t="str">
        <f>IFERROR(INDEX($A$1:$A$5000,MATCH(ROWS($D$1:$D918),$D$1:$D$5000,0)),"")</f>
        <v/>
      </c>
    </row>
    <row r="919" spans="3:5">
      <c r="C919" s="17">
        <f t="shared" si="14"/>
        <v>0</v>
      </c>
      <c r="D919" s="17" t="str">
        <f>IF(C919=1,COUNTIF($C$1:$C919,1),"")</f>
        <v/>
      </c>
      <c r="E919" s="7" t="str">
        <f>IFERROR(INDEX($A$1:$A$5000,MATCH(ROWS($D$1:$D919),$D$1:$D$5000,0)),"")</f>
        <v/>
      </c>
    </row>
    <row r="920" spans="3:5">
      <c r="C920" s="17">
        <f t="shared" si="14"/>
        <v>0</v>
      </c>
      <c r="D920" s="17" t="str">
        <f>IF(C920=1,COUNTIF($C$1:$C920,1),"")</f>
        <v/>
      </c>
      <c r="E920" s="7" t="str">
        <f>IFERROR(INDEX($A$1:$A$5000,MATCH(ROWS($D$1:$D920),$D$1:$D$5000,0)),"")</f>
        <v/>
      </c>
    </row>
    <row r="921" spans="3:5">
      <c r="C921" s="17">
        <f t="shared" si="14"/>
        <v>0</v>
      </c>
      <c r="D921" s="17" t="str">
        <f>IF(C921=1,COUNTIF($C$1:$C921,1),"")</f>
        <v/>
      </c>
      <c r="E921" s="7" t="str">
        <f>IFERROR(INDEX($A$1:$A$5000,MATCH(ROWS($D$1:$D921),$D$1:$D$5000,0)),"")</f>
        <v/>
      </c>
    </row>
    <row r="922" spans="3:5">
      <c r="C922" s="17">
        <f t="shared" si="14"/>
        <v>0</v>
      </c>
      <c r="D922" s="17" t="str">
        <f>IF(C922=1,COUNTIF($C$1:$C922,1),"")</f>
        <v/>
      </c>
      <c r="E922" s="7" t="str">
        <f>IFERROR(INDEX($A$1:$A$5000,MATCH(ROWS($D$1:$D922),$D$1:$D$5000,0)),"")</f>
        <v/>
      </c>
    </row>
    <row r="923" spans="3:5">
      <c r="C923" s="17">
        <f t="shared" si="14"/>
        <v>0</v>
      </c>
      <c r="D923" s="17" t="str">
        <f>IF(C923=1,COUNTIF($C$1:$C923,1),"")</f>
        <v/>
      </c>
      <c r="E923" s="7" t="str">
        <f>IFERROR(INDEX($A$1:$A$5000,MATCH(ROWS($D$1:$D923),$D$1:$D$5000,0)),"")</f>
        <v/>
      </c>
    </row>
    <row r="924" spans="3:5">
      <c r="C924" s="17">
        <f t="shared" si="14"/>
        <v>0</v>
      </c>
      <c r="D924" s="17" t="str">
        <f>IF(C924=1,COUNTIF($C$1:$C924,1),"")</f>
        <v/>
      </c>
      <c r="E924" s="7" t="str">
        <f>IFERROR(INDEX($A$1:$A$5000,MATCH(ROWS($D$1:$D924),$D$1:$D$5000,0)),"")</f>
        <v/>
      </c>
    </row>
    <row r="925" spans="3:5">
      <c r="C925" s="17">
        <f t="shared" si="14"/>
        <v>0</v>
      </c>
      <c r="D925" s="17" t="str">
        <f>IF(C925=1,COUNTIF($C$1:$C925,1),"")</f>
        <v/>
      </c>
      <c r="E925" s="7" t="str">
        <f>IFERROR(INDEX($A$1:$A$5000,MATCH(ROWS($D$1:$D925),$D$1:$D$5000,0)),"")</f>
        <v/>
      </c>
    </row>
    <row r="926" spans="3:5">
      <c r="C926" s="17">
        <f t="shared" si="14"/>
        <v>0</v>
      </c>
      <c r="D926" s="17" t="str">
        <f>IF(C926=1,COUNTIF($C$1:$C926,1),"")</f>
        <v/>
      </c>
      <c r="E926" s="7" t="str">
        <f>IFERROR(INDEX($A$1:$A$5000,MATCH(ROWS($D$1:$D926),$D$1:$D$5000,0)),"")</f>
        <v/>
      </c>
    </row>
    <row r="927" spans="3:5">
      <c r="C927" s="17">
        <f t="shared" si="14"/>
        <v>0</v>
      </c>
      <c r="D927" s="17" t="str">
        <f>IF(C927=1,COUNTIF($C$1:$C927,1),"")</f>
        <v/>
      </c>
      <c r="E927" s="7" t="str">
        <f>IFERROR(INDEX($A$1:$A$5000,MATCH(ROWS($D$1:$D927),$D$1:$D$5000,0)),"")</f>
        <v/>
      </c>
    </row>
    <row r="928" spans="3:5">
      <c r="C928" s="17">
        <f t="shared" si="14"/>
        <v>0</v>
      </c>
      <c r="D928" s="17" t="str">
        <f>IF(C928=1,COUNTIF($C$1:$C928,1),"")</f>
        <v/>
      </c>
      <c r="E928" s="7" t="str">
        <f>IFERROR(INDEX($A$1:$A$5000,MATCH(ROWS($D$1:$D928),$D$1:$D$5000,0)),"")</f>
        <v/>
      </c>
    </row>
    <row r="929" spans="3:5">
      <c r="C929" s="17">
        <f t="shared" si="14"/>
        <v>0</v>
      </c>
      <c r="D929" s="17" t="str">
        <f>IF(C929=1,COUNTIF($C$1:$C929,1),"")</f>
        <v/>
      </c>
      <c r="E929" s="7" t="str">
        <f>IFERROR(INDEX($A$1:$A$5000,MATCH(ROWS($D$1:$D929),$D$1:$D$5000,0)),"")</f>
        <v/>
      </c>
    </row>
    <row r="930" spans="3:5">
      <c r="C930" s="17">
        <f t="shared" si="14"/>
        <v>0</v>
      </c>
      <c r="D930" s="17" t="str">
        <f>IF(C930=1,COUNTIF($C$1:$C930,1),"")</f>
        <v/>
      </c>
      <c r="E930" s="7" t="str">
        <f>IFERROR(INDEX($A$1:$A$5000,MATCH(ROWS($D$1:$D930),$D$1:$D$5000,0)),"")</f>
        <v/>
      </c>
    </row>
    <row r="931" spans="3:5">
      <c r="C931" s="17">
        <f t="shared" si="14"/>
        <v>0</v>
      </c>
      <c r="D931" s="17" t="str">
        <f>IF(C931=1,COUNTIF($C$1:$C931,1),"")</f>
        <v/>
      </c>
      <c r="E931" s="7" t="str">
        <f>IFERROR(INDEX($A$1:$A$5000,MATCH(ROWS($D$1:$D931),$D$1:$D$5000,0)),"")</f>
        <v/>
      </c>
    </row>
    <row r="932" spans="3:5">
      <c r="C932" s="17">
        <f t="shared" si="14"/>
        <v>0</v>
      </c>
      <c r="D932" s="17" t="str">
        <f>IF(C932=1,COUNTIF($C$1:$C932,1),"")</f>
        <v/>
      </c>
      <c r="E932" s="7" t="str">
        <f>IFERROR(INDEX($A$1:$A$5000,MATCH(ROWS($D$1:$D932),$D$1:$D$5000,0)),"")</f>
        <v/>
      </c>
    </row>
    <row r="933" spans="3:5">
      <c r="C933" s="17">
        <f t="shared" si="14"/>
        <v>0</v>
      </c>
      <c r="D933" s="17" t="str">
        <f>IF(C933=1,COUNTIF($C$1:$C933,1),"")</f>
        <v/>
      </c>
      <c r="E933" s="7" t="str">
        <f>IFERROR(INDEX($A$1:$A$5000,MATCH(ROWS($D$1:$D933),$D$1:$D$5000,0)),"")</f>
        <v/>
      </c>
    </row>
    <row r="934" spans="3:5">
      <c r="C934" s="17">
        <f t="shared" si="14"/>
        <v>0</v>
      </c>
      <c r="D934" s="17" t="str">
        <f>IF(C934=1,COUNTIF($C$1:$C934,1),"")</f>
        <v/>
      </c>
      <c r="E934" s="7" t="str">
        <f>IFERROR(INDEX($A$1:$A$5000,MATCH(ROWS($D$1:$D934),$D$1:$D$5000,0)),"")</f>
        <v/>
      </c>
    </row>
    <row r="935" spans="3:5">
      <c r="C935" s="17">
        <f t="shared" si="14"/>
        <v>0</v>
      </c>
      <c r="D935" s="17" t="str">
        <f>IF(C935=1,COUNTIF($C$1:$C935,1),"")</f>
        <v/>
      </c>
      <c r="E935" s="7" t="str">
        <f>IFERROR(INDEX($A$1:$A$5000,MATCH(ROWS($D$1:$D935),$D$1:$D$5000,0)),"")</f>
        <v/>
      </c>
    </row>
    <row r="936" spans="3:5">
      <c r="C936" s="17">
        <f t="shared" si="14"/>
        <v>0</v>
      </c>
      <c r="D936" s="17" t="str">
        <f>IF(C936=1,COUNTIF($C$1:$C936,1),"")</f>
        <v/>
      </c>
      <c r="E936" s="7" t="str">
        <f>IFERROR(INDEX($A$1:$A$5000,MATCH(ROWS($D$1:$D936),$D$1:$D$5000,0)),"")</f>
        <v/>
      </c>
    </row>
    <row r="937" spans="3:5">
      <c r="C937" s="17">
        <f t="shared" si="14"/>
        <v>0</v>
      </c>
      <c r="D937" s="17" t="str">
        <f>IF(C937=1,COUNTIF($C$1:$C937,1),"")</f>
        <v/>
      </c>
      <c r="E937" s="7" t="str">
        <f>IFERROR(INDEX($A$1:$A$5000,MATCH(ROWS($D$1:$D937),$D$1:$D$5000,0)),"")</f>
        <v/>
      </c>
    </row>
    <row r="938" spans="3:5">
      <c r="C938" s="17">
        <f t="shared" si="14"/>
        <v>0</v>
      </c>
      <c r="D938" s="17" t="str">
        <f>IF(C938=1,COUNTIF($C$1:$C938,1),"")</f>
        <v/>
      </c>
      <c r="E938" s="7" t="str">
        <f>IFERROR(INDEX($A$1:$A$5000,MATCH(ROWS($D$1:$D938),$D$1:$D$5000,0)),"")</f>
        <v/>
      </c>
    </row>
    <row r="939" spans="3:5">
      <c r="C939" s="17">
        <f t="shared" si="14"/>
        <v>0</v>
      </c>
      <c r="D939" s="17" t="str">
        <f>IF(C939=1,COUNTIF($C$1:$C939,1),"")</f>
        <v/>
      </c>
      <c r="E939" s="7" t="str">
        <f>IFERROR(INDEX($A$1:$A$5000,MATCH(ROWS($D$1:$D939),$D$1:$D$5000,0)),"")</f>
        <v/>
      </c>
    </row>
    <row r="940" spans="3:5">
      <c r="C940" s="17">
        <f t="shared" si="14"/>
        <v>0</v>
      </c>
      <c r="D940" s="17" t="str">
        <f>IF(C940=1,COUNTIF($C$1:$C940,1),"")</f>
        <v/>
      </c>
      <c r="E940" s="7" t="str">
        <f>IFERROR(INDEX($A$1:$A$5000,MATCH(ROWS($D$1:$D940),$D$1:$D$5000,0)),"")</f>
        <v/>
      </c>
    </row>
    <row r="941" spans="3:5">
      <c r="C941" s="17">
        <f t="shared" si="14"/>
        <v>0</v>
      </c>
      <c r="D941" s="17" t="str">
        <f>IF(C941=1,COUNTIF($C$1:$C941,1),"")</f>
        <v/>
      </c>
      <c r="E941" s="7" t="str">
        <f>IFERROR(INDEX($A$1:$A$5000,MATCH(ROWS($D$1:$D941),$D$1:$D$5000,0)),"")</f>
        <v/>
      </c>
    </row>
    <row r="942" spans="3:5">
      <c r="C942" s="17">
        <f t="shared" si="14"/>
        <v>0</v>
      </c>
      <c r="D942" s="17" t="str">
        <f>IF(C942=1,COUNTIF($C$1:$C942,1),"")</f>
        <v/>
      </c>
      <c r="E942" s="7" t="str">
        <f>IFERROR(INDEX($A$1:$A$5000,MATCH(ROWS($D$1:$D942),$D$1:$D$5000,0)),"")</f>
        <v/>
      </c>
    </row>
    <row r="943" spans="3:5">
      <c r="C943" s="17">
        <f t="shared" si="14"/>
        <v>0</v>
      </c>
      <c r="D943" s="17" t="str">
        <f>IF(C943=1,COUNTIF($C$1:$C943,1),"")</f>
        <v/>
      </c>
      <c r="E943" s="7" t="str">
        <f>IFERROR(INDEX($A$1:$A$5000,MATCH(ROWS($D$1:$D943),$D$1:$D$5000,0)),"")</f>
        <v/>
      </c>
    </row>
    <row r="944" spans="3:5">
      <c r="C944" s="17">
        <f t="shared" si="14"/>
        <v>0</v>
      </c>
      <c r="D944" s="17" t="str">
        <f>IF(C944=1,COUNTIF($C$1:$C944,1),"")</f>
        <v/>
      </c>
      <c r="E944" s="7" t="str">
        <f>IFERROR(INDEX($A$1:$A$5000,MATCH(ROWS($D$1:$D944),$D$1:$D$5000,0)),"")</f>
        <v/>
      </c>
    </row>
    <row r="945" spans="3:5">
      <c r="C945" s="17">
        <f t="shared" si="14"/>
        <v>0</v>
      </c>
      <c r="D945" s="17" t="str">
        <f>IF(C945=1,COUNTIF($C$1:$C945,1),"")</f>
        <v/>
      </c>
      <c r="E945" s="7" t="str">
        <f>IFERROR(INDEX($A$1:$A$5000,MATCH(ROWS($D$1:$D945),$D$1:$D$5000,0)),"")</f>
        <v/>
      </c>
    </row>
    <row r="946" spans="3:5">
      <c r="C946" s="17">
        <f t="shared" si="14"/>
        <v>0</v>
      </c>
      <c r="D946" s="17" t="str">
        <f>IF(C946=1,COUNTIF($C$1:$C946,1),"")</f>
        <v/>
      </c>
      <c r="E946" s="7" t="str">
        <f>IFERROR(INDEX($A$1:$A$5000,MATCH(ROWS($D$1:$D946),$D$1:$D$5000,0)),"")</f>
        <v/>
      </c>
    </row>
    <row r="947" spans="3:5">
      <c r="C947" s="17">
        <f t="shared" si="14"/>
        <v>0</v>
      </c>
      <c r="D947" s="17" t="str">
        <f>IF(C947=1,COUNTIF($C$1:$C947,1),"")</f>
        <v/>
      </c>
      <c r="E947" s="7" t="str">
        <f>IFERROR(INDEX($A$1:$A$5000,MATCH(ROWS($D$1:$D947),$D$1:$D$5000,0)),"")</f>
        <v/>
      </c>
    </row>
    <row r="948" spans="3:5">
      <c r="C948" s="17">
        <f t="shared" si="14"/>
        <v>0</v>
      </c>
      <c r="D948" s="17" t="str">
        <f>IF(C948=1,COUNTIF($C$1:$C948,1),"")</f>
        <v/>
      </c>
      <c r="E948" s="7" t="str">
        <f>IFERROR(INDEX($A$1:$A$5000,MATCH(ROWS($D$1:$D948),$D$1:$D$5000,0)),"")</f>
        <v/>
      </c>
    </row>
    <row r="949" spans="3:5">
      <c r="C949" s="17">
        <f t="shared" si="14"/>
        <v>0</v>
      </c>
      <c r="D949" s="17" t="str">
        <f>IF(C949=1,COUNTIF($C$1:$C949,1),"")</f>
        <v/>
      </c>
      <c r="E949" s="7" t="str">
        <f>IFERROR(INDEX($A$1:$A$5000,MATCH(ROWS($D$1:$D949),$D$1:$D$5000,0)),"")</f>
        <v/>
      </c>
    </row>
    <row r="950" spans="3:5">
      <c r="C950" s="17">
        <f t="shared" si="14"/>
        <v>0</v>
      </c>
      <c r="D950" s="17" t="str">
        <f>IF(C950=1,COUNTIF($C$1:$C950,1),"")</f>
        <v/>
      </c>
      <c r="E950" s="7" t="str">
        <f>IFERROR(INDEX($A$1:$A$5000,MATCH(ROWS($D$1:$D950),$D$1:$D$5000,0)),"")</f>
        <v/>
      </c>
    </row>
    <row r="951" spans="3:5">
      <c r="C951" s="17">
        <f t="shared" si="14"/>
        <v>0</v>
      </c>
      <c r="D951" s="17" t="str">
        <f>IF(C951=1,COUNTIF($C$1:$C951,1),"")</f>
        <v/>
      </c>
      <c r="E951" s="7" t="str">
        <f>IFERROR(INDEX($A$1:$A$5000,MATCH(ROWS($D$1:$D951),$D$1:$D$5000,0)),"")</f>
        <v/>
      </c>
    </row>
    <row r="952" spans="3:5">
      <c r="C952" s="17">
        <f t="shared" si="14"/>
        <v>0</v>
      </c>
      <c r="D952" s="17" t="str">
        <f>IF(C952=1,COUNTIF($C$1:$C952,1),"")</f>
        <v/>
      </c>
      <c r="E952" s="7" t="str">
        <f>IFERROR(INDEX($A$1:$A$5000,MATCH(ROWS($D$1:$D952),$D$1:$D$5000,0)),"")</f>
        <v/>
      </c>
    </row>
    <row r="953" spans="3:5">
      <c r="C953" s="17">
        <f t="shared" si="14"/>
        <v>0</v>
      </c>
      <c r="D953" s="17" t="str">
        <f>IF(C953=1,COUNTIF($C$1:$C953,1),"")</f>
        <v/>
      </c>
      <c r="E953" s="7" t="str">
        <f>IFERROR(INDEX($A$1:$A$5000,MATCH(ROWS($D$1:$D953),$D$1:$D$5000,0)),"")</f>
        <v/>
      </c>
    </row>
    <row r="954" spans="3:5">
      <c r="C954" s="17">
        <f t="shared" si="14"/>
        <v>0</v>
      </c>
      <c r="D954" s="17" t="str">
        <f>IF(C954=1,COUNTIF($C$1:$C954,1),"")</f>
        <v/>
      </c>
      <c r="E954" s="7" t="str">
        <f>IFERROR(INDEX($A$1:$A$5000,MATCH(ROWS($D$1:$D954),$D$1:$D$5000,0)),"")</f>
        <v/>
      </c>
    </row>
    <row r="955" spans="3:5">
      <c r="C955" s="17">
        <f t="shared" si="14"/>
        <v>0</v>
      </c>
      <c r="D955" s="17" t="str">
        <f>IF(C955=1,COUNTIF($C$1:$C955,1),"")</f>
        <v/>
      </c>
      <c r="E955" s="7" t="str">
        <f>IFERROR(INDEX($A$1:$A$5000,MATCH(ROWS($D$1:$D955),$D$1:$D$5000,0)),"")</f>
        <v/>
      </c>
    </row>
    <row r="956" spans="3:5">
      <c r="C956" s="17">
        <f t="shared" si="14"/>
        <v>0</v>
      </c>
      <c r="D956" s="17" t="str">
        <f>IF(C956=1,COUNTIF($C$1:$C956,1),"")</f>
        <v/>
      </c>
      <c r="E956" s="7" t="str">
        <f>IFERROR(INDEX($A$1:$A$5000,MATCH(ROWS($D$1:$D956),$D$1:$D$5000,0)),"")</f>
        <v/>
      </c>
    </row>
    <row r="957" spans="3:5">
      <c r="C957" s="17">
        <f t="shared" si="14"/>
        <v>0</v>
      </c>
      <c r="D957" s="17" t="str">
        <f>IF(C957=1,COUNTIF($C$1:$C957,1),"")</f>
        <v/>
      </c>
      <c r="E957" s="7" t="str">
        <f>IFERROR(INDEX($A$1:$A$5000,MATCH(ROWS($D$1:$D957),$D$1:$D$5000,0)),"")</f>
        <v/>
      </c>
    </row>
    <row r="958" spans="3:5">
      <c r="C958" s="17">
        <f t="shared" si="14"/>
        <v>0</v>
      </c>
      <c r="D958" s="17" t="str">
        <f>IF(C958=1,COUNTIF($C$1:$C958,1),"")</f>
        <v/>
      </c>
      <c r="E958" s="7" t="str">
        <f>IFERROR(INDEX($A$1:$A$5000,MATCH(ROWS($D$1:$D958),$D$1:$D$5000,0)),"")</f>
        <v/>
      </c>
    </row>
    <row r="959" spans="3:5">
      <c r="C959" s="17">
        <f t="shared" si="14"/>
        <v>0</v>
      </c>
      <c r="D959" s="17" t="str">
        <f>IF(C959=1,COUNTIF($C$1:$C959,1),"")</f>
        <v/>
      </c>
      <c r="E959" s="7" t="str">
        <f>IFERROR(INDEX($A$1:$A$5000,MATCH(ROWS($D$1:$D959),$D$1:$D$5000,0)),"")</f>
        <v/>
      </c>
    </row>
    <row r="960" spans="3:5">
      <c r="C960" s="17">
        <f t="shared" si="14"/>
        <v>0</v>
      </c>
      <c r="D960" s="17" t="str">
        <f>IF(C960=1,COUNTIF($C$1:$C960,1),"")</f>
        <v/>
      </c>
      <c r="E960" s="7" t="str">
        <f>IFERROR(INDEX($A$1:$A$5000,MATCH(ROWS($D$1:$D960),$D$1:$D$5000,0)),"")</f>
        <v/>
      </c>
    </row>
    <row r="961" spans="3:5">
      <c r="C961" s="17">
        <f t="shared" si="14"/>
        <v>0</v>
      </c>
      <c r="D961" s="17" t="str">
        <f>IF(C961=1,COUNTIF($C$1:$C961,1),"")</f>
        <v/>
      </c>
      <c r="E961" s="7" t="str">
        <f>IFERROR(INDEX($A$1:$A$5000,MATCH(ROWS($D$1:$D961),$D$1:$D$5000,0)),"")</f>
        <v/>
      </c>
    </row>
    <row r="962" spans="3:5">
      <c r="C962" s="17">
        <f t="shared" ref="C962:C1025" si="15">--ISNUMBER(SEARCH($B$1,A962))</f>
        <v>0</v>
      </c>
      <c r="D962" s="17" t="str">
        <f>IF(C962=1,COUNTIF($C$1:$C962,1),"")</f>
        <v/>
      </c>
      <c r="E962" s="7" t="str">
        <f>IFERROR(INDEX($A$1:$A$5000,MATCH(ROWS($D$1:$D962),$D$1:$D$5000,0)),"")</f>
        <v/>
      </c>
    </row>
    <row r="963" spans="3:5">
      <c r="C963" s="17">
        <f t="shared" si="15"/>
        <v>0</v>
      </c>
      <c r="D963" s="17" t="str">
        <f>IF(C963=1,COUNTIF($C$1:$C963,1),"")</f>
        <v/>
      </c>
      <c r="E963" s="7" t="str">
        <f>IFERROR(INDEX($A$1:$A$5000,MATCH(ROWS($D$1:$D963),$D$1:$D$5000,0)),"")</f>
        <v/>
      </c>
    </row>
    <row r="964" spans="3:5">
      <c r="C964" s="17">
        <f t="shared" si="15"/>
        <v>0</v>
      </c>
      <c r="D964" s="17" t="str">
        <f>IF(C964=1,COUNTIF($C$1:$C964,1),"")</f>
        <v/>
      </c>
      <c r="E964" s="7" t="str">
        <f>IFERROR(INDEX($A$1:$A$5000,MATCH(ROWS($D$1:$D964),$D$1:$D$5000,0)),"")</f>
        <v/>
      </c>
    </row>
    <row r="965" spans="3:5">
      <c r="C965" s="17">
        <f t="shared" si="15"/>
        <v>0</v>
      </c>
      <c r="D965" s="17" t="str">
        <f>IF(C965=1,COUNTIF($C$1:$C965,1),"")</f>
        <v/>
      </c>
      <c r="E965" s="7" t="str">
        <f>IFERROR(INDEX($A$1:$A$5000,MATCH(ROWS($D$1:$D965),$D$1:$D$5000,0)),"")</f>
        <v/>
      </c>
    </row>
    <row r="966" spans="3:5">
      <c r="C966" s="17">
        <f t="shared" si="15"/>
        <v>0</v>
      </c>
      <c r="D966" s="17" t="str">
        <f>IF(C966=1,COUNTIF($C$1:$C966,1),"")</f>
        <v/>
      </c>
      <c r="E966" s="7" t="str">
        <f>IFERROR(INDEX($A$1:$A$5000,MATCH(ROWS($D$1:$D966),$D$1:$D$5000,0)),"")</f>
        <v/>
      </c>
    </row>
    <row r="967" spans="3:5">
      <c r="C967" s="17">
        <f t="shared" si="15"/>
        <v>0</v>
      </c>
      <c r="D967" s="17" t="str">
        <f>IF(C967=1,COUNTIF($C$1:$C967,1),"")</f>
        <v/>
      </c>
      <c r="E967" s="7" t="str">
        <f>IFERROR(INDEX($A$1:$A$5000,MATCH(ROWS($D$1:$D967),$D$1:$D$5000,0)),"")</f>
        <v/>
      </c>
    </row>
    <row r="968" spans="3:5">
      <c r="C968" s="17">
        <f t="shared" si="15"/>
        <v>0</v>
      </c>
      <c r="D968" s="17" t="str">
        <f>IF(C968=1,COUNTIF($C$1:$C968,1),"")</f>
        <v/>
      </c>
      <c r="E968" s="7" t="str">
        <f>IFERROR(INDEX($A$1:$A$5000,MATCH(ROWS($D$1:$D968),$D$1:$D$5000,0)),"")</f>
        <v/>
      </c>
    </row>
    <row r="969" spans="3:5">
      <c r="C969" s="17">
        <f t="shared" si="15"/>
        <v>0</v>
      </c>
      <c r="D969" s="17" t="str">
        <f>IF(C969=1,COUNTIF($C$1:$C969,1),"")</f>
        <v/>
      </c>
      <c r="E969" s="7" t="str">
        <f>IFERROR(INDEX($A$1:$A$5000,MATCH(ROWS($D$1:$D969),$D$1:$D$5000,0)),"")</f>
        <v/>
      </c>
    </row>
    <row r="970" spans="3:5">
      <c r="C970" s="17">
        <f t="shared" si="15"/>
        <v>0</v>
      </c>
      <c r="D970" s="17" t="str">
        <f>IF(C970=1,COUNTIF($C$1:$C970,1),"")</f>
        <v/>
      </c>
      <c r="E970" s="7" t="str">
        <f>IFERROR(INDEX($A$1:$A$5000,MATCH(ROWS($D$1:$D970),$D$1:$D$5000,0)),"")</f>
        <v/>
      </c>
    </row>
    <row r="971" spans="3:5">
      <c r="C971" s="17">
        <f t="shared" si="15"/>
        <v>0</v>
      </c>
      <c r="D971" s="17" t="str">
        <f>IF(C971=1,COUNTIF($C$1:$C971,1),"")</f>
        <v/>
      </c>
      <c r="E971" s="7" t="str">
        <f>IFERROR(INDEX($A$1:$A$5000,MATCH(ROWS($D$1:$D971),$D$1:$D$5000,0)),"")</f>
        <v/>
      </c>
    </row>
    <row r="972" spans="3:5">
      <c r="C972" s="17">
        <f t="shared" si="15"/>
        <v>0</v>
      </c>
      <c r="D972" s="17" t="str">
        <f>IF(C972=1,COUNTIF($C$1:$C972,1),"")</f>
        <v/>
      </c>
      <c r="E972" s="7" t="str">
        <f>IFERROR(INDEX($A$1:$A$5000,MATCH(ROWS($D$1:$D972),$D$1:$D$5000,0)),"")</f>
        <v/>
      </c>
    </row>
    <row r="973" spans="3:5">
      <c r="C973" s="17">
        <f t="shared" si="15"/>
        <v>0</v>
      </c>
      <c r="D973" s="17" t="str">
        <f>IF(C973=1,COUNTIF($C$1:$C973,1),"")</f>
        <v/>
      </c>
      <c r="E973" s="7" t="str">
        <f>IFERROR(INDEX($A$1:$A$5000,MATCH(ROWS($D$1:$D973),$D$1:$D$5000,0)),"")</f>
        <v/>
      </c>
    </row>
    <row r="974" spans="3:5">
      <c r="C974" s="17">
        <f t="shared" si="15"/>
        <v>0</v>
      </c>
      <c r="D974" s="17" t="str">
        <f>IF(C974=1,COUNTIF($C$1:$C974,1),"")</f>
        <v/>
      </c>
      <c r="E974" s="7" t="str">
        <f>IFERROR(INDEX($A$1:$A$5000,MATCH(ROWS($D$1:$D974),$D$1:$D$5000,0)),"")</f>
        <v/>
      </c>
    </row>
    <row r="975" spans="3:5">
      <c r="C975" s="17">
        <f t="shared" si="15"/>
        <v>0</v>
      </c>
      <c r="D975" s="17" t="str">
        <f>IF(C975=1,COUNTIF($C$1:$C975,1),"")</f>
        <v/>
      </c>
      <c r="E975" s="7" t="str">
        <f>IFERROR(INDEX($A$1:$A$5000,MATCH(ROWS($D$1:$D975),$D$1:$D$5000,0)),"")</f>
        <v/>
      </c>
    </row>
    <row r="976" spans="3:5">
      <c r="C976" s="17">
        <f t="shared" si="15"/>
        <v>0</v>
      </c>
      <c r="D976" s="17" t="str">
        <f>IF(C976=1,COUNTIF($C$1:$C976,1),"")</f>
        <v/>
      </c>
      <c r="E976" s="7" t="str">
        <f>IFERROR(INDEX($A$1:$A$5000,MATCH(ROWS($D$1:$D976),$D$1:$D$5000,0)),"")</f>
        <v/>
      </c>
    </row>
    <row r="977" spans="3:5">
      <c r="C977" s="17">
        <f t="shared" si="15"/>
        <v>0</v>
      </c>
      <c r="D977" s="17" t="str">
        <f>IF(C977=1,COUNTIF($C$1:$C977,1),"")</f>
        <v/>
      </c>
      <c r="E977" s="7" t="str">
        <f>IFERROR(INDEX($A$1:$A$5000,MATCH(ROWS($D$1:$D977),$D$1:$D$5000,0)),"")</f>
        <v/>
      </c>
    </row>
    <row r="978" spans="3:5">
      <c r="C978" s="17">
        <f t="shared" si="15"/>
        <v>0</v>
      </c>
      <c r="D978" s="17" t="str">
        <f>IF(C978=1,COUNTIF($C$1:$C978,1),"")</f>
        <v/>
      </c>
      <c r="E978" s="7" t="str">
        <f>IFERROR(INDEX($A$1:$A$5000,MATCH(ROWS($D$1:$D978),$D$1:$D$5000,0)),"")</f>
        <v/>
      </c>
    </row>
    <row r="979" spans="3:5">
      <c r="C979" s="17">
        <f t="shared" si="15"/>
        <v>0</v>
      </c>
      <c r="D979" s="17" t="str">
        <f>IF(C979=1,COUNTIF($C$1:$C979,1),"")</f>
        <v/>
      </c>
      <c r="E979" s="7" t="str">
        <f>IFERROR(INDEX($A$1:$A$5000,MATCH(ROWS($D$1:$D979),$D$1:$D$5000,0)),"")</f>
        <v/>
      </c>
    </row>
    <row r="980" spans="3:5">
      <c r="C980" s="17">
        <f t="shared" si="15"/>
        <v>0</v>
      </c>
      <c r="D980" s="17" t="str">
        <f>IF(C980=1,COUNTIF($C$1:$C980,1),"")</f>
        <v/>
      </c>
      <c r="E980" s="7" t="str">
        <f>IFERROR(INDEX($A$1:$A$5000,MATCH(ROWS($D$1:$D980),$D$1:$D$5000,0)),"")</f>
        <v/>
      </c>
    </row>
    <row r="981" spans="3:5">
      <c r="C981" s="17">
        <f t="shared" si="15"/>
        <v>0</v>
      </c>
      <c r="D981" s="17" t="str">
        <f>IF(C981=1,COUNTIF($C$1:$C981,1),"")</f>
        <v/>
      </c>
      <c r="E981" s="7" t="str">
        <f>IFERROR(INDEX($A$1:$A$5000,MATCH(ROWS($D$1:$D981),$D$1:$D$5000,0)),"")</f>
        <v/>
      </c>
    </row>
    <row r="982" spans="3:5">
      <c r="C982" s="17">
        <f t="shared" si="15"/>
        <v>0</v>
      </c>
      <c r="D982" s="17" t="str">
        <f>IF(C982=1,COUNTIF($C$1:$C982,1),"")</f>
        <v/>
      </c>
      <c r="E982" s="7" t="str">
        <f>IFERROR(INDEX($A$1:$A$5000,MATCH(ROWS($D$1:$D982),$D$1:$D$5000,0)),"")</f>
        <v/>
      </c>
    </row>
    <row r="983" spans="3:5">
      <c r="C983" s="17">
        <f t="shared" si="15"/>
        <v>0</v>
      </c>
      <c r="D983" s="17" t="str">
        <f>IF(C983=1,COUNTIF($C$1:$C983,1),"")</f>
        <v/>
      </c>
      <c r="E983" s="7" t="str">
        <f>IFERROR(INDEX($A$1:$A$5000,MATCH(ROWS($D$1:$D983),$D$1:$D$5000,0)),"")</f>
        <v/>
      </c>
    </row>
    <row r="984" spans="3:5">
      <c r="C984" s="17">
        <f t="shared" si="15"/>
        <v>0</v>
      </c>
      <c r="D984" s="17" t="str">
        <f>IF(C984=1,COUNTIF($C$1:$C984,1),"")</f>
        <v/>
      </c>
      <c r="E984" s="7" t="str">
        <f>IFERROR(INDEX($A$1:$A$5000,MATCH(ROWS($D$1:$D984),$D$1:$D$5000,0)),"")</f>
        <v/>
      </c>
    </row>
    <row r="985" spans="3:5">
      <c r="C985" s="17">
        <f t="shared" si="15"/>
        <v>0</v>
      </c>
      <c r="D985" s="17" t="str">
        <f>IF(C985=1,COUNTIF($C$1:$C985,1),"")</f>
        <v/>
      </c>
      <c r="E985" s="7" t="str">
        <f>IFERROR(INDEX($A$1:$A$5000,MATCH(ROWS($D$1:$D985),$D$1:$D$5000,0)),"")</f>
        <v/>
      </c>
    </row>
    <row r="986" spans="3:5">
      <c r="C986" s="17">
        <f t="shared" si="15"/>
        <v>0</v>
      </c>
      <c r="D986" s="17" t="str">
        <f>IF(C986=1,COUNTIF($C$1:$C986,1),"")</f>
        <v/>
      </c>
      <c r="E986" s="7" t="str">
        <f>IFERROR(INDEX($A$1:$A$5000,MATCH(ROWS($D$1:$D986),$D$1:$D$5000,0)),"")</f>
        <v/>
      </c>
    </row>
    <row r="987" spans="3:5">
      <c r="C987" s="17">
        <f t="shared" si="15"/>
        <v>0</v>
      </c>
      <c r="D987" s="17" t="str">
        <f>IF(C987=1,COUNTIF($C$1:$C987,1),"")</f>
        <v/>
      </c>
      <c r="E987" s="7" t="str">
        <f>IFERROR(INDEX($A$1:$A$5000,MATCH(ROWS($D$1:$D987),$D$1:$D$5000,0)),"")</f>
        <v/>
      </c>
    </row>
    <row r="988" spans="3:5">
      <c r="C988" s="17">
        <f t="shared" si="15"/>
        <v>0</v>
      </c>
      <c r="D988" s="17" t="str">
        <f>IF(C988=1,COUNTIF($C$1:$C988,1),"")</f>
        <v/>
      </c>
      <c r="E988" s="7" t="str">
        <f>IFERROR(INDEX($A$1:$A$5000,MATCH(ROWS($D$1:$D988),$D$1:$D$5000,0)),"")</f>
        <v/>
      </c>
    </row>
    <row r="989" spans="3:5">
      <c r="C989" s="17">
        <f t="shared" si="15"/>
        <v>0</v>
      </c>
      <c r="D989" s="17" t="str">
        <f>IF(C989=1,COUNTIF($C$1:$C989,1),"")</f>
        <v/>
      </c>
      <c r="E989" s="7" t="str">
        <f>IFERROR(INDEX($A$1:$A$5000,MATCH(ROWS($D$1:$D989),$D$1:$D$5000,0)),"")</f>
        <v/>
      </c>
    </row>
    <row r="990" spans="3:5">
      <c r="C990" s="17">
        <f t="shared" si="15"/>
        <v>0</v>
      </c>
      <c r="D990" s="17" t="str">
        <f>IF(C990=1,COUNTIF($C$1:$C990,1),"")</f>
        <v/>
      </c>
      <c r="E990" s="7" t="str">
        <f>IFERROR(INDEX($A$1:$A$5000,MATCH(ROWS($D$1:$D990),$D$1:$D$5000,0)),"")</f>
        <v/>
      </c>
    </row>
    <row r="991" spans="3:5">
      <c r="C991" s="17">
        <f t="shared" si="15"/>
        <v>0</v>
      </c>
      <c r="D991" s="17" t="str">
        <f>IF(C991=1,COUNTIF($C$1:$C991,1),"")</f>
        <v/>
      </c>
      <c r="E991" s="7" t="str">
        <f>IFERROR(INDEX($A$1:$A$5000,MATCH(ROWS($D$1:$D991),$D$1:$D$5000,0)),"")</f>
        <v/>
      </c>
    </row>
    <row r="992" spans="3:5">
      <c r="C992" s="17">
        <f t="shared" si="15"/>
        <v>0</v>
      </c>
      <c r="D992" s="17" t="str">
        <f>IF(C992=1,COUNTIF($C$1:$C992,1),"")</f>
        <v/>
      </c>
      <c r="E992" s="7" t="str">
        <f>IFERROR(INDEX($A$1:$A$5000,MATCH(ROWS($D$1:$D992),$D$1:$D$5000,0)),"")</f>
        <v/>
      </c>
    </row>
    <row r="993" spans="3:5">
      <c r="C993" s="17">
        <f t="shared" si="15"/>
        <v>0</v>
      </c>
      <c r="D993" s="17" t="str">
        <f>IF(C993=1,COUNTIF($C$1:$C993,1),"")</f>
        <v/>
      </c>
      <c r="E993" s="7" t="str">
        <f>IFERROR(INDEX($A$1:$A$5000,MATCH(ROWS($D$1:$D993),$D$1:$D$5000,0)),"")</f>
        <v/>
      </c>
    </row>
    <row r="994" spans="3:5">
      <c r="C994" s="17">
        <f t="shared" si="15"/>
        <v>0</v>
      </c>
      <c r="D994" s="17" t="str">
        <f>IF(C994=1,COUNTIF($C$1:$C994,1),"")</f>
        <v/>
      </c>
      <c r="E994" s="7" t="str">
        <f>IFERROR(INDEX($A$1:$A$5000,MATCH(ROWS($D$1:$D994),$D$1:$D$5000,0)),"")</f>
        <v/>
      </c>
    </row>
    <row r="995" spans="3:5">
      <c r="C995" s="17">
        <f t="shared" si="15"/>
        <v>0</v>
      </c>
      <c r="D995" s="17" t="str">
        <f>IF(C995=1,COUNTIF($C$1:$C995,1),"")</f>
        <v/>
      </c>
      <c r="E995" s="7" t="str">
        <f>IFERROR(INDEX($A$1:$A$5000,MATCH(ROWS($D$1:$D995),$D$1:$D$5000,0)),"")</f>
        <v/>
      </c>
    </row>
    <row r="996" spans="3:5">
      <c r="C996" s="17">
        <f t="shared" si="15"/>
        <v>0</v>
      </c>
      <c r="D996" s="17" t="str">
        <f>IF(C996=1,COUNTIF($C$1:$C996,1),"")</f>
        <v/>
      </c>
      <c r="E996" s="7" t="str">
        <f>IFERROR(INDEX($A$1:$A$5000,MATCH(ROWS($D$1:$D996),$D$1:$D$5000,0)),"")</f>
        <v/>
      </c>
    </row>
    <row r="997" spans="3:5">
      <c r="C997" s="17">
        <f t="shared" si="15"/>
        <v>0</v>
      </c>
      <c r="D997" s="17" t="str">
        <f>IF(C997=1,COUNTIF($C$1:$C997,1),"")</f>
        <v/>
      </c>
      <c r="E997" s="7" t="str">
        <f>IFERROR(INDEX($A$1:$A$5000,MATCH(ROWS($D$1:$D997),$D$1:$D$5000,0)),"")</f>
        <v/>
      </c>
    </row>
    <row r="998" spans="3:5">
      <c r="C998" s="17">
        <f t="shared" si="15"/>
        <v>0</v>
      </c>
      <c r="D998" s="17" t="str">
        <f>IF(C998=1,COUNTIF($C$1:$C998,1),"")</f>
        <v/>
      </c>
      <c r="E998" s="7" t="str">
        <f>IFERROR(INDEX($A$1:$A$5000,MATCH(ROWS($D$1:$D998),$D$1:$D$5000,0)),"")</f>
        <v/>
      </c>
    </row>
    <row r="999" spans="3:5">
      <c r="C999" s="17">
        <f t="shared" si="15"/>
        <v>0</v>
      </c>
      <c r="D999" s="17" t="str">
        <f>IF(C999=1,COUNTIF($C$1:$C999,1),"")</f>
        <v/>
      </c>
      <c r="E999" s="7" t="str">
        <f>IFERROR(INDEX($A$1:$A$5000,MATCH(ROWS($D$1:$D999),$D$1:$D$5000,0)),"")</f>
        <v/>
      </c>
    </row>
    <row r="1000" spans="3:5">
      <c r="C1000" s="17">
        <f t="shared" si="15"/>
        <v>0</v>
      </c>
      <c r="D1000" s="17" t="str">
        <f>IF(C1000=1,COUNTIF($C$1:$C1000,1),"")</f>
        <v/>
      </c>
      <c r="E1000" s="7" t="str">
        <f>IFERROR(INDEX($A$1:$A$5000,MATCH(ROWS($D$1:$D1000),$D$1:$D$5000,0)),"")</f>
        <v/>
      </c>
    </row>
    <row r="1001" spans="3:5">
      <c r="C1001" s="17">
        <f t="shared" si="15"/>
        <v>0</v>
      </c>
      <c r="D1001" s="17" t="str">
        <f>IF(C1001=1,COUNTIF($C$1:$C1001,1),"")</f>
        <v/>
      </c>
      <c r="E1001" s="7" t="str">
        <f>IFERROR(INDEX($A$1:$A$5000,MATCH(ROWS($D$1:$D1001),$D$1:$D$5000,0)),"")</f>
        <v/>
      </c>
    </row>
    <row r="1002" spans="3:5">
      <c r="C1002" s="17">
        <f t="shared" si="15"/>
        <v>0</v>
      </c>
      <c r="D1002" s="17" t="str">
        <f>IF(C1002=1,COUNTIF($C$1:$C1002,1),"")</f>
        <v/>
      </c>
      <c r="E1002" s="7" t="str">
        <f>IFERROR(INDEX($A$1:$A$5000,MATCH(ROWS($D$1:$D1002),$D$1:$D$5000,0)),"")</f>
        <v/>
      </c>
    </row>
    <row r="1003" spans="3:5">
      <c r="C1003" s="17">
        <f t="shared" si="15"/>
        <v>0</v>
      </c>
      <c r="D1003" s="17" t="str">
        <f>IF(C1003=1,COUNTIF($C$1:$C1003,1),"")</f>
        <v/>
      </c>
      <c r="E1003" s="7" t="str">
        <f>IFERROR(INDEX($A$1:$A$5000,MATCH(ROWS($D$1:$D1003),$D$1:$D$5000,0)),"")</f>
        <v/>
      </c>
    </row>
    <row r="1004" spans="3:5">
      <c r="C1004" s="17">
        <f t="shared" si="15"/>
        <v>0</v>
      </c>
      <c r="D1004" s="17" t="str">
        <f>IF(C1004=1,COUNTIF($C$1:$C1004,1),"")</f>
        <v/>
      </c>
      <c r="E1004" s="7" t="str">
        <f>IFERROR(INDEX($A$1:$A$5000,MATCH(ROWS($D$1:$D1004),$D$1:$D$5000,0)),"")</f>
        <v/>
      </c>
    </row>
    <row r="1005" spans="3:5">
      <c r="C1005" s="17">
        <f t="shared" si="15"/>
        <v>0</v>
      </c>
      <c r="D1005" s="17" t="str">
        <f>IF(C1005=1,COUNTIF($C$1:$C1005,1),"")</f>
        <v/>
      </c>
      <c r="E1005" s="7" t="str">
        <f>IFERROR(INDEX($A$1:$A$5000,MATCH(ROWS($D$1:$D1005),$D$1:$D$5000,0)),"")</f>
        <v/>
      </c>
    </row>
    <row r="1006" spans="3:5">
      <c r="C1006" s="17">
        <f t="shared" si="15"/>
        <v>0</v>
      </c>
      <c r="D1006" s="17" t="str">
        <f>IF(C1006=1,COUNTIF($C$1:$C1006,1),"")</f>
        <v/>
      </c>
      <c r="E1006" s="7" t="str">
        <f>IFERROR(INDEX($A$1:$A$5000,MATCH(ROWS($D$1:$D1006),$D$1:$D$5000,0)),"")</f>
        <v/>
      </c>
    </row>
    <row r="1007" spans="3:5">
      <c r="C1007" s="17">
        <f t="shared" si="15"/>
        <v>0</v>
      </c>
      <c r="D1007" s="17" t="str">
        <f>IF(C1007=1,COUNTIF($C$1:$C1007,1),"")</f>
        <v/>
      </c>
      <c r="E1007" s="7" t="str">
        <f>IFERROR(INDEX($A$1:$A$5000,MATCH(ROWS($D$1:$D1007),$D$1:$D$5000,0)),"")</f>
        <v/>
      </c>
    </row>
    <row r="1008" spans="3:5">
      <c r="C1008" s="17">
        <f t="shared" si="15"/>
        <v>0</v>
      </c>
      <c r="D1008" s="17" t="str">
        <f>IF(C1008=1,COUNTIF($C$1:$C1008,1),"")</f>
        <v/>
      </c>
      <c r="E1008" s="7" t="str">
        <f>IFERROR(INDEX($A$1:$A$5000,MATCH(ROWS($D$1:$D1008),$D$1:$D$5000,0)),"")</f>
        <v/>
      </c>
    </row>
    <row r="1009" spans="3:5">
      <c r="C1009" s="17">
        <f t="shared" si="15"/>
        <v>0</v>
      </c>
      <c r="D1009" s="17" t="str">
        <f>IF(C1009=1,COUNTIF($C$1:$C1009,1),"")</f>
        <v/>
      </c>
      <c r="E1009" s="7" t="str">
        <f>IFERROR(INDEX($A$1:$A$5000,MATCH(ROWS($D$1:$D1009),$D$1:$D$5000,0)),"")</f>
        <v/>
      </c>
    </row>
    <row r="1010" spans="3:5">
      <c r="C1010" s="17">
        <f t="shared" si="15"/>
        <v>0</v>
      </c>
      <c r="D1010" s="17" t="str">
        <f>IF(C1010=1,COUNTIF($C$1:$C1010,1),"")</f>
        <v/>
      </c>
      <c r="E1010" s="7" t="str">
        <f>IFERROR(INDEX($A$1:$A$5000,MATCH(ROWS($D$1:$D1010),$D$1:$D$5000,0)),"")</f>
        <v/>
      </c>
    </row>
    <row r="1011" spans="3:5">
      <c r="C1011" s="17">
        <f t="shared" si="15"/>
        <v>0</v>
      </c>
      <c r="D1011" s="17" t="str">
        <f>IF(C1011=1,COUNTIF($C$1:$C1011,1),"")</f>
        <v/>
      </c>
      <c r="E1011" s="7" t="str">
        <f>IFERROR(INDEX($A$1:$A$5000,MATCH(ROWS($D$1:$D1011),$D$1:$D$5000,0)),"")</f>
        <v/>
      </c>
    </row>
    <row r="1012" spans="3:5">
      <c r="C1012" s="17">
        <f t="shared" si="15"/>
        <v>0</v>
      </c>
      <c r="D1012" s="17" t="str">
        <f>IF(C1012=1,COUNTIF($C$1:$C1012,1),"")</f>
        <v/>
      </c>
      <c r="E1012" s="7" t="str">
        <f>IFERROR(INDEX($A$1:$A$5000,MATCH(ROWS($D$1:$D1012),$D$1:$D$5000,0)),"")</f>
        <v/>
      </c>
    </row>
    <row r="1013" spans="3:5">
      <c r="C1013" s="17">
        <f t="shared" si="15"/>
        <v>0</v>
      </c>
      <c r="D1013" s="17" t="str">
        <f>IF(C1013=1,COUNTIF($C$1:$C1013,1),"")</f>
        <v/>
      </c>
      <c r="E1013" s="7" t="str">
        <f>IFERROR(INDEX($A$1:$A$5000,MATCH(ROWS($D$1:$D1013),$D$1:$D$5000,0)),"")</f>
        <v/>
      </c>
    </row>
    <row r="1014" spans="3:5">
      <c r="C1014" s="17">
        <f t="shared" si="15"/>
        <v>0</v>
      </c>
      <c r="D1014" s="17" t="str">
        <f>IF(C1014=1,COUNTIF($C$1:$C1014,1),"")</f>
        <v/>
      </c>
      <c r="E1014" s="7" t="str">
        <f>IFERROR(INDEX($A$1:$A$5000,MATCH(ROWS($D$1:$D1014),$D$1:$D$5000,0)),"")</f>
        <v/>
      </c>
    </row>
    <row r="1015" spans="3:5">
      <c r="C1015" s="17">
        <f t="shared" si="15"/>
        <v>0</v>
      </c>
      <c r="D1015" s="17" t="str">
        <f>IF(C1015=1,COUNTIF($C$1:$C1015,1),"")</f>
        <v/>
      </c>
      <c r="E1015" s="7" t="str">
        <f>IFERROR(INDEX($A$1:$A$5000,MATCH(ROWS($D$1:$D1015),$D$1:$D$5000,0)),"")</f>
        <v/>
      </c>
    </row>
    <row r="1016" spans="3:5">
      <c r="C1016" s="17">
        <f t="shared" si="15"/>
        <v>0</v>
      </c>
      <c r="D1016" s="17" t="str">
        <f>IF(C1016=1,COUNTIF($C$1:$C1016,1),"")</f>
        <v/>
      </c>
      <c r="E1016" s="7" t="str">
        <f>IFERROR(INDEX($A$1:$A$5000,MATCH(ROWS($D$1:$D1016),$D$1:$D$5000,0)),"")</f>
        <v/>
      </c>
    </row>
    <row r="1017" spans="3:5">
      <c r="C1017" s="17">
        <f t="shared" si="15"/>
        <v>0</v>
      </c>
      <c r="D1017" s="17" t="str">
        <f>IF(C1017=1,COUNTIF($C$1:$C1017,1),"")</f>
        <v/>
      </c>
      <c r="E1017" s="7" t="str">
        <f>IFERROR(INDEX($A$1:$A$5000,MATCH(ROWS($D$1:$D1017),$D$1:$D$5000,0)),"")</f>
        <v/>
      </c>
    </row>
    <row r="1018" spans="3:5">
      <c r="C1018" s="17">
        <f t="shared" si="15"/>
        <v>0</v>
      </c>
      <c r="D1018" s="17" t="str">
        <f>IF(C1018=1,COUNTIF($C$1:$C1018,1),"")</f>
        <v/>
      </c>
      <c r="E1018" s="7" t="str">
        <f>IFERROR(INDEX($A$1:$A$5000,MATCH(ROWS($D$1:$D1018),$D$1:$D$5000,0)),"")</f>
        <v/>
      </c>
    </row>
    <row r="1019" spans="3:5">
      <c r="C1019" s="17">
        <f t="shared" si="15"/>
        <v>0</v>
      </c>
      <c r="D1019" s="17" t="str">
        <f>IF(C1019=1,COUNTIF($C$1:$C1019,1),"")</f>
        <v/>
      </c>
      <c r="E1019" s="7" t="str">
        <f>IFERROR(INDEX($A$1:$A$5000,MATCH(ROWS($D$1:$D1019),$D$1:$D$5000,0)),"")</f>
        <v/>
      </c>
    </row>
    <row r="1020" spans="3:5">
      <c r="C1020" s="17">
        <f t="shared" si="15"/>
        <v>0</v>
      </c>
      <c r="D1020" s="17" t="str">
        <f>IF(C1020=1,COUNTIF($C$1:$C1020,1),"")</f>
        <v/>
      </c>
      <c r="E1020" s="7" t="str">
        <f>IFERROR(INDEX($A$1:$A$5000,MATCH(ROWS($D$1:$D1020),$D$1:$D$5000,0)),"")</f>
        <v/>
      </c>
    </row>
    <row r="1021" spans="3:5">
      <c r="C1021" s="17">
        <f t="shared" si="15"/>
        <v>0</v>
      </c>
      <c r="D1021" s="17" t="str">
        <f>IF(C1021=1,COUNTIF($C$1:$C1021,1),"")</f>
        <v/>
      </c>
      <c r="E1021" s="7" t="str">
        <f>IFERROR(INDEX($A$1:$A$5000,MATCH(ROWS($D$1:$D1021),$D$1:$D$5000,0)),"")</f>
        <v/>
      </c>
    </row>
    <row r="1022" spans="3:5">
      <c r="C1022" s="17">
        <f t="shared" si="15"/>
        <v>0</v>
      </c>
      <c r="D1022" s="17" t="str">
        <f>IF(C1022=1,COUNTIF($C$1:$C1022,1),"")</f>
        <v/>
      </c>
      <c r="E1022" s="7" t="str">
        <f>IFERROR(INDEX($A$1:$A$5000,MATCH(ROWS($D$1:$D1022),$D$1:$D$5000,0)),"")</f>
        <v/>
      </c>
    </row>
    <row r="1023" spans="3:5">
      <c r="C1023" s="17">
        <f t="shared" si="15"/>
        <v>0</v>
      </c>
      <c r="D1023" s="17" t="str">
        <f>IF(C1023=1,COUNTIF($C$1:$C1023,1),"")</f>
        <v/>
      </c>
      <c r="E1023" s="7" t="str">
        <f>IFERROR(INDEX($A$1:$A$5000,MATCH(ROWS($D$1:$D1023),$D$1:$D$5000,0)),"")</f>
        <v/>
      </c>
    </row>
    <row r="1024" spans="3:5">
      <c r="C1024" s="17">
        <f t="shared" si="15"/>
        <v>0</v>
      </c>
      <c r="D1024" s="17" t="str">
        <f>IF(C1024=1,COUNTIF($C$1:$C1024,1),"")</f>
        <v/>
      </c>
      <c r="E1024" s="7" t="str">
        <f>IFERROR(INDEX($A$1:$A$5000,MATCH(ROWS($D$1:$D1024),$D$1:$D$5000,0)),"")</f>
        <v/>
      </c>
    </row>
    <row r="1025" spans="3:5">
      <c r="C1025" s="17">
        <f t="shared" si="15"/>
        <v>0</v>
      </c>
      <c r="D1025" s="17" t="str">
        <f>IF(C1025=1,COUNTIF($C$1:$C1025,1),"")</f>
        <v/>
      </c>
      <c r="E1025" s="7" t="str">
        <f>IFERROR(INDEX($A$1:$A$5000,MATCH(ROWS($D$1:$D1025),$D$1:$D$5000,0)),"")</f>
        <v/>
      </c>
    </row>
    <row r="1026" spans="3:5">
      <c r="C1026" s="17">
        <f t="shared" ref="C1026:C1089" si="16">--ISNUMBER(SEARCH($B$1,A1026))</f>
        <v>0</v>
      </c>
      <c r="D1026" s="17" t="str">
        <f>IF(C1026=1,COUNTIF($C$1:$C1026,1),"")</f>
        <v/>
      </c>
      <c r="E1026" s="7" t="str">
        <f>IFERROR(INDEX($A$1:$A$5000,MATCH(ROWS($D$1:$D1026),$D$1:$D$5000,0)),"")</f>
        <v/>
      </c>
    </row>
    <row r="1027" spans="3:5">
      <c r="C1027" s="17">
        <f t="shared" si="16"/>
        <v>0</v>
      </c>
      <c r="D1027" s="17" t="str">
        <f>IF(C1027=1,COUNTIF($C$1:$C1027,1),"")</f>
        <v/>
      </c>
      <c r="E1027" s="7" t="str">
        <f>IFERROR(INDEX($A$1:$A$5000,MATCH(ROWS($D$1:$D1027),$D$1:$D$5000,0)),"")</f>
        <v/>
      </c>
    </row>
    <row r="1028" spans="3:5">
      <c r="C1028" s="17">
        <f t="shared" si="16"/>
        <v>0</v>
      </c>
      <c r="D1028" s="17" t="str">
        <f>IF(C1028=1,COUNTIF($C$1:$C1028,1),"")</f>
        <v/>
      </c>
      <c r="E1028" s="7" t="str">
        <f>IFERROR(INDEX($A$1:$A$5000,MATCH(ROWS($D$1:$D1028),$D$1:$D$5000,0)),"")</f>
        <v/>
      </c>
    </row>
    <row r="1029" spans="3:5">
      <c r="C1029" s="17">
        <f t="shared" si="16"/>
        <v>0</v>
      </c>
      <c r="D1029" s="17" t="str">
        <f>IF(C1029=1,COUNTIF($C$1:$C1029,1),"")</f>
        <v/>
      </c>
      <c r="E1029" s="7" t="str">
        <f>IFERROR(INDEX($A$1:$A$5000,MATCH(ROWS($D$1:$D1029),$D$1:$D$5000,0)),"")</f>
        <v/>
      </c>
    </row>
    <row r="1030" spans="3:5">
      <c r="C1030" s="17">
        <f t="shared" si="16"/>
        <v>0</v>
      </c>
      <c r="D1030" s="17" t="str">
        <f>IF(C1030=1,COUNTIF($C$1:$C1030,1),"")</f>
        <v/>
      </c>
      <c r="E1030" s="7" t="str">
        <f>IFERROR(INDEX($A$1:$A$5000,MATCH(ROWS($D$1:$D1030),$D$1:$D$5000,0)),"")</f>
        <v/>
      </c>
    </row>
    <row r="1031" spans="3:5">
      <c r="C1031" s="17">
        <f t="shared" si="16"/>
        <v>0</v>
      </c>
      <c r="D1031" s="17" t="str">
        <f>IF(C1031=1,COUNTIF($C$1:$C1031,1),"")</f>
        <v/>
      </c>
      <c r="E1031" s="7" t="str">
        <f>IFERROR(INDEX($A$1:$A$5000,MATCH(ROWS($D$1:$D1031),$D$1:$D$5000,0)),"")</f>
        <v/>
      </c>
    </row>
    <row r="1032" spans="3:5">
      <c r="C1032" s="17">
        <f t="shared" si="16"/>
        <v>0</v>
      </c>
      <c r="D1032" s="17" t="str">
        <f>IF(C1032=1,COUNTIF($C$1:$C1032,1),"")</f>
        <v/>
      </c>
      <c r="E1032" s="7" t="str">
        <f>IFERROR(INDEX($A$1:$A$5000,MATCH(ROWS($D$1:$D1032),$D$1:$D$5000,0)),"")</f>
        <v/>
      </c>
    </row>
    <row r="1033" spans="3:5">
      <c r="C1033" s="17">
        <f t="shared" si="16"/>
        <v>0</v>
      </c>
      <c r="D1033" s="17" t="str">
        <f>IF(C1033=1,COUNTIF($C$1:$C1033,1),"")</f>
        <v/>
      </c>
      <c r="E1033" s="7" t="str">
        <f>IFERROR(INDEX($A$1:$A$5000,MATCH(ROWS($D$1:$D1033),$D$1:$D$5000,0)),"")</f>
        <v/>
      </c>
    </row>
    <row r="1034" spans="3:5">
      <c r="C1034" s="17">
        <f t="shared" si="16"/>
        <v>0</v>
      </c>
      <c r="D1034" s="17" t="str">
        <f>IF(C1034=1,COUNTIF($C$1:$C1034,1),"")</f>
        <v/>
      </c>
      <c r="E1034" s="7" t="str">
        <f>IFERROR(INDEX($A$1:$A$5000,MATCH(ROWS($D$1:$D1034),$D$1:$D$5000,0)),"")</f>
        <v/>
      </c>
    </row>
    <row r="1035" spans="3:5">
      <c r="C1035" s="17">
        <f t="shared" si="16"/>
        <v>0</v>
      </c>
      <c r="D1035" s="17" t="str">
        <f>IF(C1035=1,COUNTIF($C$1:$C1035,1),"")</f>
        <v/>
      </c>
      <c r="E1035" s="7" t="str">
        <f>IFERROR(INDEX($A$1:$A$5000,MATCH(ROWS($D$1:$D1035),$D$1:$D$5000,0)),"")</f>
        <v/>
      </c>
    </row>
    <row r="1036" spans="3:5">
      <c r="C1036" s="17">
        <f t="shared" si="16"/>
        <v>0</v>
      </c>
      <c r="D1036" s="17" t="str">
        <f>IF(C1036=1,COUNTIF($C$1:$C1036,1),"")</f>
        <v/>
      </c>
      <c r="E1036" s="7" t="str">
        <f>IFERROR(INDEX($A$1:$A$5000,MATCH(ROWS($D$1:$D1036),$D$1:$D$5000,0)),"")</f>
        <v/>
      </c>
    </row>
    <row r="1037" spans="3:5">
      <c r="C1037" s="17">
        <f t="shared" si="16"/>
        <v>0</v>
      </c>
      <c r="D1037" s="17" t="str">
        <f>IF(C1037=1,COUNTIF($C$1:$C1037,1),"")</f>
        <v/>
      </c>
      <c r="E1037" s="7" t="str">
        <f>IFERROR(INDEX($A$1:$A$5000,MATCH(ROWS($D$1:$D1037),$D$1:$D$5000,0)),"")</f>
        <v/>
      </c>
    </row>
    <row r="1038" spans="3:5">
      <c r="C1038" s="17">
        <f t="shared" si="16"/>
        <v>0</v>
      </c>
      <c r="D1038" s="17" t="str">
        <f>IF(C1038=1,COUNTIF($C$1:$C1038,1),"")</f>
        <v/>
      </c>
      <c r="E1038" s="7" t="str">
        <f>IFERROR(INDEX($A$1:$A$5000,MATCH(ROWS($D$1:$D1038),$D$1:$D$5000,0)),"")</f>
        <v/>
      </c>
    </row>
    <row r="1039" spans="3:5">
      <c r="C1039" s="17">
        <f t="shared" si="16"/>
        <v>0</v>
      </c>
      <c r="D1039" s="17" t="str">
        <f>IF(C1039=1,COUNTIF($C$1:$C1039,1),"")</f>
        <v/>
      </c>
      <c r="E1039" s="7" t="str">
        <f>IFERROR(INDEX($A$1:$A$5000,MATCH(ROWS($D$1:$D1039),$D$1:$D$5000,0)),"")</f>
        <v/>
      </c>
    </row>
    <row r="1040" spans="3:5">
      <c r="C1040" s="17">
        <f t="shared" si="16"/>
        <v>0</v>
      </c>
      <c r="D1040" s="17" t="str">
        <f>IF(C1040=1,COUNTIF($C$1:$C1040,1),"")</f>
        <v/>
      </c>
      <c r="E1040" s="7" t="str">
        <f>IFERROR(INDEX($A$1:$A$5000,MATCH(ROWS($D$1:$D1040),$D$1:$D$5000,0)),"")</f>
        <v/>
      </c>
    </row>
    <row r="1041" spans="3:5">
      <c r="C1041" s="17">
        <f t="shared" si="16"/>
        <v>0</v>
      </c>
      <c r="D1041" s="17" t="str">
        <f>IF(C1041=1,COUNTIF($C$1:$C1041,1),"")</f>
        <v/>
      </c>
      <c r="E1041" s="7" t="str">
        <f>IFERROR(INDEX($A$1:$A$5000,MATCH(ROWS($D$1:$D1041),$D$1:$D$5000,0)),"")</f>
        <v/>
      </c>
    </row>
    <row r="1042" spans="3:5">
      <c r="C1042" s="17">
        <f t="shared" si="16"/>
        <v>0</v>
      </c>
      <c r="D1042" s="17" t="str">
        <f>IF(C1042=1,COUNTIF($C$1:$C1042,1),"")</f>
        <v/>
      </c>
      <c r="E1042" s="7" t="str">
        <f>IFERROR(INDEX($A$1:$A$5000,MATCH(ROWS($D$1:$D1042),$D$1:$D$5000,0)),"")</f>
        <v/>
      </c>
    </row>
    <row r="1043" spans="3:5">
      <c r="C1043" s="17">
        <f t="shared" si="16"/>
        <v>0</v>
      </c>
      <c r="D1043" s="17" t="str">
        <f>IF(C1043=1,COUNTIF($C$1:$C1043,1),"")</f>
        <v/>
      </c>
      <c r="E1043" s="7" t="str">
        <f>IFERROR(INDEX($A$1:$A$5000,MATCH(ROWS($D$1:$D1043),$D$1:$D$5000,0)),"")</f>
        <v/>
      </c>
    </row>
    <row r="1044" spans="3:5">
      <c r="C1044" s="17">
        <f t="shared" si="16"/>
        <v>0</v>
      </c>
      <c r="D1044" s="17" t="str">
        <f>IF(C1044=1,COUNTIF($C$1:$C1044,1),"")</f>
        <v/>
      </c>
      <c r="E1044" s="7" t="str">
        <f>IFERROR(INDEX($A$1:$A$5000,MATCH(ROWS($D$1:$D1044),$D$1:$D$5000,0)),"")</f>
        <v/>
      </c>
    </row>
    <row r="1045" spans="3:5">
      <c r="C1045" s="17">
        <f t="shared" si="16"/>
        <v>0</v>
      </c>
      <c r="D1045" s="17" t="str">
        <f>IF(C1045=1,COUNTIF($C$1:$C1045,1),"")</f>
        <v/>
      </c>
      <c r="E1045" s="7" t="str">
        <f>IFERROR(INDEX($A$1:$A$5000,MATCH(ROWS($D$1:$D1045),$D$1:$D$5000,0)),"")</f>
        <v/>
      </c>
    </row>
    <row r="1046" spans="3:5">
      <c r="C1046" s="17">
        <f t="shared" si="16"/>
        <v>0</v>
      </c>
      <c r="D1046" s="17" t="str">
        <f>IF(C1046=1,COUNTIF($C$1:$C1046,1),"")</f>
        <v/>
      </c>
      <c r="E1046" s="7" t="str">
        <f>IFERROR(INDEX($A$1:$A$5000,MATCH(ROWS($D$1:$D1046),$D$1:$D$5000,0)),"")</f>
        <v/>
      </c>
    </row>
    <row r="1047" spans="3:5">
      <c r="C1047" s="17">
        <f t="shared" si="16"/>
        <v>0</v>
      </c>
      <c r="D1047" s="17" t="str">
        <f>IF(C1047=1,COUNTIF($C$1:$C1047,1),"")</f>
        <v/>
      </c>
      <c r="E1047" s="7" t="str">
        <f>IFERROR(INDEX($A$1:$A$5000,MATCH(ROWS($D$1:$D1047),$D$1:$D$5000,0)),"")</f>
        <v/>
      </c>
    </row>
    <row r="1048" spans="3:5">
      <c r="C1048" s="17">
        <f t="shared" si="16"/>
        <v>0</v>
      </c>
      <c r="D1048" s="17" t="str">
        <f>IF(C1048=1,COUNTIF($C$1:$C1048,1),"")</f>
        <v/>
      </c>
      <c r="E1048" s="7" t="str">
        <f>IFERROR(INDEX($A$1:$A$5000,MATCH(ROWS($D$1:$D1048),$D$1:$D$5000,0)),"")</f>
        <v/>
      </c>
    </row>
    <row r="1049" spans="3:5">
      <c r="C1049" s="17">
        <f t="shared" si="16"/>
        <v>0</v>
      </c>
      <c r="D1049" s="17" t="str">
        <f>IF(C1049=1,COUNTIF($C$1:$C1049,1),"")</f>
        <v/>
      </c>
      <c r="E1049" s="7" t="str">
        <f>IFERROR(INDEX($A$1:$A$5000,MATCH(ROWS($D$1:$D1049),$D$1:$D$5000,0)),"")</f>
        <v/>
      </c>
    </row>
    <row r="1050" spans="3:5">
      <c r="C1050" s="17">
        <f t="shared" si="16"/>
        <v>0</v>
      </c>
      <c r="D1050" s="17" t="str">
        <f>IF(C1050=1,COUNTIF($C$1:$C1050,1),"")</f>
        <v/>
      </c>
      <c r="E1050" s="7" t="str">
        <f>IFERROR(INDEX($A$1:$A$5000,MATCH(ROWS($D$1:$D1050),$D$1:$D$5000,0)),"")</f>
        <v/>
      </c>
    </row>
    <row r="1051" spans="3:5">
      <c r="C1051" s="17">
        <f t="shared" si="16"/>
        <v>0</v>
      </c>
      <c r="D1051" s="17" t="str">
        <f>IF(C1051=1,COUNTIF($C$1:$C1051,1),"")</f>
        <v/>
      </c>
      <c r="E1051" s="7" t="str">
        <f>IFERROR(INDEX($A$1:$A$5000,MATCH(ROWS($D$1:$D1051),$D$1:$D$5000,0)),"")</f>
        <v/>
      </c>
    </row>
    <row r="1052" spans="3:5">
      <c r="C1052" s="17">
        <f t="shared" si="16"/>
        <v>0</v>
      </c>
      <c r="D1052" s="17" t="str">
        <f>IF(C1052=1,COUNTIF($C$1:$C1052,1),"")</f>
        <v/>
      </c>
      <c r="E1052" s="7" t="str">
        <f>IFERROR(INDEX($A$1:$A$5000,MATCH(ROWS($D$1:$D1052),$D$1:$D$5000,0)),"")</f>
        <v/>
      </c>
    </row>
    <row r="1053" spans="3:5">
      <c r="C1053" s="17">
        <f t="shared" si="16"/>
        <v>0</v>
      </c>
      <c r="D1053" s="17" t="str">
        <f>IF(C1053=1,COUNTIF($C$1:$C1053,1),"")</f>
        <v/>
      </c>
      <c r="E1053" s="7" t="str">
        <f>IFERROR(INDEX($A$1:$A$5000,MATCH(ROWS($D$1:$D1053),$D$1:$D$5000,0)),"")</f>
        <v/>
      </c>
    </row>
    <row r="1054" spans="3:5">
      <c r="C1054" s="17">
        <f t="shared" si="16"/>
        <v>0</v>
      </c>
      <c r="D1054" s="17" t="str">
        <f>IF(C1054=1,COUNTIF($C$1:$C1054,1),"")</f>
        <v/>
      </c>
      <c r="E1054" s="7" t="str">
        <f>IFERROR(INDEX($A$1:$A$5000,MATCH(ROWS($D$1:$D1054),$D$1:$D$5000,0)),"")</f>
        <v/>
      </c>
    </row>
    <row r="1055" spans="3:5">
      <c r="C1055" s="17">
        <f t="shared" si="16"/>
        <v>0</v>
      </c>
      <c r="D1055" s="17" t="str">
        <f>IF(C1055=1,COUNTIF($C$1:$C1055,1),"")</f>
        <v/>
      </c>
      <c r="E1055" s="7" t="str">
        <f>IFERROR(INDEX($A$1:$A$5000,MATCH(ROWS($D$1:$D1055),$D$1:$D$5000,0)),"")</f>
        <v/>
      </c>
    </row>
    <row r="1056" spans="3:5">
      <c r="C1056" s="17">
        <f t="shared" si="16"/>
        <v>0</v>
      </c>
      <c r="D1056" s="17" t="str">
        <f>IF(C1056=1,COUNTIF($C$1:$C1056,1),"")</f>
        <v/>
      </c>
      <c r="E1056" s="7" t="str">
        <f>IFERROR(INDEX($A$1:$A$5000,MATCH(ROWS($D$1:$D1056),$D$1:$D$5000,0)),"")</f>
        <v/>
      </c>
    </row>
    <row r="1057" spans="3:5">
      <c r="C1057" s="17">
        <f t="shared" si="16"/>
        <v>0</v>
      </c>
      <c r="D1057" s="17" t="str">
        <f>IF(C1057=1,COUNTIF($C$1:$C1057,1),"")</f>
        <v/>
      </c>
      <c r="E1057" s="7" t="str">
        <f>IFERROR(INDEX($A$1:$A$5000,MATCH(ROWS($D$1:$D1057),$D$1:$D$5000,0)),"")</f>
        <v/>
      </c>
    </row>
    <row r="1058" spans="3:5">
      <c r="C1058" s="17">
        <f t="shared" si="16"/>
        <v>0</v>
      </c>
      <c r="D1058" s="17" t="str">
        <f>IF(C1058=1,COUNTIF($C$1:$C1058,1),"")</f>
        <v/>
      </c>
      <c r="E1058" s="7" t="str">
        <f>IFERROR(INDEX($A$1:$A$5000,MATCH(ROWS($D$1:$D1058),$D$1:$D$5000,0)),"")</f>
        <v/>
      </c>
    </row>
    <row r="1059" spans="3:5">
      <c r="C1059" s="17">
        <f t="shared" si="16"/>
        <v>0</v>
      </c>
      <c r="D1059" s="17" t="str">
        <f>IF(C1059=1,COUNTIF($C$1:$C1059,1),"")</f>
        <v/>
      </c>
      <c r="E1059" s="7" t="str">
        <f>IFERROR(INDEX($A$1:$A$5000,MATCH(ROWS($D$1:$D1059),$D$1:$D$5000,0)),"")</f>
        <v/>
      </c>
    </row>
    <row r="1060" spans="3:5">
      <c r="C1060" s="17">
        <f t="shared" si="16"/>
        <v>0</v>
      </c>
      <c r="D1060" s="17" t="str">
        <f>IF(C1060=1,COUNTIF($C$1:$C1060,1),"")</f>
        <v/>
      </c>
      <c r="E1060" s="7" t="str">
        <f>IFERROR(INDEX($A$1:$A$5000,MATCH(ROWS($D$1:$D1060),$D$1:$D$5000,0)),"")</f>
        <v/>
      </c>
    </row>
    <row r="1061" spans="3:5">
      <c r="C1061" s="17">
        <f t="shared" si="16"/>
        <v>0</v>
      </c>
      <c r="D1061" s="17" t="str">
        <f>IF(C1061=1,COUNTIF($C$1:$C1061,1),"")</f>
        <v/>
      </c>
      <c r="E1061" s="7" t="str">
        <f>IFERROR(INDEX($A$1:$A$5000,MATCH(ROWS($D$1:$D1061),$D$1:$D$5000,0)),"")</f>
        <v/>
      </c>
    </row>
    <row r="1062" spans="3:5">
      <c r="C1062" s="17">
        <f t="shared" si="16"/>
        <v>0</v>
      </c>
      <c r="D1062" s="17" t="str">
        <f>IF(C1062=1,COUNTIF($C$1:$C1062,1),"")</f>
        <v/>
      </c>
      <c r="E1062" s="7" t="str">
        <f>IFERROR(INDEX($A$1:$A$5000,MATCH(ROWS($D$1:$D1062),$D$1:$D$5000,0)),"")</f>
        <v/>
      </c>
    </row>
    <row r="1063" spans="3:5">
      <c r="C1063" s="17">
        <f t="shared" si="16"/>
        <v>0</v>
      </c>
      <c r="D1063" s="17" t="str">
        <f>IF(C1063=1,COUNTIF($C$1:$C1063,1),"")</f>
        <v/>
      </c>
      <c r="E1063" s="7" t="str">
        <f>IFERROR(INDEX($A$1:$A$5000,MATCH(ROWS($D$1:$D1063),$D$1:$D$5000,0)),"")</f>
        <v/>
      </c>
    </row>
    <row r="1064" spans="3:5">
      <c r="C1064" s="17">
        <f t="shared" si="16"/>
        <v>0</v>
      </c>
      <c r="D1064" s="17" t="str">
        <f>IF(C1064=1,COUNTIF($C$1:$C1064,1),"")</f>
        <v/>
      </c>
      <c r="E1064" s="7" t="str">
        <f>IFERROR(INDEX($A$1:$A$5000,MATCH(ROWS($D$1:$D1064),$D$1:$D$5000,0)),"")</f>
        <v/>
      </c>
    </row>
    <row r="1065" spans="3:5">
      <c r="C1065" s="17">
        <f t="shared" si="16"/>
        <v>0</v>
      </c>
      <c r="D1065" s="17" t="str">
        <f>IF(C1065=1,COUNTIF($C$1:$C1065,1),"")</f>
        <v/>
      </c>
      <c r="E1065" s="7" t="str">
        <f>IFERROR(INDEX($A$1:$A$5000,MATCH(ROWS($D$1:$D1065),$D$1:$D$5000,0)),"")</f>
        <v/>
      </c>
    </row>
    <row r="1066" spans="3:5">
      <c r="C1066" s="17">
        <f t="shared" si="16"/>
        <v>0</v>
      </c>
      <c r="D1066" s="17" t="str">
        <f>IF(C1066=1,COUNTIF($C$1:$C1066,1),"")</f>
        <v/>
      </c>
      <c r="E1066" s="7" t="str">
        <f>IFERROR(INDEX($A$1:$A$5000,MATCH(ROWS($D$1:$D1066),$D$1:$D$5000,0)),"")</f>
        <v/>
      </c>
    </row>
    <row r="1067" spans="3:5">
      <c r="C1067" s="17">
        <f t="shared" si="16"/>
        <v>0</v>
      </c>
      <c r="D1067" s="17" t="str">
        <f>IF(C1067=1,COUNTIF($C$1:$C1067,1),"")</f>
        <v/>
      </c>
      <c r="E1067" s="7" t="str">
        <f>IFERROR(INDEX($A$1:$A$5000,MATCH(ROWS($D$1:$D1067),$D$1:$D$5000,0)),"")</f>
        <v/>
      </c>
    </row>
    <row r="1068" spans="3:5">
      <c r="C1068" s="17">
        <f t="shared" si="16"/>
        <v>0</v>
      </c>
      <c r="D1068" s="17" t="str">
        <f>IF(C1068=1,COUNTIF($C$1:$C1068,1),"")</f>
        <v/>
      </c>
      <c r="E1068" s="7" t="str">
        <f>IFERROR(INDEX($A$1:$A$5000,MATCH(ROWS($D$1:$D1068),$D$1:$D$5000,0)),"")</f>
        <v/>
      </c>
    </row>
    <row r="1069" spans="3:5">
      <c r="C1069" s="17">
        <f t="shared" si="16"/>
        <v>0</v>
      </c>
      <c r="D1069" s="17" t="str">
        <f>IF(C1069=1,COUNTIF($C$1:$C1069,1),"")</f>
        <v/>
      </c>
      <c r="E1069" s="7" t="str">
        <f>IFERROR(INDEX($A$1:$A$5000,MATCH(ROWS($D$1:$D1069),$D$1:$D$5000,0)),"")</f>
        <v/>
      </c>
    </row>
    <row r="1070" spans="3:5">
      <c r="C1070" s="17">
        <f t="shared" si="16"/>
        <v>0</v>
      </c>
      <c r="D1070" s="17" t="str">
        <f>IF(C1070=1,COUNTIF($C$1:$C1070,1),"")</f>
        <v/>
      </c>
      <c r="E1070" s="7" t="str">
        <f>IFERROR(INDEX($A$1:$A$5000,MATCH(ROWS($D$1:$D1070),$D$1:$D$5000,0)),"")</f>
        <v/>
      </c>
    </row>
    <row r="1071" spans="3:5">
      <c r="C1071" s="17">
        <f t="shared" si="16"/>
        <v>0</v>
      </c>
      <c r="D1071" s="17" t="str">
        <f>IF(C1071=1,COUNTIF($C$1:$C1071,1),"")</f>
        <v/>
      </c>
      <c r="E1071" s="7" t="str">
        <f>IFERROR(INDEX($A$1:$A$5000,MATCH(ROWS($D$1:$D1071),$D$1:$D$5000,0)),"")</f>
        <v/>
      </c>
    </row>
    <row r="1072" spans="3:5">
      <c r="C1072" s="17">
        <f t="shared" si="16"/>
        <v>0</v>
      </c>
      <c r="D1072" s="17" t="str">
        <f>IF(C1072=1,COUNTIF($C$1:$C1072,1),"")</f>
        <v/>
      </c>
      <c r="E1072" s="7" t="str">
        <f>IFERROR(INDEX($A$1:$A$5000,MATCH(ROWS($D$1:$D1072),$D$1:$D$5000,0)),"")</f>
        <v/>
      </c>
    </row>
    <row r="1073" spans="3:5">
      <c r="C1073" s="17">
        <f t="shared" si="16"/>
        <v>0</v>
      </c>
      <c r="D1073" s="17" t="str">
        <f>IF(C1073=1,COUNTIF($C$1:$C1073,1),"")</f>
        <v/>
      </c>
      <c r="E1073" s="7" t="str">
        <f>IFERROR(INDEX($A$1:$A$5000,MATCH(ROWS($D$1:$D1073),$D$1:$D$5000,0)),"")</f>
        <v/>
      </c>
    </row>
    <row r="1074" spans="3:5">
      <c r="C1074" s="17">
        <f t="shared" si="16"/>
        <v>0</v>
      </c>
      <c r="D1074" s="17" t="str">
        <f>IF(C1074=1,COUNTIF($C$1:$C1074,1),"")</f>
        <v/>
      </c>
      <c r="E1074" s="7" t="str">
        <f>IFERROR(INDEX($A$1:$A$5000,MATCH(ROWS($D$1:$D1074),$D$1:$D$5000,0)),"")</f>
        <v/>
      </c>
    </row>
    <row r="1075" spans="3:5">
      <c r="C1075" s="17">
        <f t="shared" si="16"/>
        <v>0</v>
      </c>
      <c r="D1075" s="17" t="str">
        <f>IF(C1075=1,COUNTIF($C$1:$C1075,1),"")</f>
        <v/>
      </c>
      <c r="E1075" s="7" t="str">
        <f>IFERROR(INDEX($A$1:$A$5000,MATCH(ROWS($D$1:$D1075),$D$1:$D$5000,0)),"")</f>
        <v/>
      </c>
    </row>
    <row r="1076" spans="3:5">
      <c r="C1076" s="17">
        <f t="shared" si="16"/>
        <v>0</v>
      </c>
      <c r="D1076" s="17" t="str">
        <f>IF(C1076=1,COUNTIF($C$1:$C1076,1),"")</f>
        <v/>
      </c>
      <c r="E1076" s="7" t="str">
        <f>IFERROR(INDEX($A$1:$A$5000,MATCH(ROWS($D$1:$D1076),$D$1:$D$5000,0)),"")</f>
        <v/>
      </c>
    </row>
    <row r="1077" spans="3:5">
      <c r="C1077" s="17">
        <f t="shared" si="16"/>
        <v>0</v>
      </c>
      <c r="D1077" s="17" t="str">
        <f>IF(C1077=1,COUNTIF($C$1:$C1077,1),"")</f>
        <v/>
      </c>
      <c r="E1077" s="7" t="str">
        <f>IFERROR(INDEX($A$1:$A$5000,MATCH(ROWS($D$1:$D1077),$D$1:$D$5000,0)),"")</f>
        <v/>
      </c>
    </row>
    <row r="1078" spans="3:5">
      <c r="C1078" s="17">
        <f t="shared" si="16"/>
        <v>0</v>
      </c>
      <c r="D1078" s="17" t="str">
        <f>IF(C1078=1,COUNTIF($C$1:$C1078,1),"")</f>
        <v/>
      </c>
      <c r="E1078" s="7" t="str">
        <f>IFERROR(INDEX($A$1:$A$5000,MATCH(ROWS($D$1:$D1078),$D$1:$D$5000,0)),"")</f>
        <v/>
      </c>
    </row>
    <row r="1079" spans="3:5">
      <c r="C1079" s="17">
        <f t="shared" si="16"/>
        <v>0</v>
      </c>
      <c r="D1079" s="17" t="str">
        <f>IF(C1079=1,COUNTIF($C$1:$C1079,1),"")</f>
        <v/>
      </c>
      <c r="E1079" s="7" t="str">
        <f>IFERROR(INDEX($A$1:$A$5000,MATCH(ROWS($D$1:$D1079),$D$1:$D$5000,0)),"")</f>
        <v/>
      </c>
    </row>
    <row r="1080" spans="3:5">
      <c r="C1080" s="17">
        <f t="shared" si="16"/>
        <v>0</v>
      </c>
      <c r="D1080" s="17" t="str">
        <f>IF(C1080=1,COUNTIF($C$1:$C1080,1),"")</f>
        <v/>
      </c>
      <c r="E1080" s="7" t="str">
        <f>IFERROR(INDEX($A$1:$A$5000,MATCH(ROWS($D$1:$D1080),$D$1:$D$5000,0)),"")</f>
        <v/>
      </c>
    </row>
    <row r="1081" spans="3:5">
      <c r="C1081" s="17">
        <f t="shared" si="16"/>
        <v>0</v>
      </c>
      <c r="D1081" s="17" t="str">
        <f>IF(C1081=1,COUNTIF($C$1:$C1081,1),"")</f>
        <v/>
      </c>
      <c r="E1081" s="7" t="str">
        <f>IFERROR(INDEX($A$1:$A$5000,MATCH(ROWS($D$1:$D1081),$D$1:$D$5000,0)),"")</f>
        <v/>
      </c>
    </row>
    <row r="1082" spans="3:5">
      <c r="C1082" s="17">
        <f t="shared" si="16"/>
        <v>0</v>
      </c>
      <c r="D1082" s="17" t="str">
        <f>IF(C1082=1,COUNTIF($C$1:$C1082,1),"")</f>
        <v/>
      </c>
      <c r="E1082" s="7" t="str">
        <f>IFERROR(INDEX($A$1:$A$5000,MATCH(ROWS($D$1:$D1082),$D$1:$D$5000,0)),"")</f>
        <v/>
      </c>
    </row>
    <row r="1083" spans="3:5">
      <c r="C1083" s="17">
        <f t="shared" si="16"/>
        <v>0</v>
      </c>
      <c r="D1083" s="17" t="str">
        <f>IF(C1083=1,COUNTIF($C$1:$C1083,1),"")</f>
        <v/>
      </c>
      <c r="E1083" s="7" t="str">
        <f>IFERROR(INDEX($A$1:$A$5000,MATCH(ROWS($D$1:$D1083),$D$1:$D$5000,0)),"")</f>
        <v/>
      </c>
    </row>
    <row r="1084" spans="3:5">
      <c r="C1084" s="17">
        <f t="shared" si="16"/>
        <v>0</v>
      </c>
      <c r="D1084" s="17" t="str">
        <f>IF(C1084=1,COUNTIF($C$1:$C1084,1),"")</f>
        <v/>
      </c>
      <c r="E1084" s="7" t="str">
        <f>IFERROR(INDEX($A$1:$A$5000,MATCH(ROWS($D$1:$D1084),$D$1:$D$5000,0)),"")</f>
        <v/>
      </c>
    </row>
    <row r="1085" spans="3:5">
      <c r="C1085" s="17">
        <f t="shared" si="16"/>
        <v>0</v>
      </c>
      <c r="D1085" s="17" t="str">
        <f>IF(C1085=1,COUNTIF($C$1:$C1085,1),"")</f>
        <v/>
      </c>
      <c r="E1085" s="7" t="str">
        <f>IFERROR(INDEX($A$1:$A$5000,MATCH(ROWS($D$1:$D1085),$D$1:$D$5000,0)),"")</f>
        <v/>
      </c>
    </row>
    <row r="1086" spans="3:5">
      <c r="C1086" s="17">
        <f t="shared" si="16"/>
        <v>0</v>
      </c>
      <c r="D1086" s="17" t="str">
        <f>IF(C1086=1,COUNTIF($C$1:$C1086,1),"")</f>
        <v/>
      </c>
      <c r="E1086" s="7" t="str">
        <f>IFERROR(INDEX($A$1:$A$5000,MATCH(ROWS($D$1:$D1086),$D$1:$D$5000,0)),"")</f>
        <v/>
      </c>
    </row>
    <row r="1087" spans="3:5">
      <c r="C1087" s="17">
        <f t="shared" si="16"/>
        <v>0</v>
      </c>
      <c r="D1087" s="17" t="str">
        <f>IF(C1087=1,COUNTIF($C$1:$C1087,1),"")</f>
        <v/>
      </c>
      <c r="E1087" s="7" t="str">
        <f>IFERROR(INDEX($A$1:$A$5000,MATCH(ROWS($D$1:$D1087),$D$1:$D$5000,0)),"")</f>
        <v/>
      </c>
    </row>
    <row r="1088" spans="3:5">
      <c r="C1088" s="17">
        <f t="shared" si="16"/>
        <v>0</v>
      </c>
      <c r="D1088" s="17" t="str">
        <f>IF(C1088=1,COUNTIF($C$1:$C1088,1),"")</f>
        <v/>
      </c>
      <c r="E1088" s="7" t="str">
        <f>IFERROR(INDEX($A$1:$A$5000,MATCH(ROWS($D$1:$D1088),$D$1:$D$5000,0)),"")</f>
        <v/>
      </c>
    </row>
    <row r="1089" spans="3:5">
      <c r="C1089" s="17">
        <f t="shared" si="16"/>
        <v>0</v>
      </c>
      <c r="D1089" s="17" t="str">
        <f>IF(C1089=1,COUNTIF($C$1:$C1089,1),"")</f>
        <v/>
      </c>
      <c r="E1089" s="7" t="str">
        <f>IFERROR(INDEX($A$1:$A$5000,MATCH(ROWS($D$1:$D1089),$D$1:$D$5000,0)),"")</f>
        <v/>
      </c>
    </row>
    <row r="1090" spans="3:5">
      <c r="C1090" s="17">
        <f t="shared" ref="C1090:C1153" si="17">--ISNUMBER(SEARCH($B$1,A1090))</f>
        <v>0</v>
      </c>
      <c r="D1090" s="17" t="str">
        <f>IF(C1090=1,COUNTIF($C$1:$C1090,1),"")</f>
        <v/>
      </c>
      <c r="E1090" s="7" t="str">
        <f>IFERROR(INDEX($A$1:$A$5000,MATCH(ROWS($D$1:$D1090),$D$1:$D$5000,0)),"")</f>
        <v/>
      </c>
    </row>
    <row r="1091" spans="3:5">
      <c r="C1091" s="17">
        <f t="shared" si="17"/>
        <v>0</v>
      </c>
      <c r="D1091" s="17" t="str">
        <f>IF(C1091=1,COUNTIF($C$1:$C1091,1),"")</f>
        <v/>
      </c>
      <c r="E1091" s="7" t="str">
        <f>IFERROR(INDEX($A$1:$A$5000,MATCH(ROWS($D$1:$D1091),$D$1:$D$5000,0)),"")</f>
        <v/>
      </c>
    </row>
    <row r="1092" spans="3:5">
      <c r="C1092" s="17">
        <f t="shared" si="17"/>
        <v>0</v>
      </c>
      <c r="D1092" s="17" t="str">
        <f>IF(C1092=1,COUNTIF($C$1:$C1092,1),"")</f>
        <v/>
      </c>
      <c r="E1092" s="7" t="str">
        <f>IFERROR(INDEX($A$1:$A$5000,MATCH(ROWS($D$1:$D1092),$D$1:$D$5000,0)),"")</f>
        <v/>
      </c>
    </row>
    <row r="1093" spans="3:5">
      <c r="C1093" s="17">
        <f t="shared" si="17"/>
        <v>0</v>
      </c>
      <c r="D1093" s="17" t="str">
        <f>IF(C1093=1,COUNTIF($C$1:$C1093,1),"")</f>
        <v/>
      </c>
      <c r="E1093" s="7" t="str">
        <f>IFERROR(INDEX($A$1:$A$5000,MATCH(ROWS($D$1:$D1093),$D$1:$D$5000,0)),"")</f>
        <v/>
      </c>
    </row>
    <row r="1094" spans="3:5">
      <c r="C1094" s="17">
        <f t="shared" si="17"/>
        <v>0</v>
      </c>
      <c r="D1094" s="17" t="str">
        <f>IF(C1094=1,COUNTIF($C$1:$C1094,1),"")</f>
        <v/>
      </c>
      <c r="E1094" s="7" t="str">
        <f>IFERROR(INDEX($A$1:$A$5000,MATCH(ROWS($D$1:$D1094),$D$1:$D$5000,0)),"")</f>
        <v/>
      </c>
    </row>
    <row r="1095" spans="3:5">
      <c r="C1095" s="17">
        <f t="shared" si="17"/>
        <v>0</v>
      </c>
      <c r="D1095" s="17" t="str">
        <f>IF(C1095=1,COUNTIF($C$1:$C1095,1),"")</f>
        <v/>
      </c>
      <c r="E1095" s="7" t="str">
        <f>IFERROR(INDEX($A$1:$A$5000,MATCH(ROWS($D$1:$D1095),$D$1:$D$5000,0)),"")</f>
        <v/>
      </c>
    </row>
    <row r="1096" spans="3:5">
      <c r="C1096" s="17">
        <f t="shared" si="17"/>
        <v>0</v>
      </c>
      <c r="D1096" s="17" t="str">
        <f>IF(C1096=1,COUNTIF($C$1:$C1096,1),"")</f>
        <v/>
      </c>
      <c r="E1096" s="7" t="str">
        <f>IFERROR(INDEX($A$1:$A$5000,MATCH(ROWS($D$1:$D1096),$D$1:$D$5000,0)),"")</f>
        <v/>
      </c>
    </row>
    <row r="1097" spans="3:5">
      <c r="C1097" s="17">
        <f t="shared" si="17"/>
        <v>0</v>
      </c>
      <c r="D1097" s="17" t="str">
        <f>IF(C1097=1,COUNTIF($C$1:$C1097,1),"")</f>
        <v/>
      </c>
      <c r="E1097" s="7" t="str">
        <f>IFERROR(INDEX($A$1:$A$5000,MATCH(ROWS($D$1:$D1097),$D$1:$D$5000,0)),"")</f>
        <v/>
      </c>
    </row>
    <row r="1098" spans="3:5">
      <c r="C1098" s="17">
        <f t="shared" si="17"/>
        <v>0</v>
      </c>
      <c r="D1098" s="17" t="str">
        <f>IF(C1098=1,COUNTIF($C$1:$C1098,1),"")</f>
        <v/>
      </c>
      <c r="E1098" s="7" t="str">
        <f>IFERROR(INDEX($A$1:$A$5000,MATCH(ROWS($D$1:$D1098),$D$1:$D$5000,0)),"")</f>
        <v/>
      </c>
    </row>
    <row r="1099" spans="3:5">
      <c r="C1099" s="17">
        <f t="shared" si="17"/>
        <v>0</v>
      </c>
      <c r="D1099" s="17" t="str">
        <f>IF(C1099=1,COUNTIF($C$1:$C1099,1),"")</f>
        <v/>
      </c>
      <c r="E1099" s="7" t="str">
        <f>IFERROR(INDEX($A$1:$A$5000,MATCH(ROWS($D$1:$D1099),$D$1:$D$5000,0)),"")</f>
        <v/>
      </c>
    </row>
    <row r="1100" spans="3:5">
      <c r="C1100" s="17">
        <f t="shared" si="17"/>
        <v>0</v>
      </c>
      <c r="D1100" s="17" t="str">
        <f>IF(C1100=1,COUNTIF($C$1:$C1100,1),"")</f>
        <v/>
      </c>
      <c r="E1100" s="7" t="str">
        <f>IFERROR(INDEX($A$1:$A$5000,MATCH(ROWS($D$1:$D1100),$D$1:$D$5000,0)),"")</f>
        <v/>
      </c>
    </row>
    <row r="1101" spans="3:5">
      <c r="C1101" s="17">
        <f t="shared" si="17"/>
        <v>0</v>
      </c>
      <c r="D1101" s="17" t="str">
        <f>IF(C1101=1,COUNTIF($C$1:$C1101,1),"")</f>
        <v/>
      </c>
      <c r="E1101" s="7" t="str">
        <f>IFERROR(INDEX($A$1:$A$5000,MATCH(ROWS($D$1:$D1101),$D$1:$D$5000,0)),"")</f>
        <v/>
      </c>
    </row>
    <row r="1102" spans="3:5">
      <c r="C1102" s="17">
        <f t="shared" si="17"/>
        <v>0</v>
      </c>
      <c r="D1102" s="17" t="str">
        <f>IF(C1102=1,COUNTIF($C$1:$C1102,1),"")</f>
        <v/>
      </c>
      <c r="E1102" s="7" t="str">
        <f>IFERROR(INDEX($A$1:$A$5000,MATCH(ROWS($D$1:$D1102),$D$1:$D$5000,0)),"")</f>
        <v/>
      </c>
    </row>
    <row r="1103" spans="3:5">
      <c r="C1103" s="17">
        <f t="shared" si="17"/>
        <v>0</v>
      </c>
      <c r="D1103" s="17" t="str">
        <f>IF(C1103=1,COUNTIF($C$1:$C1103,1),"")</f>
        <v/>
      </c>
      <c r="E1103" s="7" t="str">
        <f>IFERROR(INDEX($A$1:$A$5000,MATCH(ROWS($D$1:$D1103),$D$1:$D$5000,0)),"")</f>
        <v/>
      </c>
    </row>
    <row r="1104" spans="3:5">
      <c r="C1104" s="17">
        <f t="shared" si="17"/>
        <v>0</v>
      </c>
      <c r="D1104" s="17" t="str">
        <f>IF(C1104=1,COUNTIF($C$1:$C1104,1),"")</f>
        <v/>
      </c>
      <c r="E1104" s="7" t="str">
        <f>IFERROR(INDEX($A$1:$A$5000,MATCH(ROWS($D$1:$D1104),$D$1:$D$5000,0)),"")</f>
        <v/>
      </c>
    </row>
    <row r="1105" spans="3:5">
      <c r="C1105" s="17">
        <f t="shared" si="17"/>
        <v>0</v>
      </c>
      <c r="D1105" s="17" t="str">
        <f>IF(C1105=1,COUNTIF($C$1:$C1105,1),"")</f>
        <v/>
      </c>
      <c r="E1105" s="7" t="str">
        <f>IFERROR(INDEX($A$1:$A$5000,MATCH(ROWS($D$1:$D1105),$D$1:$D$5000,0)),"")</f>
        <v/>
      </c>
    </row>
    <row r="1106" spans="3:5">
      <c r="C1106" s="17">
        <f t="shared" si="17"/>
        <v>0</v>
      </c>
      <c r="D1106" s="17" t="str">
        <f>IF(C1106=1,COUNTIF($C$1:$C1106,1),"")</f>
        <v/>
      </c>
      <c r="E1106" s="7" t="str">
        <f>IFERROR(INDEX($A$1:$A$5000,MATCH(ROWS($D$1:$D1106),$D$1:$D$5000,0)),"")</f>
        <v/>
      </c>
    </row>
    <row r="1107" spans="3:5">
      <c r="C1107" s="17">
        <f t="shared" si="17"/>
        <v>0</v>
      </c>
      <c r="D1107" s="17" t="str">
        <f>IF(C1107=1,COUNTIF($C$1:$C1107,1),"")</f>
        <v/>
      </c>
      <c r="E1107" s="7" t="str">
        <f>IFERROR(INDEX($A$1:$A$5000,MATCH(ROWS($D$1:$D1107),$D$1:$D$5000,0)),"")</f>
        <v/>
      </c>
    </row>
    <row r="1108" spans="3:5">
      <c r="C1108" s="17">
        <f t="shared" si="17"/>
        <v>0</v>
      </c>
      <c r="D1108" s="17" t="str">
        <f>IF(C1108=1,COUNTIF($C$1:$C1108,1),"")</f>
        <v/>
      </c>
      <c r="E1108" s="7" t="str">
        <f>IFERROR(INDEX($A$1:$A$5000,MATCH(ROWS($D$1:$D1108),$D$1:$D$5000,0)),"")</f>
        <v/>
      </c>
    </row>
    <row r="1109" spans="3:5">
      <c r="C1109" s="17">
        <f t="shared" si="17"/>
        <v>0</v>
      </c>
      <c r="D1109" s="17" t="str">
        <f>IF(C1109=1,COUNTIF($C$1:$C1109,1),"")</f>
        <v/>
      </c>
      <c r="E1109" s="7" t="str">
        <f>IFERROR(INDEX($A$1:$A$5000,MATCH(ROWS($D$1:$D1109),$D$1:$D$5000,0)),"")</f>
        <v/>
      </c>
    </row>
    <row r="1110" spans="3:5">
      <c r="C1110" s="17">
        <f t="shared" si="17"/>
        <v>0</v>
      </c>
      <c r="D1110" s="17" t="str">
        <f>IF(C1110=1,COUNTIF($C$1:$C1110,1),"")</f>
        <v/>
      </c>
      <c r="E1110" s="7" t="str">
        <f>IFERROR(INDEX($A$1:$A$5000,MATCH(ROWS($D$1:$D1110),$D$1:$D$5000,0)),"")</f>
        <v/>
      </c>
    </row>
    <row r="1111" spans="3:5">
      <c r="C1111" s="17">
        <f t="shared" si="17"/>
        <v>0</v>
      </c>
      <c r="D1111" s="17" t="str">
        <f>IF(C1111=1,COUNTIF($C$1:$C1111,1),"")</f>
        <v/>
      </c>
      <c r="E1111" s="7" t="str">
        <f>IFERROR(INDEX($A$1:$A$5000,MATCH(ROWS($D$1:$D1111),$D$1:$D$5000,0)),"")</f>
        <v/>
      </c>
    </row>
    <row r="1112" spans="3:5">
      <c r="C1112" s="17">
        <f t="shared" si="17"/>
        <v>0</v>
      </c>
      <c r="D1112" s="17" t="str">
        <f>IF(C1112=1,COUNTIF($C$1:$C1112,1),"")</f>
        <v/>
      </c>
      <c r="E1112" s="7" t="str">
        <f>IFERROR(INDEX($A$1:$A$5000,MATCH(ROWS($D$1:$D1112),$D$1:$D$5000,0)),"")</f>
        <v/>
      </c>
    </row>
    <row r="1113" spans="3:5">
      <c r="C1113" s="17">
        <f t="shared" si="17"/>
        <v>0</v>
      </c>
      <c r="D1113" s="17" t="str">
        <f>IF(C1113=1,COUNTIF($C$1:$C1113,1),"")</f>
        <v/>
      </c>
      <c r="E1113" s="7" t="str">
        <f>IFERROR(INDEX($A$1:$A$5000,MATCH(ROWS($D$1:$D1113),$D$1:$D$5000,0)),"")</f>
        <v/>
      </c>
    </row>
    <row r="1114" spans="3:5">
      <c r="C1114" s="17">
        <f t="shared" si="17"/>
        <v>0</v>
      </c>
      <c r="D1114" s="17" t="str">
        <f>IF(C1114=1,COUNTIF($C$1:$C1114,1),"")</f>
        <v/>
      </c>
      <c r="E1114" s="7" t="str">
        <f>IFERROR(INDEX($A$1:$A$5000,MATCH(ROWS($D$1:$D1114),$D$1:$D$5000,0)),"")</f>
        <v/>
      </c>
    </row>
    <row r="1115" spans="3:5">
      <c r="C1115" s="17">
        <f t="shared" si="17"/>
        <v>0</v>
      </c>
      <c r="D1115" s="17" t="str">
        <f>IF(C1115=1,COUNTIF($C$1:$C1115,1),"")</f>
        <v/>
      </c>
      <c r="E1115" s="7" t="str">
        <f>IFERROR(INDEX($A$1:$A$5000,MATCH(ROWS($D$1:$D1115),$D$1:$D$5000,0)),"")</f>
        <v/>
      </c>
    </row>
    <row r="1116" spans="3:5">
      <c r="C1116" s="17">
        <f t="shared" si="17"/>
        <v>0</v>
      </c>
      <c r="D1116" s="17" t="str">
        <f>IF(C1116=1,COUNTIF($C$1:$C1116,1),"")</f>
        <v/>
      </c>
      <c r="E1116" s="7" t="str">
        <f>IFERROR(INDEX($A$1:$A$5000,MATCH(ROWS($D$1:$D1116),$D$1:$D$5000,0)),"")</f>
        <v/>
      </c>
    </row>
    <row r="1117" spans="3:5">
      <c r="C1117" s="17">
        <f t="shared" si="17"/>
        <v>0</v>
      </c>
      <c r="D1117" s="17" t="str">
        <f>IF(C1117=1,COUNTIF($C$1:$C1117,1),"")</f>
        <v/>
      </c>
      <c r="E1117" s="7" t="str">
        <f>IFERROR(INDEX($A$1:$A$5000,MATCH(ROWS($D$1:$D1117),$D$1:$D$5000,0)),"")</f>
        <v/>
      </c>
    </row>
    <row r="1118" spans="3:5">
      <c r="C1118" s="17">
        <f t="shared" si="17"/>
        <v>0</v>
      </c>
      <c r="D1118" s="17" t="str">
        <f>IF(C1118=1,COUNTIF($C$1:$C1118,1),"")</f>
        <v/>
      </c>
      <c r="E1118" s="7" t="str">
        <f>IFERROR(INDEX($A$1:$A$5000,MATCH(ROWS($D$1:$D1118),$D$1:$D$5000,0)),"")</f>
        <v/>
      </c>
    </row>
    <row r="1119" spans="3:5">
      <c r="C1119" s="17">
        <f t="shared" si="17"/>
        <v>0</v>
      </c>
      <c r="D1119" s="17" t="str">
        <f>IF(C1119=1,COUNTIF($C$1:$C1119,1),"")</f>
        <v/>
      </c>
      <c r="E1119" s="7" t="str">
        <f>IFERROR(INDEX($A$1:$A$5000,MATCH(ROWS($D$1:$D1119),$D$1:$D$5000,0)),"")</f>
        <v/>
      </c>
    </row>
    <row r="1120" spans="3:5">
      <c r="C1120" s="17">
        <f t="shared" si="17"/>
        <v>0</v>
      </c>
      <c r="D1120" s="17" t="str">
        <f>IF(C1120=1,COUNTIF($C$1:$C1120,1),"")</f>
        <v/>
      </c>
      <c r="E1120" s="7" t="str">
        <f>IFERROR(INDEX($A$1:$A$5000,MATCH(ROWS($D$1:$D1120),$D$1:$D$5000,0)),"")</f>
        <v/>
      </c>
    </row>
    <row r="1121" spans="3:5">
      <c r="C1121" s="17">
        <f t="shared" si="17"/>
        <v>0</v>
      </c>
      <c r="D1121" s="17" t="str">
        <f>IF(C1121=1,COUNTIF($C$1:$C1121,1),"")</f>
        <v/>
      </c>
      <c r="E1121" s="7" t="str">
        <f>IFERROR(INDEX($A$1:$A$5000,MATCH(ROWS($D$1:$D1121),$D$1:$D$5000,0)),"")</f>
        <v/>
      </c>
    </row>
    <row r="1122" spans="3:5">
      <c r="C1122" s="17">
        <f t="shared" si="17"/>
        <v>0</v>
      </c>
      <c r="D1122" s="17" t="str">
        <f>IF(C1122=1,COUNTIF($C$1:$C1122,1),"")</f>
        <v/>
      </c>
      <c r="E1122" s="7" t="str">
        <f>IFERROR(INDEX($A$1:$A$5000,MATCH(ROWS($D$1:$D1122),$D$1:$D$5000,0)),"")</f>
        <v/>
      </c>
    </row>
    <row r="1123" spans="3:5">
      <c r="C1123" s="17">
        <f t="shared" si="17"/>
        <v>0</v>
      </c>
      <c r="D1123" s="17" t="str">
        <f>IF(C1123=1,COUNTIF($C$1:$C1123,1),"")</f>
        <v/>
      </c>
      <c r="E1123" s="7" t="str">
        <f>IFERROR(INDEX($A$1:$A$5000,MATCH(ROWS($D$1:$D1123),$D$1:$D$5000,0)),"")</f>
        <v/>
      </c>
    </row>
    <row r="1124" spans="3:5">
      <c r="C1124" s="17">
        <f t="shared" si="17"/>
        <v>0</v>
      </c>
      <c r="D1124" s="17" t="str">
        <f>IF(C1124=1,COUNTIF($C$1:$C1124,1),"")</f>
        <v/>
      </c>
      <c r="E1124" s="7" t="str">
        <f>IFERROR(INDEX($A$1:$A$5000,MATCH(ROWS($D$1:$D1124),$D$1:$D$5000,0)),"")</f>
        <v/>
      </c>
    </row>
    <row r="1125" spans="3:5">
      <c r="C1125" s="17">
        <f t="shared" si="17"/>
        <v>0</v>
      </c>
      <c r="D1125" s="17" t="str">
        <f>IF(C1125=1,COUNTIF($C$1:$C1125,1),"")</f>
        <v/>
      </c>
      <c r="E1125" s="7" t="str">
        <f>IFERROR(INDEX($A$1:$A$5000,MATCH(ROWS($D$1:$D1125),$D$1:$D$5000,0)),"")</f>
        <v/>
      </c>
    </row>
    <row r="1126" spans="3:5">
      <c r="C1126" s="17">
        <f t="shared" si="17"/>
        <v>0</v>
      </c>
      <c r="D1126" s="17" t="str">
        <f>IF(C1126=1,COUNTIF($C$1:$C1126,1),"")</f>
        <v/>
      </c>
      <c r="E1126" s="7" t="str">
        <f>IFERROR(INDEX($A$1:$A$5000,MATCH(ROWS($D$1:$D1126),$D$1:$D$5000,0)),"")</f>
        <v/>
      </c>
    </row>
    <row r="1127" spans="3:5">
      <c r="C1127" s="17">
        <f t="shared" si="17"/>
        <v>0</v>
      </c>
      <c r="D1127" s="17" t="str">
        <f>IF(C1127=1,COUNTIF($C$1:$C1127,1),"")</f>
        <v/>
      </c>
      <c r="E1127" s="7" t="str">
        <f>IFERROR(INDEX($A$1:$A$5000,MATCH(ROWS($D$1:$D1127),$D$1:$D$5000,0)),"")</f>
        <v/>
      </c>
    </row>
    <row r="1128" spans="3:5">
      <c r="C1128" s="17">
        <f t="shared" si="17"/>
        <v>0</v>
      </c>
      <c r="D1128" s="17" t="str">
        <f>IF(C1128=1,COUNTIF($C$1:$C1128,1),"")</f>
        <v/>
      </c>
      <c r="E1128" s="7" t="str">
        <f>IFERROR(INDEX($A$1:$A$5000,MATCH(ROWS($D$1:$D1128),$D$1:$D$5000,0)),"")</f>
        <v/>
      </c>
    </row>
    <row r="1129" spans="3:5">
      <c r="C1129" s="17">
        <f t="shared" si="17"/>
        <v>0</v>
      </c>
      <c r="D1129" s="17" t="str">
        <f>IF(C1129=1,COUNTIF($C$1:$C1129,1),"")</f>
        <v/>
      </c>
      <c r="E1129" s="7" t="str">
        <f>IFERROR(INDEX($A$1:$A$5000,MATCH(ROWS($D$1:$D1129),$D$1:$D$5000,0)),"")</f>
        <v/>
      </c>
    </row>
    <row r="1130" spans="3:5">
      <c r="C1130" s="17">
        <f t="shared" si="17"/>
        <v>0</v>
      </c>
      <c r="D1130" s="17" t="str">
        <f>IF(C1130=1,COUNTIF($C$1:$C1130,1),"")</f>
        <v/>
      </c>
      <c r="E1130" s="7" t="str">
        <f>IFERROR(INDEX($A$1:$A$5000,MATCH(ROWS($D$1:$D1130),$D$1:$D$5000,0)),"")</f>
        <v/>
      </c>
    </row>
    <row r="1131" spans="3:5">
      <c r="C1131" s="17">
        <f t="shared" si="17"/>
        <v>0</v>
      </c>
      <c r="D1131" s="17" t="str">
        <f>IF(C1131=1,COUNTIF($C$1:$C1131,1),"")</f>
        <v/>
      </c>
      <c r="E1131" s="7" t="str">
        <f>IFERROR(INDEX($A$1:$A$5000,MATCH(ROWS($D$1:$D1131),$D$1:$D$5000,0)),"")</f>
        <v/>
      </c>
    </row>
    <row r="1132" spans="3:5">
      <c r="C1132" s="17">
        <f t="shared" si="17"/>
        <v>0</v>
      </c>
      <c r="D1132" s="17" t="str">
        <f>IF(C1132=1,COUNTIF($C$1:$C1132,1),"")</f>
        <v/>
      </c>
      <c r="E1132" s="7" t="str">
        <f>IFERROR(INDEX($A$1:$A$5000,MATCH(ROWS($D$1:$D1132),$D$1:$D$5000,0)),"")</f>
        <v/>
      </c>
    </row>
    <row r="1133" spans="3:5">
      <c r="C1133" s="17">
        <f t="shared" si="17"/>
        <v>0</v>
      </c>
      <c r="D1133" s="17" t="str">
        <f>IF(C1133=1,COUNTIF($C$1:$C1133,1),"")</f>
        <v/>
      </c>
      <c r="E1133" s="7" t="str">
        <f>IFERROR(INDEX($A$1:$A$5000,MATCH(ROWS($D$1:$D1133),$D$1:$D$5000,0)),"")</f>
        <v/>
      </c>
    </row>
    <row r="1134" spans="3:5">
      <c r="C1134" s="17">
        <f t="shared" si="17"/>
        <v>0</v>
      </c>
      <c r="D1134" s="17" t="str">
        <f>IF(C1134=1,COUNTIF($C$1:$C1134,1),"")</f>
        <v/>
      </c>
      <c r="E1134" s="7" t="str">
        <f>IFERROR(INDEX($A$1:$A$5000,MATCH(ROWS($D$1:$D1134),$D$1:$D$5000,0)),"")</f>
        <v/>
      </c>
    </row>
    <row r="1135" spans="3:5">
      <c r="C1135" s="17">
        <f t="shared" si="17"/>
        <v>0</v>
      </c>
      <c r="D1135" s="17" t="str">
        <f>IF(C1135=1,COUNTIF($C$1:$C1135,1),"")</f>
        <v/>
      </c>
      <c r="E1135" s="7" t="str">
        <f>IFERROR(INDEX($A$1:$A$5000,MATCH(ROWS($D$1:$D1135),$D$1:$D$5000,0)),"")</f>
        <v/>
      </c>
    </row>
    <row r="1136" spans="3:5">
      <c r="C1136" s="17">
        <f t="shared" si="17"/>
        <v>0</v>
      </c>
      <c r="D1136" s="17" t="str">
        <f>IF(C1136=1,COUNTIF($C$1:$C1136,1),"")</f>
        <v/>
      </c>
      <c r="E1136" s="7" t="str">
        <f>IFERROR(INDEX($A$1:$A$5000,MATCH(ROWS($D$1:$D1136),$D$1:$D$5000,0)),"")</f>
        <v/>
      </c>
    </row>
    <row r="1137" spans="3:5">
      <c r="C1137" s="17">
        <f t="shared" si="17"/>
        <v>0</v>
      </c>
      <c r="D1137" s="17" t="str">
        <f>IF(C1137=1,COUNTIF($C$1:$C1137,1),"")</f>
        <v/>
      </c>
      <c r="E1137" s="7" t="str">
        <f>IFERROR(INDEX($A$1:$A$5000,MATCH(ROWS($D$1:$D1137),$D$1:$D$5000,0)),"")</f>
        <v/>
      </c>
    </row>
    <row r="1138" spans="3:5">
      <c r="C1138" s="17">
        <f t="shared" si="17"/>
        <v>0</v>
      </c>
      <c r="D1138" s="17" t="str">
        <f>IF(C1138=1,COUNTIF($C$1:$C1138,1),"")</f>
        <v/>
      </c>
      <c r="E1138" s="7" t="str">
        <f>IFERROR(INDEX($A$1:$A$5000,MATCH(ROWS($D$1:$D1138),$D$1:$D$5000,0)),"")</f>
        <v/>
      </c>
    </row>
    <row r="1139" spans="3:5">
      <c r="C1139" s="17">
        <f t="shared" si="17"/>
        <v>0</v>
      </c>
      <c r="D1139" s="17" t="str">
        <f>IF(C1139=1,COUNTIF($C$1:$C1139,1),"")</f>
        <v/>
      </c>
      <c r="E1139" s="7" t="str">
        <f>IFERROR(INDEX($A$1:$A$5000,MATCH(ROWS($D$1:$D1139),$D$1:$D$5000,0)),"")</f>
        <v/>
      </c>
    </row>
    <row r="1140" spans="3:5">
      <c r="C1140" s="17">
        <f t="shared" si="17"/>
        <v>0</v>
      </c>
      <c r="D1140" s="17" t="str">
        <f>IF(C1140=1,COUNTIF($C$1:$C1140,1),"")</f>
        <v/>
      </c>
      <c r="E1140" s="7" t="str">
        <f>IFERROR(INDEX($A$1:$A$5000,MATCH(ROWS($D$1:$D1140),$D$1:$D$5000,0)),"")</f>
        <v/>
      </c>
    </row>
    <row r="1141" spans="3:5">
      <c r="C1141" s="17">
        <f t="shared" si="17"/>
        <v>0</v>
      </c>
      <c r="D1141" s="17" t="str">
        <f>IF(C1141=1,COUNTIF($C$1:$C1141,1),"")</f>
        <v/>
      </c>
      <c r="E1141" s="7" t="str">
        <f>IFERROR(INDEX($A$1:$A$5000,MATCH(ROWS($D$1:$D1141),$D$1:$D$5000,0)),"")</f>
        <v/>
      </c>
    </row>
    <row r="1142" spans="3:5">
      <c r="C1142" s="17">
        <f t="shared" si="17"/>
        <v>0</v>
      </c>
      <c r="D1142" s="17" t="str">
        <f>IF(C1142=1,COUNTIF($C$1:$C1142,1),"")</f>
        <v/>
      </c>
      <c r="E1142" s="7" t="str">
        <f>IFERROR(INDEX($A$1:$A$5000,MATCH(ROWS($D$1:$D1142),$D$1:$D$5000,0)),"")</f>
        <v/>
      </c>
    </row>
    <row r="1143" spans="3:5">
      <c r="C1143" s="17">
        <f t="shared" si="17"/>
        <v>0</v>
      </c>
      <c r="D1143" s="17" t="str">
        <f>IF(C1143=1,COUNTIF($C$1:$C1143,1),"")</f>
        <v/>
      </c>
      <c r="E1143" s="7" t="str">
        <f>IFERROR(INDEX($A$1:$A$5000,MATCH(ROWS($D$1:$D1143),$D$1:$D$5000,0)),"")</f>
        <v/>
      </c>
    </row>
    <row r="1144" spans="3:5">
      <c r="C1144" s="17">
        <f t="shared" si="17"/>
        <v>0</v>
      </c>
      <c r="D1144" s="17" t="str">
        <f>IF(C1144=1,COUNTIF($C$1:$C1144,1),"")</f>
        <v/>
      </c>
      <c r="E1144" s="7" t="str">
        <f>IFERROR(INDEX($A$1:$A$5000,MATCH(ROWS($D$1:$D1144),$D$1:$D$5000,0)),"")</f>
        <v/>
      </c>
    </row>
    <row r="1145" spans="3:5">
      <c r="C1145" s="17">
        <f t="shared" si="17"/>
        <v>0</v>
      </c>
      <c r="D1145" s="17" t="str">
        <f>IF(C1145=1,COUNTIF($C$1:$C1145,1),"")</f>
        <v/>
      </c>
      <c r="E1145" s="7" t="str">
        <f>IFERROR(INDEX($A$1:$A$5000,MATCH(ROWS($D$1:$D1145),$D$1:$D$5000,0)),"")</f>
        <v/>
      </c>
    </row>
    <row r="1146" spans="3:5">
      <c r="C1146" s="17">
        <f t="shared" si="17"/>
        <v>0</v>
      </c>
      <c r="D1146" s="17" t="str">
        <f>IF(C1146=1,COUNTIF($C$1:$C1146,1),"")</f>
        <v/>
      </c>
      <c r="E1146" s="7" t="str">
        <f>IFERROR(INDEX($A$1:$A$5000,MATCH(ROWS($D$1:$D1146),$D$1:$D$5000,0)),"")</f>
        <v/>
      </c>
    </row>
    <row r="1147" spans="3:5">
      <c r="C1147" s="17">
        <f t="shared" si="17"/>
        <v>0</v>
      </c>
      <c r="D1147" s="17" t="str">
        <f>IF(C1147=1,COUNTIF($C$1:$C1147,1),"")</f>
        <v/>
      </c>
      <c r="E1147" s="7" t="str">
        <f>IFERROR(INDEX($A$1:$A$5000,MATCH(ROWS($D$1:$D1147),$D$1:$D$5000,0)),"")</f>
        <v/>
      </c>
    </row>
    <row r="1148" spans="3:5">
      <c r="C1148" s="17">
        <f t="shared" si="17"/>
        <v>0</v>
      </c>
      <c r="D1148" s="17" t="str">
        <f>IF(C1148=1,COUNTIF($C$1:$C1148,1),"")</f>
        <v/>
      </c>
      <c r="E1148" s="7" t="str">
        <f>IFERROR(INDEX($A$1:$A$5000,MATCH(ROWS($D$1:$D1148),$D$1:$D$5000,0)),"")</f>
        <v/>
      </c>
    </row>
    <row r="1149" spans="3:5">
      <c r="C1149" s="17">
        <f t="shared" si="17"/>
        <v>0</v>
      </c>
      <c r="D1149" s="17" t="str">
        <f>IF(C1149=1,COUNTIF($C$1:$C1149,1),"")</f>
        <v/>
      </c>
      <c r="E1149" s="7" t="str">
        <f>IFERROR(INDEX($A$1:$A$5000,MATCH(ROWS($D$1:$D1149),$D$1:$D$5000,0)),"")</f>
        <v/>
      </c>
    </row>
    <row r="1150" spans="3:5">
      <c r="C1150" s="17">
        <f t="shared" si="17"/>
        <v>0</v>
      </c>
      <c r="D1150" s="17" t="str">
        <f>IF(C1150=1,COUNTIF($C$1:$C1150,1),"")</f>
        <v/>
      </c>
      <c r="E1150" s="7" t="str">
        <f>IFERROR(INDEX($A$1:$A$5000,MATCH(ROWS($D$1:$D1150),$D$1:$D$5000,0)),"")</f>
        <v/>
      </c>
    </row>
    <row r="1151" spans="3:5">
      <c r="C1151" s="17">
        <f t="shared" si="17"/>
        <v>0</v>
      </c>
      <c r="D1151" s="17" t="str">
        <f>IF(C1151=1,COUNTIF($C$1:$C1151,1),"")</f>
        <v/>
      </c>
      <c r="E1151" s="7" t="str">
        <f>IFERROR(INDEX($A$1:$A$5000,MATCH(ROWS($D$1:$D1151),$D$1:$D$5000,0)),"")</f>
        <v/>
      </c>
    </row>
    <row r="1152" spans="3:5">
      <c r="C1152" s="17">
        <f t="shared" si="17"/>
        <v>0</v>
      </c>
      <c r="D1152" s="17" t="str">
        <f>IF(C1152=1,COUNTIF($C$1:$C1152,1),"")</f>
        <v/>
      </c>
      <c r="E1152" s="7" t="str">
        <f>IFERROR(INDEX($A$1:$A$5000,MATCH(ROWS($D$1:$D1152),$D$1:$D$5000,0)),"")</f>
        <v/>
      </c>
    </row>
    <row r="1153" spans="3:5">
      <c r="C1153" s="17">
        <f t="shared" si="17"/>
        <v>0</v>
      </c>
      <c r="D1153" s="17" t="str">
        <f>IF(C1153=1,COUNTIF($C$1:$C1153,1),"")</f>
        <v/>
      </c>
      <c r="E1153" s="7" t="str">
        <f>IFERROR(INDEX($A$1:$A$5000,MATCH(ROWS($D$1:$D1153),$D$1:$D$5000,0)),"")</f>
        <v/>
      </c>
    </row>
    <row r="1154" spans="3:5">
      <c r="C1154" s="17">
        <f t="shared" ref="C1154:C1217" si="18">--ISNUMBER(SEARCH($B$1,A1154))</f>
        <v>0</v>
      </c>
      <c r="D1154" s="17" t="str">
        <f>IF(C1154=1,COUNTIF($C$1:$C1154,1),"")</f>
        <v/>
      </c>
      <c r="E1154" s="7" t="str">
        <f>IFERROR(INDEX($A$1:$A$5000,MATCH(ROWS($D$1:$D1154),$D$1:$D$5000,0)),"")</f>
        <v/>
      </c>
    </row>
    <row r="1155" spans="3:5">
      <c r="C1155" s="17">
        <f t="shared" si="18"/>
        <v>0</v>
      </c>
      <c r="D1155" s="17" t="str">
        <f>IF(C1155=1,COUNTIF($C$1:$C1155,1),"")</f>
        <v/>
      </c>
      <c r="E1155" s="7" t="str">
        <f>IFERROR(INDEX($A$1:$A$5000,MATCH(ROWS($D$1:$D1155),$D$1:$D$5000,0)),"")</f>
        <v/>
      </c>
    </row>
    <row r="1156" spans="3:5">
      <c r="C1156" s="17">
        <f t="shared" si="18"/>
        <v>0</v>
      </c>
      <c r="D1156" s="17" t="str">
        <f>IF(C1156=1,COUNTIF($C$1:$C1156,1),"")</f>
        <v/>
      </c>
      <c r="E1156" s="7" t="str">
        <f>IFERROR(INDEX($A$1:$A$5000,MATCH(ROWS($D$1:$D1156),$D$1:$D$5000,0)),"")</f>
        <v/>
      </c>
    </row>
    <row r="1157" spans="3:5">
      <c r="C1157" s="17">
        <f t="shared" si="18"/>
        <v>0</v>
      </c>
      <c r="D1157" s="17" t="str">
        <f>IF(C1157=1,COUNTIF($C$1:$C1157,1),"")</f>
        <v/>
      </c>
      <c r="E1157" s="7" t="str">
        <f>IFERROR(INDEX($A$1:$A$5000,MATCH(ROWS($D$1:$D1157),$D$1:$D$5000,0)),"")</f>
        <v/>
      </c>
    </row>
    <row r="1158" spans="3:5">
      <c r="C1158" s="17">
        <f t="shared" si="18"/>
        <v>0</v>
      </c>
      <c r="D1158" s="17" t="str">
        <f>IF(C1158=1,COUNTIF($C$1:$C1158,1),"")</f>
        <v/>
      </c>
      <c r="E1158" s="7" t="str">
        <f>IFERROR(INDEX($A$1:$A$5000,MATCH(ROWS($D$1:$D1158),$D$1:$D$5000,0)),"")</f>
        <v/>
      </c>
    </row>
    <row r="1159" spans="3:5">
      <c r="C1159" s="17">
        <f t="shared" si="18"/>
        <v>0</v>
      </c>
      <c r="D1159" s="17" t="str">
        <f>IF(C1159=1,COUNTIF($C$1:$C1159,1),"")</f>
        <v/>
      </c>
      <c r="E1159" s="7" t="str">
        <f>IFERROR(INDEX($A$1:$A$5000,MATCH(ROWS($D$1:$D1159),$D$1:$D$5000,0)),"")</f>
        <v/>
      </c>
    </row>
    <row r="1160" spans="3:5">
      <c r="C1160" s="17">
        <f t="shared" si="18"/>
        <v>0</v>
      </c>
      <c r="D1160" s="17" t="str">
        <f>IF(C1160=1,COUNTIF($C$1:$C1160,1),"")</f>
        <v/>
      </c>
      <c r="E1160" s="7" t="str">
        <f>IFERROR(INDEX($A$1:$A$5000,MATCH(ROWS($D$1:$D1160),$D$1:$D$5000,0)),"")</f>
        <v/>
      </c>
    </row>
    <row r="1161" spans="3:5">
      <c r="C1161" s="17">
        <f t="shared" si="18"/>
        <v>0</v>
      </c>
      <c r="D1161" s="17" t="str">
        <f>IF(C1161=1,COUNTIF($C$1:$C1161,1),"")</f>
        <v/>
      </c>
      <c r="E1161" s="7" t="str">
        <f>IFERROR(INDEX($A$1:$A$5000,MATCH(ROWS($D$1:$D1161),$D$1:$D$5000,0)),"")</f>
        <v/>
      </c>
    </row>
    <row r="1162" spans="3:5">
      <c r="C1162" s="17">
        <f t="shared" si="18"/>
        <v>0</v>
      </c>
      <c r="D1162" s="17" t="str">
        <f>IF(C1162=1,COUNTIF($C$1:$C1162,1),"")</f>
        <v/>
      </c>
      <c r="E1162" s="7" t="str">
        <f>IFERROR(INDEX($A$1:$A$5000,MATCH(ROWS($D$1:$D1162),$D$1:$D$5000,0)),"")</f>
        <v/>
      </c>
    </row>
    <row r="1163" spans="3:5">
      <c r="C1163" s="17">
        <f t="shared" si="18"/>
        <v>0</v>
      </c>
      <c r="D1163" s="17" t="str">
        <f>IF(C1163=1,COUNTIF($C$1:$C1163,1),"")</f>
        <v/>
      </c>
      <c r="E1163" s="7" t="str">
        <f>IFERROR(INDEX($A$1:$A$5000,MATCH(ROWS($D$1:$D1163),$D$1:$D$5000,0)),"")</f>
        <v/>
      </c>
    </row>
    <row r="1164" spans="3:5">
      <c r="C1164" s="17">
        <f t="shared" si="18"/>
        <v>0</v>
      </c>
      <c r="D1164" s="17" t="str">
        <f>IF(C1164=1,COUNTIF($C$1:$C1164,1),"")</f>
        <v/>
      </c>
      <c r="E1164" s="7" t="str">
        <f>IFERROR(INDEX($A$1:$A$5000,MATCH(ROWS($D$1:$D1164),$D$1:$D$5000,0)),"")</f>
        <v/>
      </c>
    </row>
    <row r="1165" spans="3:5">
      <c r="C1165" s="17">
        <f t="shared" si="18"/>
        <v>0</v>
      </c>
      <c r="D1165" s="17" t="str">
        <f>IF(C1165=1,COUNTIF($C$1:$C1165,1),"")</f>
        <v/>
      </c>
      <c r="E1165" s="7" t="str">
        <f>IFERROR(INDEX($A$1:$A$5000,MATCH(ROWS($D$1:$D1165),$D$1:$D$5000,0)),"")</f>
        <v/>
      </c>
    </row>
    <row r="1166" spans="3:5">
      <c r="C1166" s="17">
        <f t="shared" si="18"/>
        <v>0</v>
      </c>
      <c r="D1166" s="17" t="str">
        <f>IF(C1166=1,COUNTIF($C$1:$C1166,1),"")</f>
        <v/>
      </c>
      <c r="E1166" s="7" t="str">
        <f>IFERROR(INDEX($A$1:$A$5000,MATCH(ROWS($D$1:$D1166),$D$1:$D$5000,0)),"")</f>
        <v/>
      </c>
    </row>
    <row r="1167" spans="3:5">
      <c r="C1167" s="17">
        <f t="shared" si="18"/>
        <v>0</v>
      </c>
      <c r="D1167" s="17" t="str">
        <f>IF(C1167=1,COUNTIF($C$1:$C1167,1),"")</f>
        <v/>
      </c>
      <c r="E1167" s="7" t="str">
        <f>IFERROR(INDEX($A$1:$A$5000,MATCH(ROWS($D$1:$D1167),$D$1:$D$5000,0)),"")</f>
        <v/>
      </c>
    </row>
    <row r="1168" spans="3:5">
      <c r="C1168" s="17">
        <f t="shared" si="18"/>
        <v>0</v>
      </c>
      <c r="D1168" s="17" t="str">
        <f>IF(C1168=1,COUNTIF($C$1:$C1168,1),"")</f>
        <v/>
      </c>
      <c r="E1168" s="7" t="str">
        <f>IFERROR(INDEX($A$1:$A$5000,MATCH(ROWS($D$1:$D1168),$D$1:$D$5000,0)),"")</f>
        <v/>
      </c>
    </row>
    <row r="1169" spans="3:5">
      <c r="C1169" s="17">
        <f t="shared" si="18"/>
        <v>0</v>
      </c>
      <c r="D1169" s="17" t="str">
        <f>IF(C1169=1,COUNTIF($C$1:$C1169,1),"")</f>
        <v/>
      </c>
      <c r="E1169" s="7" t="str">
        <f>IFERROR(INDEX($A$1:$A$5000,MATCH(ROWS($D$1:$D1169),$D$1:$D$5000,0)),"")</f>
        <v/>
      </c>
    </row>
    <row r="1170" spans="3:5">
      <c r="C1170" s="17">
        <f t="shared" si="18"/>
        <v>0</v>
      </c>
      <c r="D1170" s="17" t="str">
        <f>IF(C1170=1,COUNTIF($C$1:$C1170,1),"")</f>
        <v/>
      </c>
      <c r="E1170" s="7" t="str">
        <f>IFERROR(INDEX($A$1:$A$5000,MATCH(ROWS($D$1:$D1170),$D$1:$D$5000,0)),"")</f>
        <v/>
      </c>
    </row>
    <row r="1171" spans="3:5">
      <c r="C1171" s="17">
        <f t="shared" si="18"/>
        <v>0</v>
      </c>
      <c r="D1171" s="17" t="str">
        <f>IF(C1171=1,COUNTIF($C$1:$C1171,1),"")</f>
        <v/>
      </c>
      <c r="E1171" s="7" t="str">
        <f>IFERROR(INDEX($A$1:$A$5000,MATCH(ROWS($D$1:$D1171),$D$1:$D$5000,0)),"")</f>
        <v/>
      </c>
    </row>
    <row r="1172" spans="3:5">
      <c r="C1172" s="17">
        <f t="shared" si="18"/>
        <v>0</v>
      </c>
      <c r="D1172" s="17" t="str">
        <f>IF(C1172=1,COUNTIF($C$1:$C1172,1),"")</f>
        <v/>
      </c>
      <c r="E1172" s="7" t="str">
        <f>IFERROR(INDEX($A$1:$A$5000,MATCH(ROWS($D$1:$D1172),$D$1:$D$5000,0)),"")</f>
        <v/>
      </c>
    </row>
    <row r="1173" spans="3:5">
      <c r="C1173" s="17">
        <f t="shared" si="18"/>
        <v>0</v>
      </c>
      <c r="D1173" s="17" t="str">
        <f>IF(C1173=1,COUNTIF($C$1:$C1173,1),"")</f>
        <v/>
      </c>
      <c r="E1173" s="7" t="str">
        <f>IFERROR(INDEX($A$1:$A$5000,MATCH(ROWS($D$1:$D1173),$D$1:$D$5000,0)),"")</f>
        <v/>
      </c>
    </row>
    <row r="1174" spans="3:5">
      <c r="C1174" s="17">
        <f t="shared" si="18"/>
        <v>0</v>
      </c>
      <c r="D1174" s="17" t="str">
        <f>IF(C1174=1,COUNTIF($C$1:$C1174,1),"")</f>
        <v/>
      </c>
      <c r="E1174" s="7" t="str">
        <f>IFERROR(INDEX($A$1:$A$5000,MATCH(ROWS($D$1:$D1174),$D$1:$D$5000,0)),"")</f>
        <v/>
      </c>
    </row>
    <row r="1175" spans="3:5">
      <c r="C1175" s="17">
        <f t="shared" si="18"/>
        <v>0</v>
      </c>
      <c r="D1175" s="17" t="str">
        <f>IF(C1175=1,COUNTIF($C$1:$C1175,1),"")</f>
        <v/>
      </c>
      <c r="E1175" s="7" t="str">
        <f>IFERROR(INDEX($A$1:$A$5000,MATCH(ROWS($D$1:$D1175),$D$1:$D$5000,0)),"")</f>
        <v/>
      </c>
    </row>
    <row r="1176" spans="3:5">
      <c r="C1176" s="17">
        <f t="shared" si="18"/>
        <v>0</v>
      </c>
      <c r="D1176" s="17" t="str">
        <f>IF(C1176=1,COUNTIF($C$1:$C1176,1),"")</f>
        <v/>
      </c>
      <c r="E1176" s="7" t="str">
        <f>IFERROR(INDEX($A$1:$A$5000,MATCH(ROWS($D$1:$D1176),$D$1:$D$5000,0)),"")</f>
        <v/>
      </c>
    </row>
    <row r="1177" spans="3:5">
      <c r="C1177" s="17">
        <f t="shared" si="18"/>
        <v>0</v>
      </c>
      <c r="D1177" s="17" t="str">
        <f>IF(C1177=1,COUNTIF($C$1:$C1177,1),"")</f>
        <v/>
      </c>
      <c r="E1177" s="7" t="str">
        <f>IFERROR(INDEX($A$1:$A$5000,MATCH(ROWS($D$1:$D1177),$D$1:$D$5000,0)),"")</f>
        <v/>
      </c>
    </row>
    <row r="1178" spans="3:5">
      <c r="C1178" s="17">
        <f t="shared" si="18"/>
        <v>0</v>
      </c>
      <c r="D1178" s="17" t="str">
        <f>IF(C1178=1,COUNTIF($C$1:$C1178,1),"")</f>
        <v/>
      </c>
      <c r="E1178" s="7" t="str">
        <f>IFERROR(INDEX($A$1:$A$5000,MATCH(ROWS($D$1:$D1178),$D$1:$D$5000,0)),"")</f>
        <v/>
      </c>
    </row>
    <row r="1179" spans="3:5">
      <c r="C1179" s="17">
        <f t="shared" si="18"/>
        <v>0</v>
      </c>
      <c r="D1179" s="17" t="str">
        <f>IF(C1179=1,COUNTIF($C$1:$C1179,1),"")</f>
        <v/>
      </c>
      <c r="E1179" s="7" t="str">
        <f>IFERROR(INDEX($A$1:$A$5000,MATCH(ROWS($D$1:$D1179),$D$1:$D$5000,0)),"")</f>
        <v/>
      </c>
    </row>
    <row r="1180" spans="3:5">
      <c r="C1180" s="17">
        <f t="shared" si="18"/>
        <v>0</v>
      </c>
      <c r="D1180" s="17" t="str">
        <f>IF(C1180=1,COUNTIF($C$1:$C1180,1),"")</f>
        <v/>
      </c>
      <c r="E1180" s="7" t="str">
        <f>IFERROR(INDEX($A$1:$A$5000,MATCH(ROWS($D$1:$D1180),$D$1:$D$5000,0)),"")</f>
        <v/>
      </c>
    </row>
    <row r="1181" spans="3:5">
      <c r="C1181" s="17">
        <f t="shared" si="18"/>
        <v>0</v>
      </c>
      <c r="D1181" s="17" t="str">
        <f>IF(C1181=1,COUNTIF($C$1:$C1181,1),"")</f>
        <v/>
      </c>
      <c r="E1181" s="7" t="str">
        <f>IFERROR(INDEX($A$1:$A$5000,MATCH(ROWS($D$1:$D1181),$D$1:$D$5000,0)),"")</f>
        <v/>
      </c>
    </row>
    <row r="1182" spans="3:5">
      <c r="C1182" s="17">
        <f t="shared" si="18"/>
        <v>0</v>
      </c>
      <c r="D1182" s="17" t="str">
        <f>IF(C1182=1,COUNTIF($C$1:$C1182,1),"")</f>
        <v/>
      </c>
      <c r="E1182" s="7" t="str">
        <f>IFERROR(INDEX($A$1:$A$5000,MATCH(ROWS($D$1:$D1182),$D$1:$D$5000,0)),"")</f>
        <v/>
      </c>
    </row>
    <row r="1183" spans="3:5">
      <c r="C1183" s="17">
        <f t="shared" si="18"/>
        <v>0</v>
      </c>
      <c r="D1183" s="17" t="str">
        <f>IF(C1183=1,COUNTIF($C$1:$C1183,1),"")</f>
        <v/>
      </c>
      <c r="E1183" s="7" t="str">
        <f>IFERROR(INDEX($A$1:$A$5000,MATCH(ROWS($D$1:$D1183),$D$1:$D$5000,0)),"")</f>
        <v/>
      </c>
    </row>
    <row r="1184" spans="3:5">
      <c r="C1184" s="17">
        <f t="shared" si="18"/>
        <v>0</v>
      </c>
      <c r="D1184" s="17" t="str">
        <f>IF(C1184=1,COUNTIF($C$1:$C1184,1),"")</f>
        <v/>
      </c>
      <c r="E1184" s="7" t="str">
        <f>IFERROR(INDEX($A$1:$A$5000,MATCH(ROWS($D$1:$D1184),$D$1:$D$5000,0)),"")</f>
        <v/>
      </c>
    </row>
    <row r="1185" spans="3:5">
      <c r="C1185" s="17">
        <f t="shared" si="18"/>
        <v>0</v>
      </c>
      <c r="D1185" s="17" t="str">
        <f>IF(C1185=1,COUNTIF($C$1:$C1185,1),"")</f>
        <v/>
      </c>
      <c r="E1185" s="7" t="str">
        <f>IFERROR(INDEX($A$1:$A$5000,MATCH(ROWS($D$1:$D1185),$D$1:$D$5000,0)),"")</f>
        <v/>
      </c>
    </row>
    <row r="1186" spans="3:5">
      <c r="C1186" s="17">
        <f t="shared" si="18"/>
        <v>0</v>
      </c>
      <c r="D1186" s="17" t="str">
        <f>IF(C1186=1,COUNTIF($C$1:$C1186,1),"")</f>
        <v/>
      </c>
      <c r="E1186" s="7" t="str">
        <f>IFERROR(INDEX($A$1:$A$5000,MATCH(ROWS($D$1:$D1186),$D$1:$D$5000,0)),"")</f>
        <v/>
      </c>
    </row>
    <row r="1187" spans="3:5">
      <c r="C1187" s="17">
        <f t="shared" si="18"/>
        <v>0</v>
      </c>
      <c r="D1187" s="17" t="str">
        <f>IF(C1187=1,COUNTIF($C$1:$C1187,1),"")</f>
        <v/>
      </c>
      <c r="E1187" s="7" t="str">
        <f>IFERROR(INDEX($A$1:$A$5000,MATCH(ROWS($D$1:$D1187),$D$1:$D$5000,0)),"")</f>
        <v/>
      </c>
    </row>
    <row r="1188" spans="3:5">
      <c r="C1188" s="17">
        <f t="shared" si="18"/>
        <v>0</v>
      </c>
      <c r="D1188" s="17" t="str">
        <f>IF(C1188=1,COUNTIF($C$1:$C1188,1),"")</f>
        <v/>
      </c>
      <c r="E1188" s="7" t="str">
        <f>IFERROR(INDEX($A$1:$A$5000,MATCH(ROWS($D$1:$D1188),$D$1:$D$5000,0)),"")</f>
        <v/>
      </c>
    </row>
    <row r="1189" spans="3:5">
      <c r="C1189" s="17">
        <f t="shared" si="18"/>
        <v>0</v>
      </c>
      <c r="D1189" s="17" t="str">
        <f>IF(C1189=1,COUNTIF($C$1:$C1189,1),"")</f>
        <v/>
      </c>
      <c r="E1189" s="7" t="str">
        <f>IFERROR(INDEX($A$1:$A$5000,MATCH(ROWS($D$1:$D1189),$D$1:$D$5000,0)),"")</f>
        <v/>
      </c>
    </row>
    <row r="1190" spans="3:5">
      <c r="C1190" s="17">
        <f t="shared" si="18"/>
        <v>0</v>
      </c>
      <c r="D1190" s="17" t="str">
        <f>IF(C1190=1,COUNTIF($C$1:$C1190,1),"")</f>
        <v/>
      </c>
      <c r="E1190" s="7" t="str">
        <f>IFERROR(INDEX($A$1:$A$5000,MATCH(ROWS($D$1:$D1190),$D$1:$D$5000,0)),"")</f>
        <v/>
      </c>
    </row>
    <row r="1191" spans="3:5">
      <c r="C1191" s="17">
        <f t="shared" si="18"/>
        <v>0</v>
      </c>
      <c r="D1191" s="17" t="str">
        <f>IF(C1191=1,COUNTIF($C$1:$C1191,1),"")</f>
        <v/>
      </c>
      <c r="E1191" s="7" t="str">
        <f>IFERROR(INDEX($A$1:$A$5000,MATCH(ROWS($D$1:$D1191),$D$1:$D$5000,0)),"")</f>
        <v/>
      </c>
    </row>
    <row r="1192" spans="3:5">
      <c r="C1192" s="17">
        <f t="shared" si="18"/>
        <v>0</v>
      </c>
      <c r="D1192" s="17" t="str">
        <f>IF(C1192=1,COUNTIF($C$1:$C1192,1),"")</f>
        <v/>
      </c>
      <c r="E1192" s="7" t="str">
        <f>IFERROR(INDEX($A$1:$A$5000,MATCH(ROWS($D$1:$D1192),$D$1:$D$5000,0)),"")</f>
        <v/>
      </c>
    </row>
    <row r="1193" spans="3:5">
      <c r="C1193" s="17">
        <f t="shared" si="18"/>
        <v>0</v>
      </c>
      <c r="D1193" s="17" t="str">
        <f>IF(C1193=1,COUNTIF($C$1:$C1193,1),"")</f>
        <v/>
      </c>
      <c r="E1193" s="7" t="str">
        <f>IFERROR(INDEX($A$1:$A$5000,MATCH(ROWS($D$1:$D1193),$D$1:$D$5000,0)),"")</f>
        <v/>
      </c>
    </row>
    <row r="1194" spans="3:5">
      <c r="C1194" s="17">
        <f t="shared" si="18"/>
        <v>0</v>
      </c>
      <c r="D1194" s="17" t="str">
        <f>IF(C1194=1,COUNTIF($C$1:$C1194,1),"")</f>
        <v/>
      </c>
      <c r="E1194" s="7" t="str">
        <f>IFERROR(INDEX($A$1:$A$5000,MATCH(ROWS($D$1:$D1194),$D$1:$D$5000,0)),"")</f>
        <v/>
      </c>
    </row>
    <row r="1195" spans="3:5">
      <c r="C1195" s="17">
        <f t="shared" si="18"/>
        <v>0</v>
      </c>
      <c r="D1195" s="17" t="str">
        <f>IF(C1195=1,COUNTIF($C$1:$C1195,1),"")</f>
        <v/>
      </c>
      <c r="E1195" s="7" t="str">
        <f>IFERROR(INDEX($A$1:$A$5000,MATCH(ROWS($D$1:$D1195),$D$1:$D$5000,0)),"")</f>
        <v/>
      </c>
    </row>
    <row r="1196" spans="3:5">
      <c r="C1196" s="17">
        <f t="shared" si="18"/>
        <v>0</v>
      </c>
      <c r="D1196" s="17" t="str">
        <f>IF(C1196=1,COUNTIF($C$1:$C1196,1),"")</f>
        <v/>
      </c>
      <c r="E1196" s="7" t="str">
        <f>IFERROR(INDEX($A$1:$A$5000,MATCH(ROWS($D$1:$D1196),$D$1:$D$5000,0)),"")</f>
        <v/>
      </c>
    </row>
    <row r="1197" spans="3:5">
      <c r="C1197" s="17">
        <f t="shared" si="18"/>
        <v>0</v>
      </c>
      <c r="D1197" s="17" t="str">
        <f>IF(C1197=1,COUNTIF($C$1:$C1197,1),"")</f>
        <v/>
      </c>
      <c r="E1197" s="7" t="str">
        <f>IFERROR(INDEX($A$1:$A$5000,MATCH(ROWS($D$1:$D1197),$D$1:$D$5000,0)),"")</f>
        <v/>
      </c>
    </row>
    <row r="1198" spans="3:5">
      <c r="C1198" s="17">
        <f t="shared" si="18"/>
        <v>0</v>
      </c>
      <c r="D1198" s="17" t="str">
        <f>IF(C1198=1,COUNTIF($C$1:$C1198,1),"")</f>
        <v/>
      </c>
      <c r="E1198" s="7" t="str">
        <f>IFERROR(INDEX($A$1:$A$5000,MATCH(ROWS($D$1:$D1198),$D$1:$D$5000,0)),"")</f>
        <v/>
      </c>
    </row>
    <row r="1199" spans="3:5">
      <c r="C1199" s="17">
        <f t="shared" si="18"/>
        <v>0</v>
      </c>
      <c r="D1199" s="17" t="str">
        <f>IF(C1199=1,COUNTIF($C$1:$C1199,1),"")</f>
        <v/>
      </c>
      <c r="E1199" s="7" t="str">
        <f>IFERROR(INDEX($A$1:$A$5000,MATCH(ROWS($D$1:$D1199),$D$1:$D$5000,0)),"")</f>
        <v/>
      </c>
    </row>
    <row r="1200" spans="3:5">
      <c r="C1200" s="17">
        <f t="shared" si="18"/>
        <v>0</v>
      </c>
      <c r="D1200" s="17" t="str">
        <f>IF(C1200=1,COUNTIF($C$1:$C1200,1),"")</f>
        <v/>
      </c>
      <c r="E1200" s="7" t="str">
        <f>IFERROR(INDEX($A$1:$A$5000,MATCH(ROWS($D$1:$D1200),$D$1:$D$5000,0)),"")</f>
        <v/>
      </c>
    </row>
    <row r="1201" spans="3:5">
      <c r="C1201" s="17">
        <f t="shared" si="18"/>
        <v>0</v>
      </c>
      <c r="D1201" s="17" t="str">
        <f>IF(C1201=1,COUNTIF($C$1:$C1201,1),"")</f>
        <v/>
      </c>
      <c r="E1201" s="7" t="str">
        <f>IFERROR(INDEX($A$1:$A$5000,MATCH(ROWS($D$1:$D1201),$D$1:$D$5000,0)),"")</f>
        <v/>
      </c>
    </row>
    <row r="1202" spans="3:5">
      <c r="C1202" s="17">
        <f t="shared" si="18"/>
        <v>0</v>
      </c>
      <c r="D1202" s="17" t="str">
        <f>IF(C1202=1,COUNTIF($C$1:$C1202,1),"")</f>
        <v/>
      </c>
      <c r="E1202" s="7" t="str">
        <f>IFERROR(INDEX($A$1:$A$5000,MATCH(ROWS($D$1:$D1202),$D$1:$D$5000,0)),"")</f>
        <v/>
      </c>
    </row>
    <row r="1203" spans="3:5">
      <c r="C1203" s="17">
        <f t="shared" si="18"/>
        <v>0</v>
      </c>
      <c r="D1203" s="17" t="str">
        <f>IF(C1203=1,COUNTIF($C$1:$C1203,1),"")</f>
        <v/>
      </c>
      <c r="E1203" s="7" t="str">
        <f>IFERROR(INDEX($A$1:$A$5000,MATCH(ROWS($D$1:$D1203),$D$1:$D$5000,0)),"")</f>
        <v/>
      </c>
    </row>
    <row r="1204" spans="3:5">
      <c r="C1204" s="17">
        <f t="shared" si="18"/>
        <v>0</v>
      </c>
      <c r="D1204" s="17" t="str">
        <f>IF(C1204=1,COUNTIF($C$1:$C1204,1),"")</f>
        <v/>
      </c>
      <c r="E1204" s="7" t="str">
        <f>IFERROR(INDEX($A$1:$A$5000,MATCH(ROWS($D$1:$D1204),$D$1:$D$5000,0)),"")</f>
        <v/>
      </c>
    </row>
    <row r="1205" spans="3:5">
      <c r="C1205" s="17">
        <f t="shared" si="18"/>
        <v>0</v>
      </c>
      <c r="D1205" s="17" t="str">
        <f>IF(C1205=1,COUNTIF($C$1:$C1205,1),"")</f>
        <v/>
      </c>
      <c r="E1205" s="7" t="str">
        <f>IFERROR(INDEX($A$1:$A$5000,MATCH(ROWS($D$1:$D1205),$D$1:$D$5000,0)),"")</f>
        <v/>
      </c>
    </row>
    <row r="1206" spans="3:5">
      <c r="C1206" s="17">
        <f t="shared" si="18"/>
        <v>0</v>
      </c>
      <c r="D1206" s="17" t="str">
        <f>IF(C1206=1,COUNTIF($C$1:$C1206,1),"")</f>
        <v/>
      </c>
      <c r="E1206" s="7" t="str">
        <f>IFERROR(INDEX($A$1:$A$5000,MATCH(ROWS($D$1:$D1206),$D$1:$D$5000,0)),"")</f>
        <v/>
      </c>
    </row>
    <row r="1207" spans="3:5">
      <c r="C1207" s="17">
        <f t="shared" si="18"/>
        <v>0</v>
      </c>
      <c r="D1207" s="17" t="str">
        <f>IF(C1207=1,COUNTIF($C$1:$C1207,1),"")</f>
        <v/>
      </c>
      <c r="E1207" s="7" t="str">
        <f>IFERROR(INDEX($A$1:$A$5000,MATCH(ROWS($D$1:$D1207),$D$1:$D$5000,0)),"")</f>
        <v/>
      </c>
    </row>
    <row r="1208" spans="3:5">
      <c r="C1208" s="17">
        <f t="shared" si="18"/>
        <v>0</v>
      </c>
      <c r="D1208" s="17" t="str">
        <f>IF(C1208=1,COUNTIF($C$1:$C1208,1),"")</f>
        <v/>
      </c>
      <c r="E1208" s="7" t="str">
        <f>IFERROR(INDEX($A$1:$A$5000,MATCH(ROWS($D$1:$D1208),$D$1:$D$5000,0)),"")</f>
        <v/>
      </c>
    </row>
    <row r="1209" spans="3:5">
      <c r="C1209" s="17">
        <f t="shared" si="18"/>
        <v>0</v>
      </c>
      <c r="D1209" s="17" t="str">
        <f>IF(C1209=1,COUNTIF($C$1:$C1209,1),"")</f>
        <v/>
      </c>
      <c r="E1209" s="7" t="str">
        <f>IFERROR(INDEX($A$1:$A$5000,MATCH(ROWS($D$1:$D1209),$D$1:$D$5000,0)),"")</f>
        <v/>
      </c>
    </row>
    <row r="1210" spans="3:5">
      <c r="C1210" s="17">
        <f t="shared" si="18"/>
        <v>0</v>
      </c>
      <c r="D1210" s="17" t="str">
        <f>IF(C1210=1,COUNTIF($C$1:$C1210,1),"")</f>
        <v/>
      </c>
      <c r="E1210" s="7" t="str">
        <f>IFERROR(INDEX($A$1:$A$5000,MATCH(ROWS($D$1:$D1210),$D$1:$D$5000,0)),"")</f>
        <v/>
      </c>
    </row>
    <row r="1211" spans="3:5">
      <c r="C1211" s="17">
        <f t="shared" si="18"/>
        <v>0</v>
      </c>
      <c r="D1211" s="17" t="str">
        <f>IF(C1211=1,COUNTIF($C$1:$C1211,1),"")</f>
        <v/>
      </c>
      <c r="E1211" s="7" t="str">
        <f>IFERROR(INDEX($A$1:$A$5000,MATCH(ROWS($D$1:$D1211),$D$1:$D$5000,0)),"")</f>
        <v/>
      </c>
    </row>
    <row r="1212" spans="3:5">
      <c r="C1212" s="17">
        <f t="shared" si="18"/>
        <v>0</v>
      </c>
      <c r="D1212" s="17" t="str">
        <f>IF(C1212=1,COUNTIF($C$1:$C1212,1),"")</f>
        <v/>
      </c>
      <c r="E1212" s="7" t="str">
        <f>IFERROR(INDEX($A$1:$A$5000,MATCH(ROWS($D$1:$D1212),$D$1:$D$5000,0)),"")</f>
        <v/>
      </c>
    </row>
    <row r="1213" spans="3:5">
      <c r="C1213" s="17">
        <f t="shared" si="18"/>
        <v>0</v>
      </c>
      <c r="D1213" s="17" t="str">
        <f>IF(C1213=1,COUNTIF($C$1:$C1213,1),"")</f>
        <v/>
      </c>
      <c r="E1213" s="7" t="str">
        <f>IFERROR(INDEX($A$1:$A$5000,MATCH(ROWS($D$1:$D1213),$D$1:$D$5000,0)),"")</f>
        <v/>
      </c>
    </row>
    <row r="1214" spans="3:5">
      <c r="C1214" s="17">
        <f t="shared" si="18"/>
        <v>0</v>
      </c>
      <c r="D1214" s="17" t="str">
        <f>IF(C1214=1,COUNTIF($C$1:$C1214,1),"")</f>
        <v/>
      </c>
      <c r="E1214" s="7" t="str">
        <f>IFERROR(INDEX($A$1:$A$5000,MATCH(ROWS($D$1:$D1214),$D$1:$D$5000,0)),"")</f>
        <v/>
      </c>
    </row>
    <row r="1215" spans="3:5">
      <c r="C1215" s="17">
        <f t="shared" si="18"/>
        <v>0</v>
      </c>
      <c r="D1215" s="17" t="str">
        <f>IF(C1215=1,COUNTIF($C$1:$C1215,1),"")</f>
        <v/>
      </c>
      <c r="E1215" s="7" t="str">
        <f>IFERROR(INDEX($A$1:$A$5000,MATCH(ROWS($D$1:$D1215),$D$1:$D$5000,0)),"")</f>
        <v/>
      </c>
    </row>
    <row r="1216" spans="3:5">
      <c r="C1216" s="17">
        <f t="shared" si="18"/>
        <v>0</v>
      </c>
      <c r="D1216" s="17" t="str">
        <f>IF(C1216=1,COUNTIF($C$1:$C1216,1),"")</f>
        <v/>
      </c>
      <c r="E1216" s="7" t="str">
        <f>IFERROR(INDEX($A$1:$A$5000,MATCH(ROWS($D$1:$D1216),$D$1:$D$5000,0)),"")</f>
        <v/>
      </c>
    </row>
    <row r="1217" spans="3:5">
      <c r="C1217" s="17">
        <f t="shared" si="18"/>
        <v>0</v>
      </c>
      <c r="D1217" s="17" t="str">
        <f>IF(C1217=1,COUNTIF($C$1:$C1217,1),"")</f>
        <v/>
      </c>
      <c r="E1217" s="7" t="str">
        <f>IFERROR(INDEX($A$1:$A$5000,MATCH(ROWS($D$1:$D1217),$D$1:$D$5000,0)),"")</f>
        <v/>
      </c>
    </row>
    <row r="1218" spans="3:5">
      <c r="C1218" s="17">
        <f t="shared" ref="C1218:C1281" si="19">--ISNUMBER(SEARCH($B$1,A1218))</f>
        <v>0</v>
      </c>
      <c r="D1218" s="17" t="str">
        <f>IF(C1218=1,COUNTIF($C$1:$C1218,1),"")</f>
        <v/>
      </c>
      <c r="E1218" s="7" t="str">
        <f>IFERROR(INDEX($A$1:$A$5000,MATCH(ROWS($D$1:$D1218),$D$1:$D$5000,0)),"")</f>
        <v/>
      </c>
    </row>
    <row r="1219" spans="3:5">
      <c r="C1219" s="17">
        <f t="shared" si="19"/>
        <v>0</v>
      </c>
      <c r="D1219" s="17" t="str">
        <f>IF(C1219=1,COUNTIF($C$1:$C1219,1),"")</f>
        <v/>
      </c>
      <c r="E1219" s="7" t="str">
        <f>IFERROR(INDEX($A$1:$A$5000,MATCH(ROWS($D$1:$D1219),$D$1:$D$5000,0)),"")</f>
        <v/>
      </c>
    </row>
    <row r="1220" spans="3:5">
      <c r="C1220" s="17">
        <f t="shared" si="19"/>
        <v>0</v>
      </c>
      <c r="D1220" s="17" t="str">
        <f>IF(C1220=1,COUNTIF($C$1:$C1220,1),"")</f>
        <v/>
      </c>
      <c r="E1220" s="7" t="str">
        <f>IFERROR(INDEX($A$1:$A$5000,MATCH(ROWS($D$1:$D1220),$D$1:$D$5000,0)),"")</f>
        <v/>
      </c>
    </row>
    <row r="1221" spans="3:5">
      <c r="C1221" s="17">
        <f t="shared" si="19"/>
        <v>0</v>
      </c>
      <c r="D1221" s="17" t="str">
        <f>IF(C1221=1,COUNTIF($C$1:$C1221,1),"")</f>
        <v/>
      </c>
      <c r="E1221" s="7" t="str">
        <f>IFERROR(INDEX($A$1:$A$5000,MATCH(ROWS($D$1:$D1221),$D$1:$D$5000,0)),"")</f>
        <v/>
      </c>
    </row>
    <row r="1222" spans="3:5">
      <c r="C1222" s="17">
        <f t="shared" si="19"/>
        <v>0</v>
      </c>
      <c r="D1222" s="17" t="str">
        <f>IF(C1222=1,COUNTIF($C$1:$C1222,1),"")</f>
        <v/>
      </c>
      <c r="E1222" s="7" t="str">
        <f>IFERROR(INDEX($A$1:$A$5000,MATCH(ROWS($D$1:$D1222),$D$1:$D$5000,0)),"")</f>
        <v/>
      </c>
    </row>
    <row r="1223" spans="3:5">
      <c r="C1223" s="17">
        <f t="shared" si="19"/>
        <v>0</v>
      </c>
      <c r="D1223" s="17" t="str">
        <f>IF(C1223=1,COUNTIF($C$1:$C1223,1),"")</f>
        <v/>
      </c>
      <c r="E1223" s="7" t="str">
        <f>IFERROR(INDEX($A$1:$A$5000,MATCH(ROWS($D$1:$D1223),$D$1:$D$5000,0)),"")</f>
        <v/>
      </c>
    </row>
    <row r="1224" spans="3:5">
      <c r="C1224" s="17">
        <f t="shared" si="19"/>
        <v>0</v>
      </c>
      <c r="D1224" s="17" t="str">
        <f>IF(C1224=1,COUNTIF($C$1:$C1224,1),"")</f>
        <v/>
      </c>
      <c r="E1224" s="7" t="str">
        <f>IFERROR(INDEX($A$1:$A$5000,MATCH(ROWS($D$1:$D1224),$D$1:$D$5000,0)),"")</f>
        <v/>
      </c>
    </row>
    <row r="1225" spans="3:5">
      <c r="C1225" s="17">
        <f t="shared" si="19"/>
        <v>0</v>
      </c>
      <c r="D1225" s="17" t="str">
        <f>IF(C1225=1,COUNTIF($C$1:$C1225,1),"")</f>
        <v/>
      </c>
      <c r="E1225" s="7" t="str">
        <f>IFERROR(INDEX($A$1:$A$5000,MATCH(ROWS($D$1:$D1225),$D$1:$D$5000,0)),"")</f>
        <v/>
      </c>
    </row>
    <row r="1226" spans="3:5">
      <c r="C1226" s="17">
        <f t="shared" si="19"/>
        <v>0</v>
      </c>
      <c r="D1226" s="17" t="str">
        <f>IF(C1226=1,COUNTIF($C$1:$C1226,1),"")</f>
        <v/>
      </c>
      <c r="E1226" s="7" t="str">
        <f>IFERROR(INDEX($A$1:$A$5000,MATCH(ROWS($D$1:$D1226),$D$1:$D$5000,0)),"")</f>
        <v/>
      </c>
    </row>
    <row r="1227" spans="3:5">
      <c r="C1227" s="17">
        <f t="shared" si="19"/>
        <v>0</v>
      </c>
      <c r="D1227" s="17" t="str">
        <f>IF(C1227=1,COUNTIF($C$1:$C1227,1),"")</f>
        <v/>
      </c>
      <c r="E1227" s="7" t="str">
        <f>IFERROR(INDEX($A$1:$A$5000,MATCH(ROWS($D$1:$D1227),$D$1:$D$5000,0)),"")</f>
        <v/>
      </c>
    </row>
    <row r="1228" spans="3:5">
      <c r="C1228" s="17">
        <f t="shared" si="19"/>
        <v>0</v>
      </c>
      <c r="D1228" s="17" t="str">
        <f>IF(C1228=1,COUNTIF($C$1:$C1228,1),"")</f>
        <v/>
      </c>
      <c r="E1228" s="7" t="str">
        <f>IFERROR(INDEX($A$1:$A$5000,MATCH(ROWS($D$1:$D1228),$D$1:$D$5000,0)),"")</f>
        <v/>
      </c>
    </row>
    <row r="1229" spans="3:5">
      <c r="C1229" s="17">
        <f t="shared" si="19"/>
        <v>0</v>
      </c>
      <c r="D1229" s="17" t="str">
        <f>IF(C1229=1,COUNTIF($C$1:$C1229,1),"")</f>
        <v/>
      </c>
      <c r="E1229" s="7" t="str">
        <f>IFERROR(INDEX($A$1:$A$5000,MATCH(ROWS($D$1:$D1229),$D$1:$D$5000,0)),"")</f>
        <v/>
      </c>
    </row>
    <row r="1230" spans="3:5">
      <c r="C1230" s="17">
        <f t="shared" si="19"/>
        <v>0</v>
      </c>
      <c r="D1230" s="17" t="str">
        <f>IF(C1230=1,COUNTIF($C$1:$C1230,1),"")</f>
        <v/>
      </c>
      <c r="E1230" s="7" t="str">
        <f>IFERROR(INDEX($A$1:$A$5000,MATCH(ROWS($D$1:$D1230),$D$1:$D$5000,0)),"")</f>
        <v/>
      </c>
    </row>
    <row r="1231" spans="3:5">
      <c r="C1231" s="17">
        <f t="shared" si="19"/>
        <v>0</v>
      </c>
      <c r="D1231" s="17" t="str">
        <f>IF(C1231=1,COUNTIF($C$1:$C1231,1),"")</f>
        <v/>
      </c>
      <c r="E1231" s="7" t="str">
        <f>IFERROR(INDEX($A$1:$A$5000,MATCH(ROWS($D$1:$D1231),$D$1:$D$5000,0)),"")</f>
        <v/>
      </c>
    </row>
    <row r="1232" spans="3:5">
      <c r="C1232" s="17">
        <f t="shared" si="19"/>
        <v>0</v>
      </c>
      <c r="D1232" s="17" t="str">
        <f>IF(C1232=1,COUNTIF($C$1:$C1232,1),"")</f>
        <v/>
      </c>
      <c r="E1232" s="7" t="str">
        <f>IFERROR(INDEX($A$1:$A$5000,MATCH(ROWS($D$1:$D1232),$D$1:$D$5000,0)),"")</f>
        <v/>
      </c>
    </row>
    <row r="1233" spans="3:5">
      <c r="C1233" s="17">
        <f t="shared" si="19"/>
        <v>0</v>
      </c>
      <c r="D1233" s="17" t="str">
        <f>IF(C1233=1,COUNTIF($C$1:$C1233,1),"")</f>
        <v/>
      </c>
      <c r="E1233" s="7" t="str">
        <f>IFERROR(INDEX($A$1:$A$5000,MATCH(ROWS($D$1:$D1233),$D$1:$D$5000,0)),"")</f>
        <v/>
      </c>
    </row>
    <row r="1234" spans="3:5">
      <c r="C1234" s="17">
        <f t="shared" si="19"/>
        <v>0</v>
      </c>
      <c r="D1234" s="17" t="str">
        <f>IF(C1234=1,COUNTIF($C$1:$C1234,1),"")</f>
        <v/>
      </c>
      <c r="E1234" s="7" t="str">
        <f>IFERROR(INDEX($A$1:$A$5000,MATCH(ROWS($D$1:$D1234),$D$1:$D$5000,0)),"")</f>
        <v/>
      </c>
    </row>
    <row r="1235" spans="3:5">
      <c r="C1235" s="17">
        <f t="shared" si="19"/>
        <v>0</v>
      </c>
      <c r="D1235" s="17" t="str">
        <f>IF(C1235=1,COUNTIF($C$1:$C1235,1),"")</f>
        <v/>
      </c>
      <c r="E1235" s="7" t="str">
        <f>IFERROR(INDEX($A$1:$A$5000,MATCH(ROWS($D$1:$D1235),$D$1:$D$5000,0)),"")</f>
        <v/>
      </c>
    </row>
    <row r="1236" spans="3:5">
      <c r="C1236" s="17">
        <f t="shared" si="19"/>
        <v>0</v>
      </c>
      <c r="D1236" s="17" t="str">
        <f>IF(C1236=1,COUNTIF($C$1:$C1236,1),"")</f>
        <v/>
      </c>
      <c r="E1236" s="7" t="str">
        <f>IFERROR(INDEX($A$1:$A$5000,MATCH(ROWS($D$1:$D1236),$D$1:$D$5000,0)),"")</f>
        <v/>
      </c>
    </row>
    <row r="1237" spans="3:5">
      <c r="C1237" s="17">
        <f t="shared" si="19"/>
        <v>0</v>
      </c>
      <c r="D1237" s="17" t="str">
        <f>IF(C1237=1,COUNTIF($C$1:$C1237,1),"")</f>
        <v/>
      </c>
      <c r="E1237" s="7" t="str">
        <f>IFERROR(INDEX($A$1:$A$5000,MATCH(ROWS($D$1:$D1237),$D$1:$D$5000,0)),"")</f>
        <v/>
      </c>
    </row>
    <row r="1238" spans="3:5">
      <c r="C1238" s="17">
        <f t="shared" si="19"/>
        <v>0</v>
      </c>
      <c r="D1238" s="17" t="str">
        <f>IF(C1238=1,COUNTIF($C$1:$C1238,1),"")</f>
        <v/>
      </c>
      <c r="E1238" s="7" t="str">
        <f>IFERROR(INDEX($A$1:$A$5000,MATCH(ROWS($D$1:$D1238),$D$1:$D$5000,0)),"")</f>
        <v/>
      </c>
    </row>
    <row r="1239" spans="3:5">
      <c r="C1239" s="17">
        <f t="shared" si="19"/>
        <v>0</v>
      </c>
      <c r="D1239" s="17" t="str">
        <f>IF(C1239=1,COUNTIF($C$1:$C1239,1),"")</f>
        <v/>
      </c>
      <c r="E1239" s="7" t="str">
        <f>IFERROR(INDEX($A$1:$A$5000,MATCH(ROWS($D$1:$D1239),$D$1:$D$5000,0)),"")</f>
        <v/>
      </c>
    </row>
    <row r="1240" spans="3:5">
      <c r="C1240" s="17">
        <f t="shared" si="19"/>
        <v>0</v>
      </c>
      <c r="D1240" s="17" t="str">
        <f>IF(C1240=1,COUNTIF($C$1:$C1240,1),"")</f>
        <v/>
      </c>
      <c r="E1240" s="7" t="str">
        <f>IFERROR(INDEX($A$1:$A$5000,MATCH(ROWS($D$1:$D1240),$D$1:$D$5000,0)),"")</f>
        <v/>
      </c>
    </row>
    <row r="1241" spans="3:5">
      <c r="C1241" s="17">
        <f t="shared" si="19"/>
        <v>0</v>
      </c>
      <c r="D1241" s="17" t="str">
        <f>IF(C1241=1,COUNTIF($C$1:$C1241,1),"")</f>
        <v/>
      </c>
      <c r="E1241" s="7" t="str">
        <f>IFERROR(INDEX($A$1:$A$5000,MATCH(ROWS($D$1:$D1241),$D$1:$D$5000,0)),"")</f>
        <v/>
      </c>
    </row>
    <row r="1242" spans="3:5">
      <c r="C1242" s="17">
        <f t="shared" si="19"/>
        <v>0</v>
      </c>
      <c r="D1242" s="17" t="str">
        <f>IF(C1242=1,COUNTIF($C$1:$C1242,1),"")</f>
        <v/>
      </c>
      <c r="E1242" s="7" t="str">
        <f>IFERROR(INDEX($A$1:$A$5000,MATCH(ROWS($D$1:$D1242),$D$1:$D$5000,0)),"")</f>
        <v/>
      </c>
    </row>
    <row r="1243" spans="3:5">
      <c r="C1243" s="17">
        <f t="shared" si="19"/>
        <v>0</v>
      </c>
      <c r="D1243" s="17" t="str">
        <f>IF(C1243=1,COUNTIF($C$1:$C1243,1),"")</f>
        <v/>
      </c>
      <c r="E1243" s="7" t="str">
        <f>IFERROR(INDEX($A$1:$A$5000,MATCH(ROWS($D$1:$D1243),$D$1:$D$5000,0)),"")</f>
        <v/>
      </c>
    </row>
    <row r="1244" spans="3:5">
      <c r="C1244" s="17">
        <f t="shared" si="19"/>
        <v>0</v>
      </c>
      <c r="D1244" s="17" t="str">
        <f>IF(C1244=1,COUNTIF($C$1:$C1244,1),"")</f>
        <v/>
      </c>
      <c r="E1244" s="7" t="str">
        <f>IFERROR(INDEX($A$1:$A$5000,MATCH(ROWS($D$1:$D1244),$D$1:$D$5000,0)),"")</f>
        <v/>
      </c>
    </row>
    <row r="1245" spans="3:5">
      <c r="C1245" s="17">
        <f t="shared" si="19"/>
        <v>0</v>
      </c>
      <c r="D1245" s="17" t="str">
        <f>IF(C1245=1,COUNTIF($C$1:$C1245,1),"")</f>
        <v/>
      </c>
      <c r="E1245" s="7" t="str">
        <f>IFERROR(INDEX($A$1:$A$5000,MATCH(ROWS($D$1:$D1245),$D$1:$D$5000,0)),"")</f>
        <v/>
      </c>
    </row>
    <row r="1246" spans="3:5">
      <c r="C1246" s="17">
        <f t="shared" si="19"/>
        <v>0</v>
      </c>
      <c r="D1246" s="17" t="str">
        <f>IF(C1246=1,COUNTIF($C$1:$C1246,1),"")</f>
        <v/>
      </c>
      <c r="E1246" s="7" t="str">
        <f>IFERROR(INDEX($A$1:$A$5000,MATCH(ROWS($D$1:$D1246),$D$1:$D$5000,0)),"")</f>
        <v/>
      </c>
    </row>
    <row r="1247" spans="3:5">
      <c r="C1247" s="17">
        <f t="shared" si="19"/>
        <v>0</v>
      </c>
      <c r="D1247" s="17" t="str">
        <f>IF(C1247=1,COUNTIF($C$1:$C1247,1),"")</f>
        <v/>
      </c>
      <c r="E1247" s="7" t="str">
        <f>IFERROR(INDEX($A$1:$A$5000,MATCH(ROWS($D$1:$D1247),$D$1:$D$5000,0)),"")</f>
        <v/>
      </c>
    </row>
    <row r="1248" spans="3:5">
      <c r="C1248" s="17">
        <f t="shared" si="19"/>
        <v>0</v>
      </c>
      <c r="D1248" s="17" t="str">
        <f>IF(C1248=1,COUNTIF($C$1:$C1248,1),"")</f>
        <v/>
      </c>
      <c r="E1248" s="7" t="str">
        <f>IFERROR(INDEX($A$1:$A$5000,MATCH(ROWS($D$1:$D1248),$D$1:$D$5000,0)),"")</f>
        <v/>
      </c>
    </row>
    <row r="1249" spans="3:5">
      <c r="C1249" s="17">
        <f t="shared" si="19"/>
        <v>0</v>
      </c>
      <c r="D1249" s="17" t="str">
        <f>IF(C1249=1,COUNTIF($C$1:$C1249,1),"")</f>
        <v/>
      </c>
      <c r="E1249" s="7" t="str">
        <f>IFERROR(INDEX($A$1:$A$5000,MATCH(ROWS($D$1:$D1249),$D$1:$D$5000,0)),"")</f>
        <v/>
      </c>
    </row>
    <row r="1250" spans="3:5">
      <c r="C1250" s="17">
        <f t="shared" si="19"/>
        <v>0</v>
      </c>
      <c r="D1250" s="17" t="str">
        <f>IF(C1250=1,COUNTIF($C$1:$C1250,1),"")</f>
        <v/>
      </c>
      <c r="E1250" s="7" t="str">
        <f>IFERROR(INDEX($A$1:$A$5000,MATCH(ROWS($D$1:$D1250),$D$1:$D$5000,0)),"")</f>
        <v/>
      </c>
    </row>
    <row r="1251" spans="3:5">
      <c r="C1251" s="17">
        <f t="shared" si="19"/>
        <v>0</v>
      </c>
      <c r="D1251" s="17" t="str">
        <f>IF(C1251=1,COUNTIF($C$1:$C1251,1),"")</f>
        <v/>
      </c>
      <c r="E1251" s="7" t="str">
        <f>IFERROR(INDEX($A$1:$A$5000,MATCH(ROWS($D$1:$D1251),$D$1:$D$5000,0)),"")</f>
        <v/>
      </c>
    </row>
    <row r="1252" spans="3:5">
      <c r="C1252" s="17">
        <f t="shared" si="19"/>
        <v>0</v>
      </c>
      <c r="D1252" s="17" t="str">
        <f>IF(C1252=1,COUNTIF($C$1:$C1252,1),"")</f>
        <v/>
      </c>
      <c r="E1252" s="7" t="str">
        <f>IFERROR(INDEX($A$1:$A$5000,MATCH(ROWS($D$1:$D1252),$D$1:$D$5000,0)),"")</f>
        <v/>
      </c>
    </row>
    <row r="1253" spans="3:5">
      <c r="C1253" s="17">
        <f t="shared" si="19"/>
        <v>0</v>
      </c>
      <c r="D1253" s="17" t="str">
        <f>IF(C1253=1,COUNTIF($C$1:$C1253,1),"")</f>
        <v/>
      </c>
      <c r="E1253" s="7" t="str">
        <f>IFERROR(INDEX($A$1:$A$5000,MATCH(ROWS($D$1:$D1253),$D$1:$D$5000,0)),"")</f>
        <v/>
      </c>
    </row>
    <row r="1254" spans="3:5">
      <c r="C1254" s="17">
        <f t="shared" si="19"/>
        <v>0</v>
      </c>
      <c r="D1254" s="17" t="str">
        <f>IF(C1254=1,COUNTIF($C$1:$C1254,1),"")</f>
        <v/>
      </c>
      <c r="E1254" s="7" t="str">
        <f>IFERROR(INDEX($A$1:$A$5000,MATCH(ROWS($D$1:$D1254),$D$1:$D$5000,0)),"")</f>
        <v/>
      </c>
    </row>
    <row r="1255" spans="3:5">
      <c r="C1255" s="17">
        <f t="shared" si="19"/>
        <v>0</v>
      </c>
      <c r="D1255" s="17" t="str">
        <f>IF(C1255=1,COUNTIF($C$1:$C1255,1),"")</f>
        <v/>
      </c>
      <c r="E1255" s="7" t="str">
        <f>IFERROR(INDEX($A$1:$A$5000,MATCH(ROWS($D$1:$D1255),$D$1:$D$5000,0)),"")</f>
        <v/>
      </c>
    </row>
    <row r="1256" spans="3:5">
      <c r="C1256" s="17">
        <f t="shared" si="19"/>
        <v>0</v>
      </c>
      <c r="D1256" s="17" t="str">
        <f>IF(C1256=1,COUNTIF($C$1:$C1256,1),"")</f>
        <v/>
      </c>
      <c r="E1256" s="7" t="str">
        <f>IFERROR(INDEX($A$1:$A$5000,MATCH(ROWS($D$1:$D1256),$D$1:$D$5000,0)),"")</f>
        <v/>
      </c>
    </row>
    <row r="1257" spans="3:5">
      <c r="C1257" s="17">
        <f t="shared" si="19"/>
        <v>0</v>
      </c>
      <c r="D1257" s="17" t="str">
        <f>IF(C1257=1,COUNTIF($C$1:$C1257,1),"")</f>
        <v/>
      </c>
      <c r="E1257" s="7" t="str">
        <f>IFERROR(INDEX($A$1:$A$5000,MATCH(ROWS($D$1:$D1257),$D$1:$D$5000,0)),"")</f>
        <v/>
      </c>
    </row>
    <row r="1258" spans="3:5">
      <c r="C1258" s="17">
        <f t="shared" si="19"/>
        <v>0</v>
      </c>
      <c r="D1258" s="17" t="str">
        <f>IF(C1258=1,COUNTIF($C$1:$C1258,1),"")</f>
        <v/>
      </c>
      <c r="E1258" s="7" t="str">
        <f>IFERROR(INDEX($A$1:$A$5000,MATCH(ROWS($D$1:$D1258),$D$1:$D$5000,0)),"")</f>
        <v/>
      </c>
    </row>
    <row r="1259" spans="3:5">
      <c r="C1259" s="17">
        <f t="shared" si="19"/>
        <v>0</v>
      </c>
      <c r="D1259" s="17" t="str">
        <f>IF(C1259=1,COUNTIF($C$1:$C1259,1),"")</f>
        <v/>
      </c>
      <c r="E1259" s="7" t="str">
        <f>IFERROR(INDEX($A$1:$A$5000,MATCH(ROWS($D$1:$D1259),$D$1:$D$5000,0)),"")</f>
        <v/>
      </c>
    </row>
    <row r="1260" spans="3:5">
      <c r="C1260" s="17">
        <f t="shared" si="19"/>
        <v>0</v>
      </c>
      <c r="D1260" s="17" t="str">
        <f>IF(C1260=1,COUNTIF($C$1:$C1260,1),"")</f>
        <v/>
      </c>
      <c r="E1260" s="7" t="str">
        <f>IFERROR(INDEX($A$1:$A$5000,MATCH(ROWS($D$1:$D1260),$D$1:$D$5000,0)),"")</f>
        <v/>
      </c>
    </row>
    <row r="1261" spans="3:5">
      <c r="C1261" s="17">
        <f t="shared" si="19"/>
        <v>0</v>
      </c>
      <c r="D1261" s="17" t="str">
        <f>IF(C1261=1,COUNTIF($C$1:$C1261,1),"")</f>
        <v/>
      </c>
      <c r="E1261" s="7" t="str">
        <f>IFERROR(INDEX($A$1:$A$5000,MATCH(ROWS($D$1:$D1261),$D$1:$D$5000,0)),"")</f>
        <v/>
      </c>
    </row>
    <row r="1262" spans="3:5">
      <c r="C1262" s="17">
        <f t="shared" si="19"/>
        <v>0</v>
      </c>
      <c r="D1262" s="17" t="str">
        <f>IF(C1262=1,COUNTIF($C$1:$C1262,1),"")</f>
        <v/>
      </c>
      <c r="E1262" s="7" t="str">
        <f>IFERROR(INDEX($A$1:$A$5000,MATCH(ROWS($D$1:$D1262),$D$1:$D$5000,0)),"")</f>
        <v/>
      </c>
    </row>
    <row r="1263" spans="3:5">
      <c r="C1263" s="17">
        <f t="shared" si="19"/>
        <v>0</v>
      </c>
      <c r="D1263" s="17" t="str">
        <f>IF(C1263=1,COUNTIF($C$1:$C1263,1),"")</f>
        <v/>
      </c>
      <c r="E1263" s="7" t="str">
        <f>IFERROR(INDEX($A$1:$A$5000,MATCH(ROWS($D$1:$D1263),$D$1:$D$5000,0)),"")</f>
        <v/>
      </c>
    </row>
    <row r="1264" spans="3:5">
      <c r="C1264" s="17">
        <f t="shared" si="19"/>
        <v>0</v>
      </c>
      <c r="D1264" s="17" t="str">
        <f>IF(C1264=1,COUNTIF($C$1:$C1264,1),"")</f>
        <v/>
      </c>
      <c r="E1264" s="7" t="str">
        <f>IFERROR(INDEX($A$1:$A$5000,MATCH(ROWS($D$1:$D1264),$D$1:$D$5000,0)),"")</f>
        <v/>
      </c>
    </row>
    <row r="1265" spans="3:5">
      <c r="C1265" s="17">
        <f t="shared" si="19"/>
        <v>0</v>
      </c>
      <c r="D1265" s="17" t="str">
        <f>IF(C1265=1,COUNTIF($C$1:$C1265,1),"")</f>
        <v/>
      </c>
      <c r="E1265" s="7" t="str">
        <f>IFERROR(INDEX($A$1:$A$5000,MATCH(ROWS($D$1:$D1265),$D$1:$D$5000,0)),"")</f>
        <v/>
      </c>
    </row>
    <row r="1266" spans="3:5">
      <c r="C1266" s="17">
        <f t="shared" si="19"/>
        <v>0</v>
      </c>
      <c r="D1266" s="17" t="str">
        <f>IF(C1266=1,COUNTIF($C$1:$C1266,1),"")</f>
        <v/>
      </c>
      <c r="E1266" s="7" t="str">
        <f>IFERROR(INDEX($A$1:$A$5000,MATCH(ROWS($D$1:$D1266),$D$1:$D$5000,0)),"")</f>
        <v/>
      </c>
    </row>
    <row r="1267" spans="3:5">
      <c r="C1267" s="17">
        <f t="shared" si="19"/>
        <v>0</v>
      </c>
      <c r="D1267" s="17" t="str">
        <f>IF(C1267=1,COUNTIF($C$1:$C1267,1),"")</f>
        <v/>
      </c>
      <c r="E1267" s="7" t="str">
        <f>IFERROR(INDEX($A$1:$A$5000,MATCH(ROWS($D$1:$D1267),$D$1:$D$5000,0)),"")</f>
        <v/>
      </c>
    </row>
    <row r="1268" spans="3:5">
      <c r="C1268" s="17">
        <f t="shared" si="19"/>
        <v>0</v>
      </c>
      <c r="D1268" s="17" t="str">
        <f>IF(C1268=1,COUNTIF($C$1:$C1268,1),"")</f>
        <v/>
      </c>
      <c r="E1268" s="7" t="str">
        <f>IFERROR(INDEX($A$1:$A$5000,MATCH(ROWS($D$1:$D1268),$D$1:$D$5000,0)),"")</f>
        <v/>
      </c>
    </row>
    <row r="1269" spans="3:5">
      <c r="C1269" s="17">
        <f t="shared" si="19"/>
        <v>0</v>
      </c>
      <c r="D1269" s="17" t="str">
        <f>IF(C1269=1,COUNTIF($C$1:$C1269,1),"")</f>
        <v/>
      </c>
      <c r="E1269" s="7" t="str">
        <f>IFERROR(INDEX($A$1:$A$5000,MATCH(ROWS($D$1:$D1269),$D$1:$D$5000,0)),"")</f>
        <v/>
      </c>
    </row>
    <row r="1270" spans="3:5">
      <c r="C1270" s="17">
        <f t="shared" si="19"/>
        <v>0</v>
      </c>
      <c r="D1270" s="17" t="str">
        <f>IF(C1270=1,COUNTIF($C$1:$C1270,1),"")</f>
        <v/>
      </c>
      <c r="E1270" s="7" t="str">
        <f>IFERROR(INDEX($A$1:$A$5000,MATCH(ROWS($D$1:$D1270),$D$1:$D$5000,0)),"")</f>
        <v/>
      </c>
    </row>
    <row r="1271" spans="3:5">
      <c r="C1271" s="17">
        <f t="shared" si="19"/>
        <v>0</v>
      </c>
      <c r="D1271" s="17" t="str">
        <f>IF(C1271=1,COUNTIF($C$1:$C1271,1),"")</f>
        <v/>
      </c>
      <c r="E1271" s="7" t="str">
        <f>IFERROR(INDEX($A$1:$A$5000,MATCH(ROWS($D$1:$D1271),$D$1:$D$5000,0)),"")</f>
        <v/>
      </c>
    </row>
    <row r="1272" spans="3:5">
      <c r="C1272" s="17">
        <f t="shared" si="19"/>
        <v>0</v>
      </c>
      <c r="D1272" s="17" t="str">
        <f>IF(C1272=1,COUNTIF($C$1:$C1272,1),"")</f>
        <v/>
      </c>
      <c r="E1272" s="7" t="str">
        <f>IFERROR(INDEX($A$1:$A$5000,MATCH(ROWS($D$1:$D1272),$D$1:$D$5000,0)),"")</f>
        <v/>
      </c>
    </row>
    <row r="1273" spans="3:5">
      <c r="C1273" s="17">
        <f t="shared" si="19"/>
        <v>0</v>
      </c>
      <c r="D1273" s="17" t="str">
        <f>IF(C1273=1,COUNTIF($C$1:$C1273,1),"")</f>
        <v/>
      </c>
      <c r="E1273" s="7" t="str">
        <f>IFERROR(INDEX($A$1:$A$5000,MATCH(ROWS($D$1:$D1273),$D$1:$D$5000,0)),"")</f>
        <v/>
      </c>
    </row>
    <row r="1274" spans="3:5">
      <c r="C1274" s="17">
        <f t="shared" si="19"/>
        <v>0</v>
      </c>
      <c r="D1274" s="17" t="str">
        <f>IF(C1274=1,COUNTIF($C$1:$C1274,1),"")</f>
        <v/>
      </c>
      <c r="E1274" s="7" t="str">
        <f>IFERROR(INDEX($A$1:$A$5000,MATCH(ROWS($D$1:$D1274),$D$1:$D$5000,0)),"")</f>
        <v/>
      </c>
    </row>
    <row r="1275" spans="3:5">
      <c r="C1275" s="17">
        <f t="shared" si="19"/>
        <v>0</v>
      </c>
      <c r="D1275" s="17" t="str">
        <f>IF(C1275=1,COUNTIF($C$1:$C1275,1),"")</f>
        <v/>
      </c>
      <c r="E1275" s="7" t="str">
        <f>IFERROR(INDEX($A$1:$A$5000,MATCH(ROWS($D$1:$D1275),$D$1:$D$5000,0)),"")</f>
        <v/>
      </c>
    </row>
    <row r="1276" spans="3:5">
      <c r="C1276" s="17">
        <f t="shared" si="19"/>
        <v>0</v>
      </c>
      <c r="D1276" s="17" t="str">
        <f>IF(C1276=1,COUNTIF($C$1:$C1276,1),"")</f>
        <v/>
      </c>
      <c r="E1276" s="7" t="str">
        <f>IFERROR(INDEX($A$1:$A$5000,MATCH(ROWS($D$1:$D1276),$D$1:$D$5000,0)),"")</f>
        <v/>
      </c>
    </row>
    <row r="1277" spans="3:5">
      <c r="C1277" s="17">
        <f t="shared" si="19"/>
        <v>0</v>
      </c>
      <c r="D1277" s="17" t="str">
        <f>IF(C1277=1,COUNTIF($C$1:$C1277,1),"")</f>
        <v/>
      </c>
      <c r="E1277" s="7" t="str">
        <f>IFERROR(INDEX($A$1:$A$5000,MATCH(ROWS($D$1:$D1277),$D$1:$D$5000,0)),"")</f>
        <v/>
      </c>
    </row>
    <row r="1278" spans="3:5">
      <c r="C1278" s="17">
        <f t="shared" si="19"/>
        <v>0</v>
      </c>
      <c r="D1278" s="17" t="str">
        <f>IF(C1278=1,COUNTIF($C$1:$C1278,1),"")</f>
        <v/>
      </c>
      <c r="E1278" s="7" t="str">
        <f>IFERROR(INDEX($A$1:$A$5000,MATCH(ROWS($D$1:$D1278),$D$1:$D$5000,0)),"")</f>
        <v/>
      </c>
    </row>
    <row r="1279" spans="3:5">
      <c r="C1279" s="17">
        <f t="shared" si="19"/>
        <v>0</v>
      </c>
      <c r="D1279" s="17" t="str">
        <f>IF(C1279=1,COUNTIF($C$1:$C1279,1),"")</f>
        <v/>
      </c>
      <c r="E1279" s="7" t="str">
        <f>IFERROR(INDEX($A$1:$A$5000,MATCH(ROWS($D$1:$D1279),$D$1:$D$5000,0)),"")</f>
        <v/>
      </c>
    </row>
    <row r="1280" spans="3:5">
      <c r="C1280" s="17">
        <f t="shared" si="19"/>
        <v>0</v>
      </c>
      <c r="D1280" s="17" t="str">
        <f>IF(C1280=1,COUNTIF($C$1:$C1280,1),"")</f>
        <v/>
      </c>
      <c r="E1280" s="7" t="str">
        <f>IFERROR(INDEX($A$1:$A$5000,MATCH(ROWS($D$1:$D1280),$D$1:$D$5000,0)),"")</f>
        <v/>
      </c>
    </row>
    <row r="1281" spans="3:5">
      <c r="C1281" s="17">
        <f t="shared" si="19"/>
        <v>0</v>
      </c>
      <c r="D1281" s="17" t="str">
        <f>IF(C1281=1,COUNTIF($C$1:$C1281,1),"")</f>
        <v/>
      </c>
      <c r="E1281" s="7" t="str">
        <f>IFERROR(INDEX($A$1:$A$5000,MATCH(ROWS($D$1:$D1281),$D$1:$D$5000,0)),"")</f>
        <v/>
      </c>
    </row>
    <row r="1282" spans="3:5">
      <c r="C1282" s="17">
        <f t="shared" ref="C1282:C1345" si="20">--ISNUMBER(SEARCH($B$1,A1282))</f>
        <v>0</v>
      </c>
      <c r="D1282" s="17" t="str">
        <f>IF(C1282=1,COUNTIF($C$1:$C1282,1),"")</f>
        <v/>
      </c>
      <c r="E1282" s="7" t="str">
        <f>IFERROR(INDEX($A$1:$A$5000,MATCH(ROWS($D$1:$D1282),$D$1:$D$5000,0)),"")</f>
        <v/>
      </c>
    </row>
    <row r="1283" spans="3:5">
      <c r="C1283" s="17">
        <f t="shared" si="20"/>
        <v>0</v>
      </c>
      <c r="D1283" s="17" t="str">
        <f>IF(C1283=1,COUNTIF($C$1:$C1283,1),"")</f>
        <v/>
      </c>
      <c r="E1283" s="7" t="str">
        <f>IFERROR(INDEX($A$1:$A$5000,MATCH(ROWS($D$1:$D1283),$D$1:$D$5000,0)),"")</f>
        <v/>
      </c>
    </row>
    <row r="1284" spans="3:5">
      <c r="C1284" s="17">
        <f t="shared" si="20"/>
        <v>0</v>
      </c>
      <c r="D1284" s="17" t="str">
        <f>IF(C1284=1,COUNTIF($C$1:$C1284,1),"")</f>
        <v/>
      </c>
      <c r="E1284" s="7" t="str">
        <f>IFERROR(INDEX($A$1:$A$5000,MATCH(ROWS($D$1:$D1284),$D$1:$D$5000,0)),"")</f>
        <v/>
      </c>
    </row>
    <row r="1285" spans="3:5">
      <c r="C1285" s="17">
        <f t="shared" si="20"/>
        <v>0</v>
      </c>
      <c r="D1285" s="17" t="str">
        <f>IF(C1285=1,COUNTIF($C$1:$C1285,1),"")</f>
        <v/>
      </c>
      <c r="E1285" s="7" t="str">
        <f>IFERROR(INDEX($A$1:$A$5000,MATCH(ROWS($D$1:$D1285),$D$1:$D$5000,0)),"")</f>
        <v/>
      </c>
    </row>
    <row r="1286" spans="3:5">
      <c r="C1286" s="17">
        <f t="shared" si="20"/>
        <v>0</v>
      </c>
      <c r="D1286" s="17" t="str">
        <f>IF(C1286=1,COUNTIF($C$1:$C1286,1),"")</f>
        <v/>
      </c>
      <c r="E1286" s="7" t="str">
        <f>IFERROR(INDEX($A$1:$A$5000,MATCH(ROWS($D$1:$D1286),$D$1:$D$5000,0)),"")</f>
        <v/>
      </c>
    </row>
    <row r="1287" spans="3:5">
      <c r="C1287" s="17">
        <f t="shared" si="20"/>
        <v>0</v>
      </c>
      <c r="D1287" s="17" t="str">
        <f>IF(C1287=1,COUNTIF($C$1:$C1287,1),"")</f>
        <v/>
      </c>
      <c r="E1287" s="7" t="str">
        <f>IFERROR(INDEX($A$1:$A$5000,MATCH(ROWS($D$1:$D1287),$D$1:$D$5000,0)),"")</f>
        <v/>
      </c>
    </row>
    <row r="1288" spans="3:5">
      <c r="C1288" s="17">
        <f t="shared" si="20"/>
        <v>0</v>
      </c>
      <c r="D1288" s="17" t="str">
        <f>IF(C1288=1,COUNTIF($C$1:$C1288,1),"")</f>
        <v/>
      </c>
      <c r="E1288" s="7" t="str">
        <f>IFERROR(INDEX($A$1:$A$5000,MATCH(ROWS($D$1:$D1288),$D$1:$D$5000,0)),"")</f>
        <v/>
      </c>
    </row>
    <row r="1289" spans="3:5">
      <c r="C1289" s="17">
        <f t="shared" si="20"/>
        <v>0</v>
      </c>
      <c r="D1289" s="17" t="str">
        <f>IF(C1289=1,COUNTIF($C$1:$C1289,1),"")</f>
        <v/>
      </c>
      <c r="E1289" s="7" t="str">
        <f>IFERROR(INDEX($A$1:$A$5000,MATCH(ROWS($D$1:$D1289),$D$1:$D$5000,0)),"")</f>
        <v/>
      </c>
    </row>
    <row r="1290" spans="3:5">
      <c r="C1290" s="17">
        <f t="shared" si="20"/>
        <v>0</v>
      </c>
      <c r="D1290" s="17" t="str">
        <f>IF(C1290=1,COUNTIF($C$1:$C1290,1),"")</f>
        <v/>
      </c>
      <c r="E1290" s="7" t="str">
        <f>IFERROR(INDEX($A$1:$A$5000,MATCH(ROWS($D$1:$D1290),$D$1:$D$5000,0)),"")</f>
        <v/>
      </c>
    </row>
    <row r="1291" spans="3:5">
      <c r="C1291" s="17">
        <f t="shared" si="20"/>
        <v>0</v>
      </c>
      <c r="D1291" s="17" t="str">
        <f>IF(C1291=1,COUNTIF($C$1:$C1291,1),"")</f>
        <v/>
      </c>
      <c r="E1291" s="7" t="str">
        <f>IFERROR(INDEX($A$1:$A$5000,MATCH(ROWS($D$1:$D1291),$D$1:$D$5000,0)),"")</f>
        <v/>
      </c>
    </row>
    <row r="1292" spans="3:5">
      <c r="C1292" s="17">
        <f t="shared" si="20"/>
        <v>0</v>
      </c>
      <c r="D1292" s="17" t="str">
        <f>IF(C1292=1,COUNTIF($C$1:$C1292,1),"")</f>
        <v/>
      </c>
      <c r="E1292" s="7" t="str">
        <f>IFERROR(INDEX($A$1:$A$5000,MATCH(ROWS($D$1:$D1292),$D$1:$D$5000,0)),"")</f>
        <v/>
      </c>
    </row>
    <row r="1293" spans="3:5">
      <c r="C1293" s="17">
        <f t="shared" si="20"/>
        <v>0</v>
      </c>
      <c r="D1293" s="17" t="str">
        <f>IF(C1293=1,COUNTIF($C$1:$C1293,1),"")</f>
        <v/>
      </c>
      <c r="E1293" s="7" t="str">
        <f>IFERROR(INDEX($A$1:$A$5000,MATCH(ROWS($D$1:$D1293),$D$1:$D$5000,0)),"")</f>
        <v/>
      </c>
    </row>
    <row r="1294" spans="3:5">
      <c r="C1294" s="17">
        <f t="shared" si="20"/>
        <v>0</v>
      </c>
      <c r="D1294" s="17" t="str">
        <f>IF(C1294=1,COUNTIF($C$1:$C1294,1),"")</f>
        <v/>
      </c>
      <c r="E1294" s="7" t="str">
        <f>IFERROR(INDEX($A$1:$A$5000,MATCH(ROWS($D$1:$D1294),$D$1:$D$5000,0)),"")</f>
        <v/>
      </c>
    </row>
    <row r="1295" spans="3:5">
      <c r="C1295" s="17">
        <f t="shared" si="20"/>
        <v>0</v>
      </c>
      <c r="D1295" s="17" t="str">
        <f>IF(C1295=1,COUNTIF($C$1:$C1295,1),"")</f>
        <v/>
      </c>
      <c r="E1295" s="7" t="str">
        <f>IFERROR(INDEX($A$1:$A$5000,MATCH(ROWS($D$1:$D1295),$D$1:$D$5000,0)),"")</f>
        <v/>
      </c>
    </row>
    <row r="1296" spans="3:5">
      <c r="C1296" s="17">
        <f t="shared" si="20"/>
        <v>0</v>
      </c>
      <c r="D1296" s="17" t="str">
        <f>IF(C1296=1,COUNTIF($C$1:$C1296,1),"")</f>
        <v/>
      </c>
      <c r="E1296" s="7" t="str">
        <f>IFERROR(INDEX($A$1:$A$5000,MATCH(ROWS($D$1:$D1296),$D$1:$D$5000,0)),"")</f>
        <v/>
      </c>
    </row>
    <row r="1297" spans="3:5">
      <c r="C1297" s="17">
        <f t="shared" si="20"/>
        <v>0</v>
      </c>
      <c r="D1297" s="17" t="str">
        <f>IF(C1297=1,COUNTIF($C$1:$C1297,1),"")</f>
        <v/>
      </c>
      <c r="E1297" s="7" t="str">
        <f>IFERROR(INDEX($A$1:$A$5000,MATCH(ROWS($D$1:$D1297),$D$1:$D$5000,0)),"")</f>
        <v/>
      </c>
    </row>
    <row r="1298" spans="3:5">
      <c r="C1298" s="17">
        <f t="shared" si="20"/>
        <v>0</v>
      </c>
      <c r="D1298" s="17" t="str">
        <f>IF(C1298=1,COUNTIF($C$1:$C1298,1),"")</f>
        <v/>
      </c>
      <c r="E1298" s="7" t="str">
        <f>IFERROR(INDEX($A$1:$A$5000,MATCH(ROWS($D$1:$D1298),$D$1:$D$5000,0)),"")</f>
        <v/>
      </c>
    </row>
    <row r="1299" spans="3:5">
      <c r="C1299" s="17">
        <f t="shared" si="20"/>
        <v>0</v>
      </c>
      <c r="D1299" s="17" t="str">
        <f>IF(C1299=1,COUNTIF($C$1:$C1299,1),"")</f>
        <v/>
      </c>
      <c r="E1299" s="7" t="str">
        <f>IFERROR(INDEX($A$1:$A$5000,MATCH(ROWS($D$1:$D1299),$D$1:$D$5000,0)),"")</f>
        <v/>
      </c>
    </row>
    <row r="1300" spans="3:5">
      <c r="C1300" s="17">
        <f t="shared" si="20"/>
        <v>0</v>
      </c>
      <c r="D1300" s="17" t="str">
        <f>IF(C1300=1,COUNTIF($C$1:$C1300,1),"")</f>
        <v/>
      </c>
      <c r="E1300" s="7" t="str">
        <f>IFERROR(INDEX($A$1:$A$5000,MATCH(ROWS($D$1:$D1300),$D$1:$D$5000,0)),"")</f>
        <v/>
      </c>
    </row>
    <row r="1301" spans="3:5">
      <c r="C1301" s="17">
        <f t="shared" si="20"/>
        <v>0</v>
      </c>
      <c r="D1301" s="17" t="str">
        <f>IF(C1301=1,COUNTIF($C$1:$C1301,1),"")</f>
        <v/>
      </c>
      <c r="E1301" s="7" t="str">
        <f>IFERROR(INDEX($A$1:$A$5000,MATCH(ROWS($D$1:$D1301),$D$1:$D$5000,0)),"")</f>
        <v/>
      </c>
    </row>
    <row r="1302" spans="3:5">
      <c r="C1302" s="17">
        <f t="shared" si="20"/>
        <v>0</v>
      </c>
      <c r="D1302" s="17" t="str">
        <f>IF(C1302=1,COUNTIF($C$1:$C1302,1),"")</f>
        <v/>
      </c>
      <c r="E1302" s="7" t="str">
        <f>IFERROR(INDEX($A$1:$A$5000,MATCH(ROWS($D$1:$D1302),$D$1:$D$5000,0)),"")</f>
        <v/>
      </c>
    </row>
    <row r="1303" spans="3:5">
      <c r="C1303" s="17">
        <f t="shared" si="20"/>
        <v>0</v>
      </c>
      <c r="D1303" s="17" t="str">
        <f>IF(C1303=1,COUNTIF($C$1:$C1303,1),"")</f>
        <v/>
      </c>
      <c r="E1303" s="7" t="str">
        <f>IFERROR(INDEX($A$1:$A$5000,MATCH(ROWS($D$1:$D1303),$D$1:$D$5000,0)),"")</f>
        <v/>
      </c>
    </row>
    <row r="1304" spans="3:5">
      <c r="C1304" s="17">
        <f t="shared" si="20"/>
        <v>0</v>
      </c>
      <c r="D1304" s="17" t="str">
        <f>IF(C1304=1,COUNTIF($C$1:$C1304,1),"")</f>
        <v/>
      </c>
      <c r="E1304" s="7" t="str">
        <f>IFERROR(INDEX($A$1:$A$5000,MATCH(ROWS($D$1:$D1304),$D$1:$D$5000,0)),"")</f>
        <v/>
      </c>
    </row>
    <row r="1305" spans="3:5">
      <c r="C1305" s="17">
        <f t="shared" si="20"/>
        <v>0</v>
      </c>
      <c r="D1305" s="17" t="str">
        <f>IF(C1305=1,COUNTIF($C$1:$C1305,1),"")</f>
        <v/>
      </c>
      <c r="E1305" s="7" t="str">
        <f>IFERROR(INDEX($A$1:$A$5000,MATCH(ROWS($D$1:$D1305),$D$1:$D$5000,0)),"")</f>
        <v/>
      </c>
    </row>
    <row r="1306" spans="3:5">
      <c r="C1306" s="17">
        <f t="shared" si="20"/>
        <v>0</v>
      </c>
      <c r="D1306" s="17" t="str">
        <f>IF(C1306=1,COUNTIF($C$1:$C1306,1),"")</f>
        <v/>
      </c>
      <c r="E1306" s="7" t="str">
        <f>IFERROR(INDEX($A$1:$A$5000,MATCH(ROWS($D$1:$D1306),$D$1:$D$5000,0)),"")</f>
        <v/>
      </c>
    </row>
    <row r="1307" spans="3:5">
      <c r="C1307" s="17">
        <f t="shared" si="20"/>
        <v>0</v>
      </c>
      <c r="D1307" s="17" t="str">
        <f>IF(C1307=1,COUNTIF($C$1:$C1307,1),"")</f>
        <v/>
      </c>
      <c r="E1307" s="7" t="str">
        <f>IFERROR(INDEX($A$1:$A$5000,MATCH(ROWS($D$1:$D1307),$D$1:$D$5000,0)),"")</f>
        <v/>
      </c>
    </row>
    <row r="1308" spans="3:5">
      <c r="C1308" s="17">
        <f t="shared" si="20"/>
        <v>0</v>
      </c>
      <c r="D1308" s="17" t="str">
        <f>IF(C1308=1,COUNTIF($C$1:$C1308,1),"")</f>
        <v/>
      </c>
      <c r="E1308" s="7" t="str">
        <f>IFERROR(INDEX($A$1:$A$5000,MATCH(ROWS($D$1:$D1308),$D$1:$D$5000,0)),"")</f>
        <v/>
      </c>
    </row>
    <row r="1309" spans="3:5">
      <c r="C1309" s="17">
        <f t="shared" si="20"/>
        <v>0</v>
      </c>
      <c r="D1309" s="17" t="str">
        <f>IF(C1309=1,COUNTIF($C$1:$C1309,1),"")</f>
        <v/>
      </c>
      <c r="E1309" s="7" t="str">
        <f>IFERROR(INDEX($A$1:$A$5000,MATCH(ROWS($D$1:$D1309),$D$1:$D$5000,0)),"")</f>
        <v/>
      </c>
    </row>
    <row r="1310" spans="3:5">
      <c r="C1310" s="17">
        <f t="shared" si="20"/>
        <v>0</v>
      </c>
      <c r="D1310" s="17" t="str">
        <f>IF(C1310=1,COUNTIF($C$1:$C1310,1),"")</f>
        <v/>
      </c>
      <c r="E1310" s="7" t="str">
        <f>IFERROR(INDEX($A$1:$A$5000,MATCH(ROWS($D$1:$D1310),$D$1:$D$5000,0)),"")</f>
        <v/>
      </c>
    </row>
    <row r="1311" spans="3:5">
      <c r="C1311" s="17">
        <f t="shared" si="20"/>
        <v>0</v>
      </c>
      <c r="D1311" s="17" t="str">
        <f>IF(C1311=1,COUNTIF($C$1:$C1311,1),"")</f>
        <v/>
      </c>
      <c r="E1311" s="7" t="str">
        <f>IFERROR(INDEX($A$1:$A$5000,MATCH(ROWS($D$1:$D1311),$D$1:$D$5000,0)),"")</f>
        <v/>
      </c>
    </row>
    <row r="1312" spans="3:5">
      <c r="C1312" s="17">
        <f t="shared" si="20"/>
        <v>0</v>
      </c>
      <c r="D1312" s="17" t="str">
        <f>IF(C1312=1,COUNTIF($C$1:$C1312,1),"")</f>
        <v/>
      </c>
      <c r="E1312" s="7" t="str">
        <f>IFERROR(INDEX($A$1:$A$5000,MATCH(ROWS($D$1:$D1312),$D$1:$D$5000,0)),"")</f>
        <v/>
      </c>
    </row>
    <row r="1313" spans="3:5">
      <c r="C1313" s="17">
        <f t="shared" si="20"/>
        <v>0</v>
      </c>
      <c r="D1313" s="17" t="str">
        <f>IF(C1313=1,COUNTIF($C$1:$C1313,1),"")</f>
        <v/>
      </c>
      <c r="E1313" s="7" t="str">
        <f>IFERROR(INDEX($A$1:$A$5000,MATCH(ROWS($D$1:$D1313),$D$1:$D$5000,0)),"")</f>
        <v/>
      </c>
    </row>
    <row r="1314" spans="3:5">
      <c r="C1314" s="17">
        <f t="shared" si="20"/>
        <v>0</v>
      </c>
      <c r="D1314" s="17" t="str">
        <f>IF(C1314=1,COUNTIF($C$1:$C1314,1),"")</f>
        <v/>
      </c>
      <c r="E1314" s="7" t="str">
        <f>IFERROR(INDEX($A$1:$A$5000,MATCH(ROWS($D$1:$D1314),$D$1:$D$5000,0)),"")</f>
        <v/>
      </c>
    </row>
    <row r="1315" spans="3:5">
      <c r="C1315" s="17">
        <f t="shared" si="20"/>
        <v>0</v>
      </c>
      <c r="D1315" s="17" t="str">
        <f>IF(C1315=1,COUNTIF($C$1:$C1315,1),"")</f>
        <v/>
      </c>
      <c r="E1315" s="7" t="str">
        <f>IFERROR(INDEX($A$1:$A$5000,MATCH(ROWS($D$1:$D1315),$D$1:$D$5000,0)),"")</f>
        <v/>
      </c>
    </row>
    <row r="1316" spans="3:5">
      <c r="C1316" s="17">
        <f t="shared" si="20"/>
        <v>0</v>
      </c>
      <c r="D1316" s="17" t="str">
        <f>IF(C1316=1,COUNTIF($C$1:$C1316,1),"")</f>
        <v/>
      </c>
      <c r="E1316" s="7" t="str">
        <f>IFERROR(INDEX($A$1:$A$5000,MATCH(ROWS($D$1:$D1316),$D$1:$D$5000,0)),"")</f>
        <v/>
      </c>
    </row>
    <row r="1317" spans="3:5">
      <c r="C1317" s="17">
        <f t="shared" si="20"/>
        <v>0</v>
      </c>
      <c r="D1317" s="17" t="str">
        <f>IF(C1317=1,COUNTIF($C$1:$C1317,1),"")</f>
        <v/>
      </c>
      <c r="E1317" s="7" t="str">
        <f>IFERROR(INDEX($A$1:$A$5000,MATCH(ROWS($D$1:$D1317),$D$1:$D$5000,0)),"")</f>
        <v/>
      </c>
    </row>
    <row r="1318" spans="3:5">
      <c r="C1318" s="17">
        <f t="shared" si="20"/>
        <v>0</v>
      </c>
      <c r="D1318" s="17" t="str">
        <f>IF(C1318=1,COUNTIF($C$1:$C1318,1),"")</f>
        <v/>
      </c>
      <c r="E1318" s="7" t="str">
        <f>IFERROR(INDEX($A$1:$A$5000,MATCH(ROWS($D$1:$D1318),$D$1:$D$5000,0)),"")</f>
        <v/>
      </c>
    </row>
    <row r="1319" spans="3:5">
      <c r="C1319" s="17">
        <f t="shared" si="20"/>
        <v>0</v>
      </c>
      <c r="D1319" s="17" t="str">
        <f>IF(C1319=1,COUNTIF($C$1:$C1319,1),"")</f>
        <v/>
      </c>
      <c r="E1319" s="7" t="str">
        <f>IFERROR(INDEX($A$1:$A$5000,MATCH(ROWS($D$1:$D1319),$D$1:$D$5000,0)),"")</f>
        <v/>
      </c>
    </row>
    <row r="1320" spans="3:5">
      <c r="C1320" s="17">
        <f t="shared" si="20"/>
        <v>0</v>
      </c>
      <c r="D1320" s="17" t="str">
        <f>IF(C1320=1,COUNTIF($C$1:$C1320,1),"")</f>
        <v/>
      </c>
      <c r="E1320" s="7" t="str">
        <f>IFERROR(INDEX($A$1:$A$5000,MATCH(ROWS($D$1:$D1320),$D$1:$D$5000,0)),"")</f>
        <v/>
      </c>
    </row>
    <row r="1321" spans="3:5">
      <c r="C1321" s="17">
        <f t="shared" si="20"/>
        <v>0</v>
      </c>
      <c r="D1321" s="17" t="str">
        <f>IF(C1321=1,COUNTIF($C$1:$C1321,1),"")</f>
        <v/>
      </c>
      <c r="E1321" s="7" t="str">
        <f>IFERROR(INDEX($A$1:$A$5000,MATCH(ROWS($D$1:$D1321),$D$1:$D$5000,0)),"")</f>
        <v/>
      </c>
    </row>
    <row r="1322" spans="3:5">
      <c r="C1322" s="17">
        <f t="shared" si="20"/>
        <v>0</v>
      </c>
      <c r="D1322" s="17" t="str">
        <f>IF(C1322=1,COUNTIF($C$1:$C1322,1),"")</f>
        <v/>
      </c>
      <c r="E1322" s="7" t="str">
        <f>IFERROR(INDEX($A$1:$A$5000,MATCH(ROWS($D$1:$D1322),$D$1:$D$5000,0)),"")</f>
        <v/>
      </c>
    </row>
    <row r="1323" spans="3:5">
      <c r="C1323" s="17">
        <f t="shared" si="20"/>
        <v>0</v>
      </c>
      <c r="D1323" s="17" t="str">
        <f>IF(C1323=1,COUNTIF($C$1:$C1323,1),"")</f>
        <v/>
      </c>
      <c r="E1323" s="7" t="str">
        <f>IFERROR(INDEX($A$1:$A$5000,MATCH(ROWS($D$1:$D1323),$D$1:$D$5000,0)),"")</f>
        <v/>
      </c>
    </row>
    <row r="1324" spans="3:5">
      <c r="C1324" s="17">
        <f t="shared" si="20"/>
        <v>0</v>
      </c>
      <c r="D1324" s="17" t="str">
        <f>IF(C1324=1,COUNTIF($C$1:$C1324,1),"")</f>
        <v/>
      </c>
      <c r="E1324" s="7" t="str">
        <f>IFERROR(INDEX($A$1:$A$5000,MATCH(ROWS($D$1:$D1324),$D$1:$D$5000,0)),"")</f>
        <v/>
      </c>
    </row>
    <row r="1325" spans="3:5">
      <c r="C1325" s="17">
        <f t="shared" si="20"/>
        <v>0</v>
      </c>
      <c r="D1325" s="17" t="str">
        <f>IF(C1325=1,COUNTIF($C$1:$C1325,1),"")</f>
        <v/>
      </c>
      <c r="E1325" s="7" t="str">
        <f>IFERROR(INDEX($A$1:$A$5000,MATCH(ROWS($D$1:$D1325),$D$1:$D$5000,0)),"")</f>
        <v/>
      </c>
    </row>
    <row r="1326" spans="3:5">
      <c r="C1326" s="17">
        <f t="shared" si="20"/>
        <v>0</v>
      </c>
      <c r="D1326" s="17" t="str">
        <f>IF(C1326=1,COUNTIF($C$1:$C1326,1),"")</f>
        <v/>
      </c>
      <c r="E1326" s="7" t="str">
        <f>IFERROR(INDEX($A$1:$A$5000,MATCH(ROWS($D$1:$D1326),$D$1:$D$5000,0)),"")</f>
        <v/>
      </c>
    </row>
    <row r="1327" spans="3:5">
      <c r="C1327" s="17">
        <f t="shared" si="20"/>
        <v>0</v>
      </c>
      <c r="D1327" s="17" t="str">
        <f>IF(C1327=1,COUNTIF($C$1:$C1327,1),"")</f>
        <v/>
      </c>
      <c r="E1327" s="7" t="str">
        <f>IFERROR(INDEX($A$1:$A$5000,MATCH(ROWS($D$1:$D1327),$D$1:$D$5000,0)),"")</f>
        <v/>
      </c>
    </row>
    <row r="1328" spans="3:5">
      <c r="C1328" s="17">
        <f t="shared" si="20"/>
        <v>0</v>
      </c>
      <c r="D1328" s="17" t="str">
        <f>IF(C1328=1,COUNTIF($C$1:$C1328,1),"")</f>
        <v/>
      </c>
      <c r="E1328" s="7" t="str">
        <f>IFERROR(INDEX($A$1:$A$5000,MATCH(ROWS($D$1:$D1328),$D$1:$D$5000,0)),"")</f>
        <v/>
      </c>
    </row>
    <row r="1329" spans="3:5">
      <c r="C1329" s="17">
        <f t="shared" si="20"/>
        <v>0</v>
      </c>
      <c r="D1329" s="17" t="str">
        <f>IF(C1329=1,COUNTIF($C$1:$C1329,1),"")</f>
        <v/>
      </c>
      <c r="E1329" s="7" t="str">
        <f>IFERROR(INDEX($A$1:$A$5000,MATCH(ROWS($D$1:$D1329),$D$1:$D$5000,0)),"")</f>
        <v/>
      </c>
    </row>
    <row r="1330" spans="3:5">
      <c r="C1330" s="17">
        <f t="shared" si="20"/>
        <v>0</v>
      </c>
      <c r="D1330" s="17" t="str">
        <f>IF(C1330=1,COUNTIF($C$1:$C1330,1),"")</f>
        <v/>
      </c>
      <c r="E1330" s="7" t="str">
        <f>IFERROR(INDEX($A$1:$A$5000,MATCH(ROWS($D$1:$D1330),$D$1:$D$5000,0)),"")</f>
        <v/>
      </c>
    </row>
    <row r="1331" spans="3:5">
      <c r="C1331" s="17">
        <f t="shared" si="20"/>
        <v>0</v>
      </c>
      <c r="D1331" s="17" t="str">
        <f>IF(C1331=1,COUNTIF($C$1:$C1331,1),"")</f>
        <v/>
      </c>
      <c r="E1331" s="7" t="str">
        <f>IFERROR(INDEX($A$1:$A$5000,MATCH(ROWS($D$1:$D1331),$D$1:$D$5000,0)),"")</f>
        <v/>
      </c>
    </row>
    <row r="1332" spans="3:5">
      <c r="C1332" s="17">
        <f t="shared" si="20"/>
        <v>0</v>
      </c>
      <c r="D1332" s="17" t="str">
        <f>IF(C1332=1,COUNTIF($C$1:$C1332,1),"")</f>
        <v/>
      </c>
      <c r="E1332" s="7" t="str">
        <f>IFERROR(INDEX($A$1:$A$5000,MATCH(ROWS($D$1:$D1332),$D$1:$D$5000,0)),"")</f>
        <v/>
      </c>
    </row>
    <row r="1333" spans="3:5">
      <c r="C1333" s="17">
        <f t="shared" si="20"/>
        <v>0</v>
      </c>
      <c r="D1333" s="17" t="str">
        <f>IF(C1333=1,COUNTIF($C$1:$C1333,1),"")</f>
        <v/>
      </c>
      <c r="E1333" s="7" t="str">
        <f>IFERROR(INDEX($A$1:$A$5000,MATCH(ROWS($D$1:$D1333),$D$1:$D$5000,0)),"")</f>
        <v/>
      </c>
    </row>
    <row r="1334" spans="3:5">
      <c r="C1334" s="17">
        <f t="shared" si="20"/>
        <v>0</v>
      </c>
      <c r="D1334" s="17" t="str">
        <f>IF(C1334=1,COUNTIF($C$1:$C1334,1),"")</f>
        <v/>
      </c>
      <c r="E1334" s="7" t="str">
        <f>IFERROR(INDEX($A$1:$A$5000,MATCH(ROWS($D$1:$D1334),$D$1:$D$5000,0)),"")</f>
        <v/>
      </c>
    </row>
    <row r="1335" spans="3:5">
      <c r="C1335" s="17">
        <f t="shared" si="20"/>
        <v>0</v>
      </c>
      <c r="D1335" s="17" t="str">
        <f>IF(C1335=1,COUNTIF($C$1:$C1335,1),"")</f>
        <v/>
      </c>
      <c r="E1335" s="7" t="str">
        <f>IFERROR(INDEX($A$1:$A$5000,MATCH(ROWS($D$1:$D1335),$D$1:$D$5000,0)),"")</f>
        <v/>
      </c>
    </row>
    <row r="1336" spans="3:5">
      <c r="C1336" s="17">
        <f t="shared" si="20"/>
        <v>0</v>
      </c>
      <c r="D1336" s="17" t="str">
        <f>IF(C1336=1,COUNTIF($C$1:$C1336,1),"")</f>
        <v/>
      </c>
      <c r="E1336" s="7" t="str">
        <f>IFERROR(INDEX($A$1:$A$5000,MATCH(ROWS($D$1:$D1336),$D$1:$D$5000,0)),"")</f>
        <v/>
      </c>
    </row>
    <row r="1337" spans="3:5">
      <c r="C1337" s="17">
        <f t="shared" si="20"/>
        <v>0</v>
      </c>
      <c r="D1337" s="17" t="str">
        <f>IF(C1337=1,COUNTIF($C$1:$C1337,1),"")</f>
        <v/>
      </c>
      <c r="E1337" s="7" t="str">
        <f>IFERROR(INDEX($A$1:$A$5000,MATCH(ROWS($D$1:$D1337),$D$1:$D$5000,0)),"")</f>
        <v/>
      </c>
    </row>
    <row r="1338" spans="3:5">
      <c r="C1338" s="17">
        <f t="shared" si="20"/>
        <v>0</v>
      </c>
      <c r="D1338" s="17" t="str">
        <f>IF(C1338=1,COUNTIF($C$1:$C1338,1),"")</f>
        <v/>
      </c>
      <c r="E1338" s="7" t="str">
        <f>IFERROR(INDEX($A$1:$A$5000,MATCH(ROWS($D$1:$D1338),$D$1:$D$5000,0)),"")</f>
        <v/>
      </c>
    </row>
    <row r="1339" spans="3:5">
      <c r="C1339" s="17">
        <f t="shared" si="20"/>
        <v>0</v>
      </c>
      <c r="D1339" s="17" t="str">
        <f>IF(C1339=1,COUNTIF($C$1:$C1339,1),"")</f>
        <v/>
      </c>
      <c r="E1339" s="7" t="str">
        <f>IFERROR(INDEX($A$1:$A$5000,MATCH(ROWS($D$1:$D1339),$D$1:$D$5000,0)),"")</f>
        <v/>
      </c>
    </row>
    <row r="1340" spans="3:5">
      <c r="C1340" s="17">
        <f t="shared" si="20"/>
        <v>0</v>
      </c>
      <c r="D1340" s="17" t="str">
        <f>IF(C1340=1,COUNTIF($C$1:$C1340,1),"")</f>
        <v/>
      </c>
      <c r="E1340" s="7" t="str">
        <f>IFERROR(INDEX($A$1:$A$5000,MATCH(ROWS($D$1:$D1340),$D$1:$D$5000,0)),"")</f>
        <v/>
      </c>
    </row>
    <row r="1341" spans="3:5">
      <c r="C1341" s="17">
        <f t="shared" si="20"/>
        <v>0</v>
      </c>
      <c r="D1341" s="17" t="str">
        <f>IF(C1341=1,COUNTIF($C$1:$C1341,1),"")</f>
        <v/>
      </c>
      <c r="E1341" s="7" t="str">
        <f>IFERROR(INDEX($A$1:$A$5000,MATCH(ROWS($D$1:$D1341),$D$1:$D$5000,0)),"")</f>
        <v/>
      </c>
    </row>
    <row r="1342" spans="3:5">
      <c r="C1342" s="17">
        <f t="shared" si="20"/>
        <v>0</v>
      </c>
      <c r="D1342" s="17" t="str">
        <f>IF(C1342=1,COUNTIF($C$1:$C1342,1),"")</f>
        <v/>
      </c>
      <c r="E1342" s="7" t="str">
        <f>IFERROR(INDEX($A$1:$A$5000,MATCH(ROWS($D$1:$D1342),$D$1:$D$5000,0)),"")</f>
        <v/>
      </c>
    </row>
    <row r="1343" spans="3:5">
      <c r="C1343" s="17">
        <f t="shared" si="20"/>
        <v>0</v>
      </c>
      <c r="D1343" s="17" t="str">
        <f>IF(C1343=1,COUNTIF($C$1:$C1343,1),"")</f>
        <v/>
      </c>
      <c r="E1343" s="7" t="str">
        <f>IFERROR(INDEX($A$1:$A$5000,MATCH(ROWS($D$1:$D1343),$D$1:$D$5000,0)),"")</f>
        <v/>
      </c>
    </row>
    <row r="1344" spans="3:5">
      <c r="C1344" s="17">
        <f t="shared" si="20"/>
        <v>0</v>
      </c>
      <c r="D1344" s="17" t="str">
        <f>IF(C1344=1,COUNTIF($C$1:$C1344,1),"")</f>
        <v/>
      </c>
      <c r="E1344" s="7" t="str">
        <f>IFERROR(INDEX($A$1:$A$5000,MATCH(ROWS($D$1:$D1344),$D$1:$D$5000,0)),"")</f>
        <v/>
      </c>
    </row>
    <row r="1345" spans="3:5">
      <c r="C1345" s="17">
        <f t="shared" si="20"/>
        <v>0</v>
      </c>
      <c r="D1345" s="17" t="str">
        <f>IF(C1345=1,COUNTIF($C$1:$C1345,1),"")</f>
        <v/>
      </c>
      <c r="E1345" s="7" t="str">
        <f>IFERROR(INDEX($A$1:$A$5000,MATCH(ROWS($D$1:$D1345),$D$1:$D$5000,0)),"")</f>
        <v/>
      </c>
    </row>
    <row r="1346" spans="3:5">
      <c r="C1346" s="17">
        <f t="shared" ref="C1346:C1409" si="21">--ISNUMBER(SEARCH($B$1,A1346))</f>
        <v>0</v>
      </c>
      <c r="D1346" s="17" t="str">
        <f>IF(C1346=1,COUNTIF($C$1:$C1346,1),"")</f>
        <v/>
      </c>
      <c r="E1346" s="7" t="str">
        <f>IFERROR(INDEX($A$1:$A$5000,MATCH(ROWS($D$1:$D1346),$D$1:$D$5000,0)),"")</f>
        <v/>
      </c>
    </row>
    <row r="1347" spans="3:5">
      <c r="C1347" s="17">
        <f t="shared" si="21"/>
        <v>0</v>
      </c>
      <c r="D1347" s="17" t="str">
        <f>IF(C1347=1,COUNTIF($C$1:$C1347,1),"")</f>
        <v/>
      </c>
      <c r="E1347" s="7" t="str">
        <f>IFERROR(INDEX($A$1:$A$5000,MATCH(ROWS($D$1:$D1347),$D$1:$D$5000,0)),"")</f>
        <v/>
      </c>
    </row>
    <row r="1348" spans="3:5">
      <c r="C1348" s="17">
        <f t="shared" si="21"/>
        <v>0</v>
      </c>
      <c r="D1348" s="17" t="str">
        <f>IF(C1348=1,COUNTIF($C$1:$C1348,1),"")</f>
        <v/>
      </c>
      <c r="E1348" s="7" t="str">
        <f>IFERROR(INDEX($A$1:$A$5000,MATCH(ROWS($D$1:$D1348),$D$1:$D$5000,0)),"")</f>
        <v/>
      </c>
    </row>
    <row r="1349" spans="3:5">
      <c r="C1349" s="17">
        <f t="shared" si="21"/>
        <v>0</v>
      </c>
      <c r="D1349" s="17" t="str">
        <f>IF(C1349=1,COUNTIF($C$1:$C1349,1),"")</f>
        <v/>
      </c>
      <c r="E1349" s="7" t="str">
        <f>IFERROR(INDEX($A$1:$A$5000,MATCH(ROWS($D$1:$D1349),$D$1:$D$5000,0)),"")</f>
        <v/>
      </c>
    </row>
    <row r="1350" spans="3:5">
      <c r="C1350" s="17">
        <f t="shared" si="21"/>
        <v>0</v>
      </c>
      <c r="D1350" s="17" t="str">
        <f>IF(C1350=1,COUNTIF($C$1:$C1350,1),"")</f>
        <v/>
      </c>
      <c r="E1350" s="7" t="str">
        <f>IFERROR(INDEX($A$1:$A$5000,MATCH(ROWS($D$1:$D1350),$D$1:$D$5000,0)),"")</f>
        <v/>
      </c>
    </row>
    <row r="1351" spans="3:5">
      <c r="C1351" s="17">
        <f t="shared" si="21"/>
        <v>0</v>
      </c>
      <c r="D1351" s="17" t="str">
        <f>IF(C1351=1,COUNTIF($C$1:$C1351,1),"")</f>
        <v/>
      </c>
      <c r="E1351" s="7" t="str">
        <f>IFERROR(INDEX($A$1:$A$5000,MATCH(ROWS($D$1:$D1351),$D$1:$D$5000,0)),"")</f>
        <v/>
      </c>
    </row>
    <row r="1352" spans="3:5">
      <c r="C1352" s="17">
        <f t="shared" si="21"/>
        <v>0</v>
      </c>
      <c r="D1352" s="17" t="str">
        <f>IF(C1352=1,COUNTIF($C$1:$C1352,1),"")</f>
        <v/>
      </c>
      <c r="E1352" s="7" t="str">
        <f>IFERROR(INDEX($A$1:$A$5000,MATCH(ROWS($D$1:$D1352),$D$1:$D$5000,0)),"")</f>
        <v/>
      </c>
    </row>
    <row r="1353" spans="3:5">
      <c r="C1353" s="17">
        <f t="shared" si="21"/>
        <v>0</v>
      </c>
      <c r="D1353" s="17" t="str">
        <f>IF(C1353=1,COUNTIF($C$1:$C1353,1),"")</f>
        <v/>
      </c>
      <c r="E1353" s="7" t="str">
        <f>IFERROR(INDEX($A$1:$A$5000,MATCH(ROWS($D$1:$D1353),$D$1:$D$5000,0)),"")</f>
        <v/>
      </c>
    </row>
    <row r="1354" spans="3:5">
      <c r="C1354" s="17">
        <f t="shared" si="21"/>
        <v>0</v>
      </c>
      <c r="D1354" s="17" t="str">
        <f>IF(C1354=1,COUNTIF($C$1:$C1354,1),"")</f>
        <v/>
      </c>
      <c r="E1354" s="7" t="str">
        <f>IFERROR(INDEX($A$1:$A$5000,MATCH(ROWS($D$1:$D1354),$D$1:$D$5000,0)),"")</f>
        <v/>
      </c>
    </row>
    <row r="1355" spans="3:5">
      <c r="C1355" s="17">
        <f t="shared" si="21"/>
        <v>0</v>
      </c>
      <c r="D1355" s="17" t="str">
        <f>IF(C1355=1,COUNTIF($C$1:$C1355,1),"")</f>
        <v/>
      </c>
      <c r="E1355" s="7" t="str">
        <f>IFERROR(INDEX($A$1:$A$5000,MATCH(ROWS($D$1:$D1355),$D$1:$D$5000,0)),"")</f>
        <v/>
      </c>
    </row>
    <row r="1356" spans="3:5">
      <c r="C1356" s="17">
        <f t="shared" si="21"/>
        <v>0</v>
      </c>
      <c r="D1356" s="17" t="str">
        <f>IF(C1356=1,COUNTIF($C$1:$C1356,1),"")</f>
        <v/>
      </c>
      <c r="E1356" s="7" t="str">
        <f>IFERROR(INDEX($A$1:$A$5000,MATCH(ROWS($D$1:$D1356),$D$1:$D$5000,0)),"")</f>
        <v/>
      </c>
    </row>
    <row r="1357" spans="3:5">
      <c r="C1357" s="17">
        <f t="shared" si="21"/>
        <v>0</v>
      </c>
      <c r="D1357" s="17" t="str">
        <f>IF(C1357=1,COUNTIF($C$1:$C1357,1),"")</f>
        <v/>
      </c>
      <c r="E1357" s="7" t="str">
        <f>IFERROR(INDEX($A$1:$A$5000,MATCH(ROWS($D$1:$D1357),$D$1:$D$5000,0)),"")</f>
        <v/>
      </c>
    </row>
    <row r="1358" spans="3:5">
      <c r="C1358" s="17">
        <f t="shared" si="21"/>
        <v>0</v>
      </c>
      <c r="D1358" s="17" t="str">
        <f>IF(C1358=1,COUNTIF($C$1:$C1358,1),"")</f>
        <v/>
      </c>
      <c r="E1358" s="7" t="str">
        <f>IFERROR(INDEX($A$1:$A$5000,MATCH(ROWS($D$1:$D1358),$D$1:$D$5000,0)),"")</f>
        <v/>
      </c>
    </row>
    <row r="1359" spans="3:5">
      <c r="C1359" s="17">
        <f t="shared" si="21"/>
        <v>0</v>
      </c>
      <c r="D1359" s="17" t="str">
        <f>IF(C1359=1,COUNTIF($C$1:$C1359,1),"")</f>
        <v/>
      </c>
      <c r="E1359" s="7" t="str">
        <f>IFERROR(INDEX($A$1:$A$5000,MATCH(ROWS($D$1:$D1359),$D$1:$D$5000,0)),"")</f>
        <v/>
      </c>
    </row>
    <row r="1360" spans="3:5">
      <c r="C1360" s="17">
        <f t="shared" si="21"/>
        <v>0</v>
      </c>
      <c r="D1360" s="17" t="str">
        <f>IF(C1360=1,COUNTIF($C$1:$C1360,1),"")</f>
        <v/>
      </c>
      <c r="E1360" s="7" t="str">
        <f>IFERROR(INDEX($A$1:$A$5000,MATCH(ROWS($D$1:$D1360),$D$1:$D$5000,0)),"")</f>
        <v/>
      </c>
    </row>
    <row r="1361" spans="3:5">
      <c r="C1361" s="17">
        <f t="shared" si="21"/>
        <v>0</v>
      </c>
      <c r="D1361" s="17" t="str">
        <f>IF(C1361=1,COUNTIF($C$1:$C1361,1),"")</f>
        <v/>
      </c>
      <c r="E1361" s="7" t="str">
        <f>IFERROR(INDEX($A$1:$A$5000,MATCH(ROWS($D$1:$D1361),$D$1:$D$5000,0)),"")</f>
        <v/>
      </c>
    </row>
    <row r="1362" spans="3:5">
      <c r="C1362" s="17">
        <f t="shared" si="21"/>
        <v>0</v>
      </c>
      <c r="D1362" s="17" t="str">
        <f>IF(C1362=1,COUNTIF($C$1:$C1362,1),"")</f>
        <v/>
      </c>
      <c r="E1362" s="7" t="str">
        <f>IFERROR(INDEX($A$1:$A$5000,MATCH(ROWS($D$1:$D1362),$D$1:$D$5000,0)),"")</f>
        <v/>
      </c>
    </row>
    <row r="1363" spans="3:5">
      <c r="C1363" s="17">
        <f t="shared" si="21"/>
        <v>0</v>
      </c>
      <c r="D1363" s="17" t="str">
        <f>IF(C1363=1,COUNTIF($C$1:$C1363,1),"")</f>
        <v/>
      </c>
      <c r="E1363" s="7" t="str">
        <f>IFERROR(INDEX($A$1:$A$5000,MATCH(ROWS($D$1:$D1363),$D$1:$D$5000,0)),"")</f>
        <v/>
      </c>
    </row>
    <row r="1364" spans="3:5">
      <c r="C1364" s="17">
        <f t="shared" si="21"/>
        <v>0</v>
      </c>
      <c r="D1364" s="17" t="str">
        <f>IF(C1364=1,COUNTIF($C$1:$C1364,1),"")</f>
        <v/>
      </c>
      <c r="E1364" s="7" t="str">
        <f>IFERROR(INDEX($A$1:$A$5000,MATCH(ROWS($D$1:$D1364),$D$1:$D$5000,0)),"")</f>
        <v/>
      </c>
    </row>
    <row r="1365" spans="3:5">
      <c r="C1365" s="17">
        <f t="shared" si="21"/>
        <v>0</v>
      </c>
      <c r="D1365" s="17" t="str">
        <f>IF(C1365=1,COUNTIF($C$1:$C1365,1),"")</f>
        <v/>
      </c>
      <c r="E1365" s="7" t="str">
        <f>IFERROR(INDEX($A$1:$A$5000,MATCH(ROWS($D$1:$D1365),$D$1:$D$5000,0)),"")</f>
        <v/>
      </c>
    </row>
    <row r="1366" spans="3:5">
      <c r="C1366" s="17">
        <f t="shared" si="21"/>
        <v>0</v>
      </c>
      <c r="D1366" s="17" t="str">
        <f>IF(C1366=1,COUNTIF($C$1:$C1366,1),"")</f>
        <v/>
      </c>
      <c r="E1366" s="7" t="str">
        <f>IFERROR(INDEX($A$1:$A$5000,MATCH(ROWS($D$1:$D1366),$D$1:$D$5000,0)),"")</f>
        <v/>
      </c>
    </row>
    <row r="1367" spans="3:5">
      <c r="C1367" s="17">
        <f t="shared" si="21"/>
        <v>0</v>
      </c>
      <c r="D1367" s="17" t="str">
        <f>IF(C1367=1,COUNTIF($C$1:$C1367,1),"")</f>
        <v/>
      </c>
      <c r="E1367" s="7" t="str">
        <f>IFERROR(INDEX($A$1:$A$5000,MATCH(ROWS($D$1:$D1367),$D$1:$D$5000,0)),"")</f>
        <v/>
      </c>
    </row>
    <row r="1368" spans="3:5">
      <c r="C1368" s="17">
        <f t="shared" si="21"/>
        <v>0</v>
      </c>
      <c r="D1368" s="17" t="str">
        <f>IF(C1368=1,COUNTIF($C$1:$C1368,1),"")</f>
        <v/>
      </c>
      <c r="E1368" s="7" t="str">
        <f>IFERROR(INDEX($A$1:$A$5000,MATCH(ROWS($D$1:$D1368),$D$1:$D$5000,0)),"")</f>
        <v/>
      </c>
    </row>
    <row r="1369" spans="3:5">
      <c r="C1369" s="17">
        <f t="shared" si="21"/>
        <v>0</v>
      </c>
      <c r="D1369" s="17" t="str">
        <f>IF(C1369=1,COUNTIF($C$1:$C1369,1),"")</f>
        <v/>
      </c>
      <c r="E1369" s="7" t="str">
        <f>IFERROR(INDEX($A$1:$A$5000,MATCH(ROWS($D$1:$D1369),$D$1:$D$5000,0)),"")</f>
        <v/>
      </c>
    </row>
    <row r="1370" spans="3:5">
      <c r="C1370" s="17">
        <f t="shared" si="21"/>
        <v>0</v>
      </c>
      <c r="D1370" s="17" t="str">
        <f>IF(C1370=1,COUNTIF($C$1:$C1370,1),"")</f>
        <v/>
      </c>
      <c r="E1370" s="7" t="str">
        <f>IFERROR(INDEX($A$1:$A$5000,MATCH(ROWS($D$1:$D1370),$D$1:$D$5000,0)),"")</f>
        <v/>
      </c>
    </row>
    <row r="1371" spans="3:5">
      <c r="C1371" s="17">
        <f t="shared" si="21"/>
        <v>0</v>
      </c>
      <c r="D1371" s="17" t="str">
        <f>IF(C1371=1,COUNTIF($C$1:$C1371,1),"")</f>
        <v/>
      </c>
      <c r="E1371" s="7" t="str">
        <f>IFERROR(INDEX($A$1:$A$5000,MATCH(ROWS($D$1:$D1371),$D$1:$D$5000,0)),"")</f>
        <v/>
      </c>
    </row>
    <row r="1372" spans="3:5">
      <c r="C1372" s="17">
        <f t="shared" si="21"/>
        <v>0</v>
      </c>
      <c r="D1372" s="17" t="str">
        <f>IF(C1372=1,COUNTIF($C$1:$C1372,1),"")</f>
        <v/>
      </c>
      <c r="E1372" s="7" t="str">
        <f>IFERROR(INDEX($A$1:$A$5000,MATCH(ROWS($D$1:$D1372),$D$1:$D$5000,0)),"")</f>
        <v/>
      </c>
    </row>
    <row r="1373" spans="3:5">
      <c r="C1373" s="17">
        <f t="shared" si="21"/>
        <v>0</v>
      </c>
      <c r="D1373" s="17" t="str">
        <f>IF(C1373=1,COUNTIF($C$1:$C1373,1),"")</f>
        <v/>
      </c>
      <c r="E1373" s="7" t="str">
        <f>IFERROR(INDEX($A$1:$A$5000,MATCH(ROWS($D$1:$D1373),$D$1:$D$5000,0)),"")</f>
        <v/>
      </c>
    </row>
    <row r="1374" spans="3:5">
      <c r="C1374" s="17">
        <f t="shared" si="21"/>
        <v>0</v>
      </c>
      <c r="D1374" s="17" t="str">
        <f>IF(C1374=1,COUNTIF($C$1:$C1374,1),"")</f>
        <v/>
      </c>
      <c r="E1374" s="7" t="str">
        <f>IFERROR(INDEX($A$1:$A$5000,MATCH(ROWS($D$1:$D1374),$D$1:$D$5000,0)),"")</f>
        <v/>
      </c>
    </row>
    <row r="1375" spans="3:5">
      <c r="C1375" s="17">
        <f t="shared" si="21"/>
        <v>0</v>
      </c>
      <c r="D1375" s="17" t="str">
        <f>IF(C1375=1,COUNTIF($C$1:$C1375,1),"")</f>
        <v/>
      </c>
      <c r="E1375" s="7" t="str">
        <f>IFERROR(INDEX($A$1:$A$5000,MATCH(ROWS($D$1:$D1375),$D$1:$D$5000,0)),"")</f>
        <v/>
      </c>
    </row>
    <row r="1376" spans="3:5">
      <c r="C1376" s="17">
        <f t="shared" si="21"/>
        <v>0</v>
      </c>
      <c r="D1376" s="17" t="str">
        <f>IF(C1376=1,COUNTIF($C$1:$C1376,1),"")</f>
        <v/>
      </c>
      <c r="E1376" s="7" t="str">
        <f>IFERROR(INDEX($A$1:$A$5000,MATCH(ROWS($D$1:$D1376),$D$1:$D$5000,0)),"")</f>
        <v/>
      </c>
    </row>
    <row r="1377" spans="3:5">
      <c r="C1377" s="17">
        <f t="shared" si="21"/>
        <v>0</v>
      </c>
      <c r="D1377" s="17" t="str">
        <f>IF(C1377=1,COUNTIF($C$1:$C1377,1),"")</f>
        <v/>
      </c>
      <c r="E1377" s="7" t="str">
        <f>IFERROR(INDEX($A$1:$A$5000,MATCH(ROWS($D$1:$D1377),$D$1:$D$5000,0)),"")</f>
        <v/>
      </c>
    </row>
    <row r="1378" spans="3:5">
      <c r="C1378" s="17">
        <f t="shared" si="21"/>
        <v>0</v>
      </c>
      <c r="D1378" s="17" t="str">
        <f>IF(C1378=1,COUNTIF($C$1:$C1378,1),"")</f>
        <v/>
      </c>
      <c r="E1378" s="7" t="str">
        <f>IFERROR(INDEX($A$1:$A$5000,MATCH(ROWS($D$1:$D1378),$D$1:$D$5000,0)),"")</f>
        <v/>
      </c>
    </row>
    <row r="1379" spans="3:5">
      <c r="C1379" s="17">
        <f t="shared" si="21"/>
        <v>0</v>
      </c>
      <c r="D1379" s="17" t="str">
        <f>IF(C1379=1,COUNTIF($C$1:$C1379,1),"")</f>
        <v/>
      </c>
      <c r="E1379" s="7" t="str">
        <f>IFERROR(INDEX($A$1:$A$5000,MATCH(ROWS($D$1:$D1379),$D$1:$D$5000,0)),"")</f>
        <v/>
      </c>
    </row>
    <row r="1380" spans="3:5">
      <c r="C1380" s="17">
        <f t="shared" si="21"/>
        <v>0</v>
      </c>
      <c r="D1380" s="17" t="str">
        <f>IF(C1380=1,COUNTIF($C$1:$C1380,1),"")</f>
        <v/>
      </c>
      <c r="E1380" s="7" t="str">
        <f>IFERROR(INDEX($A$1:$A$5000,MATCH(ROWS($D$1:$D1380),$D$1:$D$5000,0)),"")</f>
        <v/>
      </c>
    </row>
    <row r="1381" spans="3:5">
      <c r="C1381" s="17">
        <f t="shared" si="21"/>
        <v>0</v>
      </c>
      <c r="D1381" s="17" t="str">
        <f>IF(C1381=1,COUNTIF($C$1:$C1381,1),"")</f>
        <v/>
      </c>
      <c r="E1381" s="7" t="str">
        <f>IFERROR(INDEX($A$1:$A$5000,MATCH(ROWS($D$1:$D1381),$D$1:$D$5000,0)),"")</f>
        <v/>
      </c>
    </row>
    <row r="1382" spans="3:5">
      <c r="C1382" s="17">
        <f t="shared" si="21"/>
        <v>0</v>
      </c>
      <c r="D1382" s="17" t="str">
        <f>IF(C1382=1,COUNTIF($C$1:$C1382,1),"")</f>
        <v/>
      </c>
      <c r="E1382" s="7" t="str">
        <f>IFERROR(INDEX($A$1:$A$5000,MATCH(ROWS($D$1:$D1382),$D$1:$D$5000,0)),"")</f>
        <v/>
      </c>
    </row>
    <row r="1383" spans="3:5">
      <c r="C1383" s="17">
        <f t="shared" si="21"/>
        <v>0</v>
      </c>
      <c r="D1383" s="17" t="str">
        <f>IF(C1383=1,COUNTIF($C$1:$C1383,1),"")</f>
        <v/>
      </c>
      <c r="E1383" s="7" t="str">
        <f>IFERROR(INDEX($A$1:$A$5000,MATCH(ROWS($D$1:$D1383),$D$1:$D$5000,0)),"")</f>
        <v/>
      </c>
    </row>
    <row r="1384" spans="3:5">
      <c r="C1384" s="17">
        <f t="shared" si="21"/>
        <v>0</v>
      </c>
      <c r="D1384" s="17" t="str">
        <f>IF(C1384=1,COUNTIF($C$1:$C1384,1),"")</f>
        <v/>
      </c>
      <c r="E1384" s="7" t="str">
        <f>IFERROR(INDEX($A$1:$A$5000,MATCH(ROWS($D$1:$D1384),$D$1:$D$5000,0)),"")</f>
        <v/>
      </c>
    </row>
    <row r="1385" spans="3:5">
      <c r="C1385" s="17">
        <f t="shared" si="21"/>
        <v>0</v>
      </c>
      <c r="D1385" s="17" t="str">
        <f>IF(C1385=1,COUNTIF($C$1:$C1385,1),"")</f>
        <v/>
      </c>
      <c r="E1385" s="7" t="str">
        <f>IFERROR(INDEX($A$1:$A$5000,MATCH(ROWS($D$1:$D1385),$D$1:$D$5000,0)),"")</f>
        <v/>
      </c>
    </row>
    <row r="1386" spans="3:5">
      <c r="C1386" s="17">
        <f t="shared" si="21"/>
        <v>0</v>
      </c>
      <c r="D1386" s="17" t="str">
        <f>IF(C1386=1,COUNTIF($C$1:$C1386,1),"")</f>
        <v/>
      </c>
      <c r="E1386" s="7" t="str">
        <f>IFERROR(INDEX($A$1:$A$5000,MATCH(ROWS($D$1:$D1386),$D$1:$D$5000,0)),"")</f>
        <v/>
      </c>
    </row>
    <row r="1387" spans="3:5">
      <c r="C1387" s="17">
        <f t="shared" si="21"/>
        <v>0</v>
      </c>
      <c r="D1387" s="17" t="str">
        <f>IF(C1387=1,COUNTIF($C$1:$C1387,1),"")</f>
        <v/>
      </c>
      <c r="E1387" s="7" t="str">
        <f>IFERROR(INDEX($A$1:$A$5000,MATCH(ROWS($D$1:$D1387),$D$1:$D$5000,0)),"")</f>
        <v/>
      </c>
    </row>
    <row r="1388" spans="3:5">
      <c r="C1388" s="17">
        <f t="shared" si="21"/>
        <v>0</v>
      </c>
      <c r="D1388" s="17" t="str">
        <f>IF(C1388=1,COUNTIF($C$1:$C1388,1),"")</f>
        <v/>
      </c>
      <c r="E1388" s="7" t="str">
        <f>IFERROR(INDEX($A$1:$A$5000,MATCH(ROWS($D$1:$D1388),$D$1:$D$5000,0)),"")</f>
        <v/>
      </c>
    </row>
    <row r="1389" spans="3:5">
      <c r="C1389" s="17">
        <f t="shared" si="21"/>
        <v>0</v>
      </c>
      <c r="D1389" s="17" t="str">
        <f>IF(C1389=1,COUNTIF($C$1:$C1389,1),"")</f>
        <v/>
      </c>
      <c r="E1389" s="7" t="str">
        <f>IFERROR(INDEX($A$1:$A$5000,MATCH(ROWS($D$1:$D1389),$D$1:$D$5000,0)),"")</f>
        <v/>
      </c>
    </row>
    <row r="1390" spans="3:5">
      <c r="C1390" s="17">
        <f t="shared" si="21"/>
        <v>0</v>
      </c>
      <c r="D1390" s="17" t="str">
        <f>IF(C1390=1,COUNTIF($C$1:$C1390,1),"")</f>
        <v/>
      </c>
      <c r="E1390" s="7" t="str">
        <f>IFERROR(INDEX($A$1:$A$5000,MATCH(ROWS($D$1:$D1390),$D$1:$D$5000,0)),"")</f>
        <v/>
      </c>
    </row>
    <row r="1391" spans="3:5">
      <c r="C1391" s="17">
        <f t="shared" si="21"/>
        <v>0</v>
      </c>
      <c r="D1391" s="17" t="str">
        <f>IF(C1391=1,COUNTIF($C$1:$C1391,1),"")</f>
        <v/>
      </c>
      <c r="E1391" s="7" t="str">
        <f>IFERROR(INDEX($A$1:$A$5000,MATCH(ROWS($D$1:$D1391),$D$1:$D$5000,0)),"")</f>
        <v/>
      </c>
    </row>
    <row r="1392" spans="3:5">
      <c r="C1392" s="17">
        <f t="shared" si="21"/>
        <v>0</v>
      </c>
      <c r="D1392" s="17" t="str">
        <f>IF(C1392=1,COUNTIF($C$1:$C1392,1),"")</f>
        <v/>
      </c>
      <c r="E1392" s="7" t="str">
        <f>IFERROR(INDEX($A$1:$A$5000,MATCH(ROWS($D$1:$D1392),$D$1:$D$5000,0)),"")</f>
        <v/>
      </c>
    </row>
    <row r="1393" spans="3:5">
      <c r="C1393" s="17">
        <f t="shared" si="21"/>
        <v>0</v>
      </c>
      <c r="D1393" s="17" t="str">
        <f>IF(C1393=1,COUNTIF($C$1:$C1393,1),"")</f>
        <v/>
      </c>
      <c r="E1393" s="7" t="str">
        <f>IFERROR(INDEX($A$1:$A$5000,MATCH(ROWS($D$1:$D1393),$D$1:$D$5000,0)),"")</f>
        <v/>
      </c>
    </row>
    <row r="1394" spans="3:5">
      <c r="C1394" s="17">
        <f t="shared" si="21"/>
        <v>0</v>
      </c>
      <c r="D1394" s="17" t="str">
        <f>IF(C1394=1,COUNTIF($C$1:$C1394,1),"")</f>
        <v/>
      </c>
      <c r="E1394" s="7" t="str">
        <f>IFERROR(INDEX($A$1:$A$5000,MATCH(ROWS($D$1:$D1394),$D$1:$D$5000,0)),"")</f>
        <v/>
      </c>
    </row>
    <row r="1395" spans="3:5">
      <c r="C1395" s="17">
        <f t="shared" si="21"/>
        <v>0</v>
      </c>
      <c r="D1395" s="17" t="str">
        <f>IF(C1395=1,COUNTIF($C$1:$C1395,1),"")</f>
        <v/>
      </c>
      <c r="E1395" s="7" t="str">
        <f>IFERROR(INDEX($A$1:$A$5000,MATCH(ROWS($D$1:$D1395),$D$1:$D$5000,0)),"")</f>
        <v/>
      </c>
    </row>
    <row r="1396" spans="3:5">
      <c r="C1396" s="17">
        <f t="shared" si="21"/>
        <v>0</v>
      </c>
      <c r="D1396" s="17" t="str">
        <f>IF(C1396=1,COUNTIF($C$1:$C1396,1),"")</f>
        <v/>
      </c>
      <c r="E1396" s="7" t="str">
        <f>IFERROR(INDEX($A$1:$A$5000,MATCH(ROWS($D$1:$D1396),$D$1:$D$5000,0)),"")</f>
        <v/>
      </c>
    </row>
    <row r="1397" spans="3:5">
      <c r="C1397" s="17">
        <f t="shared" si="21"/>
        <v>0</v>
      </c>
      <c r="D1397" s="17" t="str">
        <f>IF(C1397=1,COUNTIF($C$1:$C1397,1),"")</f>
        <v/>
      </c>
      <c r="E1397" s="7" t="str">
        <f>IFERROR(INDEX($A$1:$A$5000,MATCH(ROWS($D$1:$D1397),$D$1:$D$5000,0)),"")</f>
        <v/>
      </c>
    </row>
    <row r="1398" spans="3:5">
      <c r="C1398" s="17">
        <f t="shared" si="21"/>
        <v>0</v>
      </c>
      <c r="D1398" s="17" t="str">
        <f>IF(C1398=1,COUNTIF($C$1:$C1398,1),"")</f>
        <v/>
      </c>
      <c r="E1398" s="7" t="str">
        <f>IFERROR(INDEX($A$1:$A$5000,MATCH(ROWS($D$1:$D1398),$D$1:$D$5000,0)),"")</f>
        <v/>
      </c>
    </row>
    <row r="1399" spans="3:5">
      <c r="C1399" s="17">
        <f t="shared" si="21"/>
        <v>0</v>
      </c>
      <c r="D1399" s="17" t="str">
        <f>IF(C1399=1,COUNTIF($C$1:$C1399,1),"")</f>
        <v/>
      </c>
      <c r="E1399" s="7" t="str">
        <f>IFERROR(INDEX($A$1:$A$5000,MATCH(ROWS($D$1:$D1399),$D$1:$D$5000,0)),"")</f>
        <v/>
      </c>
    </row>
    <row r="1400" spans="3:5">
      <c r="C1400" s="17">
        <f t="shared" si="21"/>
        <v>0</v>
      </c>
      <c r="D1400" s="17" t="str">
        <f>IF(C1400=1,COUNTIF($C$1:$C1400,1),"")</f>
        <v/>
      </c>
      <c r="E1400" s="7" t="str">
        <f>IFERROR(INDEX($A$1:$A$5000,MATCH(ROWS($D$1:$D1400),$D$1:$D$5000,0)),"")</f>
        <v/>
      </c>
    </row>
    <row r="1401" spans="3:5">
      <c r="C1401" s="17">
        <f t="shared" si="21"/>
        <v>0</v>
      </c>
      <c r="D1401" s="17" t="str">
        <f>IF(C1401=1,COUNTIF($C$1:$C1401,1),"")</f>
        <v/>
      </c>
      <c r="E1401" s="7" t="str">
        <f>IFERROR(INDEX($A$1:$A$5000,MATCH(ROWS($D$1:$D1401),$D$1:$D$5000,0)),"")</f>
        <v/>
      </c>
    </row>
    <row r="1402" spans="3:5">
      <c r="C1402" s="17">
        <f t="shared" si="21"/>
        <v>0</v>
      </c>
      <c r="D1402" s="17" t="str">
        <f>IF(C1402=1,COUNTIF($C$1:$C1402,1),"")</f>
        <v/>
      </c>
      <c r="E1402" s="7" t="str">
        <f>IFERROR(INDEX($A$1:$A$5000,MATCH(ROWS($D$1:$D1402),$D$1:$D$5000,0)),"")</f>
        <v/>
      </c>
    </row>
    <row r="1403" spans="3:5">
      <c r="C1403" s="17">
        <f t="shared" si="21"/>
        <v>0</v>
      </c>
      <c r="D1403" s="17" t="str">
        <f>IF(C1403=1,COUNTIF($C$1:$C1403,1),"")</f>
        <v/>
      </c>
      <c r="E1403" s="7" t="str">
        <f>IFERROR(INDEX($A$1:$A$5000,MATCH(ROWS($D$1:$D1403),$D$1:$D$5000,0)),"")</f>
        <v/>
      </c>
    </row>
    <row r="1404" spans="3:5">
      <c r="C1404" s="17">
        <f t="shared" si="21"/>
        <v>0</v>
      </c>
      <c r="D1404" s="17" t="str">
        <f>IF(C1404=1,COUNTIF($C$1:$C1404,1),"")</f>
        <v/>
      </c>
      <c r="E1404" s="7" t="str">
        <f>IFERROR(INDEX($A$1:$A$5000,MATCH(ROWS($D$1:$D1404),$D$1:$D$5000,0)),"")</f>
        <v/>
      </c>
    </row>
    <row r="1405" spans="3:5">
      <c r="C1405" s="17">
        <f t="shared" si="21"/>
        <v>0</v>
      </c>
      <c r="D1405" s="17" t="str">
        <f>IF(C1405=1,COUNTIF($C$1:$C1405,1),"")</f>
        <v/>
      </c>
      <c r="E1405" s="7" t="str">
        <f>IFERROR(INDEX($A$1:$A$5000,MATCH(ROWS($D$1:$D1405),$D$1:$D$5000,0)),"")</f>
        <v/>
      </c>
    </row>
    <row r="1406" spans="3:5">
      <c r="C1406" s="17">
        <f t="shared" si="21"/>
        <v>0</v>
      </c>
      <c r="D1406" s="17" t="str">
        <f>IF(C1406=1,COUNTIF($C$1:$C1406,1),"")</f>
        <v/>
      </c>
      <c r="E1406" s="7" t="str">
        <f>IFERROR(INDEX($A$1:$A$5000,MATCH(ROWS($D$1:$D1406),$D$1:$D$5000,0)),"")</f>
        <v/>
      </c>
    </row>
    <row r="1407" spans="3:5">
      <c r="C1407" s="17">
        <f t="shared" si="21"/>
        <v>0</v>
      </c>
      <c r="D1407" s="17" t="str">
        <f>IF(C1407=1,COUNTIF($C$1:$C1407,1),"")</f>
        <v/>
      </c>
      <c r="E1407" s="7" t="str">
        <f>IFERROR(INDEX($A$1:$A$5000,MATCH(ROWS($D$1:$D1407),$D$1:$D$5000,0)),"")</f>
        <v/>
      </c>
    </row>
    <row r="1408" spans="3:5">
      <c r="C1408" s="17">
        <f t="shared" si="21"/>
        <v>0</v>
      </c>
      <c r="D1408" s="17" t="str">
        <f>IF(C1408=1,COUNTIF($C$1:$C1408,1),"")</f>
        <v/>
      </c>
      <c r="E1408" s="7" t="str">
        <f>IFERROR(INDEX($A$1:$A$5000,MATCH(ROWS($D$1:$D1408),$D$1:$D$5000,0)),"")</f>
        <v/>
      </c>
    </row>
    <row r="1409" spans="3:5">
      <c r="C1409" s="17">
        <f t="shared" si="21"/>
        <v>0</v>
      </c>
      <c r="D1409" s="17" t="str">
        <f>IF(C1409=1,COUNTIF($C$1:$C1409,1),"")</f>
        <v/>
      </c>
      <c r="E1409" s="7" t="str">
        <f>IFERROR(INDEX($A$1:$A$5000,MATCH(ROWS($D$1:$D1409),$D$1:$D$5000,0)),"")</f>
        <v/>
      </c>
    </row>
    <row r="1410" spans="3:5">
      <c r="C1410" s="17">
        <f t="shared" ref="C1410:C1473" si="22">--ISNUMBER(SEARCH($B$1,A1410))</f>
        <v>0</v>
      </c>
      <c r="D1410" s="17" t="str">
        <f>IF(C1410=1,COUNTIF($C$1:$C1410,1),"")</f>
        <v/>
      </c>
      <c r="E1410" s="7" t="str">
        <f>IFERROR(INDEX($A$1:$A$5000,MATCH(ROWS($D$1:$D1410),$D$1:$D$5000,0)),"")</f>
        <v/>
      </c>
    </row>
    <row r="1411" spans="3:5">
      <c r="C1411" s="17">
        <f t="shared" si="22"/>
        <v>0</v>
      </c>
      <c r="D1411" s="17" t="str">
        <f>IF(C1411=1,COUNTIF($C$1:$C1411,1),"")</f>
        <v/>
      </c>
      <c r="E1411" s="7" t="str">
        <f>IFERROR(INDEX($A$1:$A$5000,MATCH(ROWS($D$1:$D1411),$D$1:$D$5000,0)),"")</f>
        <v/>
      </c>
    </row>
    <row r="1412" spans="3:5">
      <c r="C1412" s="17">
        <f t="shared" si="22"/>
        <v>0</v>
      </c>
      <c r="D1412" s="17" t="str">
        <f>IF(C1412=1,COUNTIF($C$1:$C1412,1),"")</f>
        <v/>
      </c>
      <c r="E1412" s="7" t="str">
        <f>IFERROR(INDEX($A$1:$A$5000,MATCH(ROWS($D$1:$D1412),$D$1:$D$5000,0)),"")</f>
        <v/>
      </c>
    </row>
    <row r="1413" spans="3:5">
      <c r="C1413" s="17">
        <f t="shared" si="22"/>
        <v>0</v>
      </c>
      <c r="D1413" s="17" t="str">
        <f>IF(C1413=1,COUNTIF($C$1:$C1413,1),"")</f>
        <v/>
      </c>
      <c r="E1413" s="7" t="str">
        <f>IFERROR(INDEX($A$1:$A$5000,MATCH(ROWS($D$1:$D1413),$D$1:$D$5000,0)),"")</f>
        <v/>
      </c>
    </row>
    <row r="1414" spans="3:5">
      <c r="C1414" s="17">
        <f t="shared" si="22"/>
        <v>0</v>
      </c>
      <c r="D1414" s="17" t="str">
        <f>IF(C1414=1,COUNTIF($C$1:$C1414,1),"")</f>
        <v/>
      </c>
      <c r="E1414" s="7" t="str">
        <f>IFERROR(INDEX($A$1:$A$5000,MATCH(ROWS($D$1:$D1414),$D$1:$D$5000,0)),"")</f>
        <v/>
      </c>
    </row>
    <row r="1415" spans="3:5">
      <c r="C1415" s="17">
        <f t="shared" si="22"/>
        <v>0</v>
      </c>
      <c r="D1415" s="17" t="str">
        <f>IF(C1415=1,COUNTIF($C$1:$C1415,1),"")</f>
        <v/>
      </c>
      <c r="E1415" s="7" t="str">
        <f>IFERROR(INDEX($A$1:$A$5000,MATCH(ROWS($D$1:$D1415),$D$1:$D$5000,0)),"")</f>
        <v/>
      </c>
    </row>
    <row r="1416" spans="3:5">
      <c r="C1416" s="17">
        <f t="shared" si="22"/>
        <v>0</v>
      </c>
      <c r="D1416" s="17" t="str">
        <f>IF(C1416=1,COUNTIF($C$1:$C1416,1),"")</f>
        <v/>
      </c>
      <c r="E1416" s="7" t="str">
        <f>IFERROR(INDEX($A$1:$A$5000,MATCH(ROWS($D$1:$D1416),$D$1:$D$5000,0)),"")</f>
        <v/>
      </c>
    </row>
    <row r="1417" spans="3:5">
      <c r="C1417" s="17">
        <f t="shared" si="22"/>
        <v>0</v>
      </c>
      <c r="D1417" s="17" t="str">
        <f>IF(C1417=1,COUNTIF($C$1:$C1417,1),"")</f>
        <v/>
      </c>
      <c r="E1417" s="7" t="str">
        <f>IFERROR(INDEX($A$1:$A$5000,MATCH(ROWS($D$1:$D1417),$D$1:$D$5000,0)),"")</f>
        <v/>
      </c>
    </row>
    <row r="1418" spans="3:5">
      <c r="C1418" s="17">
        <f t="shared" si="22"/>
        <v>0</v>
      </c>
      <c r="D1418" s="17" t="str">
        <f>IF(C1418=1,COUNTIF($C$1:$C1418,1),"")</f>
        <v/>
      </c>
      <c r="E1418" s="7" t="str">
        <f>IFERROR(INDEX($A$1:$A$5000,MATCH(ROWS($D$1:$D1418),$D$1:$D$5000,0)),"")</f>
        <v/>
      </c>
    </row>
    <row r="1419" spans="3:5">
      <c r="C1419" s="17">
        <f t="shared" si="22"/>
        <v>0</v>
      </c>
      <c r="D1419" s="17" t="str">
        <f>IF(C1419=1,COUNTIF($C$1:$C1419,1),"")</f>
        <v/>
      </c>
      <c r="E1419" s="7" t="str">
        <f>IFERROR(INDEX($A$1:$A$5000,MATCH(ROWS($D$1:$D1419),$D$1:$D$5000,0)),"")</f>
        <v/>
      </c>
    </row>
    <row r="1420" spans="3:5">
      <c r="C1420" s="17">
        <f t="shared" si="22"/>
        <v>0</v>
      </c>
      <c r="D1420" s="17" t="str">
        <f>IF(C1420=1,COUNTIF($C$1:$C1420,1),"")</f>
        <v/>
      </c>
      <c r="E1420" s="7" t="str">
        <f>IFERROR(INDEX($A$1:$A$5000,MATCH(ROWS($D$1:$D1420),$D$1:$D$5000,0)),"")</f>
        <v/>
      </c>
    </row>
    <row r="1421" spans="3:5">
      <c r="C1421" s="17">
        <f t="shared" si="22"/>
        <v>0</v>
      </c>
      <c r="D1421" s="17" t="str">
        <f>IF(C1421=1,COUNTIF($C$1:$C1421,1),"")</f>
        <v/>
      </c>
      <c r="E1421" s="7" t="str">
        <f>IFERROR(INDEX($A$1:$A$5000,MATCH(ROWS($D$1:$D1421),$D$1:$D$5000,0)),"")</f>
        <v/>
      </c>
    </row>
    <row r="1422" spans="3:5">
      <c r="C1422" s="17">
        <f t="shared" si="22"/>
        <v>0</v>
      </c>
      <c r="D1422" s="17" t="str">
        <f>IF(C1422=1,COUNTIF($C$1:$C1422,1),"")</f>
        <v/>
      </c>
      <c r="E1422" s="7" t="str">
        <f>IFERROR(INDEX($A$1:$A$5000,MATCH(ROWS($D$1:$D1422),$D$1:$D$5000,0)),"")</f>
        <v/>
      </c>
    </row>
    <row r="1423" spans="3:5">
      <c r="C1423" s="17">
        <f t="shared" si="22"/>
        <v>0</v>
      </c>
      <c r="D1423" s="17" t="str">
        <f>IF(C1423=1,COUNTIF($C$1:$C1423,1),"")</f>
        <v/>
      </c>
      <c r="E1423" s="7" t="str">
        <f>IFERROR(INDEX($A$1:$A$5000,MATCH(ROWS($D$1:$D1423),$D$1:$D$5000,0)),"")</f>
        <v/>
      </c>
    </row>
    <row r="1424" spans="3:5">
      <c r="C1424" s="17">
        <f t="shared" si="22"/>
        <v>0</v>
      </c>
      <c r="D1424" s="17" t="str">
        <f>IF(C1424=1,COUNTIF($C$1:$C1424,1),"")</f>
        <v/>
      </c>
      <c r="E1424" s="7" t="str">
        <f>IFERROR(INDEX($A$1:$A$5000,MATCH(ROWS($D$1:$D1424),$D$1:$D$5000,0)),"")</f>
        <v/>
      </c>
    </row>
    <row r="1425" spans="3:5">
      <c r="C1425" s="17">
        <f t="shared" si="22"/>
        <v>0</v>
      </c>
      <c r="D1425" s="17" t="str">
        <f>IF(C1425=1,COUNTIF($C$1:$C1425,1),"")</f>
        <v/>
      </c>
      <c r="E1425" s="7" t="str">
        <f>IFERROR(INDEX($A$1:$A$5000,MATCH(ROWS($D$1:$D1425),$D$1:$D$5000,0)),"")</f>
        <v/>
      </c>
    </row>
    <row r="1426" spans="3:5">
      <c r="C1426" s="17">
        <f t="shared" si="22"/>
        <v>0</v>
      </c>
      <c r="D1426" s="17" t="str">
        <f>IF(C1426=1,COUNTIF($C$1:$C1426,1),"")</f>
        <v/>
      </c>
      <c r="E1426" s="7" t="str">
        <f>IFERROR(INDEX($A$1:$A$5000,MATCH(ROWS($D$1:$D1426),$D$1:$D$5000,0)),"")</f>
        <v/>
      </c>
    </row>
    <row r="1427" spans="3:5">
      <c r="C1427" s="17">
        <f t="shared" si="22"/>
        <v>0</v>
      </c>
      <c r="D1427" s="17" t="str">
        <f>IF(C1427=1,COUNTIF($C$1:$C1427,1),"")</f>
        <v/>
      </c>
      <c r="E1427" s="7" t="str">
        <f>IFERROR(INDEX($A$1:$A$5000,MATCH(ROWS($D$1:$D1427),$D$1:$D$5000,0)),"")</f>
        <v/>
      </c>
    </row>
    <row r="1428" spans="3:5">
      <c r="C1428" s="17">
        <f t="shared" si="22"/>
        <v>0</v>
      </c>
      <c r="D1428" s="17" t="str">
        <f>IF(C1428=1,COUNTIF($C$1:$C1428,1),"")</f>
        <v/>
      </c>
      <c r="E1428" s="7" t="str">
        <f>IFERROR(INDEX($A$1:$A$5000,MATCH(ROWS($D$1:$D1428),$D$1:$D$5000,0)),"")</f>
        <v/>
      </c>
    </row>
    <row r="1429" spans="3:5">
      <c r="C1429" s="17">
        <f t="shared" si="22"/>
        <v>0</v>
      </c>
      <c r="D1429" s="17" t="str">
        <f>IF(C1429=1,COUNTIF($C$1:$C1429,1),"")</f>
        <v/>
      </c>
      <c r="E1429" s="7" t="str">
        <f>IFERROR(INDEX($A$1:$A$5000,MATCH(ROWS($D$1:$D1429),$D$1:$D$5000,0)),"")</f>
        <v/>
      </c>
    </row>
    <row r="1430" spans="3:5">
      <c r="C1430" s="17">
        <f t="shared" si="22"/>
        <v>0</v>
      </c>
      <c r="D1430" s="17" t="str">
        <f>IF(C1430=1,COUNTIF($C$1:$C1430,1),"")</f>
        <v/>
      </c>
      <c r="E1430" s="7" t="str">
        <f>IFERROR(INDEX($A$1:$A$5000,MATCH(ROWS($D$1:$D1430),$D$1:$D$5000,0)),"")</f>
        <v/>
      </c>
    </row>
    <row r="1431" spans="3:5">
      <c r="C1431" s="17">
        <f t="shared" si="22"/>
        <v>0</v>
      </c>
      <c r="D1431" s="17" t="str">
        <f>IF(C1431=1,COUNTIF($C$1:$C1431,1),"")</f>
        <v/>
      </c>
      <c r="E1431" s="7" t="str">
        <f>IFERROR(INDEX($A$1:$A$5000,MATCH(ROWS($D$1:$D1431),$D$1:$D$5000,0)),"")</f>
        <v/>
      </c>
    </row>
    <row r="1432" spans="3:5">
      <c r="C1432" s="17">
        <f t="shared" si="22"/>
        <v>0</v>
      </c>
      <c r="D1432" s="17" t="str">
        <f>IF(C1432=1,COUNTIF($C$1:$C1432,1),"")</f>
        <v/>
      </c>
      <c r="E1432" s="7" t="str">
        <f>IFERROR(INDEX($A$1:$A$5000,MATCH(ROWS($D$1:$D1432),$D$1:$D$5000,0)),"")</f>
        <v/>
      </c>
    </row>
    <row r="1433" spans="3:5">
      <c r="C1433" s="17">
        <f t="shared" si="22"/>
        <v>0</v>
      </c>
      <c r="D1433" s="17" t="str">
        <f>IF(C1433=1,COUNTIF($C$1:$C1433,1),"")</f>
        <v/>
      </c>
      <c r="E1433" s="7" t="str">
        <f>IFERROR(INDEX($A$1:$A$5000,MATCH(ROWS($D$1:$D1433),$D$1:$D$5000,0)),"")</f>
        <v/>
      </c>
    </row>
    <row r="1434" spans="3:5">
      <c r="C1434" s="17">
        <f t="shared" si="22"/>
        <v>0</v>
      </c>
      <c r="D1434" s="17" t="str">
        <f>IF(C1434=1,COUNTIF($C$1:$C1434,1),"")</f>
        <v/>
      </c>
      <c r="E1434" s="7" t="str">
        <f>IFERROR(INDEX($A$1:$A$5000,MATCH(ROWS($D$1:$D1434),$D$1:$D$5000,0)),"")</f>
        <v/>
      </c>
    </row>
    <row r="1435" spans="3:5">
      <c r="C1435" s="17">
        <f t="shared" si="22"/>
        <v>0</v>
      </c>
      <c r="D1435" s="17" t="str">
        <f>IF(C1435=1,COUNTIF($C$1:$C1435,1),"")</f>
        <v/>
      </c>
      <c r="E1435" s="7" t="str">
        <f>IFERROR(INDEX($A$1:$A$5000,MATCH(ROWS($D$1:$D1435),$D$1:$D$5000,0)),"")</f>
        <v/>
      </c>
    </row>
    <row r="1436" spans="3:5">
      <c r="C1436" s="17">
        <f t="shared" si="22"/>
        <v>0</v>
      </c>
      <c r="D1436" s="17" t="str">
        <f>IF(C1436=1,COUNTIF($C$1:$C1436,1),"")</f>
        <v/>
      </c>
      <c r="E1436" s="7" t="str">
        <f>IFERROR(INDEX($A$1:$A$5000,MATCH(ROWS($D$1:$D1436),$D$1:$D$5000,0)),"")</f>
        <v/>
      </c>
    </row>
    <row r="1437" spans="3:5">
      <c r="C1437" s="17">
        <f t="shared" si="22"/>
        <v>0</v>
      </c>
      <c r="D1437" s="17" t="str">
        <f>IF(C1437=1,COUNTIF($C$1:$C1437,1),"")</f>
        <v/>
      </c>
      <c r="E1437" s="7" t="str">
        <f>IFERROR(INDEX($A$1:$A$5000,MATCH(ROWS($D$1:$D1437),$D$1:$D$5000,0)),"")</f>
        <v/>
      </c>
    </row>
    <row r="1438" spans="3:5">
      <c r="C1438" s="17">
        <f t="shared" si="22"/>
        <v>0</v>
      </c>
      <c r="D1438" s="17" t="str">
        <f>IF(C1438=1,COUNTIF($C$1:$C1438,1),"")</f>
        <v/>
      </c>
      <c r="E1438" s="7" t="str">
        <f>IFERROR(INDEX($A$1:$A$5000,MATCH(ROWS($D$1:$D1438),$D$1:$D$5000,0)),"")</f>
        <v/>
      </c>
    </row>
    <row r="1439" spans="3:5">
      <c r="C1439" s="17">
        <f t="shared" si="22"/>
        <v>0</v>
      </c>
      <c r="D1439" s="17" t="str">
        <f>IF(C1439=1,COUNTIF($C$1:$C1439,1),"")</f>
        <v/>
      </c>
      <c r="E1439" s="7" t="str">
        <f>IFERROR(INDEX($A$1:$A$5000,MATCH(ROWS($D$1:$D1439),$D$1:$D$5000,0)),"")</f>
        <v/>
      </c>
    </row>
    <row r="1440" spans="3:5">
      <c r="C1440" s="17">
        <f t="shared" si="22"/>
        <v>0</v>
      </c>
      <c r="D1440" s="17" t="str">
        <f>IF(C1440=1,COUNTIF($C$1:$C1440,1),"")</f>
        <v/>
      </c>
      <c r="E1440" s="7" t="str">
        <f>IFERROR(INDEX($A$1:$A$5000,MATCH(ROWS($D$1:$D1440),$D$1:$D$5000,0)),"")</f>
        <v/>
      </c>
    </row>
    <row r="1441" spans="3:5">
      <c r="C1441" s="17">
        <f t="shared" si="22"/>
        <v>0</v>
      </c>
      <c r="D1441" s="17" t="str">
        <f>IF(C1441=1,COUNTIF($C$1:$C1441,1),"")</f>
        <v/>
      </c>
      <c r="E1441" s="7" t="str">
        <f>IFERROR(INDEX($A$1:$A$5000,MATCH(ROWS($D$1:$D1441),$D$1:$D$5000,0)),"")</f>
        <v/>
      </c>
    </row>
    <row r="1442" spans="3:5">
      <c r="C1442" s="17">
        <f t="shared" si="22"/>
        <v>0</v>
      </c>
      <c r="D1442" s="17" t="str">
        <f>IF(C1442=1,COUNTIF($C$1:$C1442,1),"")</f>
        <v/>
      </c>
      <c r="E1442" s="7" t="str">
        <f>IFERROR(INDEX($A$1:$A$5000,MATCH(ROWS($D$1:$D1442),$D$1:$D$5000,0)),"")</f>
        <v/>
      </c>
    </row>
    <row r="1443" spans="3:5">
      <c r="C1443" s="17">
        <f t="shared" si="22"/>
        <v>0</v>
      </c>
      <c r="D1443" s="17" t="str">
        <f>IF(C1443=1,COUNTIF($C$1:$C1443,1),"")</f>
        <v/>
      </c>
      <c r="E1443" s="7" t="str">
        <f>IFERROR(INDEX($A$1:$A$5000,MATCH(ROWS($D$1:$D1443),$D$1:$D$5000,0)),"")</f>
        <v/>
      </c>
    </row>
    <row r="1444" spans="3:5">
      <c r="C1444" s="17">
        <f t="shared" si="22"/>
        <v>0</v>
      </c>
      <c r="D1444" s="17" t="str">
        <f>IF(C1444=1,COUNTIF($C$1:$C1444,1),"")</f>
        <v/>
      </c>
      <c r="E1444" s="7" t="str">
        <f>IFERROR(INDEX($A$1:$A$5000,MATCH(ROWS($D$1:$D1444),$D$1:$D$5000,0)),"")</f>
        <v/>
      </c>
    </row>
    <row r="1445" spans="3:5">
      <c r="C1445" s="17">
        <f t="shared" si="22"/>
        <v>0</v>
      </c>
      <c r="D1445" s="17" t="str">
        <f>IF(C1445=1,COUNTIF($C$1:$C1445,1),"")</f>
        <v/>
      </c>
      <c r="E1445" s="7" t="str">
        <f>IFERROR(INDEX($A$1:$A$5000,MATCH(ROWS($D$1:$D1445),$D$1:$D$5000,0)),"")</f>
        <v/>
      </c>
    </row>
    <row r="1446" spans="3:5">
      <c r="C1446" s="17">
        <f t="shared" si="22"/>
        <v>0</v>
      </c>
      <c r="D1446" s="17" t="str">
        <f>IF(C1446=1,COUNTIF($C$1:$C1446,1),"")</f>
        <v/>
      </c>
      <c r="E1446" s="7" t="str">
        <f>IFERROR(INDEX($A$1:$A$5000,MATCH(ROWS($D$1:$D1446),$D$1:$D$5000,0)),"")</f>
        <v/>
      </c>
    </row>
    <row r="1447" spans="3:5">
      <c r="C1447" s="17">
        <f t="shared" si="22"/>
        <v>0</v>
      </c>
      <c r="D1447" s="17" t="str">
        <f>IF(C1447=1,COUNTIF($C$1:$C1447,1),"")</f>
        <v/>
      </c>
      <c r="E1447" s="7" t="str">
        <f>IFERROR(INDEX($A$1:$A$5000,MATCH(ROWS($D$1:$D1447),$D$1:$D$5000,0)),"")</f>
        <v/>
      </c>
    </row>
    <row r="1448" spans="3:5">
      <c r="C1448" s="17">
        <f t="shared" si="22"/>
        <v>0</v>
      </c>
      <c r="D1448" s="17" t="str">
        <f>IF(C1448=1,COUNTIF($C$1:$C1448,1),"")</f>
        <v/>
      </c>
      <c r="E1448" s="7" t="str">
        <f>IFERROR(INDEX($A$1:$A$5000,MATCH(ROWS($D$1:$D1448),$D$1:$D$5000,0)),"")</f>
        <v/>
      </c>
    </row>
    <row r="1449" spans="3:5">
      <c r="C1449" s="17">
        <f t="shared" si="22"/>
        <v>0</v>
      </c>
      <c r="D1449" s="17" t="str">
        <f>IF(C1449=1,COUNTIF($C$1:$C1449,1),"")</f>
        <v/>
      </c>
      <c r="E1449" s="7" t="str">
        <f>IFERROR(INDEX($A$1:$A$5000,MATCH(ROWS($D$1:$D1449),$D$1:$D$5000,0)),"")</f>
        <v/>
      </c>
    </row>
    <row r="1450" spans="3:5">
      <c r="C1450" s="17">
        <f t="shared" si="22"/>
        <v>0</v>
      </c>
      <c r="D1450" s="17" t="str">
        <f>IF(C1450=1,COUNTIF($C$1:$C1450,1),"")</f>
        <v/>
      </c>
      <c r="E1450" s="7" t="str">
        <f>IFERROR(INDEX($A$1:$A$5000,MATCH(ROWS($D$1:$D1450),$D$1:$D$5000,0)),"")</f>
        <v/>
      </c>
    </row>
    <row r="1451" spans="3:5">
      <c r="C1451" s="17">
        <f t="shared" si="22"/>
        <v>0</v>
      </c>
      <c r="D1451" s="17" t="str">
        <f>IF(C1451=1,COUNTIF($C$1:$C1451,1),"")</f>
        <v/>
      </c>
      <c r="E1451" s="7" t="str">
        <f>IFERROR(INDEX($A$1:$A$5000,MATCH(ROWS($D$1:$D1451),$D$1:$D$5000,0)),"")</f>
        <v/>
      </c>
    </row>
    <row r="1452" spans="3:5">
      <c r="C1452" s="17">
        <f t="shared" si="22"/>
        <v>0</v>
      </c>
      <c r="D1452" s="17" t="str">
        <f>IF(C1452=1,COUNTIF($C$1:$C1452,1),"")</f>
        <v/>
      </c>
      <c r="E1452" s="7" t="str">
        <f>IFERROR(INDEX($A$1:$A$5000,MATCH(ROWS($D$1:$D1452),$D$1:$D$5000,0)),"")</f>
        <v/>
      </c>
    </row>
    <row r="1453" spans="3:5">
      <c r="C1453" s="17">
        <f t="shared" si="22"/>
        <v>0</v>
      </c>
      <c r="D1453" s="17" t="str">
        <f>IF(C1453=1,COUNTIF($C$1:$C1453,1),"")</f>
        <v/>
      </c>
      <c r="E1453" s="7" t="str">
        <f>IFERROR(INDEX($A$1:$A$5000,MATCH(ROWS($D$1:$D1453),$D$1:$D$5000,0)),"")</f>
        <v/>
      </c>
    </row>
    <row r="1454" spans="3:5">
      <c r="C1454" s="17">
        <f t="shared" si="22"/>
        <v>0</v>
      </c>
      <c r="D1454" s="17" t="str">
        <f>IF(C1454=1,COUNTIF($C$1:$C1454,1),"")</f>
        <v/>
      </c>
      <c r="E1454" s="7" t="str">
        <f>IFERROR(INDEX($A$1:$A$5000,MATCH(ROWS($D$1:$D1454),$D$1:$D$5000,0)),"")</f>
        <v/>
      </c>
    </row>
    <row r="1455" spans="3:5">
      <c r="C1455" s="17">
        <f t="shared" si="22"/>
        <v>0</v>
      </c>
      <c r="D1455" s="17" t="str">
        <f>IF(C1455=1,COUNTIF($C$1:$C1455,1),"")</f>
        <v/>
      </c>
      <c r="E1455" s="7" t="str">
        <f>IFERROR(INDEX($A$1:$A$5000,MATCH(ROWS($D$1:$D1455),$D$1:$D$5000,0)),"")</f>
        <v/>
      </c>
    </row>
    <row r="1456" spans="3:5">
      <c r="C1456" s="17">
        <f t="shared" si="22"/>
        <v>0</v>
      </c>
      <c r="D1456" s="17" t="str">
        <f>IF(C1456=1,COUNTIF($C$1:$C1456,1),"")</f>
        <v/>
      </c>
      <c r="E1456" s="7" t="str">
        <f>IFERROR(INDEX($A$1:$A$5000,MATCH(ROWS($D$1:$D1456),$D$1:$D$5000,0)),"")</f>
        <v/>
      </c>
    </row>
    <row r="1457" spans="3:5">
      <c r="C1457" s="17">
        <f t="shared" si="22"/>
        <v>0</v>
      </c>
      <c r="D1457" s="17" t="str">
        <f>IF(C1457=1,COUNTIF($C$1:$C1457,1),"")</f>
        <v/>
      </c>
      <c r="E1457" s="7" t="str">
        <f>IFERROR(INDEX($A$1:$A$5000,MATCH(ROWS($D$1:$D1457),$D$1:$D$5000,0)),"")</f>
        <v/>
      </c>
    </row>
    <row r="1458" spans="3:5">
      <c r="C1458" s="17">
        <f t="shared" si="22"/>
        <v>0</v>
      </c>
      <c r="D1458" s="17" t="str">
        <f>IF(C1458=1,COUNTIF($C$1:$C1458,1),"")</f>
        <v/>
      </c>
      <c r="E1458" s="7" t="str">
        <f>IFERROR(INDEX($A$1:$A$5000,MATCH(ROWS($D$1:$D1458),$D$1:$D$5000,0)),"")</f>
        <v/>
      </c>
    </row>
    <row r="1459" spans="3:5">
      <c r="C1459" s="17">
        <f t="shared" si="22"/>
        <v>0</v>
      </c>
      <c r="D1459" s="17" t="str">
        <f>IF(C1459=1,COUNTIF($C$1:$C1459,1),"")</f>
        <v/>
      </c>
      <c r="E1459" s="7" t="str">
        <f>IFERROR(INDEX($A$1:$A$5000,MATCH(ROWS($D$1:$D1459),$D$1:$D$5000,0)),"")</f>
        <v/>
      </c>
    </row>
    <row r="1460" spans="3:5">
      <c r="C1460" s="17">
        <f t="shared" si="22"/>
        <v>0</v>
      </c>
      <c r="D1460" s="17" t="str">
        <f>IF(C1460=1,COUNTIF($C$1:$C1460,1),"")</f>
        <v/>
      </c>
      <c r="E1460" s="7" t="str">
        <f>IFERROR(INDEX($A$1:$A$5000,MATCH(ROWS($D$1:$D1460),$D$1:$D$5000,0)),"")</f>
        <v/>
      </c>
    </row>
    <row r="1461" spans="3:5">
      <c r="C1461" s="17">
        <f t="shared" si="22"/>
        <v>0</v>
      </c>
      <c r="D1461" s="17" t="str">
        <f>IF(C1461=1,COUNTIF($C$1:$C1461,1),"")</f>
        <v/>
      </c>
      <c r="E1461" s="7" t="str">
        <f>IFERROR(INDEX($A$1:$A$5000,MATCH(ROWS($D$1:$D1461),$D$1:$D$5000,0)),"")</f>
        <v/>
      </c>
    </row>
    <row r="1462" spans="3:5">
      <c r="C1462" s="17">
        <f t="shared" si="22"/>
        <v>0</v>
      </c>
      <c r="D1462" s="17" t="str">
        <f>IF(C1462=1,COUNTIF($C$1:$C1462,1),"")</f>
        <v/>
      </c>
      <c r="E1462" s="7" t="str">
        <f>IFERROR(INDEX($A$1:$A$5000,MATCH(ROWS($D$1:$D1462),$D$1:$D$5000,0)),"")</f>
        <v/>
      </c>
    </row>
    <row r="1463" spans="3:5">
      <c r="C1463" s="17">
        <f t="shared" si="22"/>
        <v>0</v>
      </c>
      <c r="D1463" s="17" t="str">
        <f>IF(C1463=1,COUNTIF($C$1:$C1463,1),"")</f>
        <v/>
      </c>
      <c r="E1463" s="7" t="str">
        <f>IFERROR(INDEX($A$1:$A$5000,MATCH(ROWS($D$1:$D1463),$D$1:$D$5000,0)),"")</f>
        <v/>
      </c>
    </row>
    <row r="1464" spans="3:5">
      <c r="C1464" s="17">
        <f t="shared" si="22"/>
        <v>0</v>
      </c>
      <c r="D1464" s="17" t="str">
        <f>IF(C1464=1,COUNTIF($C$1:$C1464,1),"")</f>
        <v/>
      </c>
      <c r="E1464" s="7" t="str">
        <f>IFERROR(INDEX($A$1:$A$5000,MATCH(ROWS($D$1:$D1464),$D$1:$D$5000,0)),"")</f>
        <v/>
      </c>
    </row>
    <row r="1465" spans="3:5">
      <c r="C1465" s="17">
        <f t="shared" si="22"/>
        <v>0</v>
      </c>
      <c r="D1465" s="17" t="str">
        <f>IF(C1465=1,COUNTIF($C$1:$C1465,1),"")</f>
        <v/>
      </c>
      <c r="E1465" s="7" t="str">
        <f>IFERROR(INDEX($A$1:$A$5000,MATCH(ROWS($D$1:$D1465),$D$1:$D$5000,0)),"")</f>
        <v/>
      </c>
    </row>
    <row r="1466" spans="3:5">
      <c r="C1466" s="17">
        <f t="shared" si="22"/>
        <v>0</v>
      </c>
      <c r="D1466" s="17" t="str">
        <f>IF(C1466=1,COUNTIF($C$1:$C1466,1),"")</f>
        <v/>
      </c>
      <c r="E1466" s="7" t="str">
        <f>IFERROR(INDEX($A$1:$A$5000,MATCH(ROWS($D$1:$D1466),$D$1:$D$5000,0)),"")</f>
        <v/>
      </c>
    </row>
    <row r="1467" spans="3:5">
      <c r="C1467" s="17">
        <f t="shared" si="22"/>
        <v>0</v>
      </c>
      <c r="D1467" s="17" t="str">
        <f>IF(C1467=1,COUNTIF($C$1:$C1467,1),"")</f>
        <v/>
      </c>
      <c r="E1467" s="7" t="str">
        <f>IFERROR(INDEX($A$1:$A$5000,MATCH(ROWS($D$1:$D1467),$D$1:$D$5000,0)),"")</f>
        <v/>
      </c>
    </row>
    <row r="1468" spans="3:5">
      <c r="C1468" s="17">
        <f t="shared" si="22"/>
        <v>0</v>
      </c>
      <c r="D1468" s="17" t="str">
        <f>IF(C1468=1,COUNTIF($C$1:$C1468,1),"")</f>
        <v/>
      </c>
      <c r="E1468" s="7" t="str">
        <f>IFERROR(INDEX($A$1:$A$5000,MATCH(ROWS($D$1:$D1468),$D$1:$D$5000,0)),"")</f>
        <v/>
      </c>
    </row>
    <row r="1469" spans="3:5">
      <c r="C1469" s="17">
        <f t="shared" si="22"/>
        <v>0</v>
      </c>
      <c r="D1469" s="17" t="str">
        <f>IF(C1469=1,COUNTIF($C$1:$C1469,1),"")</f>
        <v/>
      </c>
      <c r="E1469" s="7" t="str">
        <f>IFERROR(INDEX($A$1:$A$5000,MATCH(ROWS($D$1:$D1469),$D$1:$D$5000,0)),"")</f>
        <v/>
      </c>
    </row>
    <row r="1470" spans="3:5">
      <c r="C1470" s="17">
        <f t="shared" si="22"/>
        <v>0</v>
      </c>
      <c r="D1470" s="17" t="str">
        <f>IF(C1470=1,COUNTIF($C$1:$C1470,1),"")</f>
        <v/>
      </c>
      <c r="E1470" s="7" t="str">
        <f>IFERROR(INDEX($A$1:$A$5000,MATCH(ROWS($D$1:$D1470),$D$1:$D$5000,0)),"")</f>
        <v/>
      </c>
    </row>
    <row r="1471" spans="3:5">
      <c r="C1471" s="17">
        <f t="shared" si="22"/>
        <v>0</v>
      </c>
      <c r="D1471" s="17" t="str">
        <f>IF(C1471=1,COUNTIF($C$1:$C1471,1),"")</f>
        <v/>
      </c>
      <c r="E1471" s="7" t="str">
        <f>IFERROR(INDEX($A$1:$A$5000,MATCH(ROWS($D$1:$D1471),$D$1:$D$5000,0)),"")</f>
        <v/>
      </c>
    </row>
    <row r="1472" spans="3:5">
      <c r="C1472" s="17">
        <f t="shared" si="22"/>
        <v>0</v>
      </c>
      <c r="D1472" s="17" t="str">
        <f>IF(C1472=1,COUNTIF($C$1:$C1472,1),"")</f>
        <v/>
      </c>
      <c r="E1472" s="7" t="str">
        <f>IFERROR(INDEX($A$1:$A$5000,MATCH(ROWS($D$1:$D1472),$D$1:$D$5000,0)),"")</f>
        <v/>
      </c>
    </row>
    <row r="1473" spans="3:5">
      <c r="C1473" s="17">
        <f t="shared" si="22"/>
        <v>0</v>
      </c>
      <c r="D1473" s="17" t="str">
        <f>IF(C1473=1,COUNTIF($C$1:$C1473,1),"")</f>
        <v/>
      </c>
      <c r="E1473" s="7" t="str">
        <f>IFERROR(INDEX($A$1:$A$5000,MATCH(ROWS($D$1:$D1473),$D$1:$D$5000,0)),"")</f>
        <v/>
      </c>
    </row>
    <row r="1474" spans="3:5">
      <c r="C1474" s="17">
        <f t="shared" ref="C1474:C1537" si="23">--ISNUMBER(SEARCH($B$1,A1474))</f>
        <v>0</v>
      </c>
      <c r="D1474" s="17" t="str">
        <f>IF(C1474=1,COUNTIF($C$1:$C1474,1),"")</f>
        <v/>
      </c>
      <c r="E1474" s="7" t="str">
        <f>IFERROR(INDEX($A$1:$A$5000,MATCH(ROWS($D$1:$D1474),$D$1:$D$5000,0)),"")</f>
        <v/>
      </c>
    </row>
    <row r="1475" spans="3:5">
      <c r="C1475" s="17">
        <f t="shared" si="23"/>
        <v>0</v>
      </c>
      <c r="D1475" s="17" t="str">
        <f>IF(C1475=1,COUNTIF($C$1:$C1475,1),"")</f>
        <v/>
      </c>
      <c r="E1475" s="7" t="str">
        <f>IFERROR(INDEX($A$1:$A$5000,MATCH(ROWS($D$1:$D1475),$D$1:$D$5000,0)),"")</f>
        <v/>
      </c>
    </row>
    <row r="1476" spans="3:5">
      <c r="C1476" s="17">
        <f t="shared" si="23"/>
        <v>0</v>
      </c>
      <c r="D1476" s="17" t="str">
        <f>IF(C1476=1,COUNTIF($C$1:$C1476,1),"")</f>
        <v/>
      </c>
      <c r="E1476" s="7" t="str">
        <f>IFERROR(INDEX($A$1:$A$5000,MATCH(ROWS($D$1:$D1476),$D$1:$D$5000,0)),"")</f>
        <v/>
      </c>
    </row>
    <row r="1477" spans="3:5">
      <c r="C1477" s="17">
        <f t="shared" si="23"/>
        <v>0</v>
      </c>
      <c r="D1477" s="17" t="str">
        <f>IF(C1477=1,COUNTIF($C$1:$C1477,1),"")</f>
        <v/>
      </c>
      <c r="E1477" s="7" t="str">
        <f>IFERROR(INDEX($A$1:$A$5000,MATCH(ROWS($D$1:$D1477),$D$1:$D$5000,0)),"")</f>
        <v/>
      </c>
    </row>
    <row r="1478" spans="3:5">
      <c r="C1478" s="17">
        <f t="shared" si="23"/>
        <v>0</v>
      </c>
      <c r="D1478" s="17" t="str">
        <f>IF(C1478=1,COUNTIF($C$1:$C1478,1),"")</f>
        <v/>
      </c>
      <c r="E1478" s="7" t="str">
        <f>IFERROR(INDEX($A$1:$A$5000,MATCH(ROWS($D$1:$D1478),$D$1:$D$5000,0)),"")</f>
        <v/>
      </c>
    </row>
    <row r="1479" spans="3:5">
      <c r="C1479" s="17">
        <f t="shared" si="23"/>
        <v>0</v>
      </c>
      <c r="D1479" s="17" t="str">
        <f>IF(C1479=1,COUNTIF($C$1:$C1479,1),"")</f>
        <v/>
      </c>
      <c r="E1479" s="7" t="str">
        <f>IFERROR(INDEX($A$1:$A$5000,MATCH(ROWS($D$1:$D1479),$D$1:$D$5000,0)),"")</f>
        <v/>
      </c>
    </row>
    <row r="1480" spans="3:5">
      <c r="C1480" s="17">
        <f t="shared" si="23"/>
        <v>0</v>
      </c>
      <c r="D1480" s="17" t="str">
        <f>IF(C1480=1,COUNTIF($C$1:$C1480,1),"")</f>
        <v/>
      </c>
      <c r="E1480" s="7" t="str">
        <f>IFERROR(INDEX($A$1:$A$5000,MATCH(ROWS($D$1:$D1480),$D$1:$D$5000,0)),"")</f>
        <v/>
      </c>
    </row>
    <row r="1481" spans="3:5">
      <c r="C1481" s="17">
        <f t="shared" si="23"/>
        <v>0</v>
      </c>
      <c r="D1481" s="17" t="str">
        <f>IF(C1481=1,COUNTIF($C$1:$C1481,1),"")</f>
        <v/>
      </c>
      <c r="E1481" s="7" t="str">
        <f>IFERROR(INDEX($A$1:$A$5000,MATCH(ROWS($D$1:$D1481),$D$1:$D$5000,0)),"")</f>
        <v/>
      </c>
    </row>
    <row r="1482" spans="3:5">
      <c r="C1482" s="17">
        <f t="shared" si="23"/>
        <v>0</v>
      </c>
      <c r="D1482" s="17" t="str">
        <f>IF(C1482=1,COUNTIF($C$1:$C1482,1),"")</f>
        <v/>
      </c>
      <c r="E1482" s="7" t="str">
        <f>IFERROR(INDEX($A$1:$A$5000,MATCH(ROWS($D$1:$D1482),$D$1:$D$5000,0)),"")</f>
        <v/>
      </c>
    </row>
    <row r="1483" spans="3:5">
      <c r="C1483" s="17">
        <f t="shared" si="23"/>
        <v>0</v>
      </c>
      <c r="D1483" s="17" t="str">
        <f>IF(C1483=1,COUNTIF($C$1:$C1483,1),"")</f>
        <v/>
      </c>
      <c r="E1483" s="7" t="str">
        <f>IFERROR(INDEX($A$1:$A$5000,MATCH(ROWS($D$1:$D1483),$D$1:$D$5000,0)),"")</f>
        <v/>
      </c>
    </row>
    <row r="1484" spans="3:5">
      <c r="C1484" s="17">
        <f t="shared" si="23"/>
        <v>0</v>
      </c>
      <c r="D1484" s="17" t="str">
        <f>IF(C1484=1,COUNTIF($C$1:$C1484,1),"")</f>
        <v/>
      </c>
      <c r="E1484" s="7" t="str">
        <f>IFERROR(INDEX($A$1:$A$5000,MATCH(ROWS($D$1:$D1484),$D$1:$D$5000,0)),"")</f>
        <v/>
      </c>
    </row>
    <row r="1485" spans="3:5">
      <c r="C1485" s="17">
        <f t="shared" si="23"/>
        <v>0</v>
      </c>
      <c r="D1485" s="17" t="str">
        <f>IF(C1485=1,COUNTIF($C$1:$C1485,1),"")</f>
        <v/>
      </c>
      <c r="E1485" s="7" t="str">
        <f>IFERROR(INDEX($A$1:$A$5000,MATCH(ROWS($D$1:$D1485),$D$1:$D$5000,0)),"")</f>
        <v/>
      </c>
    </row>
    <row r="1486" spans="3:5">
      <c r="C1486" s="17">
        <f t="shared" si="23"/>
        <v>0</v>
      </c>
      <c r="D1486" s="17" t="str">
        <f>IF(C1486=1,COUNTIF($C$1:$C1486,1),"")</f>
        <v/>
      </c>
      <c r="E1486" s="7" t="str">
        <f>IFERROR(INDEX($A$1:$A$5000,MATCH(ROWS($D$1:$D1486),$D$1:$D$5000,0)),"")</f>
        <v/>
      </c>
    </row>
    <row r="1487" spans="3:5">
      <c r="C1487" s="17">
        <f t="shared" si="23"/>
        <v>0</v>
      </c>
      <c r="D1487" s="17" t="str">
        <f>IF(C1487=1,COUNTIF($C$1:$C1487,1),"")</f>
        <v/>
      </c>
      <c r="E1487" s="7" t="str">
        <f>IFERROR(INDEX($A$1:$A$5000,MATCH(ROWS($D$1:$D1487),$D$1:$D$5000,0)),"")</f>
        <v/>
      </c>
    </row>
    <row r="1488" spans="3:5">
      <c r="C1488" s="17">
        <f t="shared" si="23"/>
        <v>0</v>
      </c>
      <c r="D1488" s="17" t="str">
        <f>IF(C1488=1,COUNTIF($C$1:$C1488,1),"")</f>
        <v/>
      </c>
      <c r="E1488" s="7" t="str">
        <f>IFERROR(INDEX($A$1:$A$5000,MATCH(ROWS($D$1:$D1488),$D$1:$D$5000,0)),"")</f>
        <v/>
      </c>
    </row>
    <row r="1489" spans="3:5">
      <c r="C1489" s="17">
        <f t="shared" si="23"/>
        <v>0</v>
      </c>
      <c r="D1489" s="17" t="str">
        <f>IF(C1489=1,COUNTIF($C$1:$C1489,1),"")</f>
        <v/>
      </c>
      <c r="E1489" s="7" t="str">
        <f>IFERROR(INDEX($A$1:$A$5000,MATCH(ROWS($D$1:$D1489),$D$1:$D$5000,0)),"")</f>
        <v/>
      </c>
    </row>
    <row r="1490" spans="3:5">
      <c r="C1490" s="17">
        <f t="shared" si="23"/>
        <v>0</v>
      </c>
      <c r="D1490" s="17" t="str">
        <f>IF(C1490=1,COUNTIF($C$1:$C1490,1),"")</f>
        <v/>
      </c>
      <c r="E1490" s="7" t="str">
        <f>IFERROR(INDEX($A$1:$A$5000,MATCH(ROWS($D$1:$D1490),$D$1:$D$5000,0)),"")</f>
        <v/>
      </c>
    </row>
    <row r="1491" spans="3:5">
      <c r="C1491" s="17">
        <f t="shared" si="23"/>
        <v>0</v>
      </c>
      <c r="D1491" s="17" t="str">
        <f>IF(C1491=1,COUNTIF($C$1:$C1491,1),"")</f>
        <v/>
      </c>
      <c r="E1491" s="7" t="str">
        <f>IFERROR(INDEX($A$1:$A$5000,MATCH(ROWS($D$1:$D1491),$D$1:$D$5000,0)),"")</f>
        <v/>
      </c>
    </row>
    <row r="1492" spans="3:5">
      <c r="C1492" s="17">
        <f t="shared" si="23"/>
        <v>0</v>
      </c>
      <c r="D1492" s="17" t="str">
        <f>IF(C1492=1,COUNTIF($C$1:$C1492,1),"")</f>
        <v/>
      </c>
      <c r="E1492" s="7" t="str">
        <f>IFERROR(INDEX($A$1:$A$5000,MATCH(ROWS($D$1:$D1492),$D$1:$D$5000,0)),"")</f>
        <v/>
      </c>
    </row>
    <row r="1493" spans="3:5">
      <c r="C1493" s="17">
        <f t="shared" si="23"/>
        <v>0</v>
      </c>
      <c r="D1493" s="17" t="str">
        <f>IF(C1493=1,COUNTIF($C$1:$C1493,1),"")</f>
        <v/>
      </c>
      <c r="E1493" s="7" t="str">
        <f>IFERROR(INDEX($A$1:$A$5000,MATCH(ROWS($D$1:$D1493),$D$1:$D$5000,0)),"")</f>
        <v/>
      </c>
    </row>
    <row r="1494" spans="3:5">
      <c r="C1494" s="17">
        <f t="shared" si="23"/>
        <v>0</v>
      </c>
      <c r="D1494" s="17" t="str">
        <f>IF(C1494=1,COUNTIF($C$1:$C1494,1),"")</f>
        <v/>
      </c>
      <c r="E1494" s="7" t="str">
        <f>IFERROR(INDEX($A$1:$A$5000,MATCH(ROWS($D$1:$D1494),$D$1:$D$5000,0)),"")</f>
        <v/>
      </c>
    </row>
    <row r="1495" spans="3:5">
      <c r="C1495" s="17">
        <f t="shared" si="23"/>
        <v>0</v>
      </c>
      <c r="D1495" s="17" t="str">
        <f>IF(C1495=1,COUNTIF($C$1:$C1495,1),"")</f>
        <v/>
      </c>
      <c r="E1495" s="7" t="str">
        <f>IFERROR(INDEX($A$1:$A$5000,MATCH(ROWS($D$1:$D1495),$D$1:$D$5000,0)),"")</f>
        <v/>
      </c>
    </row>
    <row r="1496" spans="3:5">
      <c r="C1496" s="17">
        <f t="shared" si="23"/>
        <v>0</v>
      </c>
      <c r="D1496" s="17" t="str">
        <f>IF(C1496=1,COUNTIF($C$1:$C1496,1),"")</f>
        <v/>
      </c>
      <c r="E1496" s="7" t="str">
        <f>IFERROR(INDEX($A$1:$A$5000,MATCH(ROWS($D$1:$D1496),$D$1:$D$5000,0)),"")</f>
        <v/>
      </c>
    </row>
    <row r="1497" spans="3:5">
      <c r="C1497" s="17">
        <f t="shared" si="23"/>
        <v>0</v>
      </c>
      <c r="D1497" s="17" t="str">
        <f>IF(C1497=1,COUNTIF($C$1:$C1497,1),"")</f>
        <v/>
      </c>
      <c r="E1497" s="7" t="str">
        <f>IFERROR(INDEX($A$1:$A$5000,MATCH(ROWS($D$1:$D1497),$D$1:$D$5000,0)),"")</f>
        <v/>
      </c>
    </row>
    <row r="1498" spans="3:5">
      <c r="C1498" s="17">
        <f t="shared" si="23"/>
        <v>0</v>
      </c>
      <c r="D1498" s="17" t="str">
        <f>IF(C1498=1,COUNTIF($C$1:$C1498,1),"")</f>
        <v/>
      </c>
      <c r="E1498" s="7" t="str">
        <f>IFERROR(INDEX($A$1:$A$5000,MATCH(ROWS($D$1:$D1498),$D$1:$D$5000,0)),"")</f>
        <v/>
      </c>
    </row>
    <row r="1499" spans="3:5">
      <c r="C1499" s="17">
        <f t="shared" si="23"/>
        <v>0</v>
      </c>
      <c r="D1499" s="17" t="str">
        <f>IF(C1499=1,COUNTIF($C$1:$C1499,1),"")</f>
        <v/>
      </c>
      <c r="E1499" s="7" t="str">
        <f>IFERROR(INDEX($A$1:$A$5000,MATCH(ROWS($D$1:$D1499),$D$1:$D$5000,0)),"")</f>
        <v/>
      </c>
    </row>
    <row r="1500" spans="3:5">
      <c r="C1500" s="17">
        <f t="shared" si="23"/>
        <v>0</v>
      </c>
      <c r="D1500" s="17" t="str">
        <f>IF(C1500=1,COUNTIF($C$1:$C1500,1),"")</f>
        <v/>
      </c>
      <c r="E1500" s="7" t="str">
        <f>IFERROR(INDEX($A$1:$A$5000,MATCH(ROWS($D$1:$D1500),$D$1:$D$5000,0)),"")</f>
        <v/>
      </c>
    </row>
    <row r="1501" spans="3:5">
      <c r="C1501" s="17">
        <f t="shared" si="23"/>
        <v>0</v>
      </c>
      <c r="D1501" s="17" t="str">
        <f>IF(C1501=1,COUNTIF($C$1:$C1501,1),"")</f>
        <v/>
      </c>
      <c r="E1501" s="7" t="str">
        <f>IFERROR(INDEX($A$1:$A$5000,MATCH(ROWS($D$1:$D1501),$D$1:$D$5000,0)),"")</f>
        <v/>
      </c>
    </row>
    <row r="1502" spans="3:5">
      <c r="C1502" s="17">
        <f t="shared" si="23"/>
        <v>0</v>
      </c>
      <c r="D1502" s="17" t="str">
        <f>IF(C1502=1,COUNTIF($C$1:$C1502,1),"")</f>
        <v/>
      </c>
      <c r="E1502" s="7" t="str">
        <f>IFERROR(INDEX($A$1:$A$5000,MATCH(ROWS($D$1:$D1502),$D$1:$D$5000,0)),"")</f>
        <v/>
      </c>
    </row>
    <row r="1503" spans="3:5">
      <c r="C1503" s="17">
        <f t="shared" si="23"/>
        <v>0</v>
      </c>
      <c r="D1503" s="17" t="str">
        <f>IF(C1503=1,COUNTIF($C$1:$C1503,1),"")</f>
        <v/>
      </c>
      <c r="E1503" s="7" t="str">
        <f>IFERROR(INDEX($A$1:$A$5000,MATCH(ROWS($D$1:$D1503),$D$1:$D$5000,0)),"")</f>
        <v/>
      </c>
    </row>
    <row r="1504" spans="3:5">
      <c r="C1504" s="17">
        <f t="shared" si="23"/>
        <v>0</v>
      </c>
      <c r="D1504" s="17" t="str">
        <f>IF(C1504=1,COUNTIF($C$1:$C1504,1),"")</f>
        <v/>
      </c>
      <c r="E1504" s="7" t="str">
        <f>IFERROR(INDEX($A$1:$A$5000,MATCH(ROWS($D$1:$D1504),$D$1:$D$5000,0)),"")</f>
        <v/>
      </c>
    </row>
    <row r="1505" spans="3:5">
      <c r="C1505" s="17">
        <f t="shared" si="23"/>
        <v>0</v>
      </c>
      <c r="D1505" s="17" t="str">
        <f>IF(C1505=1,COUNTIF($C$1:$C1505,1),"")</f>
        <v/>
      </c>
      <c r="E1505" s="7" t="str">
        <f>IFERROR(INDEX($A$1:$A$5000,MATCH(ROWS($D$1:$D1505),$D$1:$D$5000,0)),"")</f>
        <v/>
      </c>
    </row>
    <row r="1506" spans="3:5">
      <c r="C1506" s="17">
        <f t="shared" si="23"/>
        <v>0</v>
      </c>
      <c r="D1506" s="17" t="str">
        <f>IF(C1506=1,COUNTIF($C$1:$C1506,1),"")</f>
        <v/>
      </c>
      <c r="E1506" s="7" t="str">
        <f>IFERROR(INDEX($A$1:$A$5000,MATCH(ROWS($D$1:$D1506),$D$1:$D$5000,0)),"")</f>
        <v/>
      </c>
    </row>
    <row r="1507" spans="3:5">
      <c r="C1507" s="17">
        <f t="shared" si="23"/>
        <v>0</v>
      </c>
      <c r="D1507" s="17" t="str">
        <f>IF(C1507=1,COUNTIF($C$1:$C1507,1),"")</f>
        <v/>
      </c>
      <c r="E1507" s="7" t="str">
        <f>IFERROR(INDEX($A$1:$A$5000,MATCH(ROWS($D$1:$D1507),$D$1:$D$5000,0)),"")</f>
        <v/>
      </c>
    </row>
    <row r="1508" spans="3:5">
      <c r="C1508" s="17">
        <f t="shared" si="23"/>
        <v>0</v>
      </c>
      <c r="D1508" s="17" t="str">
        <f>IF(C1508=1,COUNTIF($C$1:$C1508,1),"")</f>
        <v/>
      </c>
      <c r="E1508" s="7" t="str">
        <f>IFERROR(INDEX($A$1:$A$5000,MATCH(ROWS($D$1:$D1508),$D$1:$D$5000,0)),"")</f>
        <v/>
      </c>
    </row>
    <row r="1509" spans="3:5">
      <c r="C1509" s="17">
        <f t="shared" si="23"/>
        <v>0</v>
      </c>
      <c r="D1509" s="17" t="str">
        <f>IF(C1509=1,COUNTIF($C$1:$C1509,1),"")</f>
        <v/>
      </c>
      <c r="E1509" s="7" t="str">
        <f>IFERROR(INDEX($A$1:$A$5000,MATCH(ROWS($D$1:$D1509),$D$1:$D$5000,0)),"")</f>
        <v/>
      </c>
    </row>
    <row r="1510" spans="3:5">
      <c r="C1510" s="17">
        <f t="shared" si="23"/>
        <v>0</v>
      </c>
      <c r="D1510" s="17" t="str">
        <f>IF(C1510=1,COUNTIF($C$1:$C1510,1),"")</f>
        <v/>
      </c>
      <c r="E1510" s="7" t="str">
        <f>IFERROR(INDEX($A$1:$A$5000,MATCH(ROWS($D$1:$D1510),$D$1:$D$5000,0)),"")</f>
        <v/>
      </c>
    </row>
    <row r="1511" spans="3:5">
      <c r="C1511" s="17">
        <f t="shared" si="23"/>
        <v>0</v>
      </c>
      <c r="D1511" s="17" t="str">
        <f>IF(C1511=1,COUNTIF($C$1:$C1511,1),"")</f>
        <v/>
      </c>
      <c r="E1511" s="7" t="str">
        <f>IFERROR(INDEX($A$1:$A$5000,MATCH(ROWS($D$1:$D1511),$D$1:$D$5000,0)),"")</f>
        <v/>
      </c>
    </row>
    <row r="1512" spans="3:5">
      <c r="C1512" s="17">
        <f t="shared" si="23"/>
        <v>0</v>
      </c>
      <c r="D1512" s="17" t="str">
        <f>IF(C1512=1,COUNTIF($C$1:$C1512,1),"")</f>
        <v/>
      </c>
      <c r="E1512" s="7" t="str">
        <f>IFERROR(INDEX($A$1:$A$5000,MATCH(ROWS($D$1:$D1512),$D$1:$D$5000,0)),"")</f>
        <v/>
      </c>
    </row>
    <row r="1513" spans="3:5">
      <c r="C1513" s="17">
        <f t="shared" si="23"/>
        <v>0</v>
      </c>
      <c r="D1513" s="17" t="str">
        <f>IF(C1513=1,COUNTIF($C$1:$C1513,1),"")</f>
        <v/>
      </c>
      <c r="E1513" s="7" t="str">
        <f>IFERROR(INDEX($A$1:$A$5000,MATCH(ROWS($D$1:$D1513),$D$1:$D$5000,0)),"")</f>
        <v/>
      </c>
    </row>
    <row r="1514" spans="3:5">
      <c r="C1514" s="17">
        <f t="shared" si="23"/>
        <v>0</v>
      </c>
      <c r="D1514" s="17" t="str">
        <f>IF(C1514=1,COUNTIF($C$1:$C1514,1),"")</f>
        <v/>
      </c>
      <c r="E1514" s="7" t="str">
        <f>IFERROR(INDEX($A$1:$A$5000,MATCH(ROWS($D$1:$D1514),$D$1:$D$5000,0)),"")</f>
        <v/>
      </c>
    </row>
    <row r="1515" spans="3:5">
      <c r="C1515" s="17">
        <f t="shared" si="23"/>
        <v>0</v>
      </c>
      <c r="D1515" s="17" t="str">
        <f>IF(C1515=1,COUNTIF($C$1:$C1515,1),"")</f>
        <v/>
      </c>
      <c r="E1515" s="7" t="str">
        <f>IFERROR(INDEX($A$1:$A$5000,MATCH(ROWS($D$1:$D1515),$D$1:$D$5000,0)),"")</f>
        <v/>
      </c>
    </row>
    <row r="1516" spans="3:5">
      <c r="C1516" s="17">
        <f t="shared" si="23"/>
        <v>0</v>
      </c>
      <c r="D1516" s="17" t="str">
        <f>IF(C1516=1,COUNTIF($C$1:$C1516,1),"")</f>
        <v/>
      </c>
      <c r="E1516" s="7" t="str">
        <f>IFERROR(INDEX($A$1:$A$5000,MATCH(ROWS($D$1:$D1516),$D$1:$D$5000,0)),"")</f>
        <v/>
      </c>
    </row>
    <row r="1517" spans="3:5">
      <c r="C1517" s="17">
        <f t="shared" si="23"/>
        <v>0</v>
      </c>
      <c r="D1517" s="17" t="str">
        <f>IF(C1517=1,COUNTIF($C$1:$C1517,1),"")</f>
        <v/>
      </c>
      <c r="E1517" s="7" t="str">
        <f>IFERROR(INDEX($A$1:$A$5000,MATCH(ROWS($D$1:$D1517),$D$1:$D$5000,0)),"")</f>
        <v/>
      </c>
    </row>
    <row r="1518" spans="3:5">
      <c r="C1518" s="17">
        <f t="shared" si="23"/>
        <v>0</v>
      </c>
      <c r="D1518" s="17" t="str">
        <f>IF(C1518=1,COUNTIF($C$1:$C1518,1),"")</f>
        <v/>
      </c>
      <c r="E1518" s="7" t="str">
        <f>IFERROR(INDEX($A$1:$A$5000,MATCH(ROWS($D$1:$D1518),$D$1:$D$5000,0)),"")</f>
        <v/>
      </c>
    </row>
    <row r="1519" spans="3:5">
      <c r="C1519" s="17">
        <f t="shared" si="23"/>
        <v>0</v>
      </c>
      <c r="D1519" s="17" t="str">
        <f>IF(C1519=1,COUNTIF($C$1:$C1519,1),"")</f>
        <v/>
      </c>
      <c r="E1519" s="7" t="str">
        <f>IFERROR(INDEX($A$1:$A$5000,MATCH(ROWS($D$1:$D1519),$D$1:$D$5000,0)),"")</f>
        <v/>
      </c>
    </row>
    <row r="1520" spans="3:5">
      <c r="C1520" s="17">
        <f t="shared" si="23"/>
        <v>0</v>
      </c>
      <c r="D1520" s="17" t="str">
        <f>IF(C1520=1,COUNTIF($C$1:$C1520,1),"")</f>
        <v/>
      </c>
      <c r="E1520" s="7" t="str">
        <f>IFERROR(INDEX($A$1:$A$5000,MATCH(ROWS($D$1:$D1520),$D$1:$D$5000,0)),"")</f>
        <v/>
      </c>
    </row>
    <row r="1521" spans="3:5">
      <c r="C1521" s="17">
        <f t="shared" si="23"/>
        <v>0</v>
      </c>
      <c r="D1521" s="17" t="str">
        <f>IF(C1521=1,COUNTIF($C$1:$C1521,1),"")</f>
        <v/>
      </c>
      <c r="E1521" s="7" t="str">
        <f>IFERROR(INDEX($A$1:$A$5000,MATCH(ROWS($D$1:$D1521),$D$1:$D$5000,0)),"")</f>
        <v/>
      </c>
    </row>
    <row r="1522" spans="3:5">
      <c r="C1522" s="17">
        <f t="shared" si="23"/>
        <v>0</v>
      </c>
      <c r="D1522" s="17" t="str">
        <f>IF(C1522=1,COUNTIF($C$1:$C1522,1),"")</f>
        <v/>
      </c>
      <c r="E1522" s="7" t="str">
        <f>IFERROR(INDEX($A$1:$A$5000,MATCH(ROWS($D$1:$D1522),$D$1:$D$5000,0)),"")</f>
        <v/>
      </c>
    </row>
    <row r="1523" spans="3:5">
      <c r="C1523" s="17">
        <f t="shared" si="23"/>
        <v>0</v>
      </c>
      <c r="D1523" s="17" t="str">
        <f>IF(C1523=1,COUNTIF($C$1:$C1523,1),"")</f>
        <v/>
      </c>
      <c r="E1523" s="7" t="str">
        <f>IFERROR(INDEX($A$1:$A$5000,MATCH(ROWS($D$1:$D1523),$D$1:$D$5000,0)),"")</f>
        <v/>
      </c>
    </row>
    <row r="1524" spans="3:5">
      <c r="C1524" s="17">
        <f t="shared" si="23"/>
        <v>0</v>
      </c>
      <c r="D1524" s="17" t="str">
        <f>IF(C1524=1,COUNTIF($C$1:$C1524,1),"")</f>
        <v/>
      </c>
      <c r="E1524" s="7" t="str">
        <f>IFERROR(INDEX($A$1:$A$5000,MATCH(ROWS($D$1:$D1524),$D$1:$D$5000,0)),"")</f>
        <v/>
      </c>
    </row>
    <row r="1525" spans="3:5">
      <c r="C1525" s="17">
        <f t="shared" si="23"/>
        <v>0</v>
      </c>
      <c r="D1525" s="17" t="str">
        <f>IF(C1525=1,COUNTIF($C$1:$C1525,1),"")</f>
        <v/>
      </c>
      <c r="E1525" s="7" t="str">
        <f>IFERROR(INDEX($A$1:$A$5000,MATCH(ROWS($D$1:$D1525),$D$1:$D$5000,0)),"")</f>
        <v/>
      </c>
    </row>
    <row r="1526" spans="3:5">
      <c r="C1526" s="17">
        <f t="shared" si="23"/>
        <v>0</v>
      </c>
      <c r="D1526" s="17" t="str">
        <f>IF(C1526=1,COUNTIF($C$1:$C1526,1),"")</f>
        <v/>
      </c>
      <c r="E1526" s="7" t="str">
        <f>IFERROR(INDEX($A$1:$A$5000,MATCH(ROWS($D$1:$D1526),$D$1:$D$5000,0)),"")</f>
        <v/>
      </c>
    </row>
    <row r="1527" spans="3:5">
      <c r="C1527" s="17">
        <f t="shared" si="23"/>
        <v>0</v>
      </c>
      <c r="D1527" s="17" t="str">
        <f>IF(C1527=1,COUNTIF($C$1:$C1527,1),"")</f>
        <v/>
      </c>
      <c r="E1527" s="7" t="str">
        <f>IFERROR(INDEX($A$1:$A$5000,MATCH(ROWS($D$1:$D1527),$D$1:$D$5000,0)),"")</f>
        <v/>
      </c>
    </row>
    <row r="1528" spans="3:5">
      <c r="C1528" s="17">
        <f t="shared" si="23"/>
        <v>0</v>
      </c>
      <c r="D1528" s="17" t="str">
        <f>IF(C1528=1,COUNTIF($C$1:$C1528,1),"")</f>
        <v/>
      </c>
      <c r="E1528" s="7" t="str">
        <f>IFERROR(INDEX($A$1:$A$5000,MATCH(ROWS($D$1:$D1528),$D$1:$D$5000,0)),"")</f>
        <v/>
      </c>
    </row>
    <row r="1529" spans="3:5">
      <c r="C1529" s="17">
        <f t="shared" si="23"/>
        <v>0</v>
      </c>
      <c r="D1529" s="17" t="str">
        <f>IF(C1529=1,COUNTIF($C$1:$C1529,1),"")</f>
        <v/>
      </c>
      <c r="E1529" s="7" t="str">
        <f>IFERROR(INDEX($A$1:$A$5000,MATCH(ROWS($D$1:$D1529),$D$1:$D$5000,0)),"")</f>
        <v/>
      </c>
    </row>
    <row r="1530" spans="3:5">
      <c r="C1530" s="17">
        <f t="shared" si="23"/>
        <v>0</v>
      </c>
      <c r="D1530" s="17" t="str">
        <f>IF(C1530=1,COUNTIF($C$1:$C1530,1),"")</f>
        <v/>
      </c>
      <c r="E1530" s="7" t="str">
        <f>IFERROR(INDEX($A$1:$A$5000,MATCH(ROWS($D$1:$D1530),$D$1:$D$5000,0)),"")</f>
        <v/>
      </c>
    </row>
    <row r="1531" spans="3:5">
      <c r="C1531" s="17">
        <f t="shared" si="23"/>
        <v>0</v>
      </c>
      <c r="D1531" s="17" t="str">
        <f>IF(C1531=1,COUNTIF($C$1:$C1531,1),"")</f>
        <v/>
      </c>
      <c r="E1531" s="7" t="str">
        <f>IFERROR(INDEX($A$1:$A$5000,MATCH(ROWS($D$1:$D1531),$D$1:$D$5000,0)),"")</f>
        <v/>
      </c>
    </row>
    <row r="1532" spans="3:5">
      <c r="C1532" s="17">
        <f t="shared" si="23"/>
        <v>0</v>
      </c>
      <c r="D1532" s="17" t="str">
        <f>IF(C1532=1,COUNTIF($C$1:$C1532,1),"")</f>
        <v/>
      </c>
      <c r="E1532" s="7" t="str">
        <f>IFERROR(INDEX($A$1:$A$5000,MATCH(ROWS($D$1:$D1532),$D$1:$D$5000,0)),"")</f>
        <v/>
      </c>
    </row>
    <row r="1533" spans="3:5">
      <c r="C1533" s="17">
        <f t="shared" si="23"/>
        <v>0</v>
      </c>
      <c r="D1533" s="17" t="str">
        <f>IF(C1533=1,COUNTIF($C$1:$C1533,1),"")</f>
        <v/>
      </c>
      <c r="E1533" s="7" t="str">
        <f>IFERROR(INDEX($A$1:$A$5000,MATCH(ROWS($D$1:$D1533),$D$1:$D$5000,0)),"")</f>
        <v/>
      </c>
    </row>
    <row r="1534" spans="3:5">
      <c r="C1534" s="17">
        <f t="shared" si="23"/>
        <v>0</v>
      </c>
      <c r="D1534" s="17" t="str">
        <f>IF(C1534=1,COUNTIF($C$1:$C1534,1),"")</f>
        <v/>
      </c>
      <c r="E1534" s="7" t="str">
        <f>IFERROR(INDEX($A$1:$A$5000,MATCH(ROWS($D$1:$D1534),$D$1:$D$5000,0)),"")</f>
        <v/>
      </c>
    </row>
    <row r="1535" spans="3:5">
      <c r="C1535" s="17">
        <f t="shared" si="23"/>
        <v>0</v>
      </c>
      <c r="D1535" s="17" t="str">
        <f>IF(C1535=1,COUNTIF($C$1:$C1535,1),"")</f>
        <v/>
      </c>
      <c r="E1535" s="7" t="str">
        <f>IFERROR(INDEX($A$1:$A$5000,MATCH(ROWS($D$1:$D1535),$D$1:$D$5000,0)),"")</f>
        <v/>
      </c>
    </row>
    <row r="1536" spans="3:5">
      <c r="C1536" s="17">
        <f t="shared" si="23"/>
        <v>0</v>
      </c>
      <c r="D1536" s="17" t="str">
        <f>IF(C1536=1,COUNTIF($C$1:$C1536,1),"")</f>
        <v/>
      </c>
      <c r="E1536" s="7" t="str">
        <f>IFERROR(INDEX($A$1:$A$5000,MATCH(ROWS($D$1:$D1536),$D$1:$D$5000,0)),"")</f>
        <v/>
      </c>
    </row>
    <row r="1537" spans="3:5">
      <c r="C1537" s="17">
        <f t="shared" si="23"/>
        <v>0</v>
      </c>
      <c r="D1537" s="17" t="str">
        <f>IF(C1537=1,COUNTIF($C$1:$C1537,1),"")</f>
        <v/>
      </c>
      <c r="E1537" s="7" t="str">
        <f>IFERROR(INDEX($A$1:$A$5000,MATCH(ROWS($D$1:$D1537),$D$1:$D$5000,0)),"")</f>
        <v/>
      </c>
    </row>
    <row r="1538" spans="3:5">
      <c r="C1538" s="17">
        <f t="shared" ref="C1538:C1601" si="24">--ISNUMBER(SEARCH($B$1,A1538))</f>
        <v>0</v>
      </c>
      <c r="D1538" s="17" t="str">
        <f>IF(C1538=1,COUNTIF($C$1:$C1538,1),"")</f>
        <v/>
      </c>
      <c r="E1538" s="7" t="str">
        <f>IFERROR(INDEX($A$1:$A$5000,MATCH(ROWS($D$1:$D1538),$D$1:$D$5000,0)),"")</f>
        <v/>
      </c>
    </row>
    <row r="1539" spans="3:5">
      <c r="C1539" s="17">
        <f t="shared" si="24"/>
        <v>0</v>
      </c>
      <c r="D1539" s="17" t="str">
        <f>IF(C1539=1,COUNTIF($C$1:$C1539,1),"")</f>
        <v/>
      </c>
      <c r="E1539" s="7" t="str">
        <f>IFERROR(INDEX($A$1:$A$5000,MATCH(ROWS($D$1:$D1539),$D$1:$D$5000,0)),"")</f>
        <v/>
      </c>
    </row>
    <row r="1540" spans="3:5">
      <c r="C1540" s="17">
        <f t="shared" si="24"/>
        <v>0</v>
      </c>
      <c r="D1540" s="17" t="str">
        <f>IF(C1540=1,COUNTIF($C$1:$C1540,1),"")</f>
        <v/>
      </c>
      <c r="E1540" s="7" t="str">
        <f>IFERROR(INDEX($A$1:$A$5000,MATCH(ROWS($D$1:$D1540),$D$1:$D$5000,0)),"")</f>
        <v/>
      </c>
    </row>
    <row r="1541" spans="3:5">
      <c r="C1541" s="17">
        <f t="shared" si="24"/>
        <v>0</v>
      </c>
      <c r="D1541" s="17" t="str">
        <f>IF(C1541=1,COUNTIF($C$1:$C1541,1),"")</f>
        <v/>
      </c>
      <c r="E1541" s="7" t="str">
        <f>IFERROR(INDEX($A$1:$A$5000,MATCH(ROWS($D$1:$D1541),$D$1:$D$5000,0)),"")</f>
        <v/>
      </c>
    </row>
    <row r="1542" spans="3:5">
      <c r="C1542" s="17">
        <f t="shared" si="24"/>
        <v>0</v>
      </c>
      <c r="D1542" s="17" t="str">
        <f>IF(C1542=1,COUNTIF($C$1:$C1542,1),"")</f>
        <v/>
      </c>
      <c r="E1542" s="7" t="str">
        <f>IFERROR(INDEX($A$1:$A$5000,MATCH(ROWS($D$1:$D1542),$D$1:$D$5000,0)),"")</f>
        <v/>
      </c>
    </row>
    <row r="1543" spans="3:5">
      <c r="C1543" s="17">
        <f t="shared" si="24"/>
        <v>0</v>
      </c>
      <c r="D1543" s="17" t="str">
        <f>IF(C1543=1,COUNTIF($C$1:$C1543,1),"")</f>
        <v/>
      </c>
      <c r="E1543" s="7" t="str">
        <f>IFERROR(INDEX($A$1:$A$5000,MATCH(ROWS($D$1:$D1543),$D$1:$D$5000,0)),"")</f>
        <v/>
      </c>
    </row>
    <row r="1544" spans="3:5">
      <c r="C1544" s="17">
        <f t="shared" si="24"/>
        <v>0</v>
      </c>
      <c r="D1544" s="17" t="str">
        <f>IF(C1544=1,COUNTIF($C$1:$C1544,1),"")</f>
        <v/>
      </c>
      <c r="E1544" s="7" t="str">
        <f>IFERROR(INDEX($A$1:$A$5000,MATCH(ROWS($D$1:$D1544),$D$1:$D$5000,0)),"")</f>
        <v/>
      </c>
    </row>
    <row r="1545" spans="3:5">
      <c r="C1545" s="17">
        <f t="shared" si="24"/>
        <v>0</v>
      </c>
      <c r="D1545" s="17" t="str">
        <f>IF(C1545=1,COUNTIF($C$1:$C1545,1),"")</f>
        <v/>
      </c>
      <c r="E1545" s="7" t="str">
        <f>IFERROR(INDEX($A$1:$A$5000,MATCH(ROWS($D$1:$D1545),$D$1:$D$5000,0)),"")</f>
        <v/>
      </c>
    </row>
    <row r="1546" spans="3:5">
      <c r="C1546" s="17">
        <f t="shared" si="24"/>
        <v>0</v>
      </c>
      <c r="D1546" s="17" t="str">
        <f>IF(C1546=1,COUNTIF($C$1:$C1546,1),"")</f>
        <v/>
      </c>
      <c r="E1546" s="7" t="str">
        <f>IFERROR(INDEX($A$1:$A$5000,MATCH(ROWS($D$1:$D1546),$D$1:$D$5000,0)),"")</f>
        <v/>
      </c>
    </row>
    <row r="1547" spans="3:5">
      <c r="C1547" s="17">
        <f t="shared" si="24"/>
        <v>0</v>
      </c>
      <c r="D1547" s="17" t="str">
        <f>IF(C1547=1,COUNTIF($C$1:$C1547,1),"")</f>
        <v/>
      </c>
      <c r="E1547" s="7" t="str">
        <f>IFERROR(INDEX($A$1:$A$5000,MATCH(ROWS($D$1:$D1547),$D$1:$D$5000,0)),"")</f>
        <v/>
      </c>
    </row>
    <row r="1548" spans="3:5">
      <c r="C1548" s="17">
        <f t="shared" si="24"/>
        <v>0</v>
      </c>
      <c r="D1548" s="17" t="str">
        <f>IF(C1548=1,COUNTIF($C$1:$C1548,1),"")</f>
        <v/>
      </c>
      <c r="E1548" s="7" t="str">
        <f>IFERROR(INDEX($A$1:$A$5000,MATCH(ROWS($D$1:$D1548),$D$1:$D$5000,0)),"")</f>
        <v/>
      </c>
    </row>
    <row r="1549" spans="3:5">
      <c r="C1549" s="17">
        <f t="shared" si="24"/>
        <v>0</v>
      </c>
      <c r="D1549" s="17" t="str">
        <f>IF(C1549=1,COUNTIF($C$1:$C1549,1),"")</f>
        <v/>
      </c>
      <c r="E1549" s="7" t="str">
        <f>IFERROR(INDEX($A$1:$A$5000,MATCH(ROWS($D$1:$D1549),$D$1:$D$5000,0)),"")</f>
        <v/>
      </c>
    </row>
    <row r="1550" spans="3:5">
      <c r="C1550" s="17">
        <f t="shared" si="24"/>
        <v>0</v>
      </c>
      <c r="D1550" s="17" t="str">
        <f>IF(C1550=1,COUNTIF($C$1:$C1550,1),"")</f>
        <v/>
      </c>
      <c r="E1550" s="7" t="str">
        <f>IFERROR(INDEX($A$1:$A$5000,MATCH(ROWS($D$1:$D1550),$D$1:$D$5000,0)),"")</f>
        <v/>
      </c>
    </row>
    <row r="1551" spans="3:5">
      <c r="C1551" s="17">
        <f t="shared" si="24"/>
        <v>0</v>
      </c>
      <c r="D1551" s="17" t="str">
        <f>IF(C1551=1,COUNTIF($C$1:$C1551,1),"")</f>
        <v/>
      </c>
      <c r="E1551" s="7" t="str">
        <f>IFERROR(INDEX($A$1:$A$5000,MATCH(ROWS($D$1:$D1551),$D$1:$D$5000,0)),"")</f>
        <v/>
      </c>
    </row>
    <row r="1552" spans="3:5">
      <c r="C1552" s="17">
        <f t="shared" si="24"/>
        <v>0</v>
      </c>
      <c r="D1552" s="17" t="str">
        <f>IF(C1552=1,COUNTIF($C$1:$C1552,1),"")</f>
        <v/>
      </c>
      <c r="E1552" s="7" t="str">
        <f>IFERROR(INDEX($A$1:$A$5000,MATCH(ROWS($D$1:$D1552),$D$1:$D$5000,0)),"")</f>
        <v/>
      </c>
    </row>
    <row r="1553" spans="3:5">
      <c r="C1553" s="17">
        <f t="shared" si="24"/>
        <v>0</v>
      </c>
      <c r="D1553" s="17" t="str">
        <f>IF(C1553=1,COUNTIF($C$1:$C1553,1),"")</f>
        <v/>
      </c>
      <c r="E1553" s="7" t="str">
        <f>IFERROR(INDEX($A$1:$A$5000,MATCH(ROWS($D$1:$D1553),$D$1:$D$5000,0)),"")</f>
        <v/>
      </c>
    </row>
    <row r="1554" spans="3:5">
      <c r="C1554" s="17">
        <f t="shared" si="24"/>
        <v>0</v>
      </c>
      <c r="D1554" s="17" t="str">
        <f>IF(C1554=1,COUNTIF($C$1:$C1554,1),"")</f>
        <v/>
      </c>
      <c r="E1554" s="7" t="str">
        <f>IFERROR(INDEX($A$1:$A$5000,MATCH(ROWS($D$1:$D1554),$D$1:$D$5000,0)),"")</f>
        <v/>
      </c>
    </row>
    <row r="1555" spans="3:5">
      <c r="C1555" s="17">
        <f t="shared" si="24"/>
        <v>0</v>
      </c>
      <c r="D1555" s="17" t="str">
        <f>IF(C1555=1,COUNTIF($C$1:$C1555,1),"")</f>
        <v/>
      </c>
      <c r="E1555" s="7" t="str">
        <f>IFERROR(INDEX($A$1:$A$5000,MATCH(ROWS($D$1:$D1555),$D$1:$D$5000,0)),"")</f>
        <v/>
      </c>
    </row>
    <row r="1556" spans="3:5">
      <c r="C1556" s="17">
        <f t="shared" si="24"/>
        <v>0</v>
      </c>
      <c r="D1556" s="17" t="str">
        <f>IF(C1556=1,COUNTIF($C$1:$C1556,1),"")</f>
        <v/>
      </c>
      <c r="E1556" s="7" t="str">
        <f>IFERROR(INDEX($A$1:$A$5000,MATCH(ROWS($D$1:$D1556),$D$1:$D$5000,0)),"")</f>
        <v/>
      </c>
    </row>
    <row r="1557" spans="3:5">
      <c r="C1557" s="17">
        <f t="shared" si="24"/>
        <v>0</v>
      </c>
      <c r="D1557" s="17" t="str">
        <f>IF(C1557=1,COUNTIF($C$1:$C1557,1),"")</f>
        <v/>
      </c>
      <c r="E1557" s="7" t="str">
        <f>IFERROR(INDEX($A$1:$A$5000,MATCH(ROWS($D$1:$D1557),$D$1:$D$5000,0)),"")</f>
        <v/>
      </c>
    </row>
    <row r="1558" spans="3:5">
      <c r="C1558" s="17">
        <f t="shared" si="24"/>
        <v>0</v>
      </c>
      <c r="D1558" s="17" t="str">
        <f>IF(C1558=1,COUNTIF($C$1:$C1558,1),"")</f>
        <v/>
      </c>
      <c r="E1558" s="7" t="str">
        <f>IFERROR(INDEX($A$1:$A$5000,MATCH(ROWS($D$1:$D1558),$D$1:$D$5000,0)),"")</f>
        <v/>
      </c>
    </row>
    <row r="1559" spans="3:5">
      <c r="C1559" s="17">
        <f t="shared" si="24"/>
        <v>0</v>
      </c>
      <c r="D1559" s="17" t="str">
        <f>IF(C1559=1,COUNTIF($C$1:$C1559,1),"")</f>
        <v/>
      </c>
      <c r="E1559" s="7" t="str">
        <f>IFERROR(INDEX($A$1:$A$5000,MATCH(ROWS($D$1:$D1559),$D$1:$D$5000,0)),"")</f>
        <v/>
      </c>
    </row>
    <row r="1560" spans="3:5">
      <c r="C1560" s="17">
        <f t="shared" si="24"/>
        <v>0</v>
      </c>
      <c r="D1560" s="17" t="str">
        <f>IF(C1560=1,COUNTIF($C$1:$C1560,1),"")</f>
        <v/>
      </c>
      <c r="E1560" s="7" t="str">
        <f>IFERROR(INDEX($A$1:$A$5000,MATCH(ROWS($D$1:$D1560),$D$1:$D$5000,0)),"")</f>
        <v/>
      </c>
    </row>
    <row r="1561" spans="3:5">
      <c r="C1561" s="17">
        <f t="shared" si="24"/>
        <v>0</v>
      </c>
      <c r="D1561" s="17" t="str">
        <f>IF(C1561=1,COUNTIF($C$1:$C1561,1),"")</f>
        <v/>
      </c>
      <c r="E1561" s="7" t="str">
        <f>IFERROR(INDEX($A$1:$A$5000,MATCH(ROWS($D$1:$D1561),$D$1:$D$5000,0)),"")</f>
        <v/>
      </c>
    </row>
    <row r="1562" spans="3:5">
      <c r="C1562" s="17">
        <f t="shared" si="24"/>
        <v>0</v>
      </c>
      <c r="D1562" s="17" t="str">
        <f>IF(C1562=1,COUNTIF($C$1:$C1562,1),"")</f>
        <v/>
      </c>
      <c r="E1562" s="7" t="str">
        <f>IFERROR(INDEX($A$1:$A$5000,MATCH(ROWS($D$1:$D1562),$D$1:$D$5000,0)),"")</f>
        <v/>
      </c>
    </row>
    <row r="1563" spans="3:5">
      <c r="C1563" s="17">
        <f t="shared" si="24"/>
        <v>0</v>
      </c>
      <c r="D1563" s="17" t="str">
        <f>IF(C1563=1,COUNTIF($C$1:$C1563,1),"")</f>
        <v/>
      </c>
      <c r="E1563" s="7" t="str">
        <f>IFERROR(INDEX($A$1:$A$5000,MATCH(ROWS($D$1:$D1563),$D$1:$D$5000,0)),"")</f>
        <v/>
      </c>
    </row>
    <row r="1564" spans="3:5">
      <c r="C1564" s="17">
        <f t="shared" si="24"/>
        <v>0</v>
      </c>
      <c r="D1564" s="17" t="str">
        <f>IF(C1564=1,COUNTIF($C$1:$C1564,1),"")</f>
        <v/>
      </c>
      <c r="E1564" s="7" t="str">
        <f>IFERROR(INDEX($A$1:$A$5000,MATCH(ROWS($D$1:$D1564),$D$1:$D$5000,0)),"")</f>
        <v/>
      </c>
    </row>
    <row r="1565" spans="3:5">
      <c r="C1565" s="17">
        <f t="shared" si="24"/>
        <v>0</v>
      </c>
      <c r="D1565" s="17" t="str">
        <f>IF(C1565=1,COUNTIF($C$1:$C1565,1),"")</f>
        <v/>
      </c>
      <c r="E1565" s="7" t="str">
        <f>IFERROR(INDEX($A$1:$A$5000,MATCH(ROWS($D$1:$D1565),$D$1:$D$5000,0)),"")</f>
        <v/>
      </c>
    </row>
    <row r="1566" spans="3:5">
      <c r="C1566" s="17">
        <f t="shared" si="24"/>
        <v>0</v>
      </c>
      <c r="D1566" s="17" t="str">
        <f>IF(C1566=1,COUNTIF($C$1:$C1566,1),"")</f>
        <v/>
      </c>
      <c r="E1566" s="7" t="str">
        <f>IFERROR(INDEX($A$1:$A$5000,MATCH(ROWS($D$1:$D1566),$D$1:$D$5000,0)),"")</f>
        <v/>
      </c>
    </row>
    <row r="1567" spans="3:5">
      <c r="C1567" s="17">
        <f t="shared" si="24"/>
        <v>0</v>
      </c>
      <c r="D1567" s="17" t="str">
        <f>IF(C1567=1,COUNTIF($C$1:$C1567,1),"")</f>
        <v/>
      </c>
      <c r="E1567" s="7" t="str">
        <f>IFERROR(INDEX($A$1:$A$5000,MATCH(ROWS($D$1:$D1567),$D$1:$D$5000,0)),"")</f>
        <v/>
      </c>
    </row>
    <row r="1568" spans="3:5">
      <c r="C1568" s="17">
        <f t="shared" si="24"/>
        <v>0</v>
      </c>
      <c r="D1568" s="17" t="str">
        <f>IF(C1568=1,COUNTIF($C$1:$C1568,1),"")</f>
        <v/>
      </c>
      <c r="E1568" s="7" t="str">
        <f>IFERROR(INDEX($A$1:$A$5000,MATCH(ROWS($D$1:$D1568),$D$1:$D$5000,0)),"")</f>
        <v/>
      </c>
    </row>
    <row r="1569" spans="3:5">
      <c r="C1569" s="17">
        <f t="shared" si="24"/>
        <v>0</v>
      </c>
      <c r="D1569" s="17" t="str">
        <f>IF(C1569=1,COUNTIF($C$1:$C1569,1),"")</f>
        <v/>
      </c>
      <c r="E1569" s="7" t="str">
        <f>IFERROR(INDEX($A$1:$A$5000,MATCH(ROWS($D$1:$D1569),$D$1:$D$5000,0)),"")</f>
        <v/>
      </c>
    </row>
    <row r="1570" spans="3:5">
      <c r="C1570" s="17">
        <f t="shared" si="24"/>
        <v>0</v>
      </c>
      <c r="D1570" s="17" t="str">
        <f>IF(C1570=1,COUNTIF($C$1:$C1570,1),"")</f>
        <v/>
      </c>
      <c r="E1570" s="7" t="str">
        <f>IFERROR(INDEX($A$1:$A$5000,MATCH(ROWS($D$1:$D1570),$D$1:$D$5000,0)),"")</f>
        <v/>
      </c>
    </row>
    <row r="1571" spans="3:5">
      <c r="C1571" s="17">
        <f t="shared" si="24"/>
        <v>0</v>
      </c>
      <c r="D1571" s="17" t="str">
        <f>IF(C1571=1,COUNTIF($C$1:$C1571,1),"")</f>
        <v/>
      </c>
      <c r="E1571" s="7" t="str">
        <f>IFERROR(INDEX($A$1:$A$5000,MATCH(ROWS($D$1:$D1571),$D$1:$D$5000,0)),"")</f>
        <v/>
      </c>
    </row>
    <row r="1572" spans="3:5">
      <c r="C1572" s="17">
        <f t="shared" si="24"/>
        <v>0</v>
      </c>
      <c r="D1572" s="17" t="str">
        <f>IF(C1572=1,COUNTIF($C$1:$C1572,1),"")</f>
        <v/>
      </c>
      <c r="E1572" s="7" t="str">
        <f>IFERROR(INDEX($A$1:$A$5000,MATCH(ROWS($D$1:$D1572),$D$1:$D$5000,0)),"")</f>
        <v/>
      </c>
    </row>
    <row r="1573" spans="3:5">
      <c r="C1573" s="17">
        <f t="shared" si="24"/>
        <v>0</v>
      </c>
      <c r="D1573" s="17" t="str">
        <f>IF(C1573=1,COUNTIF($C$1:$C1573,1),"")</f>
        <v/>
      </c>
      <c r="E1573" s="7" t="str">
        <f>IFERROR(INDEX($A$1:$A$5000,MATCH(ROWS($D$1:$D1573),$D$1:$D$5000,0)),"")</f>
        <v/>
      </c>
    </row>
    <row r="1574" spans="3:5">
      <c r="C1574" s="17">
        <f t="shared" si="24"/>
        <v>0</v>
      </c>
      <c r="D1574" s="17" t="str">
        <f>IF(C1574=1,COUNTIF($C$1:$C1574,1),"")</f>
        <v/>
      </c>
      <c r="E1574" s="7" t="str">
        <f>IFERROR(INDEX($A$1:$A$5000,MATCH(ROWS($D$1:$D1574),$D$1:$D$5000,0)),"")</f>
        <v/>
      </c>
    </row>
    <row r="1575" spans="3:5">
      <c r="C1575" s="17">
        <f t="shared" si="24"/>
        <v>0</v>
      </c>
      <c r="D1575" s="17" t="str">
        <f>IF(C1575=1,COUNTIF($C$1:$C1575,1),"")</f>
        <v/>
      </c>
      <c r="E1575" s="7" t="str">
        <f>IFERROR(INDEX($A$1:$A$5000,MATCH(ROWS($D$1:$D1575),$D$1:$D$5000,0)),"")</f>
        <v/>
      </c>
    </row>
    <row r="1576" spans="3:5">
      <c r="C1576" s="17">
        <f t="shared" si="24"/>
        <v>0</v>
      </c>
      <c r="D1576" s="17" t="str">
        <f>IF(C1576=1,COUNTIF($C$1:$C1576,1),"")</f>
        <v/>
      </c>
      <c r="E1576" s="7" t="str">
        <f>IFERROR(INDEX($A$1:$A$5000,MATCH(ROWS($D$1:$D1576),$D$1:$D$5000,0)),"")</f>
        <v/>
      </c>
    </row>
    <row r="1577" spans="3:5">
      <c r="C1577" s="17">
        <f t="shared" si="24"/>
        <v>0</v>
      </c>
      <c r="D1577" s="17" t="str">
        <f>IF(C1577=1,COUNTIF($C$1:$C1577,1),"")</f>
        <v/>
      </c>
      <c r="E1577" s="7" t="str">
        <f>IFERROR(INDEX($A$1:$A$5000,MATCH(ROWS($D$1:$D1577),$D$1:$D$5000,0)),"")</f>
        <v/>
      </c>
    </row>
    <row r="1578" spans="3:5">
      <c r="C1578" s="17">
        <f t="shared" si="24"/>
        <v>0</v>
      </c>
      <c r="D1578" s="17" t="str">
        <f>IF(C1578=1,COUNTIF($C$1:$C1578,1),"")</f>
        <v/>
      </c>
      <c r="E1578" s="7" t="str">
        <f>IFERROR(INDEX($A$1:$A$5000,MATCH(ROWS($D$1:$D1578),$D$1:$D$5000,0)),"")</f>
        <v/>
      </c>
    </row>
    <row r="1579" spans="3:5">
      <c r="C1579" s="17">
        <f t="shared" si="24"/>
        <v>0</v>
      </c>
      <c r="D1579" s="17" t="str">
        <f>IF(C1579=1,COUNTIF($C$1:$C1579,1),"")</f>
        <v/>
      </c>
      <c r="E1579" s="7" t="str">
        <f>IFERROR(INDEX($A$1:$A$5000,MATCH(ROWS($D$1:$D1579),$D$1:$D$5000,0)),"")</f>
        <v/>
      </c>
    </row>
    <row r="1580" spans="3:5">
      <c r="C1580" s="17">
        <f t="shared" si="24"/>
        <v>0</v>
      </c>
      <c r="D1580" s="17" t="str">
        <f>IF(C1580=1,COUNTIF($C$1:$C1580,1),"")</f>
        <v/>
      </c>
      <c r="E1580" s="7" t="str">
        <f>IFERROR(INDEX($A$1:$A$5000,MATCH(ROWS($D$1:$D1580),$D$1:$D$5000,0)),"")</f>
        <v/>
      </c>
    </row>
    <row r="1581" spans="3:5">
      <c r="C1581" s="17">
        <f t="shared" si="24"/>
        <v>0</v>
      </c>
      <c r="D1581" s="17" t="str">
        <f>IF(C1581=1,COUNTIF($C$1:$C1581,1),"")</f>
        <v/>
      </c>
      <c r="E1581" s="7" t="str">
        <f>IFERROR(INDEX($A$1:$A$5000,MATCH(ROWS($D$1:$D1581),$D$1:$D$5000,0)),"")</f>
        <v/>
      </c>
    </row>
    <row r="1582" spans="3:5">
      <c r="C1582" s="17">
        <f t="shared" si="24"/>
        <v>0</v>
      </c>
      <c r="D1582" s="17" t="str">
        <f>IF(C1582=1,COUNTIF($C$1:$C1582,1),"")</f>
        <v/>
      </c>
      <c r="E1582" s="7" t="str">
        <f>IFERROR(INDEX($A$1:$A$5000,MATCH(ROWS($D$1:$D1582),$D$1:$D$5000,0)),"")</f>
        <v/>
      </c>
    </row>
    <row r="1583" spans="3:5">
      <c r="C1583" s="17">
        <f t="shared" si="24"/>
        <v>0</v>
      </c>
      <c r="D1583" s="17" t="str">
        <f>IF(C1583=1,COUNTIF($C$1:$C1583,1),"")</f>
        <v/>
      </c>
      <c r="E1583" s="7" t="str">
        <f>IFERROR(INDEX($A$1:$A$5000,MATCH(ROWS($D$1:$D1583),$D$1:$D$5000,0)),"")</f>
        <v/>
      </c>
    </row>
    <row r="1584" spans="3:5">
      <c r="C1584" s="17">
        <f t="shared" si="24"/>
        <v>0</v>
      </c>
      <c r="D1584" s="17" t="str">
        <f>IF(C1584=1,COUNTIF($C$1:$C1584,1),"")</f>
        <v/>
      </c>
      <c r="E1584" s="7" t="str">
        <f>IFERROR(INDEX($A$1:$A$5000,MATCH(ROWS($D$1:$D1584),$D$1:$D$5000,0)),"")</f>
        <v/>
      </c>
    </row>
    <row r="1585" spans="3:5">
      <c r="C1585" s="17">
        <f t="shared" si="24"/>
        <v>0</v>
      </c>
      <c r="D1585" s="17" t="str">
        <f>IF(C1585=1,COUNTIF($C$1:$C1585,1),"")</f>
        <v/>
      </c>
      <c r="E1585" s="7" t="str">
        <f>IFERROR(INDEX($A$1:$A$5000,MATCH(ROWS($D$1:$D1585),$D$1:$D$5000,0)),"")</f>
        <v/>
      </c>
    </row>
    <row r="1586" spans="3:5">
      <c r="C1586" s="17">
        <f t="shared" si="24"/>
        <v>0</v>
      </c>
      <c r="D1586" s="17" t="str">
        <f>IF(C1586=1,COUNTIF($C$1:$C1586,1),"")</f>
        <v/>
      </c>
      <c r="E1586" s="7" t="str">
        <f>IFERROR(INDEX($A$1:$A$5000,MATCH(ROWS($D$1:$D1586),$D$1:$D$5000,0)),"")</f>
        <v/>
      </c>
    </row>
    <row r="1587" spans="3:5">
      <c r="C1587" s="17">
        <f t="shared" si="24"/>
        <v>0</v>
      </c>
      <c r="D1587" s="17" t="str">
        <f>IF(C1587=1,COUNTIF($C$1:$C1587,1),"")</f>
        <v/>
      </c>
      <c r="E1587" s="7" t="str">
        <f>IFERROR(INDEX($A$1:$A$5000,MATCH(ROWS($D$1:$D1587),$D$1:$D$5000,0)),"")</f>
        <v/>
      </c>
    </row>
    <row r="1588" spans="3:5">
      <c r="C1588" s="17">
        <f t="shared" si="24"/>
        <v>0</v>
      </c>
      <c r="D1588" s="17" t="str">
        <f>IF(C1588=1,COUNTIF($C$1:$C1588,1),"")</f>
        <v/>
      </c>
      <c r="E1588" s="7" t="str">
        <f>IFERROR(INDEX($A$1:$A$5000,MATCH(ROWS($D$1:$D1588),$D$1:$D$5000,0)),"")</f>
        <v/>
      </c>
    </row>
    <row r="1589" spans="3:5">
      <c r="C1589" s="17">
        <f t="shared" si="24"/>
        <v>0</v>
      </c>
      <c r="D1589" s="17" t="str">
        <f>IF(C1589=1,COUNTIF($C$1:$C1589,1),"")</f>
        <v/>
      </c>
      <c r="E1589" s="7" t="str">
        <f>IFERROR(INDEX($A$1:$A$5000,MATCH(ROWS($D$1:$D1589),$D$1:$D$5000,0)),"")</f>
        <v/>
      </c>
    </row>
    <row r="1590" spans="3:5">
      <c r="C1590" s="17">
        <f t="shared" si="24"/>
        <v>0</v>
      </c>
      <c r="D1590" s="17" t="str">
        <f>IF(C1590=1,COUNTIF($C$1:$C1590,1),"")</f>
        <v/>
      </c>
      <c r="E1590" s="7" t="str">
        <f>IFERROR(INDEX($A$1:$A$5000,MATCH(ROWS($D$1:$D1590),$D$1:$D$5000,0)),"")</f>
        <v/>
      </c>
    </row>
    <row r="1591" spans="3:5">
      <c r="C1591" s="17">
        <f t="shared" si="24"/>
        <v>0</v>
      </c>
      <c r="D1591" s="17" t="str">
        <f>IF(C1591=1,COUNTIF($C$1:$C1591,1),"")</f>
        <v/>
      </c>
      <c r="E1591" s="7" t="str">
        <f>IFERROR(INDEX($A$1:$A$5000,MATCH(ROWS($D$1:$D1591),$D$1:$D$5000,0)),"")</f>
        <v/>
      </c>
    </row>
    <row r="1592" spans="3:5">
      <c r="C1592" s="17">
        <f t="shared" si="24"/>
        <v>0</v>
      </c>
      <c r="D1592" s="17" t="str">
        <f>IF(C1592=1,COUNTIF($C$1:$C1592,1),"")</f>
        <v/>
      </c>
      <c r="E1592" s="7" t="str">
        <f>IFERROR(INDEX($A$1:$A$5000,MATCH(ROWS($D$1:$D1592),$D$1:$D$5000,0)),"")</f>
        <v/>
      </c>
    </row>
    <row r="1593" spans="3:5">
      <c r="C1593" s="17">
        <f t="shared" si="24"/>
        <v>0</v>
      </c>
      <c r="D1593" s="17" t="str">
        <f>IF(C1593=1,COUNTIF($C$1:$C1593,1),"")</f>
        <v/>
      </c>
      <c r="E1593" s="7" t="str">
        <f>IFERROR(INDEX($A$1:$A$5000,MATCH(ROWS($D$1:$D1593),$D$1:$D$5000,0)),"")</f>
        <v/>
      </c>
    </row>
    <row r="1594" spans="3:5">
      <c r="C1594" s="17">
        <f t="shared" si="24"/>
        <v>0</v>
      </c>
      <c r="D1594" s="17" t="str">
        <f>IF(C1594=1,COUNTIF($C$1:$C1594,1),"")</f>
        <v/>
      </c>
      <c r="E1594" s="7" t="str">
        <f>IFERROR(INDEX($A$1:$A$5000,MATCH(ROWS($D$1:$D1594),$D$1:$D$5000,0)),"")</f>
        <v/>
      </c>
    </row>
    <row r="1595" spans="3:5">
      <c r="C1595" s="17">
        <f t="shared" si="24"/>
        <v>0</v>
      </c>
      <c r="D1595" s="17" t="str">
        <f>IF(C1595=1,COUNTIF($C$1:$C1595,1),"")</f>
        <v/>
      </c>
      <c r="E1595" s="7" t="str">
        <f>IFERROR(INDEX($A$1:$A$5000,MATCH(ROWS($D$1:$D1595),$D$1:$D$5000,0)),"")</f>
        <v/>
      </c>
    </row>
    <row r="1596" spans="3:5">
      <c r="C1596" s="17">
        <f t="shared" si="24"/>
        <v>0</v>
      </c>
      <c r="D1596" s="17" t="str">
        <f>IF(C1596=1,COUNTIF($C$1:$C1596,1),"")</f>
        <v/>
      </c>
      <c r="E1596" s="7" t="str">
        <f>IFERROR(INDEX($A$1:$A$5000,MATCH(ROWS($D$1:$D1596),$D$1:$D$5000,0)),"")</f>
        <v/>
      </c>
    </row>
    <row r="1597" spans="3:5">
      <c r="C1597" s="17">
        <f t="shared" si="24"/>
        <v>0</v>
      </c>
      <c r="D1597" s="17" t="str">
        <f>IF(C1597=1,COUNTIF($C$1:$C1597,1),"")</f>
        <v/>
      </c>
      <c r="E1597" s="7" t="str">
        <f>IFERROR(INDEX($A$1:$A$5000,MATCH(ROWS($D$1:$D1597),$D$1:$D$5000,0)),"")</f>
        <v/>
      </c>
    </row>
    <row r="1598" spans="3:5">
      <c r="C1598" s="17">
        <f t="shared" si="24"/>
        <v>0</v>
      </c>
      <c r="D1598" s="17" t="str">
        <f>IF(C1598=1,COUNTIF($C$1:$C1598,1),"")</f>
        <v/>
      </c>
      <c r="E1598" s="7" t="str">
        <f>IFERROR(INDEX($A$1:$A$5000,MATCH(ROWS($D$1:$D1598),$D$1:$D$5000,0)),"")</f>
        <v/>
      </c>
    </row>
    <row r="1599" spans="3:5">
      <c r="C1599" s="17">
        <f t="shared" si="24"/>
        <v>0</v>
      </c>
      <c r="D1599" s="17" t="str">
        <f>IF(C1599=1,COUNTIF($C$1:$C1599,1),"")</f>
        <v/>
      </c>
      <c r="E1599" s="7" t="str">
        <f>IFERROR(INDEX($A$1:$A$5000,MATCH(ROWS($D$1:$D1599),$D$1:$D$5000,0)),"")</f>
        <v/>
      </c>
    </row>
    <row r="1600" spans="3:5">
      <c r="C1600" s="17">
        <f t="shared" si="24"/>
        <v>0</v>
      </c>
      <c r="D1600" s="17" t="str">
        <f>IF(C1600=1,COUNTIF($C$1:$C1600,1),"")</f>
        <v/>
      </c>
      <c r="E1600" s="7" t="str">
        <f>IFERROR(INDEX($A$1:$A$5000,MATCH(ROWS($D$1:$D1600),$D$1:$D$5000,0)),"")</f>
        <v/>
      </c>
    </row>
    <row r="1601" spans="3:5">
      <c r="C1601" s="17">
        <f t="shared" si="24"/>
        <v>0</v>
      </c>
      <c r="D1601" s="17" t="str">
        <f>IF(C1601=1,COUNTIF($C$1:$C1601,1),"")</f>
        <v/>
      </c>
      <c r="E1601" s="7" t="str">
        <f>IFERROR(INDEX($A$1:$A$5000,MATCH(ROWS($D$1:$D1601),$D$1:$D$5000,0)),"")</f>
        <v/>
      </c>
    </row>
    <row r="1602" spans="3:5">
      <c r="C1602" s="17">
        <f t="shared" ref="C1602:C1665" si="25">--ISNUMBER(SEARCH($B$1,A1602))</f>
        <v>0</v>
      </c>
      <c r="D1602" s="17" t="str">
        <f>IF(C1602=1,COUNTIF($C$1:$C1602,1),"")</f>
        <v/>
      </c>
      <c r="E1602" s="7" t="str">
        <f>IFERROR(INDEX($A$1:$A$5000,MATCH(ROWS($D$1:$D1602),$D$1:$D$5000,0)),"")</f>
        <v/>
      </c>
    </row>
    <row r="1603" spans="3:5">
      <c r="C1603" s="17">
        <f t="shared" si="25"/>
        <v>0</v>
      </c>
      <c r="D1603" s="17" t="str">
        <f>IF(C1603=1,COUNTIF($C$1:$C1603,1),"")</f>
        <v/>
      </c>
      <c r="E1603" s="7" t="str">
        <f>IFERROR(INDEX($A$1:$A$5000,MATCH(ROWS($D$1:$D1603),$D$1:$D$5000,0)),"")</f>
        <v/>
      </c>
    </row>
    <row r="1604" spans="3:5">
      <c r="C1604" s="17">
        <f t="shared" si="25"/>
        <v>0</v>
      </c>
      <c r="D1604" s="17" t="str">
        <f>IF(C1604=1,COUNTIF($C$1:$C1604,1),"")</f>
        <v/>
      </c>
      <c r="E1604" s="7" t="str">
        <f>IFERROR(INDEX($A$1:$A$5000,MATCH(ROWS($D$1:$D1604),$D$1:$D$5000,0)),"")</f>
        <v/>
      </c>
    </row>
    <row r="1605" spans="3:5">
      <c r="C1605" s="17">
        <f t="shared" si="25"/>
        <v>0</v>
      </c>
      <c r="D1605" s="17" t="str">
        <f>IF(C1605=1,COUNTIF($C$1:$C1605,1),"")</f>
        <v/>
      </c>
      <c r="E1605" s="7" t="str">
        <f>IFERROR(INDEX($A$1:$A$5000,MATCH(ROWS($D$1:$D1605),$D$1:$D$5000,0)),"")</f>
        <v/>
      </c>
    </row>
    <row r="1606" spans="3:5">
      <c r="C1606" s="17">
        <f t="shared" si="25"/>
        <v>0</v>
      </c>
      <c r="D1606" s="17" t="str">
        <f>IF(C1606=1,COUNTIF($C$1:$C1606,1),"")</f>
        <v/>
      </c>
      <c r="E1606" s="7" t="str">
        <f>IFERROR(INDEX($A$1:$A$5000,MATCH(ROWS($D$1:$D1606),$D$1:$D$5000,0)),"")</f>
        <v/>
      </c>
    </row>
    <row r="1607" spans="3:5">
      <c r="C1607" s="17">
        <f t="shared" si="25"/>
        <v>0</v>
      </c>
      <c r="D1607" s="17" t="str">
        <f>IF(C1607=1,COUNTIF($C$1:$C1607,1),"")</f>
        <v/>
      </c>
      <c r="E1607" s="7" t="str">
        <f>IFERROR(INDEX($A$1:$A$5000,MATCH(ROWS($D$1:$D1607),$D$1:$D$5000,0)),"")</f>
        <v/>
      </c>
    </row>
    <row r="1608" spans="3:5">
      <c r="C1608" s="17">
        <f t="shared" si="25"/>
        <v>0</v>
      </c>
      <c r="D1608" s="17" t="str">
        <f>IF(C1608=1,COUNTIF($C$1:$C1608,1),"")</f>
        <v/>
      </c>
      <c r="E1608" s="7" t="str">
        <f>IFERROR(INDEX($A$1:$A$5000,MATCH(ROWS($D$1:$D1608),$D$1:$D$5000,0)),"")</f>
        <v/>
      </c>
    </row>
    <row r="1609" spans="3:5">
      <c r="C1609" s="17">
        <f t="shared" si="25"/>
        <v>0</v>
      </c>
      <c r="D1609" s="17" t="str">
        <f>IF(C1609=1,COUNTIF($C$1:$C1609,1),"")</f>
        <v/>
      </c>
      <c r="E1609" s="7" t="str">
        <f>IFERROR(INDEX($A$1:$A$5000,MATCH(ROWS($D$1:$D1609),$D$1:$D$5000,0)),"")</f>
        <v/>
      </c>
    </row>
    <row r="1610" spans="3:5">
      <c r="C1610" s="17">
        <f t="shared" si="25"/>
        <v>0</v>
      </c>
      <c r="D1610" s="17" t="str">
        <f>IF(C1610=1,COUNTIF($C$1:$C1610,1),"")</f>
        <v/>
      </c>
      <c r="E1610" s="7" t="str">
        <f>IFERROR(INDEX($A$1:$A$5000,MATCH(ROWS($D$1:$D1610),$D$1:$D$5000,0)),"")</f>
        <v/>
      </c>
    </row>
    <row r="1611" spans="3:5">
      <c r="C1611" s="17">
        <f t="shared" si="25"/>
        <v>0</v>
      </c>
      <c r="D1611" s="17" t="str">
        <f>IF(C1611=1,COUNTIF($C$1:$C1611,1),"")</f>
        <v/>
      </c>
      <c r="E1611" s="7" t="str">
        <f>IFERROR(INDEX($A$1:$A$5000,MATCH(ROWS($D$1:$D1611),$D$1:$D$5000,0)),"")</f>
        <v/>
      </c>
    </row>
    <row r="1612" spans="3:5">
      <c r="C1612" s="17">
        <f t="shared" si="25"/>
        <v>0</v>
      </c>
      <c r="D1612" s="17" t="str">
        <f>IF(C1612=1,COUNTIF($C$1:$C1612,1),"")</f>
        <v/>
      </c>
      <c r="E1612" s="7" t="str">
        <f>IFERROR(INDEX($A$1:$A$5000,MATCH(ROWS($D$1:$D1612),$D$1:$D$5000,0)),"")</f>
        <v/>
      </c>
    </row>
    <row r="1613" spans="3:5">
      <c r="C1613" s="17">
        <f t="shared" si="25"/>
        <v>0</v>
      </c>
      <c r="D1613" s="17" t="str">
        <f>IF(C1613=1,COUNTIF($C$1:$C1613,1),"")</f>
        <v/>
      </c>
      <c r="E1613" s="7" t="str">
        <f>IFERROR(INDEX($A$1:$A$5000,MATCH(ROWS($D$1:$D1613),$D$1:$D$5000,0)),"")</f>
        <v/>
      </c>
    </row>
    <row r="1614" spans="3:5">
      <c r="C1614" s="17">
        <f t="shared" si="25"/>
        <v>0</v>
      </c>
      <c r="D1614" s="17" t="str">
        <f>IF(C1614=1,COUNTIF($C$1:$C1614,1),"")</f>
        <v/>
      </c>
      <c r="E1614" s="7" t="str">
        <f>IFERROR(INDEX($A$1:$A$5000,MATCH(ROWS($D$1:$D1614),$D$1:$D$5000,0)),"")</f>
        <v/>
      </c>
    </row>
    <row r="1615" spans="3:5">
      <c r="C1615" s="17">
        <f t="shared" si="25"/>
        <v>0</v>
      </c>
      <c r="D1615" s="17" t="str">
        <f>IF(C1615=1,COUNTIF($C$1:$C1615,1),"")</f>
        <v/>
      </c>
      <c r="E1615" s="7" t="str">
        <f>IFERROR(INDEX($A$1:$A$5000,MATCH(ROWS($D$1:$D1615),$D$1:$D$5000,0)),"")</f>
        <v/>
      </c>
    </row>
    <row r="1616" spans="3:5">
      <c r="C1616" s="17">
        <f t="shared" si="25"/>
        <v>0</v>
      </c>
      <c r="D1616" s="17" t="str">
        <f>IF(C1616=1,COUNTIF($C$1:$C1616,1),"")</f>
        <v/>
      </c>
      <c r="E1616" s="7" t="str">
        <f>IFERROR(INDEX($A$1:$A$5000,MATCH(ROWS($D$1:$D1616),$D$1:$D$5000,0)),"")</f>
        <v/>
      </c>
    </row>
    <row r="1617" spans="3:5">
      <c r="C1617" s="17">
        <f t="shared" si="25"/>
        <v>0</v>
      </c>
      <c r="D1617" s="17" t="str">
        <f>IF(C1617=1,COUNTIF($C$1:$C1617,1),"")</f>
        <v/>
      </c>
      <c r="E1617" s="7" t="str">
        <f>IFERROR(INDEX($A$1:$A$5000,MATCH(ROWS($D$1:$D1617),$D$1:$D$5000,0)),"")</f>
        <v/>
      </c>
    </row>
    <row r="1618" spans="3:5">
      <c r="C1618" s="17">
        <f t="shared" si="25"/>
        <v>0</v>
      </c>
      <c r="D1618" s="17" t="str">
        <f>IF(C1618=1,COUNTIF($C$1:$C1618,1),"")</f>
        <v/>
      </c>
      <c r="E1618" s="7" t="str">
        <f>IFERROR(INDEX($A$1:$A$5000,MATCH(ROWS($D$1:$D1618),$D$1:$D$5000,0)),"")</f>
        <v/>
      </c>
    </row>
    <row r="1619" spans="3:5">
      <c r="C1619" s="17">
        <f t="shared" si="25"/>
        <v>0</v>
      </c>
      <c r="D1619" s="17" t="str">
        <f>IF(C1619=1,COUNTIF($C$1:$C1619,1),"")</f>
        <v/>
      </c>
      <c r="E1619" s="7" t="str">
        <f>IFERROR(INDEX($A$1:$A$5000,MATCH(ROWS($D$1:$D1619),$D$1:$D$5000,0)),"")</f>
        <v/>
      </c>
    </row>
    <row r="1620" spans="3:5">
      <c r="C1620" s="17">
        <f t="shared" si="25"/>
        <v>0</v>
      </c>
      <c r="D1620" s="17" t="str">
        <f>IF(C1620=1,COUNTIF($C$1:$C1620,1),"")</f>
        <v/>
      </c>
      <c r="E1620" s="7" t="str">
        <f>IFERROR(INDEX($A$1:$A$5000,MATCH(ROWS($D$1:$D1620),$D$1:$D$5000,0)),"")</f>
        <v/>
      </c>
    </row>
    <row r="1621" spans="3:5">
      <c r="C1621" s="17">
        <f t="shared" si="25"/>
        <v>0</v>
      </c>
      <c r="D1621" s="17" t="str">
        <f>IF(C1621=1,COUNTIF($C$1:$C1621,1),"")</f>
        <v/>
      </c>
      <c r="E1621" s="7" t="str">
        <f>IFERROR(INDEX($A$1:$A$5000,MATCH(ROWS($D$1:$D1621),$D$1:$D$5000,0)),"")</f>
        <v/>
      </c>
    </row>
    <row r="1622" spans="3:5">
      <c r="C1622" s="17">
        <f t="shared" si="25"/>
        <v>0</v>
      </c>
      <c r="D1622" s="17" t="str">
        <f>IF(C1622=1,COUNTIF($C$1:$C1622,1),"")</f>
        <v/>
      </c>
      <c r="E1622" s="7" t="str">
        <f>IFERROR(INDEX($A$1:$A$5000,MATCH(ROWS($D$1:$D1622),$D$1:$D$5000,0)),"")</f>
        <v/>
      </c>
    </row>
    <row r="1623" spans="3:5">
      <c r="C1623" s="17">
        <f t="shared" si="25"/>
        <v>0</v>
      </c>
      <c r="D1623" s="17" t="str">
        <f>IF(C1623=1,COUNTIF($C$1:$C1623,1),"")</f>
        <v/>
      </c>
      <c r="E1623" s="7" t="str">
        <f>IFERROR(INDEX($A$1:$A$5000,MATCH(ROWS($D$1:$D1623),$D$1:$D$5000,0)),"")</f>
        <v/>
      </c>
    </row>
    <row r="1624" spans="3:5">
      <c r="C1624" s="17">
        <f t="shared" si="25"/>
        <v>0</v>
      </c>
      <c r="D1624" s="17" t="str">
        <f>IF(C1624=1,COUNTIF($C$1:$C1624,1),"")</f>
        <v/>
      </c>
      <c r="E1624" s="7" t="str">
        <f>IFERROR(INDEX($A$1:$A$5000,MATCH(ROWS($D$1:$D1624),$D$1:$D$5000,0)),"")</f>
        <v/>
      </c>
    </row>
    <row r="1625" spans="3:5">
      <c r="C1625" s="17">
        <f t="shared" si="25"/>
        <v>0</v>
      </c>
      <c r="D1625" s="17" t="str">
        <f>IF(C1625=1,COUNTIF($C$1:$C1625,1),"")</f>
        <v/>
      </c>
      <c r="E1625" s="7" t="str">
        <f>IFERROR(INDEX($A$1:$A$5000,MATCH(ROWS($D$1:$D1625),$D$1:$D$5000,0)),"")</f>
        <v/>
      </c>
    </row>
    <row r="1626" spans="3:5">
      <c r="C1626" s="17">
        <f t="shared" si="25"/>
        <v>0</v>
      </c>
      <c r="D1626" s="17" t="str">
        <f>IF(C1626=1,COUNTIF($C$1:$C1626,1),"")</f>
        <v/>
      </c>
      <c r="E1626" s="7" t="str">
        <f>IFERROR(INDEX($A$1:$A$5000,MATCH(ROWS($D$1:$D1626),$D$1:$D$5000,0)),"")</f>
        <v/>
      </c>
    </row>
    <row r="1627" spans="3:5">
      <c r="C1627" s="17">
        <f t="shared" si="25"/>
        <v>0</v>
      </c>
      <c r="D1627" s="17" t="str">
        <f>IF(C1627=1,COUNTIF($C$1:$C1627,1),"")</f>
        <v/>
      </c>
      <c r="E1627" s="7" t="str">
        <f>IFERROR(INDEX($A$1:$A$5000,MATCH(ROWS($D$1:$D1627),$D$1:$D$5000,0)),"")</f>
        <v/>
      </c>
    </row>
    <row r="1628" spans="3:5">
      <c r="C1628" s="17">
        <f t="shared" si="25"/>
        <v>0</v>
      </c>
      <c r="D1628" s="17" t="str">
        <f>IF(C1628=1,COUNTIF($C$1:$C1628,1),"")</f>
        <v/>
      </c>
      <c r="E1628" s="7" t="str">
        <f>IFERROR(INDEX($A$1:$A$5000,MATCH(ROWS($D$1:$D1628),$D$1:$D$5000,0)),"")</f>
        <v/>
      </c>
    </row>
    <row r="1629" spans="3:5">
      <c r="C1629" s="17">
        <f t="shared" si="25"/>
        <v>0</v>
      </c>
      <c r="D1629" s="17" t="str">
        <f>IF(C1629=1,COUNTIF($C$1:$C1629,1),"")</f>
        <v/>
      </c>
      <c r="E1629" s="7" t="str">
        <f>IFERROR(INDEX($A$1:$A$5000,MATCH(ROWS($D$1:$D1629),$D$1:$D$5000,0)),"")</f>
        <v/>
      </c>
    </row>
    <row r="1630" spans="3:5">
      <c r="C1630" s="17">
        <f t="shared" si="25"/>
        <v>0</v>
      </c>
      <c r="D1630" s="17" t="str">
        <f>IF(C1630=1,COUNTIF($C$1:$C1630,1),"")</f>
        <v/>
      </c>
      <c r="E1630" s="7" t="str">
        <f>IFERROR(INDEX($A$1:$A$5000,MATCH(ROWS($D$1:$D1630),$D$1:$D$5000,0)),"")</f>
        <v/>
      </c>
    </row>
    <row r="1631" spans="3:5">
      <c r="C1631" s="17">
        <f t="shared" si="25"/>
        <v>0</v>
      </c>
      <c r="D1631" s="17" t="str">
        <f>IF(C1631=1,COUNTIF($C$1:$C1631,1),"")</f>
        <v/>
      </c>
      <c r="E1631" s="7" t="str">
        <f>IFERROR(INDEX($A$1:$A$5000,MATCH(ROWS($D$1:$D1631),$D$1:$D$5000,0)),"")</f>
        <v/>
      </c>
    </row>
    <row r="1632" spans="3:5">
      <c r="C1632" s="17">
        <f t="shared" si="25"/>
        <v>0</v>
      </c>
      <c r="D1632" s="17" t="str">
        <f>IF(C1632=1,COUNTIF($C$1:$C1632,1),"")</f>
        <v/>
      </c>
      <c r="E1632" s="7" t="str">
        <f>IFERROR(INDEX($A$1:$A$5000,MATCH(ROWS($D$1:$D1632),$D$1:$D$5000,0)),"")</f>
        <v/>
      </c>
    </row>
    <row r="1633" spans="3:5">
      <c r="C1633" s="17">
        <f t="shared" si="25"/>
        <v>0</v>
      </c>
      <c r="D1633" s="17" t="str">
        <f>IF(C1633=1,COUNTIF($C$1:$C1633,1),"")</f>
        <v/>
      </c>
      <c r="E1633" s="7" t="str">
        <f>IFERROR(INDEX($A$1:$A$5000,MATCH(ROWS($D$1:$D1633),$D$1:$D$5000,0)),"")</f>
        <v/>
      </c>
    </row>
    <row r="1634" spans="3:5">
      <c r="C1634" s="17">
        <f t="shared" si="25"/>
        <v>0</v>
      </c>
      <c r="D1634" s="17" t="str">
        <f>IF(C1634=1,COUNTIF($C$1:$C1634,1),"")</f>
        <v/>
      </c>
      <c r="E1634" s="7" t="str">
        <f>IFERROR(INDEX($A$1:$A$5000,MATCH(ROWS($D$1:$D1634),$D$1:$D$5000,0)),"")</f>
        <v/>
      </c>
    </row>
    <row r="1635" spans="3:5">
      <c r="C1635" s="17">
        <f t="shared" si="25"/>
        <v>0</v>
      </c>
      <c r="D1635" s="17" t="str">
        <f>IF(C1635=1,COUNTIF($C$1:$C1635,1),"")</f>
        <v/>
      </c>
      <c r="E1635" s="7" t="str">
        <f>IFERROR(INDEX($A$1:$A$5000,MATCH(ROWS($D$1:$D1635),$D$1:$D$5000,0)),"")</f>
        <v/>
      </c>
    </row>
    <row r="1636" spans="3:5">
      <c r="C1636" s="17">
        <f t="shared" si="25"/>
        <v>0</v>
      </c>
      <c r="D1636" s="17" t="str">
        <f>IF(C1636=1,COUNTIF($C$1:$C1636,1),"")</f>
        <v/>
      </c>
      <c r="E1636" s="7" t="str">
        <f>IFERROR(INDEX($A$1:$A$5000,MATCH(ROWS($D$1:$D1636),$D$1:$D$5000,0)),"")</f>
        <v/>
      </c>
    </row>
    <row r="1637" spans="3:5">
      <c r="C1637" s="17">
        <f t="shared" si="25"/>
        <v>0</v>
      </c>
      <c r="D1637" s="17" t="str">
        <f>IF(C1637=1,COUNTIF($C$1:$C1637,1),"")</f>
        <v/>
      </c>
      <c r="E1637" s="7" t="str">
        <f>IFERROR(INDEX($A$1:$A$5000,MATCH(ROWS($D$1:$D1637),$D$1:$D$5000,0)),"")</f>
        <v/>
      </c>
    </row>
    <row r="1638" spans="3:5">
      <c r="C1638" s="17">
        <f t="shared" si="25"/>
        <v>0</v>
      </c>
      <c r="D1638" s="17" t="str">
        <f>IF(C1638=1,COUNTIF($C$1:$C1638,1),"")</f>
        <v/>
      </c>
      <c r="E1638" s="7" t="str">
        <f>IFERROR(INDEX($A$1:$A$5000,MATCH(ROWS($D$1:$D1638),$D$1:$D$5000,0)),"")</f>
        <v/>
      </c>
    </row>
    <row r="1639" spans="3:5">
      <c r="C1639" s="17">
        <f t="shared" si="25"/>
        <v>0</v>
      </c>
      <c r="D1639" s="17" t="str">
        <f>IF(C1639=1,COUNTIF($C$1:$C1639,1),"")</f>
        <v/>
      </c>
      <c r="E1639" s="7" t="str">
        <f>IFERROR(INDEX($A$1:$A$5000,MATCH(ROWS($D$1:$D1639),$D$1:$D$5000,0)),"")</f>
        <v/>
      </c>
    </row>
    <row r="1640" spans="3:5">
      <c r="C1640" s="17">
        <f t="shared" si="25"/>
        <v>0</v>
      </c>
      <c r="D1640" s="17" t="str">
        <f>IF(C1640=1,COUNTIF($C$1:$C1640,1),"")</f>
        <v/>
      </c>
      <c r="E1640" s="7" t="str">
        <f>IFERROR(INDEX($A$1:$A$5000,MATCH(ROWS($D$1:$D1640),$D$1:$D$5000,0)),"")</f>
        <v/>
      </c>
    </row>
    <row r="1641" spans="3:5">
      <c r="C1641" s="17">
        <f t="shared" si="25"/>
        <v>0</v>
      </c>
      <c r="D1641" s="17" t="str">
        <f>IF(C1641=1,COUNTIF($C$1:$C1641,1),"")</f>
        <v/>
      </c>
      <c r="E1641" s="7" t="str">
        <f>IFERROR(INDEX($A$1:$A$5000,MATCH(ROWS($D$1:$D1641),$D$1:$D$5000,0)),"")</f>
        <v/>
      </c>
    </row>
    <row r="1642" spans="3:5">
      <c r="C1642" s="17">
        <f t="shared" si="25"/>
        <v>0</v>
      </c>
      <c r="D1642" s="17" t="str">
        <f>IF(C1642=1,COUNTIF($C$1:$C1642,1),"")</f>
        <v/>
      </c>
      <c r="E1642" s="7" t="str">
        <f>IFERROR(INDEX($A$1:$A$5000,MATCH(ROWS($D$1:$D1642),$D$1:$D$5000,0)),"")</f>
        <v/>
      </c>
    </row>
    <row r="1643" spans="3:5">
      <c r="C1643" s="17">
        <f t="shared" si="25"/>
        <v>0</v>
      </c>
      <c r="D1643" s="17" t="str">
        <f>IF(C1643=1,COUNTIF($C$1:$C1643,1),"")</f>
        <v/>
      </c>
      <c r="E1643" s="7" t="str">
        <f>IFERROR(INDEX($A$1:$A$5000,MATCH(ROWS($D$1:$D1643),$D$1:$D$5000,0)),"")</f>
        <v/>
      </c>
    </row>
    <row r="1644" spans="3:5">
      <c r="C1644" s="17">
        <f t="shared" si="25"/>
        <v>0</v>
      </c>
      <c r="D1644" s="17" t="str">
        <f>IF(C1644=1,COUNTIF($C$1:$C1644,1),"")</f>
        <v/>
      </c>
      <c r="E1644" s="7" t="str">
        <f>IFERROR(INDEX($A$1:$A$5000,MATCH(ROWS($D$1:$D1644),$D$1:$D$5000,0)),"")</f>
        <v/>
      </c>
    </row>
    <row r="1645" spans="3:5">
      <c r="C1645" s="17">
        <f t="shared" si="25"/>
        <v>0</v>
      </c>
      <c r="D1645" s="17" t="str">
        <f>IF(C1645=1,COUNTIF($C$1:$C1645,1),"")</f>
        <v/>
      </c>
      <c r="E1645" s="7" t="str">
        <f>IFERROR(INDEX($A$1:$A$5000,MATCH(ROWS($D$1:$D1645),$D$1:$D$5000,0)),"")</f>
        <v/>
      </c>
    </row>
    <row r="1646" spans="3:5">
      <c r="C1646" s="17">
        <f t="shared" si="25"/>
        <v>0</v>
      </c>
      <c r="D1646" s="17" t="str">
        <f>IF(C1646=1,COUNTIF($C$1:$C1646,1),"")</f>
        <v/>
      </c>
      <c r="E1646" s="7" t="str">
        <f>IFERROR(INDEX($A$1:$A$5000,MATCH(ROWS($D$1:$D1646),$D$1:$D$5000,0)),"")</f>
        <v/>
      </c>
    </row>
    <row r="1647" spans="3:5">
      <c r="C1647" s="17">
        <f t="shared" si="25"/>
        <v>0</v>
      </c>
      <c r="D1647" s="17" t="str">
        <f>IF(C1647=1,COUNTIF($C$1:$C1647,1),"")</f>
        <v/>
      </c>
      <c r="E1647" s="7" t="str">
        <f>IFERROR(INDEX($A$1:$A$5000,MATCH(ROWS($D$1:$D1647),$D$1:$D$5000,0)),"")</f>
        <v/>
      </c>
    </row>
    <row r="1648" spans="3:5">
      <c r="C1648" s="17">
        <f t="shared" si="25"/>
        <v>0</v>
      </c>
      <c r="D1648" s="17" t="str">
        <f>IF(C1648=1,COUNTIF($C$1:$C1648,1),"")</f>
        <v/>
      </c>
      <c r="E1648" s="7" t="str">
        <f>IFERROR(INDEX($A$1:$A$5000,MATCH(ROWS($D$1:$D1648),$D$1:$D$5000,0)),"")</f>
        <v/>
      </c>
    </row>
    <row r="1649" spans="3:5">
      <c r="C1649" s="17">
        <f t="shared" si="25"/>
        <v>0</v>
      </c>
      <c r="D1649" s="17" t="str">
        <f>IF(C1649=1,COUNTIF($C$1:$C1649,1),"")</f>
        <v/>
      </c>
      <c r="E1649" s="7" t="str">
        <f>IFERROR(INDEX($A$1:$A$5000,MATCH(ROWS($D$1:$D1649),$D$1:$D$5000,0)),"")</f>
        <v/>
      </c>
    </row>
    <row r="1650" spans="3:5">
      <c r="C1650" s="17">
        <f t="shared" si="25"/>
        <v>0</v>
      </c>
      <c r="D1650" s="17" t="str">
        <f>IF(C1650=1,COUNTIF($C$1:$C1650,1),"")</f>
        <v/>
      </c>
      <c r="E1650" s="7" t="str">
        <f>IFERROR(INDEX($A$1:$A$5000,MATCH(ROWS($D$1:$D1650),$D$1:$D$5000,0)),"")</f>
        <v/>
      </c>
    </row>
    <row r="1651" spans="3:5">
      <c r="C1651" s="17">
        <f t="shared" si="25"/>
        <v>0</v>
      </c>
      <c r="D1651" s="17" t="str">
        <f>IF(C1651=1,COUNTIF($C$1:$C1651,1),"")</f>
        <v/>
      </c>
      <c r="E1651" s="7" t="str">
        <f>IFERROR(INDEX($A$1:$A$5000,MATCH(ROWS($D$1:$D1651),$D$1:$D$5000,0)),"")</f>
        <v/>
      </c>
    </row>
    <row r="1652" spans="3:5">
      <c r="C1652" s="17">
        <f t="shared" si="25"/>
        <v>0</v>
      </c>
      <c r="D1652" s="17" t="str">
        <f>IF(C1652=1,COUNTIF($C$1:$C1652,1),"")</f>
        <v/>
      </c>
      <c r="E1652" s="7" t="str">
        <f>IFERROR(INDEX($A$1:$A$5000,MATCH(ROWS($D$1:$D1652),$D$1:$D$5000,0)),"")</f>
        <v/>
      </c>
    </row>
    <row r="1653" spans="3:5">
      <c r="C1653" s="17">
        <f t="shared" si="25"/>
        <v>0</v>
      </c>
      <c r="D1653" s="17" t="str">
        <f>IF(C1653=1,COUNTIF($C$1:$C1653,1),"")</f>
        <v/>
      </c>
      <c r="E1653" s="7" t="str">
        <f>IFERROR(INDEX($A$1:$A$5000,MATCH(ROWS($D$1:$D1653),$D$1:$D$5000,0)),"")</f>
        <v/>
      </c>
    </row>
    <row r="1654" spans="3:5">
      <c r="C1654" s="17">
        <f t="shared" si="25"/>
        <v>0</v>
      </c>
      <c r="D1654" s="17" t="str">
        <f>IF(C1654=1,COUNTIF($C$1:$C1654,1),"")</f>
        <v/>
      </c>
      <c r="E1654" s="7" t="str">
        <f>IFERROR(INDEX($A$1:$A$5000,MATCH(ROWS($D$1:$D1654),$D$1:$D$5000,0)),"")</f>
        <v/>
      </c>
    </row>
    <row r="1655" spans="3:5">
      <c r="C1655" s="17">
        <f t="shared" si="25"/>
        <v>0</v>
      </c>
      <c r="D1655" s="17" t="str">
        <f>IF(C1655=1,COUNTIF($C$1:$C1655,1),"")</f>
        <v/>
      </c>
      <c r="E1655" s="7" t="str">
        <f>IFERROR(INDEX($A$1:$A$5000,MATCH(ROWS($D$1:$D1655),$D$1:$D$5000,0)),"")</f>
        <v/>
      </c>
    </row>
    <row r="1656" spans="3:5">
      <c r="C1656" s="17">
        <f t="shared" si="25"/>
        <v>0</v>
      </c>
      <c r="D1656" s="17" t="str">
        <f>IF(C1656=1,COUNTIF($C$1:$C1656,1),"")</f>
        <v/>
      </c>
      <c r="E1656" s="7" t="str">
        <f>IFERROR(INDEX($A$1:$A$5000,MATCH(ROWS($D$1:$D1656),$D$1:$D$5000,0)),"")</f>
        <v/>
      </c>
    </row>
    <row r="1657" spans="3:5">
      <c r="C1657" s="17">
        <f t="shared" si="25"/>
        <v>0</v>
      </c>
      <c r="D1657" s="17" t="str">
        <f>IF(C1657=1,COUNTIF($C$1:$C1657,1),"")</f>
        <v/>
      </c>
      <c r="E1657" s="7" t="str">
        <f>IFERROR(INDEX($A$1:$A$5000,MATCH(ROWS($D$1:$D1657),$D$1:$D$5000,0)),"")</f>
        <v/>
      </c>
    </row>
    <row r="1658" spans="3:5">
      <c r="C1658" s="17">
        <f t="shared" si="25"/>
        <v>0</v>
      </c>
      <c r="D1658" s="17" t="str">
        <f>IF(C1658=1,COUNTIF($C$1:$C1658,1),"")</f>
        <v/>
      </c>
      <c r="E1658" s="7" t="str">
        <f>IFERROR(INDEX($A$1:$A$5000,MATCH(ROWS($D$1:$D1658),$D$1:$D$5000,0)),"")</f>
        <v/>
      </c>
    </row>
    <row r="1659" spans="3:5">
      <c r="C1659" s="17">
        <f t="shared" si="25"/>
        <v>0</v>
      </c>
      <c r="D1659" s="17" t="str">
        <f>IF(C1659=1,COUNTIF($C$1:$C1659,1),"")</f>
        <v/>
      </c>
      <c r="E1659" s="7" t="str">
        <f>IFERROR(INDEX($A$1:$A$5000,MATCH(ROWS($D$1:$D1659),$D$1:$D$5000,0)),"")</f>
        <v/>
      </c>
    </row>
    <row r="1660" spans="3:5">
      <c r="C1660" s="17">
        <f t="shared" si="25"/>
        <v>0</v>
      </c>
      <c r="D1660" s="17" t="str">
        <f>IF(C1660=1,COUNTIF($C$1:$C1660,1),"")</f>
        <v/>
      </c>
      <c r="E1660" s="7" t="str">
        <f>IFERROR(INDEX($A$1:$A$5000,MATCH(ROWS($D$1:$D1660),$D$1:$D$5000,0)),"")</f>
        <v/>
      </c>
    </row>
    <row r="1661" spans="3:5">
      <c r="C1661" s="17">
        <f t="shared" si="25"/>
        <v>0</v>
      </c>
      <c r="D1661" s="17" t="str">
        <f>IF(C1661=1,COUNTIF($C$1:$C1661,1),"")</f>
        <v/>
      </c>
      <c r="E1661" s="7" t="str">
        <f>IFERROR(INDEX($A$1:$A$5000,MATCH(ROWS($D$1:$D1661),$D$1:$D$5000,0)),"")</f>
        <v/>
      </c>
    </row>
    <row r="1662" spans="3:5">
      <c r="C1662" s="17">
        <f t="shared" si="25"/>
        <v>0</v>
      </c>
      <c r="D1662" s="17" t="str">
        <f>IF(C1662=1,COUNTIF($C$1:$C1662,1),"")</f>
        <v/>
      </c>
      <c r="E1662" s="7" t="str">
        <f>IFERROR(INDEX($A$1:$A$5000,MATCH(ROWS($D$1:$D1662),$D$1:$D$5000,0)),"")</f>
        <v/>
      </c>
    </row>
    <row r="1663" spans="3:5">
      <c r="C1663" s="17">
        <f t="shared" si="25"/>
        <v>0</v>
      </c>
      <c r="D1663" s="17" t="str">
        <f>IF(C1663=1,COUNTIF($C$1:$C1663,1),"")</f>
        <v/>
      </c>
      <c r="E1663" s="7" t="str">
        <f>IFERROR(INDEX($A$1:$A$5000,MATCH(ROWS($D$1:$D1663),$D$1:$D$5000,0)),"")</f>
        <v/>
      </c>
    </row>
    <row r="1664" spans="3:5">
      <c r="C1664" s="17">
        <f t="shared" si="25"/>
        <v>0</v>
      </c>
      <c r="D1664" s="17" t="str">
        <f>IF(C1664=1,COUNTIF($C$1:$C1664,1),"")</f>
        <v/>
      </c>
      <c r="E1664" s="7" t="str">
        <f>IFERROR(INDEX($A$1:$A$5000,MATCH(ROWS($D$1:$D1664),$D$1:$D$5000,0)),"")</f>
        <v/>
      </c>
    </row>
    <row r="1665" spans="3:5">
      <c r="C1665" s="17">
        <f t="shared" si="25"/>
        <v>0</v>
      </c>
      <c r="D1665" s="17" t="str">
        <f>IF(C1665=1,COUNTIF($C$1:$C1665,1),"")</f>
        <v/>
      </c>
      <c r="E1665" s="7" t="str">
        <f>IFERROR(INDEX($A$1:$A$5000,MATCH(ROWS($D$1:$D1665),$D$1:$D$5000,0)),"")</f>
        <v/>
      </c>
    </row>
    <row r="1666" spans="3:5">
      <c r="C1666" s="17">
        <f t="shared" ref="C1666:C1729" si="26">--ISNUMBER(SEARCH($B$1,A1666))</f>
        <v>0</v>
      </c>
      <c r="D1666" s="17" t="str">
        <f>IF(C1666=1,COUNTIF($C$1:$C1666,1),"")</f>
        <v/>
      </c>
      <c r="E1666" s="7" t="str">
        <f>IFERROR(INDEX($A$1:$A$5000,MATCH(ROWS($D$1:$D1666),$D$1:$D$5000,0)),"")</f>
        <v/>
      </c>
    </row>
    <row r="1667" spans="3:5">
      <c r="C1667" s="17">
        <f t="shared" si="26"/>
        <v>0</v>
      </c>
      <c r="D1667" s="17" t="str">
        <f>IF(C1667=1,COUNTIF($C$1:$C1667,1),"")</f>
        <v/>
      </c>
      <c r="E1667" s="7" t="str">
        <f>IFERROR(INDEX($A$1:$A$5000,MATCH(ROWS($D$1:$D1667),$D$1:$D$5000,0)),"")</f>
        <v/>
      </c>
    </row>
    <row r="1668" spans="3:5">
      <c r="C1668" s="17">
        <f t="shared" si="26"/>
        <v>0</v>
      </c>
      <c r="D1668" s="17" t="str">
        <f>IF(C1668=1,COUNTIF($C$1:$C1668,1),"")</f>
        <v/>
      </c>
      <c r="E1668" s="7" t="str">
        <f>IFERROR(INDEX($A$1:$A$5000,MATCH(ROWS($D$1:$D1668),$D$1:$D$5000,0)),"")</f>
        <v/>
      </c>
    </row>
    <row r="1669" spans="3:5">
      <c r="C1669" s="17">
        <f t="shared" si="26"/>
        <v>0</v>
      </c>
      <c r="D1669" s="17" t="str">
        <f>IF(C1669=1,COUNTIF($C$1:$C1669,1),"")</f>
        <v/>
      </c>
      <c r="E1669" s="7" t="str">
        <f>IFERROR(INDEX($A$1:$A$5000,MATCH(ROWS($D$1:$D1669),$D$1:$D$5000,0)),"")</f>
        <v/>
      </c>
    </row>
    <row r="1670" spans="3:5">
      <c r="C1670" s="17">
        <f t="shared" si="26"/>
        <v>0</v>
      </c>
      <c r="D1670" s="17" t="str">
        <f>IF(C1670=1,COUNTIF($C$1:$C1670,1),"")</f>
        <v/>
      </c>
      <c r="E1670" s="7" t="str">
        <f>IFERROR(INDEX($A$1:$A$5000,MATCH(ROWS($D$1:$D1670),$D$1:$D$5000,0)),"")</f>
        <v/>
      </c>
    </row>
    <row r="1671" spans="3:5">
      <c r="C1671" s="17">
        <f t="shared" si="26"/>
        <v>0</v>
      </c>
      <c r="D1671" s="17" t="str">
        <f>IF(C1671=1,COUNTIF($C$1:$C1671,1),"")</f>
        <v/>
      </c>
      <c r="E1671" s="7" t="str">
        <f>IFERROR(INDEX($A$1:$A$5000,MATCH(ROWS($D$1:$D1671),$D$1:$D$5000,0)),"")</f>
        <v/>
      </c>
    </row>
    <row r="1672" spans="3:5">
      <c r="C1672" s="17">
        <f t="shared" si="26"/>
        <v>0</v>
      </c>
      <c r="D1672" s="17" t="str">
        <f>IF(C1672=1,COUNTIF($C$1:$C1672,1),"")</f>
        <v/>
      </c>
      <c r="E1672" s="7" t="str">
        <f>IFERROR(INDEX($A$1:$A$5000,MATCH(ROWS($D$1:$D1672),$D$1:$D$5000,0)),"")</f>
        <v/>
      </c>
    </row>
    <row r="1673" spans="3:5">
      <c r="C1673" s="17">
        <f t="shared" si="26"/>
        <v>0</v>
      </c>
      <c r="D1673" s="17" t="str">
        <f>IF(C1673=1,COUNTIF($C$1:$C1673,1),"")</f>
        <v/>
      </c>
      <c r="E1673" s="7" t="str">
        <f>IFERROR(INDEX($A$1:$A$5000,MATCH(ROWS($D$1:$D1673),$D$1:$D$5000,0)),"")</f>
        <v/>
      </c>
    </row>
    <row r="1674" spans="3:5">
      <c r="C1674" s="17">
        <f t="shared" si="26"/>
        <v>0</v>
      </c>
      <c r="D1674" s="17" t="str">
        <f>IF(C1674=1,COUNTIF($C$1:$C1674,1),"")</f>
        <v/>
      </c>
      <c r="E1674" s="7" t="str">
        <f>IFERROR(INDEX($A$1:$A$5000,MATCH(ROWS($D$1:$D1674),$D$1:$D$5000,0)),"")</f>
        <v/>
      </c>
    </row>
    <row r="1675" spans="3:5">
      <c r="C1675" s="17">
        <f t="shared" si="26"/>
        <v>0</v>
      </c>
      <c r="D1675" s="17" t="str">
        <f>IF(C1675=1,COUNTIF($C$1:$C1675,1),"")</f>
        <v/>
      </c>
      <c r="E1675" s="7" t="str">
        <f>IFERROR(INDEX($A$1:$A$5000,MATCH(ROWS($D$1:$D1675),$D$1:$D$5000,0)),"")</f>
        <v/>
      </c>
    </row>
    <row r="1676" spans="3:5">
      <c r="C1676" s="17">
        <f t="shared" si="26"/>
        <v>0</v>
      </c>
      <c r="D1676" s="17" t="str">
        <f>IF(C1676=1,COUNTIF($C$1:$C1676,1),"")</f>
        <v/>
      </c>
      <c r="E1676" s="7" t="str">
        <f>IFERROR(INDEX($A$1:$A$5000,MATCH(ROWS($D$1:$D1676),$D$1:$D$5000,0)),"")</f>
        <v/>
      </c>
    </row>
    <row r="1677" spans="3:5">
      <c r="C1677" s="17">
        <f t="shared" si="26"/>
        <v>0</v>
      </c>
      <c r="D1677" s="17" t="str">
        <f>IF(C1677=1,COUNTIF($C$1:$C1677,1),"")</f>
        <v/>
      </c>
      <c r="E1677" s="7" t="str">
        <f>IFERROR(INDEX($A$1:$A$5000,MATCH(ROWS($D$1:$D1677),$D$1:$D$5000,0)),"")</f>
        <v/>
      </c>
    </row>
    <row r="1678" spans="3:5">
      <c r="C1678" s="17">
        <f t="shared" si="26"/>
        <v>0</v>
      </c>
      <c r="D1678" s="17" t="str">
        <f>IF(C1678=1,COUNTIF($C$1:$C1678,1),"")</f>
        <v/>
      </c>
      <c r="E1678" s="7" t="str">
        <f>IFERROR(INDEX($A$1:$A$5000,MATCH(ROWS($D$1:$D1678),$D$1:$D$5000,0)),"")</f>
        <v/>
      </c>
    </row>
    <row r="1679" spans="3:5">
      <c r="C1679" s="17">
        <f t="shared" si="26"/>
        <v>0</v>
      </c>
      <c r="D1679" s="17" t="str">
        <f>IF(C1679=1,COUNTIF($C$1:$C1679,1),"")</f>
        <v/>
      </c>
      <c r="E1679" s="7" t="str">
        <f>IFERROR(INDEX($A$1:$A$5000,MATCH(ROWS($D$1:$D1679),$D$1:$D$5000,0)),"")</f>
        <v/>
      </c>
    </row>
    <row r="1680" spans="3:5">
      <c r="C1680" s="17">
        <f t="shared" si="26"/>
        <v>0</v>
      </c>
      <c r="D1680" s="17" t="str">
        <f>IF(C1680=1,COUNTIF($C$1:$C1680,1),"")</f>
        <v/>
      </c>
      <c r="E1680" s="7" t="str">
        <f>IFERROR(INDEX($A$1:$A$5000,MATCH(ROWS($D$1:$D1680),$D$1:$D$5000,0)),"")</f>
        <v/>
      </c>
    </row>
    <row r="1681" spans="3:5">
      <c r="C1681" s="17">
        <f t="shared" si="26"/>
        <v>0</v>
      </c>
      <c r="D1681" s="17" t="str">
        <f>IF(C1681=1,COUNTIF($C$1:$C1681,1),"")</f>
        <v/>
      </c>
      <c r="E1681" s="7" t="str">
        <f>IFERROR(INDEX($A$1:$A$5000,MATCH(ROWS($D$1:$D1681),$D$1:$D$5000,0)),"")</f>
        <v/>
      </c>
    </row>
    <row r="1682" spans="3:5">
      <c r="C1682" s="17">
        <f t="shared" si="26"/>
        <v>0</v>
      </c>
      <c r="D1682" s="17" t="str">
        <f>IF(C1682=1,COUNTIF($C$1:$C1682,1),"")</f>
        <v/>
      </c>
      <c r="E1682" s="7" t="str">
        <f>IFERROR(INDEX($A$1:$A$5000,MATCH(ROWS($D$1:$D1682),$D$1:$D$5000,0)),"")</f>
        <v/>
      </c>
    </row>
    <row r="1683" spans="3:5">
      <c r="C1683" s="17">
        <f t="shared" si="26"/>
        <v>0</v>
      </c>
      <c r="D1683" s="17" t="str">
        <f>IF(C1683=1,COUNTIF($C$1:$C1683,1),"")</f>
        <v/>
      </c>
      <c r="E1683" s="7" t="str">
        <f>IFERROR(INDEX($A$1:$A$5000,MATCH(ROWS($D$1:$D1683),$D$1:$D$5000,0)),"")</f>
        <v/>
      </c>
    </row>
    <row r="1684" spans="3:5">
      <c r="C1684" s="17">
        <f t="shared" si="26"/>
        <v>0</v>
      </c>
      <c r="D1684" s="17" t="str">
        <f>IF(C1684=1,COUNTIF($C$1:$C1684,1),"")</f>
        <v/>
      </c>
      <c r="E1684" s="7" t="str">
        <f>IFERROR(INDEX($A$1:$A$5000,MATCH(ROWS($D$1:$D1684),$D$1:$D$5000,0)),"")</f>
        <v/>
      </c>
    </row>
    <row r="1685" spans="3:5">
      <c r="C1685" s="17">
        <f t="shared" si="26"/>
        <v>0</v>
      </c>
      <c r="D1685" s="17" t="str">
        <f>IF(C1685=1,COUNTIF($C$1:$C1685,1),"")</f>
        <v/>
      </c>
      <c r="E1685" s="7" t="str">
        <f>IFERROR(INDEX($A$1:$A$5000,MATCH(ROWS($D$1:$D1685),$D$1:$D$5000,0)),"")</f>
        <v/>
      </c>
    </row>
    <row r="1686" spans="3:5">
      <c r="C1686" s="17">
        <f t="shared" si="26"/>
        <v>0</v>
      </c>
      <c r="D1686" s="17" t="str">
        <f>IF(C1686=1,COUNTIF($C$1:$C1686,1),"")</f>
        <v/>
      </c>
      <c r="E1686" s="7" t="str">
        <f>IFERROR(INDEX($A$1:$A$5000,MATCH(ROWS($D$1:$D1686),$D$1:$D$5000,0)),"")</f>
        <v/>
      </c>
    </row>
    <row r="1687" spans="3:5">
      <c r="C1687" s="17">
        <f t="shared" si="26"/>
        <v>0</v>
      </c>
      <c r="D1687" s="17" t="str">
        <f>IF(C1687=1,COUNTIF($C$1:$C1687,1),"")</f>
        <v/>
      </c>
      <c r="E1687" s="7" t="str">
        <f>IFERROR(INDEX($A$1:$A$5000,MATCH(ROWS($D$1:$D1687),$D$1:$D$5000,0)),"")</f>
        <v/>
      </c>
    </row>
    <row r="1688" spans="3:5">
      <c r="C1688" s="17">
        <f t="shared" si="26"/>
        <v>0</v>
      </c>
      <c r="D1688" s="17" t="str">
        <f>IF(C1688=1,COUNTIF($C$1:$C1688,1),"")</f>
        <v/>
      </c>
      <c r="E1688" s="7" t="str">
        <f>IFERROR(INDEX($A$1:$A$5000,MATCH(ROWS($D$1:$D1688),$D$1:$D$5000,0)),"")</f>
        <v/>
      </c>
    </row>
    <row r="1689" spans="3:5">
      <c r="C1689" s="17">
        <f t="shared" si="26"/>
        <v>0</v>
      </c>
      <c r="D1689" s="17" t="str">
        <f>IF(C1689=1,COUNTIF($C$1:$C1689,1),"")</f>
        <v/>
      </c>
      <c r="E1689" s="7" t="str">
        <f>IFERROR(INDEX($A$1:$A$5000,MATCH(ROWS($D$1:$D1689),$D$1:$D$5000,0)),"")</f>
        <v/>
      </c>
    </row>
    <row r="1690" spans="3:5">
      <c r="C1690" s="17">
        <f t="shared" si="26"/>
        <v>0</v>
      </c>
      <c r="D1690" s="17" t="str">
        <f>IF(C1690=1,COUNTIF($C$1:$C1690,1),"")</f>
        <v/>
      </c>
      <c r="E1690" s="7" t="str">
        <f>IFERROR(INDEX($A$1:$A$5000,MATCH(ROWS($D$1:$D1690),$D$1:$D$5000,0)),"")</f>
        <v/>
      </c>
    </row>
    <row r="1691" spans="3:5">
      <c r="C1691" s="17">
        <f t="shared" si="26"/>
        <v>0</v>
      </c>
      <c r="D1691" s="17" t="str">
        <f>IF(C1691=1,COUNTIF($C$1:$C1691,1),"")</f>
        <v/>
      </c>
      <c r="E1691" s="7" t="str">
        <f>IFERROR(INDEX($A$1:$A$5000,MATCH(ROWS($D$1:$D1691),$D$1:$D$5000,0)),"")</f>
        <v/>
      </c>
    </row>
    <row r="1692" spans="3:5">
      <c r="C1692" s="17">
        <f t="shared" si="26"/>
        <v>0</v>
      </c>
      <c r="D1692" s="17" t="str">
        <f>IF(C1692=1,COUNTIF($C$1:$C1692,1),"")</f>
        <v/>
      </c>
      <c r="E1692" s="7" t="str">
        <f>IFERROR(INDEX($A$1:$A$5000,MATCH(ROWS($D$1:$D1692),$D$1:$D$5000,0)),"")</f>
        <v/>
      </c>
    </row>
    <row r="1693" spans="3:5">
      <c r="C1693" s="17">
        <f t="shared" si="26"/>
        <v>0</v>
      </c>
      <c r="D1693" s="17" t="str">
        <f>IF(C1693=1,COUNTIF($C$1:$C1693,1),"")</f>
        <v/>
      </c>
      <c r="E1693" s="7" t="str">
        <f>IFERROR(INDEX($A$1:$A$5000,MATCH(ROWS($D$1:$D1693),$D$1:$D$5000,0)),"")</f>
        <v/>
      </c>
    </row>
    <row r="1694" spans="3:5">
      <c r="C1694" s="17">
        <f t="shared" si="26"/>
        <v>0</v>
      </c>
      <c r="D1694" s="17" t="str">
        <f>IF(C1694=1,COUNTIF($C$1:$C1694,1),"")</f>
        <v/>
      </c>
      <c r="E1694" s="7" t="str">
        <f>IFERROR(INDEX($A$1:$A$5000,MATCH(ROWS($D$1:$D1694),$D$1:$D$5000,0)),"")</f>
        <v/>
      </c>
    </row>
    <row r="1695" spans="3:5">
      <c r="C1695" s="17">
        <f t="shared" si="26"/>
        <v>0</v>
      </c>
      <c r="D1695" s="17" t="str">
        <f>IF(C1695=1,COUNTIF($C$1:$C1695,1),"")</f>
        <v/>
      </c>
      <c r="E1695" s="7" t="str">
        <f>IFERROR(INDEX($A$1:$A$5000,MATCH(ROWS($D$1:$D1695),$D$1:$D$5000,0)),"")</f>
        <v/>
      </c>
    </row>
    <row r="1696" spans="3:5">
      <c r="C1696" s="17">
        <f t="shared" si="26"/>
        <v>0</v>
      </c>
      <c r="D1696" s="17" t="str">
        <f>IF(C1696=1,COUNTIF($C$1:$C1696,1),"")</f>
        <v/>
      </c>
      <c r="E1696" s="7" t="str">
        <f>IFERROR(INDEX($A$1:$A$5000,MATCH(ROWS($D$1:$D1696),$D$1:$D$5000,0)),"")</f>
        <v/>
      </c>
    </row>
    <row r="1697" spans="3:5">
      <c r="C1697" s="17">
        <f t="shared" si="26"/>
        <v>0</v>
      </c>
      <c r="D1697" s="17" t="str">
        <f>IF(C1697=1,COUNTIF($C$1:$C1697,1),"")</f>
        <v/>
      </c>
      <c r="E1697" s="7" t="str">
        <f>IFERROR(INDEX($A$1:$A$5000,MATCH(ROWS($D$1:$D1697),$D$1:$D$5000,0)),"")</f>
        <v/>
      </c>
    </row>
    <row r="1698" spans="3:5">
      <c r="C1698" s="17">
        <f t="shared" si="26"/>
        <v>0</v>
      </c>
      <c r="D1698" s="17" t="str">
        <f>IF(C1698=1,COUNTIF($C$1:$C1698,1),"")</f>
        <v/>
      </c>
      <c r="E1698" s="7" t="str">
        <f>IFERROR(INDEX($A$1:$A$5000,MATCH(ROWS($D$1:$D1698),$D$1:$D$5000,0)),"")</f>
        <v/>
      </c>
    </row>
    <row r="1699" spans="3:5">
      <c r="C1699" s="17">
        <f t="shared" si="26"/>
        <v>0</v>
      </c>
      <c r="D1699" s="17" t="str">
        <f>IF(C1699=1,COUNTIF($C$1:$C1699,1),"")</f>
        <v/>
      </c>
      <c r="E1699" s="7" t="str">
        <f>IFERROR(INDEX($A$1:$A$5000,MATCH(ROWS($D$1:$D1699),$D$1:$D$5000,0)),"")</f>
        <v/>
      </c>
    </row>
    <row r="1700" spans="3:5">
      <c r="C1700" s="17">
        <f t="shared" si="26"/>
        <v>0</v>
      </c>
      <c r="D1700" s="17" t="str">
        <f>IF(C1700=1,COUNTIF($C$1:$C1700,1),"")</f>
        <v/>
      </c>
      <c r="E1700" s="7" t="str">
        <f>IFERROR(INDEX($A$1:$A$5000,MATCH(ROWS($D$1:$D1700),$D$1:$D$5000,0)),"")</f>
        <v/>
      </c>
    </row>
    <row r="1701" spans="3:5">
      <c r="C1701" s="17">
        <f t="shared" si="26"/>
        <v>0</v>
      </c>
      <c r="D1701" s="17" t="str">
        <f>IF(C1701=1,COUNTIF($C$1:$C1701,1),"")</f>
        <v/>
      </c>
      <c r="E1701" s="7" t="str">
        <f>IFERROR(INDEX($A$1:$A$5000,MATCH(ROWS($D$1:$D1701),$D$1:$D$5000,0)),"")</f>
        <v/>
      </c>
    </row>
    <row r="1702" spans="3:5">
      <c r="C1702" s="17">
        <f t="shared" si="26"/>
        <v>0</v>
      </c>
      <c r="D1702" s="17" t="str">
        <f>IF(C1702=1,COUNTIF($C$1:$C1702,1),"")</f>
        <v/>
      </c>
      <c r="E1702" s="7" t="str">
        <f>IFERROR(INDEX($A$1:$A$5000,MATCH(ROWS($D$1:$D1702),$D$1:$D$5000,0)),"")</f>
        <v/>
      </c>
    </row>
    <row r="1703" spans="3:5">
      <c r="C1703" s="17">
        <f t="shared" si="26"/>
        <v>0</v>
      </c>
      <c r="D1703" s="17" t="str">
        <f>IF(C1703=1,COUNTIF($C$1:$C1703,1),"")</f>
        <v/>
      </c>
      <c r="E1703" s="7" t="str">
        <f>IFERROR(INDEX($A$1:$A$5000,MATCH(ROWS($D$1:$D1703),$D$1:$D$5000,0)),"")</f>
        <v/>
      </c>
    </row>
    <row r="1704" spans="3:5">
      <c r="C1704" s="17">
        <f t="shared" si="26"/>
        <v>0</v>
      </c>
      <c r="D1704" s="17" t="str">
        <f>IF(C1704=1,COUNTIF($C$1:$C1704,1),"")</f>
        <v/>
      </c>
      <c r="E1704" s="7" t="str">
        <f>IFERROR(INDEX($A$1:$A$5000,MATCH(ROWS($D$1:$D1704),$D$1:$D$5000,0)),"")</f>
        <v/>
      </c>
    </row>
    <row r="1705" spans="3:5">
      <c r="C1705" s="17">
        <f t="shared" si="26"/>
        <v>0</v>
      </c>
      <c r="D1705" s="17" t="str">
        <f>IF(C1705=1,COUNTIF($C$1:$C1705,1),"")</f>
        <v/>
      </c>
      <c r="E1705" s="7" t="str">
        <f>IFERROR(INDEX($A$1:$A$5000,MATCH(ROWS($D$1:$D1705),$D$1:$D$5000,0)),"")</f>
        <v/>
      </c>
    </row>
    <row r="1706" spans="3:5">
      <c r="C1706" s="17">
        <f t="shared" si="26"/>
        <v>0</v>
      </c>
      <c r="D1706" s="17" t="str">
        <f>IF(C1706=1,COUNTIF($C$1:$C1706,1),"")</f>
        <v/>
      </c>
      <c r="E1706" s="7" t="str">
        <f>IFERROR(INDEX($A$1:$A$5000,MATCH(ROWS($D$1:$D1706),$D$1:$D$5000,0)),"")</f>
        <v/>
      </c>
    </row>
    <row r="1707" spans="3:5">
      <c r="C1707" s="17">
        <f t="shared" si="26"/>
        <v>0</v>
      </c>
      <c r="D1707" s="17" t="str">
        <f>IF(C1707=1,COUNTIF($C$1:$C1707,1),"")</f>
        <v/>
      </c>
      <c r="E1707" s="7" t="str">
        <f>IFERROR(INDEX($A$1:$A$5000,MATCH(ROWS($D$1:$D1707),$D$1:$D$5000,0)),"")</f>
        <v/>
      </c>
    </row>
    <row r="1708" spans="3:5">
      <c r="C1708" s="17">
        <f t="shared" si="26"/>
        <v>0</v>
      </c>
      <c r="D1708" s="17" t="str">
        <f>IF(C1708=1,COUNTIF($C$1:$C1708,1),"")</f>
        <v/>
      </c>
      <c r="E1708" s="7" t="str">
        <f>IFERROR(INDEX($A$1:$A$5000,MATCH(ROWS($D$1:$D1708),$D$1:$D$5000,0)),"")</f>
        <v/>
      </c>
    </row>
    <row r="1709" spans="3:5">
      <c r="C1709" s="17">
        <f t="shared" si="26"/>
        <v>0</v>
      </c>
      <c r="D1709" s="17" t="str">
        <f>IF(C1709=1,COUNTIF($C$1:$C1709,1),"")</f>
        <v/>
      </c>
      <c r="E1709" s="7" t="str">
        <f>IFERROR(INDEX($A$1:$A$5000,MATCH(ROWS($D$1:$D1709),$D$1:$D$5000,0)),"")</f>
        <v/>
      </c>
    </row>
    <row r="1710" spans="3:5">
      <c r="C1710" s="17">
        <f t="shared" si="26"/>
        <v>0</v>
      </c>
      <c r="D1710" s="17" t="str">
        <f>IF(C1710=1,COUNTIF($C$1:$C1710,1),"")</f>
        <v/>
      </c>
      <c r="E1710" s="7" t="str">
        <f>IFERROR(INDEX($A$1:$A$5000,MATCH(ROWS($D$1:$D1710),$D$1:$D$5000,0)),"")</f>
        <v/>
      </c>
    </row>
    <row r="1711" spans="3:5">
      <c r="C1711" s="17">
        <f t="shared" si="26"/>
        <v>0</v>
      </c>
      <c r="D1711" s="17" t="str">
        <f>IF(C1711=1,COUNTIF($C$1:$C1711,1),"")</f>
        <v/>
      </c>
      <c r="E1711" s="7" t="str">
        <f>IFERROR(INDEX($A$1:$A$5000,MATCH(ROWS($D$1:$D1711),$D$1:$D$5000,0)),"")</f>
        <v/>
      </c>
    </row>
    <row r="1712" spans="3:5">
      <c r="C1712" s="17">
        <f t="shared" si="26"/>
        <v>0</v>
      </c>
      <c r="D1712" s="17" t="str">
        <f>IF(C1712=1,COUNTIF($C$1:$C1712,1),"")</f>
        <v/>
      </c>
      <c r="E1712" s="7" t="str">
        <f>IFERROR(INDEX($A$1:$A$5000,MATCH(ROWS($D$1:$D1712),$D$1:$D$5000,0)),"")</f>
        <v/>
      </c>
    </row>
    <row r="1713" spans="3:5">
      <c r="C1713" s="17">
        <f t="shared" si="26"/>
        <v>0</v>
      </c>
      <c r="D1713" s="17" t="str">
        <f>IF(C1713=1,COUNTIF($C$1:$C1713,1),"")</f>
        <v/>
      </c>
      <c r="E1713" s="7" t="str">
        <f>IFERROR(INDEX($A$1:$A$5000,MATCH(ROWS($D$1:$D1713),$D$1:$D$5000,0)),"")</f>
        <v/>
      </c>
    </row>
    <row r="1714" spans="3:5">
      <c r="C1714" s="17">
        <f t="shared" si="26"/>
        <v>0</v>
      </c>
      <c r="D1714" s="17" t="str">
        <f>IF(C1714=1,COUNTIF($C$1:$C1714,1),"")</f>
        <v/>
      </c>
      <c r="E1714" s="7" t="str">
        <f>IFERROR(INDEX($A$1:$A$5000,MATCH(ROWS($D$1:$D1714),$D$1:$D$5000,0)),"")</f>
        <v/>
      </c>
    </row>
    <row r="1715" spans="3:5">
      <c r="C1715" s="17">
        <f t="shared" si="26"/>
        <v>0</v>
      </c>
      <c r="D1715" s="17" t="str">
        <f>IF(C1715=1,COUNTIF($C$1:$C1715,1),"")</f>
        <v/>
      </c>
      <c r="E1715" s="7" t="str">
        <f>IFERROR(INDEX($A$1:$A$5000,MATCH(ROWS($D$1:$D1715),$D$1:$D$5000,0)),"")</f>
        <v/>
      </c>
    </row>
    <row r="1716" spans="3:5">
      <c r="C1716" s="17">
        <f t="shared" si="26"/>
        <v>0</v>
      </c>
      <c r="D1716" s="17" t="str">
        <f>IF(C1716=1,COUNTIF($C$1:$C1716,1),"")</f>
        <v/>
      </c>
      <c r="E1716" s="7" t="str">
        <f>IFERROR(INDEX($A$1:$A$5000,MATCH(ROWS($D$1:$D1716),$D$1:$D$5000,0)),"")</f>
        <v/>
      </c>
    </row>
    <row r="1717" spans="3:5">
      <c r="C1717" s="17">
        <f t="shared" si="26"/>
        <v>0</v>
      </c>
      <c r="D1717" s="17" t="str">
        <f>IF(C1717=1,COUNTIF($C$1:$C1717,1),"")</f>
        <v/>
      </c>
      <c r="E1717" s="7" t="str">
        <f>IFERROR(INDEX($A$1:$A$5000,MATCH(ROWS($D$1:$D1717),$D$1:$D$5000,0)),"")</f>
        <v/>
      </c>
    </row>
    <row r="1718" spans="3:5">
      <c r="C1718" s="17">
        <f t="shared" si="26"/>
        <v>0</v>
      </c>
      <c r="D1718" s="17" t="str">
        <f>IF(C1718=1,COUNTIF($C$1:$C1718,1),"")</f>
        <v/>
      </c>
      <c r="E1718" s="7" t="str">
        <f>IFERROR(INDEX($A$1:$A$5000,MATCH(ROWS($D$1:$D1718),$D$1:$D$5000,0)),"")</f>
        <v/>
      </c>
    </row>
    <row r="1719" spans="3:5">
      <c r="C1719" s="17">
        <f t="shared" si="26"/>
        <v>0</v>
      </c>
      <c r="D1719" s="17" t="str">
        <f>IF(C1719=1,COUNTIF($C$1:$C1719,1),"")</f>
        <v/>
      </c>
      <c r="E1719" s="7" t="str">
        <f>IFERROR(INDEX($A$1:$A$5000,MATCH(ROWS($D$1:$D1719),$D$1:$D$5000,0)),"")</f>
        <v/>
      </c>
    </row>
    <row r="1720" spans="3:5">
      <c r="C1720" s="17">
        <f t="shared" si="26"/>
        <v>0</v>
      </c>
      <c r="D1720" s="17" t="str">
        <f>IF(C1720=1,COUNTIF($C$1:$C1720,1),"")</f>
        <v/>
      </c>
      <c r="E1720" s="7" t="str">
        <f>IFERROR(INDEX($A$1:$A$5000,MATCH(ROWS($D$1:$D1720),$D$1:$D$5000,0)),"")</f>
        <v/>
      </c>
    </row>
    <row r="1721" spans="3:5">
      <c r="C1721" s="17">
        <f t="shared" si="26"/>
        <v>0</v>
      </c>
      <c r="D1721" s="17" t="str">
        <f>IF(C1721=1,COUNTIF($C$1:$C1721,1),"")</f>
        <v/>
      </c>
      <c r="E1721" s="7" t="str">
        <f>IFERROR(INDEX($A$1:$A$5000,MATCH(ROWS($D$1:$D1721),$D$1:$D$5000,0)),"")</f>
        <v/>
      </c>
    </row>
    <row r="1722" spans="3:5">
      <c r="C1722" s="17">
        <f t="shared" si="26"/>
        <v>0</v>
      </c>
      <c r="D1722" s="17" t="str">
        <f>IF(C1722=1,COUNTIF($C$1:$C1722,1),"")</f>
        <v/>
      </c>
      <c r="E1722" s="7" t="str">
        <f>IFERROR(INDEX($A$1:$A$5000,MATCH(ROWS($D$1:$D1722),$D$1:$D$5000,0)),"")</f>
        <v/>
      </c>
    </row>
    <row r="1723" spans="3:5">
      <c r="C1723" s="17">
        <f t="shared" si="26"/>
        <v>0</v>
      </c>
      <c r="D1723" s="17" t="str">
        <f>IF(C1723=1,COUNTIF($C$1:$C1723,1),"")</f>
        <v/>
      </c>
      <c r="E1723" s="7" t="str">
        <f>IFERROR(INDEX($A$1:$A$5000,MATCH(ROWS($D$1:$D1723),$D$1:$D$5000,0)),"")</f>
        <v/>
      </c>
    </row>
    <row r="1724" spans="3:5">
      <c r="C1724" s="17">
        <f t="shared" si="26"/>
        <v>0</v>
      </c>
      <c r="D1724" s="17" t="str">
        <f>IF(C1724=1,COUNTIF($C$1:$C1724,1),"")</f>
        <v/>
      </c>
      <c r="E1724" s="7" t="str">
        <f>IFERROR(INDEX($A$1:$A$5000,MATCH(ROWS($D$1:$D1724),$D$1:$D$5000,0)),"")</f>
        <v/>
      </c>
    </row>
    <row r="1725" spans="3:5">
      <c r="C1725" s="17">
        <f t="shared" si="26"/>
        <v>0</v>
      </c>
      <c r="D1725" s="17" t="str">
        <f>IF(C1725=1,COUNTIF($C$1:$C1725,1),"")</f>
        <v/>
      </c>
      <c r="E1725" s="7" t="str">
        <f>IFERROR(INDEX($A$1:$A$5000,MATCH(ROWS($D$1:$D1725),$D$1:$D$5000,0)),"")</f>
        <v/>
      </c>
    </row>
    <row r="1726" spans="3:5">
      <c r="C1726" s="17">
        <f t="shared" si="26"/>
        <v>0</v>
      </c>
      <c r="D1726" s="17" t="str">
        <f>IF(C1726=1,COUNTIF($C$1:$C1726,1),"")</f>
        <v/>
      </c>
      <c r="E1726" s="7" t="str">
        <f>IFERROR(INDEX($A$1:$A$5000,MATCH(ROWS($D$1:$D1726),$D$1:$D$5000,0)),"")</f>
        <v/>
      </c>
    </row>
    <row r="1727" spans="3:5">
      <c r="C1727" s="17">
        <f t="shared" si="26"/>
        <v>0</v>
      </c>
      <c r="D1727" s="17" t="str">
        <f>IF(C1727=1,COUNTIF($C$1:$C1727,1),"")</f>
        <v/>
      </c>
      <c r="E1727" s="7" t="str">
        <f>IFERROR(INDEX($A$1:$A$5000,MATCH(ROWS($D$1:$D1727),$D$1:$D$5000,0)),"")</f>
        <v/>
      </c>
    </row>
    <row r="1728" spans="3:5">
      <c r="C1728" s="17">
        <f t="shared" si="26"/>
        <v>0</v>
      </c>
      <c r="D1728" s="17" t="str">
        <f>IF(C1728=1,COUNTIF($C$1:$C1728,1),"")</f>
        <v/>
      </c>
      <c r="E1728" s="7" t="str">
        <f>IFERROR(INDEX($A$1:$A$5000,MATCH(ROWS($D$1:$D1728),$D$1:$D$5000,0)),"")</f>
        <v/>
      </c>
    </row>
    <row r="1729" spans="3:5">
      <c r="C1729" s="17">
        <f t="shared" si="26"/>
        <v>0</v>
      </c>
      <c r="D1729" s="17" t="str">
        <f>IF(C1729=1,COUNTIF($C$1:$C1729,1),"")</f>
        <v/>
      </c>
      <c r="E1729" s="7" t="str">
        <f>IFERROR(INDEX($A$1:$A$5000,MATCH(ROWS($D$1:$D1729),$D$1:$D$5000,0)),"")</f>
        <v/>
      </c>
    </row>
    <row r="1730" spans="3:5">
      <c r="C1730" s="17">
        <f t="shared" ref="C1730:C1793" si="27">--ISNUMBER(SEARCH($B$1,A1730))</f>
        <v>0</v>
      </c>
      <c r="D1730" s="17" t="str">
        <f>IF(C1730=1,COUNTIF($C$1:$C1730,1),"")</f>
        <v/>
      </c>
      <c r="E1730" s="7" t="str">
        <f>IFERROR(INDEX($A$1:$A$5000,MATCH(ROWS($D$1:$D1730),$D$1:$D$5000,0)),"")</f>
        <v/>
      </c>
    </row>
    <row r="1731" spans="3:5">
      <c r="C1731" s="17">
        <f t="shared" si="27"/>
        <v>0</v>
      </c>
      <c r="D1731" s="17" t="str">
        <f>IF(C1731=1,COUNTIF($C$1:$C1731,1),"")</f>
        <v/>
      </c>
      <c r="E1731" s="7" t="str">
        <f>IFERROR(INDEX($A$1:$A$5000,MATCH(ROWS($D$1:$D1731),$D$1:$D$5000,0)),"")</f>
        <v/>
      </c>
    </row>
    <row r="1732" spans="3:5">
      <c r="C1732" s="17">
        <f t="shared" si="27"/>
        <v>0</v>
      </c>
      <c r="D1732" s="17" t="str">
        <f>IF(C1732=1,COUNTIF($C$1:$C1732,1),"")</f>
        <v/>
      </c>
      <c r="E1732" s="7" t="str">
        <f>IFERROR(INDEX($A$1:$A$5000,MATCH(ROWS($D$1:$D1732),$D$1:$D$5000,0)),"")</f>
        <v/>
      </c>
    </row>
    <row r="1733" spans="3:5">
      <c r="C1733" s="17">
        <f t="shared" si="27"/>
        <v>0</v>
      </c>
      <c r="D1733" s="17" t="str">
        <f>IF(C1733=1,COUNTIF($C$1:$C1733,1),"")</f>
        <v/>
      </c>
      <c r="E1733" s="7" t="str">
        <f>IFERROR(INDEX($A$1:$A$5000,MATCH(ROWS($D$1:$D1733),$D$1:$D$5000,0)),"")</f>
        <v/>
      </c>
    </row>
    <row r="1734" spans="3:5">
      <c r="C1734" s="17">
        <f t="shared" si="27"/>
        <v>0</v>
      </c>
      <c r="D1734" s="17" t="str">
        <f>IF(C1734=1,COUNTIF($C$1:$C1734,1),"")</f>
        <v/>
      </c>
      <c r="E1734" s="7" t="str">
        <f>IFERROR(INDEX($A$1:$A$5000,MATCH(ROWS($D$1:$D1734),$D$1:$D$5000,0)),"")</f>
        <v/>
      </c>
    </row>
    <row r="1735" spans="3:5">
      <c r="C1735" s="17">
        <f t="shared" si="27"/>
        <v>0</v>
      </c>
      <c r="D1735" s="17" t="str">
        <f>IF(C1735=1,COUNTIF($C$1:$C1735,1),"")</f>
        <v/>
      </c>
      <c r="E1735" s="7" t="str">
        <f>IFERROR(INDEX($A$1:$A$5000,MATCH(ROWS($D$1:$D1735),$D$1:$D$5000,0)),"")</f>
        <v/>
      </c>
    </row>
    <row r="1736" spans="3:5">
      <c r="C1736" s="17">
        <f t="shared" si="27"/>
        <v>0</v>
      </c>
      <c r="D1736" s="17" t="str">
        <f>IF(C1736=1,COUNTIF($C$1:$C1736,1),"")</f>
        <v/>
      </c>
      <c r="E1736" s="7" t="str">
        <f>IFERROR(INDEX($A$1:$A$5000,MATCH(ROWS($D$1:$D1736),$D$1:$D$5000,0)),"")</f>
        <v/>
      </c>
    </row>
    <row r="1737" spans="3:5">
      <c r="C1737" s="17">
        <f t="shared" si="27"/>
        <v>0</v>
      </c>
      <c r="D1737" s="17" t="str">
        <f>IF(C1737=1,COUNTIF($C$1:$C1737,1),"")</f>
        <v/>
      </c>
      <c r="E1737" s="7" t="str">
        <f>IFERROR(INDEX($A$1:$A$5000,MATCH(ROWS($D$1:$D1737),$D$1:$D$5000,0)),"")</f>
        <v/>
      </c>
    </row>
    <row r="1738" spans="3:5">
      <c r="C1738" s="17">
        <f t="shared" si="27"/>
        <v>0</v>
      </c>
      <c r="D1738" s="17" t="str">
        <f>IF(C1738=1,COUNTIF($C$1:$C1738,1),"")</f>
        <v/>
      </c>
      <c r="E1738" s="7" t="str">
        <f>IFERROR(INDEX($A$1:$A$5000,MATCH(ROWS($D$1:$D1738),$D$1:$D$5000,0)),"")</f>
        <v/>
      </c>
    </row>
    <row r="1739" spans="3:5">
      <c r="C1739" s="17">
        <f t="shared" si="27"/>
        <v>0</v>
      </c>
      <c r="D1739" s="17" t="str">
        <f>IF(C1739=1,COUNTIF($C$1:$C1739,1),"")</f>
        <v/>
      </c>
      <c r="E1739" s="7" t="str">
        <f>IFERROR(INDEX($A$1:$A$5000,MATCH(ROWS($D$1:$D1739),$D$1:$D$5000,0)),"")</f>
        <v/>
      </c>
    </row>
    <row r="1740" spans="3:5">
      <c r="C1740" s="17">
        <f t="shared" si="27"/>
        <v>0</v>
      </c>
      <c r="D1740" s="17" t="str">
        <f>IF(C1740=1,COUNTIF($C$1:$C1740,1),"")</f>
        <v/>
      </c>
      <c r="E1740" s="7" t="str">
        <f>IFERROR(INDEX($A$1:$A$5000,MATCH(ROWS($D$1:$D1740),$D$1:$D$5000,0)),"")</f>
        <v/>
      </c>
    </row>
    <row r="1741" spans="3:5">
      <c r="C1741" s="17">
        <f t="shared" si="27"/>
        <v>0</v>
      </c>
      <c r="D1741" s="17" t="str">
        <f>IF(C1741=1,COUNTIF($C$1:$C1741,1),"")</f>
        <v/>
      </c>
      <c r="E1741" s="7" t="str">
        <f>IFERROR(INDEX($A$1:$A$5000,MATCH(ROWS($D$1:$D1741),$D$1:$D$5000,0)),"")</f>
        <v/>
      </c>
    </row>
    <row r="1742" spans="3:5">
      <c r="C1742" s="17">
        <f t="shared" si="27"/>
        <v>0</v>
      </c>
      <c r="D1742" s="17" t="str">
        <f>IF(C1742=1,COUNTIF($C$1:$C1742,1),"")</f>
        <v/>
      </c>
      <c r="E1742" s="7" t="str">
        <f>IFERROR(INDEX($A$1:$A$5000,MATCH(ROWS($D$1:$D1742),$D$1:$D$5000,0)),"")</f>
        <v/>
      </c>
    </row>
    <row r="1743" spans="3:5">
      <c r="C1743" s="17">
        <f t="shared" si="27"/>
        <v>0</v>
      </c>
      <c r="D1743" s="17" t="str">
        <f>IF(C1743=1,COUNTIF($C$1:$C1743,1),"")</f>
        <v/>
      </c>
      <c r="E1743" s="7" t="str">
        <f>IFERROR(INDEX($A$1:$A$5000,MATCH(ROWS($D$1:$D1743),$D$1:$D$5000,0)),"")</f>
        <v/>
      </c>
    </row>
    <row r="1744" spans="3:5">
      <c r="C1744" s="17">
        <f t="shared" si="27"/>
        <v>0</v>
      </c>
      <c r="D1744" s="17" t="str">
        <f>IF(C1744=1,COUNTIF($C$1:$C1744,1),"")</f>
        <v/>
      </c>
      <c r="E1744" s="7" t="str">
        <f>IFERROR(INDEX($A$1:$A$5000,MATCH(ROWS($D$1:$D1744),$D$1:$D$5000,0)),"")</f>
        <v/>
      </c>
    </row>
    <row r="1745" spans="3:5">
      <c r="C1745" s="17">
        <f t="shared" si="27"/>
        <v>0</v>
      </c>
      <c r="D1745" s="17" t="str">
        <f>IF(C1745=1,COUNTIF($C$1:$C1745,1),"")</f>
        <v/>
      </c>
      <c r="E1745" s="7" t="str">
        <f>IFERROR(INDEX($A$1:$A$5000,MATCH(ROWS($D$1:$D1745),$D$1:$D$5000,0)),"")</f>
        <v/>
      </c>
    </row>
    <row r="1746" spans="3:5">
      <c r="C1746" s="17">
        <f t="shared" si="27"/>
        <v>0</v>
      </c>
      <c r="D1746" s="17" t="str">
        <f>IF(C1746=1,COUNTIF($C$1:$C1746,1),"")</f>
        <v/>
      </c>
      <c r="E1746" s="7" t="str">
        <f>IFERROR(INDEX($A$1:$A$5000,MATCH(ROWS($D$1:$D1746),$D$1:$D$5000,0)),"")</f>
        <v/>
      </c>
    </row>
    <row r="1747" spans="3:5">
      <c r="C1747" s="17">
        <f t="shared" si="27"/>
        <v>0</v>
      </c>
      <c r="D1747" s="17" t="str">
        <f>IF(C1747=1,COUNTIF($C$1:$C1747,1),"")</f>
        <v/>
      </c>
      <c r="E1747" s="7" t="str">
        <f>IFERROR(INDEX($A$1:$A$5000,MATCH(ROWS($D$1:$D1747),$D$1:$D$5000,0)),"")</f>
        <v/>
      </c>
    </row>
    <row r="1748" spans="3:5">
      <c r="C1748" s="17">
        <f t="shared" si="27"/>
        <v>0</v>
      </c>
      <c r="D1748" s="17" t="str">
        <f>IF(C1748=1,COUNTIF($C$1:$C1748,1),"")</f>
        <v/>
      </c>
      <c r="E1748" s="7" t="str">
        <f>IFERROR(INDEX($A$1:$A$5000,MATCH(ROWS($D$1:$D1748),$D$1:$D$5000,0)),"")</f>
        <v/>
      </c>
    </row>
    <row r="1749" spans="3:5">
      <c r="C1749" s="17">
        <f t="shared" si="27"/>
        <v>0</v>
      </c>
      <c r="D1749" s="17" t="str">
        <f>IF(C1749=1,COUNTIF($C$1:$C1749,1),"")</f>
        <v/>
      </c>
      <c r="E1749" s="7" t="str">
        <f>IFERROR(INDEX($A$1:$A$5000,MATCH(ROWS($D$1:$D1749),$D$1:$D$5000,0)),"")</f>
        <v/>
      </c>
    </row>
    <row r="1750" spans="3:5">
      <c r="C1750" s="17">
        <f t="shared" si="27"/>
        <v>0</v>
      </c>
      <c r="D1750" s="17" t="str">
        <f>IF(C1750=1,COUNTIF($C$1:$C1750,1),"")</f>
        <v/>
      </c>
      <c r="E1750" s="7" t="str">
        <f>IFERROR(INDEX($A$1:$A$5000,MATCH(ROWS($D$1:$D1750),$D$1:$D$5000,0)),"")</f>
        <v/>
      </c>
    </row>
    <row r="1751" spans="3:5">
      <c r="C1751" s="17">
        <f t="shared" si="27"/>
        <v>0</v>
      </c>
      <c r="D1751" s="17" t="str">
        <f>IF(C1751=1,COUNTIF($C$1:$C1751,1),"")</f>
        <v/>
      </c>
      <c r="E1751" s="7" t="str">
        <f>IFERROR(INDEX($A$1:$A$5000,MATCH(ROWS($D$1:$D1751),$D$1:$D$5000,0)),"")</f>
        <v/>
      </c>
    </row>
    <row r="1752" spans="3:5">
      <c r="C1752" s="17">
        <f t="shared" si="27"/>
        <v>0</v>
      </c>
      <c r="D1752" s="17" t="str">
        <f>IF(C1752=1,COUNTIF($C$1:$C1752,1),"")</f>
        <v/>
      </c>
      <c r="E1752" s="7" t="str">
        <f>IFERROR(INDEX($A$1:$A$5000,MATCH(ROWS($D$1:$D1752),$D$1:$D$5000,0)),"")</f>
        <v/>
      </c>
    </row>
    <row r="1753" spans="3:5">
      <c r="C1753" s="17">
        <f t="shared" si="27"/>
        <v>0</v>
      </c>
      <c r="D1753" s="17" t="str">
        <f>IF(C1753=1,COUNTIF($C$1:$C1753,1),"")</f>
        <v/>
      </c>
      <c r="E1753" s="7" t="str">
        <f>IFERROR(INDEX($A$1:$A$5000,MATCH(ROWS($D$1:$D1753),$D$1:$D$5000,0)),"")</f>
        <v/>
      </c>
    </row>
    <row r="1754" spans="3:5">
      <c r="C1754" s="17">
        <f t="shared" si="27"/>
        <v>0</v>
      </c>
      <c r="D1754" s="17" t="str">
        <f>IF(C1754=1,COUNTIF($C$1:$C1754,1),"")</f>
        <v/>
      </c>
      <c r="E1754" s="7" t="str">
        <f>IFERROR(INDEX($A$1:$A$5000,MATCH(ROWS($D$1:$D1754),$D$1:$D$5000,0)),"")</f>
        <v/>
      </c>
    </row>
    <row r="1755" spans="3:5">
      <c r="C1755" s="17">
        <f t="shared" si="27"/>
        <v>0</v>
      </c>
      <c r="D1755" s="17" t="str">
        <f>IF(C1755=1,COUNTIF($C$1:$C1755,1),"")</f>
        <v/>
      </c>
      <c r="E1755" s="7" t="str">
        <f>IFERROR(INDEX($A$1:$A$5000,MATCH(ROWS($D$1:$D1755),$D$1:$D$5000,0)),"")</f>
        <v/>
      </c>
    </row>
    <row r="1756" spans="3:5">
      <c r="C1756" s="17">
        <f t="shared" si="27"/>
        <v>0</v>
      </c>
      <c r="D1756" s="17" t="str">
        <f>IF(C1756=1,COUNTIF($C$1:$C1756,1),"")</f>
        <v/>
      </c>
      <c r="E1756" s="7" t="str">
        <f>IFERROR(INDEX($A$1:$A$5000,MATCH(ROWS($D$1:$D1756),$D$1:$D$5000,0)),"")</f>
        <v/>
      </c>
    </row>
    <row r="1757" spans="3:5">
      <c r="C1757" s="17">
        <f t="shared" si="27"/>
        <v>0</v>
      </c>
      <c r="D1757" s="17" t="str">
        <f>IF(C1757=1,COUNTIF($C$1:$C1757,1),"")</f>
        <v/>
      </c>
      <c r="E1757" s="7" t="str">
        <f>IFERROR(INDEX($A$1:$A$5000,MATCH(ROWS($D$1:$D1757),$D$1:$D$5000,0)),"")</f>
        <v/>
      </c>
    </row>
    <row r="1758" spans="3:5">
      <c r="C1758" s="17">
        <f t="shared" si="27"/>
        <v>0</v>
      </c>
      <c r="D1758" s="17" t="str">
        <f>IF(C1758=1,COUNTIF($C$1:$C1758,1),"")</f>
        <v/>
      </c>
      <c r="E1758" s="7" t="str">
        <f>IFERROR(INDEX($A$1:$A$5000,MATCH(ROWS($D$1:$D1758),$D$1:$D$5000,0)),"")</f>
        <v/>
      </c>
    </row>
    <row r="1759" spans="3:5">
      <c r="C1759" s="17">
        <f t="shared" si="27"/>
        <v>0</v>
      </c>
      <c r="D1759" s="17" t="str">
        <f>IF(C1759=1,COUNTIF($C$1:$C1759,1),"")</f>
        <v/>
      </c>
      <c r="E1759" s="7" t="str">
        <f>IFERROR(INDEX($A$1:$A$5000,MATCH(ROWS($D$1:$D1759),$D$1:$D$5000,0)),"")</f>
        <v/>
      </c>
    </row>
    <row r="1760" spans="3:5">
      <c r="C1760" s="17">
        <f t="shared" si="27"/>
        <v>0</v>
      </c>
      <c r="D1760" s="17" t="str">
        <f>IF(C1760=1,COUNTIF($C$1:$C1760,1),"")</f>
        <v/>
      </c>
      <c r="E1760" s="7" t="str">
        <f>IFERROR(INDEX($A$1:$A$5000,MATCH(ROWS($D$1:$D1760),$D$1:$D$5000,0)),"")</f>
        <v/>
      </c>
    </row>
    <row r="1761" spans="3:5">
      <c r="C1761" s="17">
        <f t="shared" si="27"/>
        <v>0</v>
      </c>
      <c r="D1761" s="17" t="str">
        <f>IF(C1761=1,COUNTIF($C$1:$C1761,1),"")</f>
        <v/>
      </c>
      <c r="E1761" s="7" t="str">
        <f>IFERROR(INDEX($A$1:$A$5000,MATCH(ROWS($D$1:$D1761),$D$1:$D$5000,0)),"")</f>
        <v/>
      </c>
    </row>
    <row r="1762" spans="3:5">
      <c r="C1762" s="17">
        <f t="shared" si="27"/>
        <v>0</v>
      </c>
      <c r="D1762" s="17" t="str">
        <f>IF(C1762=1,COUNTIF($C$1:$C1762,1),"")</f>
        <v/>
      </c>
      <c r="E1762" s="7" t="str">
        <f>IFERROR(INDEX($A$1:$A$5000,MATCH(ROWS($D$1:$D1762),$D$1:$D$5000,0)),"")</f>
        <v/>
      </c>
    </row>
    <row r="1763" spans="3:5">
      <c r="C1763" s="17">
        <f t="shared" si="27"/>
        <v>0</v>
      </c>
      <c r="D1763" s="17" t="str">
        <f>IF(C1763=1,COUNTIF($C$1:$C1763,1),"")</f>
        <v/>
      </c>
      <c r="E1763" s="7" t="str">
        <f>IFERROR(INDEX($A$1:$A$5000,MATCH(ROWS($D$1:$D1763),$D$1:$D$5000,0)),"")</f>
        <v/>
      </c>
    </row>
    <row r="1764" spans="3:5">
      <c r="C1764" s="17">
        <f t="shared" si="27"/>
        <v>0</v>
      </c>
      <c r="D1764" s="17" t="str">
        <f>IF(C1764=1,COUNTIF($C$1:$C1764,1),"")</f>
        <v/>
      </c>
      <c r="E1764" s="7" t="str">
        <f>IFERROR(INDEX($A$1:$A$5000,MATCH(ROWS($D$1:$D1764),$D$1:$D$5000,0)),"")</f>
        <v/>
      </c>
    </row>
    <row r="1765" spans="3:5">
      <c r="C1765" s="17">
        <f t="shared" si="27"/>
        <v>0</v>
      </c>
      <c r="D1765" s="17" t="str">
        <f>IF(C1765=1,COUNTIF($C$1:$C1765,1),"")</f>
        <v/>
      </c>
      <c r="E1765" s="7" t="str">
        <f>IFERROR(INDEX($A$1:$A$5000,MATCH(ROWS($D$1:$D1765),$D$1:$D$5000,0)),"")</f>
        <v/>
      </c>
    </row>
    <row r="1766" spans="3:5">
      <c r="C1766" s="17">
        <f t="shared" si="27"/>
        <v>0</v>
      </c>
      <c r="D1766" s="17" t="str">
        <f>IF(C1766=1,COUNTIF($C$1:$C1766,1),"")</f>
        <v/>
      </c>
      <c r="E1766" s="7" t="str">
        <f>IFERROR(INDEX($A$1:$A$5000,MATCH(ROWS($D$1:$D1766),$D$1:$D$5000,0)),"")</f>
        <v/>
      </c>
    </row>
    <row r="1767" spans="3:5">
      <c r="C1767" s="17">
        <f t="shared" si="27"/>
        <v>0</v>
      </c>
      <c r="D1767" s="17" t="str">
        <f>IF(C1767=1,COUNTIF($C$1:$C1767,1),"")</f>
        <v/>
      </c>
      <c r="E1767" s="7" t="str">
        <f>IFERROR(INDEX($A$1:$A$5000,MATCH(ROWS($D$1:$D1767),$D$1:$D$5000,0)),"")</f>
        <v/>
      </c>
    </row>
    <row r="1768" spans="3:5">
      <c r="C1768" s="17">
        <f t="shared" si="27"/>
        <v>0</v>
      </c>
      <c r="D1768" s="17" t="str">
        <f>IF(C1768=1,COUNTIF($C$1:$C1768,1),"")</f>
        <v/>
      </c>
      <c r="E1768" s="7" t="str">
        <f>IFERROR(INDEX($A$1:$A$5000,MATCH(ROWS($D$1:$D1768),$D$1:$D$5000,0)),"")</f>
        <v/>
      </c>
    </row>
    <row r="1769" spans="3:5">
      <c r="C1769" s="17">
        <f t="shared" si="27"/>
        <v>0</v>
      </c>
      <c r="D1769" s="17" t="str">
        <f>IF(C1769=1,COUNTIF($C$1:$C1769,1),"")</f>
        <v/>
      </c>
      <c r="E1769" s="7" t="str">
        <f>IFERROR(INDEX($A$1:$A$5000,MATCH(ROWS($D$1:$D1769),$D$1:$D$5000,0)),"")</f>
        <v/>
      </c>
    </row>
    <row r="1770" spans="3:5">
      <c r="C1770" s="17">
        <f t="shared" si="27"/>
        <v>0</v>
      </c>
      <c r="D1770" s="17" t="str">
        <f>IF(C1770=1,COUNTIF($C$1:$C1770,1),"")</f>
        <v/>
      </c>
      <c r="E1770" s="7" t="str">
        <f>IFERROR(INDEX($A$1:$A$5000,MATCH(ROWS($D$1:$D1770),$D$1:$D$5000,0)),"")</f>
        <v/>
      </c>
    </row>
    <row r="1771" spans="3:5">
      <c r="C1771" s="17">
        <f t="shared" si="27"/>
        <v>0</v>
      </c>
      <c r="D1771" s="17" t="str">
        <f>IF(C1771=1,COUNTIF($C$1:$C1771,1),"")</f>
        <v/>
      </c>
      <c r="E1771" s="7" t="str">
        <f>IFERROR(INDEX($A$1:$A$5000,MATCH(ROWS($D$1:$D1771),$D$1:$D$5000,0)),"")</f>
        <v/>
      </c>
    </row>
    <row r="1772" spans="3:5">
      <c r="C1772" s="17">
        <f t="shared" si="27"/>
        <v>0</v>
      </c>
      <c r="D1772" s="17" t="str">
        <f>IF(C1772=1,COUNTIF($C$1:$C1772,1),"")</f>
        <v/>
      </c>
      <c r="E1772" s="7" t="str">
        <f>IFERROR(INDEX($A$1:$A$5000,MATCH(ROWS($D$1:$D1772),$D$1:$D$5000,0)),"")</f>
        <v/>
      </c>
    </row>
    <row r="1773" spans="3:5">
      <c r="C1773" s="17">
        <f t="shared" si="27"/>
        <v>0</v>
      </c>
      <c r="D1773" s="17" t="str">
        <f>IF(C1773=1,COUNTIF($C$1:$C1773,1),"")</f>
        <v/>
      </c>
      <c r="E1773" s="7" t="str">
        <f>IFERROR(INDEX($A$1:$A$5000,MATCH(ROWS($D$1:$D1773),$D$1:$D$5000,0)),"")</f>
        <v/>
      </c>
    </row>
    <row r="1774" spans="3:5">
      <c r="C1774" s="17">
        <f t="shared" si="27"/>
        <v>0</v>
      </c>
      <c r="D1774" s="17" t="str">
        <f>IF(C1774=1,COUNTIF($C$1:$C1774,1),"")</f>
        <v/>
      </c>
      <c r="E1774" s="7" t="str">
        <f>IFERROR(INDEX($A$1:$A$5000,MATCH(ROWS($D$1:$D1774),$D$1:$D$5000,0)),"")</f>
        <v/>
      </c>
    </row>
    <row r="1775" spans="3:5">
      <c r="C1775" s="17">
        <f t="shared" si="27"/>
        <v>0</v>
      </c>
      <c r="D1775" s="17" t="str">
        <f>IF(C1775=1,COUNTIF($C$1:$C1775,1),"")</f>
        <v/>
      </c>
      <c r="E1775" s="7" t="str">
        <f>IFERROR(INDEX($A$1:$A$5000,MATCH(ROWS($D$1:$D1775),$D$1:$D$5000,0)),"")</f>
        <v/>
      </c>
    </row>
    <row r="1776" spans="3:5">
      <c r="C1776" s="17">
        <f t="shared" si="27"/>
        <v>0</v>
      </c>
      <c r="D1776" s="17" t="str">
        <f>IF(C1776=1,COUNTIF($C$1:$C1776,1),"")</f>
        <v/>
      </c>
      <c r="E1776" s="7" t="str">
        <f>IFERROR(INDEX($A$1:$A$5000,MATCH(ROWS($D$1:$D1776),$D$1:$D$5000,0)),"")</f>
        <v/>
      </c>
    </row>
    <row r="1777" spans="3:5">
      <c r="C1777" s="17">
        <f t="shared" si="27"/>
        <v>0</v>
      </c>
      <c r="D1777" s="17" t="str">
        <f>IF(C1777=1,COUNTIF($C$1:$C1777,1),"")</f>
        <v/>
      </c>
      <c r="E1777" s="7" t="str">
        <f>IFERROR(INDEX($A$1:$A$5000,MATCH(ROWS($D$1:$D1777),$D$1:$D$5000,0)),"")</f>
        <v/>
      </c>
    </row>
    <row r="1778" spans="3:5">
      <c r="C1778" s="17">
        <f t="shared" si="27"/>
        <v>0</v>
      </c>
      <c r="D1778" s="17" t="str">
        <f>IF(C1778=1,COUNTIF($C$1:$C1778,1),"")</f>
        <v/>
      </c>
      <c r="E1778" s="7" t="str">
        <f>IFERROR(INDEX($A$1:$A$5000,MATCH(ROWS($D$1:$D1778),$D$1:$D$5000,0)),"")</f>
        <v/>
      </c>
    </row>
    <row r="1779" spans="3:5">
      <c r="C1779" s="17">
        <f t="shared" si="27"/>
        <v>0</v>
      </c>
      <c r="D1779" s="17" t="str">
        <f>IF(C1779=1,COUNTIF($C$1:$C1779,1),"")</f>
        <v/>
      </c>
      <c r="E1779" s="7" t="str">
        <f>IFERROR(INDEX($A$1:$A$5000,MATCH(ROWS($D$1:$D1779),$D$1:$D$5000,0)),"")</f>
        <v/>
      </c>
    </row>
    <row r="1780" spans="3:5">
      <c r="C1780" s="17">
        <f t="shared" si="27"/>
        <v>0</v>
      </c>
      <c r="D1780" s="17" t="str">
        <f>IF(C1780=1,COUNTIF($C$1:$C1780,1),"")</f>
        <v/>
      </c>
      <c r="E1780" s="7" t="str">
        <f>IFERROR(INDEX($A$1:$A$5000,MATCH(ROWS($D$1:$D1780),$D$1:$D$5000,0)),"")</f>
        <v/>
      </c>
    </row>
    <row r="1781" spans="3:5">
      <c r="C1781" s="17">
        <f t="shared" si="27"/>
        <v>0</v>
      </c>
      <c r="D1781" s="17" t="str">
        <f>IF(C1781=1,COUNTIF($C$1:$C1781,1),"")</f>
        <v/>
      </c>
      <c r="E1781" s="7" t="str">
        <f>IFERROR(INDEX($A$1:$A$5000,MATCH(ROWS($D$1:$D1781),$D$1:$D$5000,0)),"")</f>
        <v/>
      </c>
    </row>
    <row r="1782" spans="3:5">
      <c r="C1782" s="17">
        <f t="shared" si="27"/>
        <v>0</v>
      </c>
      <c r="D1782" s="17" t="str">
        <f>IF(C1782=1,COUNTIF($C$1:$C1782,1),"")</f>
        <v/>
      </c>
      <c r="E1782" s="7" t="str">
        <f>IFERROR(INDEX($A$1:$A$5000,MATCH(ROWS($D$1:$D1782),$D$1:$D$5000,0)),"")</f>
        <v/>
      </c>
    </row>
    <row r="1783" spans="3:5">
      <c r="C1783" s="17">
        <f t="shared" si="27"/>
        <v>0</v>
      </c>
      <c r="D1783" s="17" t="str">
        <f>IF(C1783=1,COUNTIF($C$1:$C1783,1),"")</f>
        <v/>
      </c>
      <c r="E1783" s="7" t="str">
        <f>IFERROR(INDEX($A$1:$A$5000,MATCH(ROWS($D$1:$D1783),$D$1:$D$5000,0)),"")</f>
        <v/>
      </c>
    </row>
    <row r="1784" spans="3:5">
      <c r="C1784" s="17">
        <f t="shared" si="27"/>
        <v>0</v>
      </c>
      <c r="D1784" s="17" t="str">
        <f>IF(C1784=1,COUNTIF($C$1:$C1784,1),"")</f>
        <v/>
      </c>
      <c r="E1784" s="7" t="str">
        <f>IFERROR(INDEX($A$1:$A$5000,MATCH(ROWS($D$1:$D1784),$D$1:$D$5000,0)),"")</f>
        <v/>
      </c>
    </row>
    <row r="1785" spans="3:5">
      <c r="C1785" s="17">
        <f t="shared" si="27"/>
        <v>0</v>
      </c>
      <c r="D1785" s="17" t="str">
        <f>IF(C1785=1,COUNTIF($C$1:$C1785,1),"")</f>
        <v/>
      </c>
      <c r="E1785" s="7" t="str">
        <f>IFERROR(INDEX($A$1:$A$5000,MATCH(ROWS($D$1:$D1785),$D$1:$D$5000,0)),"")</f>
        <v/>
      </c>
    </row>
    <row r="1786" spans="3:5">
      <c r="C1786" s="17">
        <f t="shared" si="27"/>
        <v>0</v>
      </c>
      <c r="D1786" s="17" t="str">
        <f>IF(C1786=1,COUNTIF($C$1:$C1786,1),"")</f>
        <v/>
      </c>
      <c r="E1786" s="7" t="str">
        <f>IFERROR(INDEX($A$1:$A$5000,MATCH(ROWS($D$1:$D1786),$D$1:$D$5000,0)),"")</f>
        <v/>
      </c>
    </row>
    <row r="1787" spans="3:5">
      <c r="C1787" s="17">
        <f t="shared" si="27"/>
        <v>0</v>
      </c>
      <c r="D1787" s="17" t="str">
        <f>IF(C1787=1,COUNTIF($C$1:$C1787,1),"")</f>
        <v/>
      </c>
      <c r="E1787" s="7" t="str">
        <f>IFERROR(INDEX($A$1:$A$5000,MATCH(ROWS($D$1:$D1787),$D$1:$D$5000,0)),"")</f>
        <v/>
      </c>
    </row>
    <row r="1788" spans="3:5">
      <c r="C1788" s="17">
        <f t="shared" si="27"/>
        <v>0</v>
      </c>
      <c r="D1788" s="17" t="str">
        <f>IF(C1788=1,COUNTIF($C$1:$C1788,1),"")</f>
        <v/>
      </c>
      <c r="E1788" s="7" t="str">
        <f>IFERROR(INDEX($A$1:$A$5000,MATCH(ROWS($D$1:$D1788),$D$1:$D$5000,0)),"")</f>
        <v/>
      </c>
    </row>
    <row r="1789" spans="3:5">
      <c r="C1789" s="17">
        <f t="shared" si="27"/>
        <v>0</v>
      </c>
      <c r="D1789" s="17" t="str">
        <f>IF(C1789=1,COUNTIF($C$1:$C1789,1),"")</f>
        <v/>
      </c>
      <c r="E1789" s="7" t="str">
        <f>IFERROR(INDEX($A$1:$A$5000,MATCH(ROWS($D$1:$D1789),$D$1:$D$5000,0)),"")</f>
        <v/>
      </c>
    </row>
    <row r="1790" spans="3:5">
      <c r="C1790" s="17">
        <f t="shared" si="27"/>
        <v>0</v>
      </c>
      <c r="D1790" s="17" t="str">
        <f>IF(C1790=1,COUNTIF($C$1:$C1790,1),"")</f>
        <v/>
      </c>
      <c r="E1790" s="7" t="str">
        <f>IFERROR(INDEX($A$1:$A$5000,MATCH(ROWS($D$1:$D1790),$D$1:$D$5000,0)),"")</f>
        <v/>
      </c>
    </row>
    <row r="1791" spans="3:5">
      <c r="C1791" s="17">
        <f t="shared" si="27"/>
        <v>0</v>
      </c>
      <c r="D1791" s="17" t="str">
        <f>IF(C1791=1,COUNTIF($C$1:$C1791,1),"")</f>
        <v/>
      </c>
      <c r="E1791" s="7" t="str">
        <f>IFERROR(INDEX($A$1:$A$5000,MATCH(ROWS($D$1:$D1791),$D$1:$D$5000,0)),"")</f>
        <v/>
      </c>
    </row>
    <row r="1792" spans="3:5">
      <c r="C1792" s="17">
        <f t="shared" si="27"/>
        <v>0</v>
      </c>
      <c r="D1792" s="17" t="str">
        <f>IF(C1792=1,COUNTIF($C$1:$C1792,1),"")</f>
        <v/>
      </c>
      <c r="E1792" s="7" t="str">
        <f>IFERROR(INDEX($A$1:$A$5000,MATCH(ROWS($D$1:$D1792),$D$1:$D$5000,0)),"")</f>
        <v/>
      </c>
    </row>
    <row r="1793" spans="3:5">
      <c r="C1793" s="17">
        <f t="shared" si="27"/>
        <v>0</v>
      </c>
      <c r="D1793" s="17" t="str">
        <f>IF(C1793=1,COUNTIF($C$1:$C1793,1),"")</f>
        <v/>
      </c>
      <c r="E1793" s="7" t="str">
        <f>IFERROR(INDEX($A$1:$A$5000,MATCH(ROWS($D$1:$D1793),$D$1:$D$5000,0)),"")</f>
        <v/>
      </c>
    </row>
    <row r="1794" spans="3:5">
      <c r="C1794" s="17">
        <f t="shared" ref="C1794:C1857" si="28">--ISNUMBER(SEARCH($B$1,A1794))</f>
        <v>0</v>
      </c>
      <c r="D1794" s="17" t="str">
        <f>IF(C1794=1,COUNTIF($C$1:$C1794,1),"")</f>
        <v/>
      </c>
      <c r="E1794" s="7" t="str">
        <f>IFERROR(INDEX($A$1:$A$5000,MATCH(ROWS($D$1:$D1794),$D$1:$D$5000,0)),"")</f>
        <v/>
      </c>
    </row>
    <row r="1795" spans="3:5">
      <c r="C1795" s="17">
        <f t="shared" si="28"/>
        <v>0</v>
      </c>
      <c r="D1795" s="17" t="str">
        <f>IF(C1795=1,COUNTIF($C$1:$C1795,1),"")</f>
        <v/>
      </c>
      <c r="E1795" s="7" t="str">
        <f>IFERROR(INDEX($A$1:$A$5000,MATCH(ROWS($D$1:$D1795),$D$1:$D$5000,0)),"")</f>
        <v/>
      </c>
    </row>
    <row r="1796" spans="3:5">
      <c r="C1796" s="17">
        <f t="shared" si="28"/>
        <v>0</v>
      </c>
      <c r="D1796" s="17" t="str">
        <f>IF(C1796=1,COUNTIF($C$1:$C1796,1),"")</f>
        <v/>
      </c>
      <c r="E1796" s="7" t="str">
        <f>IFERROR(INDEX($A$1:$A$5000,MATCH(ROWS($D$1:$D1796),$D$1:$D$5000,0)),"")</f>
        <v/>
      </c>
    </row>
    <row r="1797" spans="3:5">
      <c r="C1797" s="17">
        <f t="shared" si="28"/>
        <v>0</v>
      </c>
      <c r="D1797" s="17" t="str">
        <f>IF(C1797=1,COUNTIF($C$1:$C1797,1),"")</f>
        <v/>
      </c>
      <c r="E1797" s="7" t="str">
        <f>IFERROR(INDEX($A$1:$A$5000,MATCH(ROWS($D$1:$D1797),$D$1:$D$5000,0)),"")</f>
        <v/>
      </c>
    </row>
    <row r="1798" spans="3:5">
      <c r="C1798" s="17">
        <f t="shared" si="28"/>
        <v>0</v>
      </c>
      <c r="D1798" s="17" t="str">
        <f>IF(C1798=1,COUNTIF($C$1:$C1798,1),"")</f>
        <v/>
      </c>
      <c r="E1798" s="7" t="str">
        <f>IFERROR(INDEX($A$1:$A$5000,MATCH(ROWS($D$1:$D1798),$D$1:$D$5000,0)),"")</f>
        <v/>
      </c>
    </row>
    <row r="1799" spans="3:5">
      <c r="C1799" s="17">
        <f t="shared" si="28"/>
        <v>0</v>
      </c>
      <c r="D1799" s="17" t="str">
        <f>IF(C1799=1,COUNTIF($C$1:$C1799,1),"")</f>
        <v/>
      </c>
      <c r="E1799" s="7" t="str">
        <f>IFERROR(INDEX($A$1:$A$5000,MATCH(ROWS($D$1:$D1799),$D$1:$D$5000,0)),"")</f>
        <v/>
      </c>
    </row>
    <row r="1800" spans="3:5">
      <c r="C1800" s="17">
        <f t="shared" si="28"/>
        <v>0</v>
      </c>
      <c r="D1800" s="17" t="str">
        <f>IF(C1800=1,COUNTIF($C$1:$C1800,1),"")</f>
        <v/>
      </c>
      <c r="E1800" s="7" t="str">
        <f>IFERROR(INDEX($A$1:$A$5000,MATCH(ROWS($D$1:$D1800),$D$1:$D$5000,0)),"")</f>
        <v/>
      </c>
    </row>
    <row r="1801" spans="3:5">
      <c r="C1801" s="17">
        <f t="shared" si="28"/>
        <v>0</v>
      </c>
      <c r="D1801" s="17" t="str">
        <f>IF(C1801=1,COUNTIF($C$1:$C1801,1),"")</f>
        <v/>
      </c>
      <c r="E1801" s="7" t="str">
        <f>IFERROR(INDEX($A$1:$A$5000,MATCH(ROWS($D$1:$D1801),$D$1:$D$5000,0)),"")</f>
        <v/>
      </c>
    </row>
    <row r="1802" spans="3:5">
      <c r="C1802" s="17">
        <f t="shared" si="28"/>
        <v>0</v>
      </c>
      <c r="D1802" s="17" t="str">
        <f>IF(C1802=1,COUNTIF($C$1:$C1802,1),"")</f>
        <v/>
      </c>
      <c r="E1802" s="7" t="str">
        <f>IFERROR(INDEX($A$1:$A$5000,MATCH(ROWS($D$1:$D1802),$D$1:$D$5000,0)),"")</f>
        <v/>
      </c>
    </row>
    <row r="1803" spans="3:5">
      <c r="C1803" s="17">
        <f t="shared" si="28"/>
        <v>0</v>
      </c>
      <c r="D1803" s="17" t="str">
        <f>IF(C1803=1,COUNTIF($C$1:$C1803,1),"")</f>
        <v/>
      </c>
      <c r="E1803" s="7" t="str">
        <f>IFERROR(INDEX($A$1:$A$5000,MATCH(ROWS($D$1:$D1803),$D$1:$D$5000,0)),"")</f>
        <v/>
      </c>
    </row>
    <row r="1804" spans="3:5">
      <c r="C1804" s="17">
        <f t="shared" si="28"/>
        <v>0</v>
      </c>
      <c r="D1804" s="17" t="str">
        <f>IF(C1804=1,COUNTIF($C$1:$C1804,1),"")</f>
        <v/>
      </c>
      <c r="E1804" s="7" t="str">
        <f>IFERROR(INDEX($A$1:$A$5000,MATCH(ROWS($D$1:$D1804),$D$1:$D$5000,0)),"")</f>
        <v/>
      </c>
    </row>
    <row r="1805" spans="3:5">
      <c r="C1805" s="17">
        <f t="shared" si="28"/>
        <v>0</v>
      </c>
      <c r="D1805" s="17" t="str">
        <f>IF(C1805=1,COUNTIF($C$1:$C1805,1),"")</f>
        <v/>
      </c>
      <c r="E1805" s="7" t="str">
        <f>IFERROR(INDEX($A$1:$A$5000,MATCH(ROWS($D$1:$D1805),$D$1:$D$5000,0)),"")</f>
        <v/>
      </c>
    </row>
    <row r="1806" spans="3:5">
      <c r="C1806" s="17">
        <f t="shared" si="28"/>
        <v>0</v>
      </c>
      <c r="D1806" s="17" t="str">
        <f>IF(C1806=1,COUNTIF($C$1:$C1806,1),"")</f>
        <v/>
      </c>
      <c r="E1806" s="7" t="str">
        <f>IFERROR(INDEX($A$1:$A$5000,MATCH(ROWS($D$1:$D1806),$D$1:$D$5000,0)),"")</f>
        <v/>
      </c>
    </row>
    <row r="1807" spans="3:5">
      <c r="C1807" s="17">
        <f t="shared" si="28"/>
        <v>0</v>
      </c>
      <c r="D1807" s="17" t="str">
        <f>IF(C1807=1,COUNTIF($C$1:$C1807,1),"")</f>
        <v/>
      </c>
      <c r="E1807" s="7" t="str">
        <f>IFERROR(INDEX($A$1:$A$5000,MATCH(ROWS($D$1:$D1807),$D$1:$D$5000,0)),"")</f>
        <v/>
      </c>
    </row>
    <row r="1808" spans="3:5">
      <c r="C1808" s="17">
        <f t="shared" si="28"/>
        <v>0</v>
      </c>
      <c r="D1808" s="17" t="str">
        <f>IF(C1808=1,COUNTIF($C$1:$C1808,1),"")</f>
        <v/>
      </c>
      <c r="E1808" s="7" t="str">
        <f>IFERROR(INDEX($A$1:$A$5000,MATCH(ROWS($D$1:$D1808),$D$1:$D$5000,0)),"")</f>
        <v/>
      </c>
    </row>
    <row r="1809" spans="3:5">
      <c r="C1809" s="17">
        <f t="shared" si="28"/>
        <v>0</v>
      </c>
      <c r="D1809" s="17" t="str">
        <f>IF(C1809=1,COUNTIF($C$1:$C1809,1),"")</f>
        <v/>
      </c>
      <c r="E1809" s="7" t="str">
        <f>IFERROR(INDEX($A$1:$A$5000,MATCH(ROWS($D$1:$D1809),$D$1:$D$5000,0)),"")</f>
        <v/>
      </c>
    </row>
    <row r="1810" spans="3:5">
      <c r="C1810" s="17">
        <f t="shared" si="28"/>
        <v>0</v>
      </c>
      <c r="D1810" s="17" t="str">
        <f>IF(C1810=1,COUNTIF($C$1:$C1810,1),"")</f>
        <v/>
      </c>
      <c r="E1810" s="7" t="str">
        <f>IFERROR(INDEX($A$1:$A$5000,MATCH(ROWS($D$1:$D1810),$D$1:$D$5000,0)),"")</f>
        <v/>
      </c>
    </row>
    <row r="1811" spans="3:5">
      <c r="C1811" s="17">
        <f t="shared" si="28"/>
        <v>0</v>
      </c>
      <c r="D1811" s="17" t="str">
        <f>IF(C1811=1,COUNTIF($C$1:$C1811,1),"")</f>
        <v/>
      </c>
      <c r="E1811" s="7" t="str">
        <f>IFERROR(INDEX($A$1:$A$5000,MATCH(ROWS($D$1:$D1811),$D$1:$D$5000,0)),"")</f>
        <v/>
      </c>
    </row>
    <row r="1812" spans="3:5">
      <c r="C1812" s="17">
        <f t="shared" si="28"/>
        <v>0</v>
      </c>
      <c r="D1812" s="17" t="str">
        <f>IF(C1812=1,COUNTIF($C$1:$C1812,1),"")</f>
        <v/>
      </c>
      <c r="E1812" s="7" t="str">
        <f>IFERROR(INDEX($A$1:$A$5000,MATCH(ROWS($D$1:$D1812),$D$1:$D$5000,0)),"")</f>
        <v/>
      </c>
    </row>
    <row r="1813" spans="3:5">
      <c r="C1813" s="17">
        <f t="shared" si="28"/>
        <v>0</v>
      </c>
      <c r="D1813" s="17" t="str">
        <f>IF(C1813=1,COUNTIF($C$1:$C1813,1),"")</f>
        <v/>
      </c>
      <c r="E1813" s="7" t="str">
        <f>IFERROR(INDEX($A$1:$A$5000,MATCH(ROWS($D$1:$D1813),$D$1:$D$5000,0)),"")</f>
        <v/>
      </c>
    </row>
    <row r="1814" spans="3:5">
      <c r="C1814" s="17">
        <f t="shared" si="28"/>
        <v>0</v>
      </c>
      <c r="D1814" s="17" t="str">
        <f>IF(C1814=1,COUNTIF($C$1:$C1814,1),"")</f>
        <v/>
      </c>
      <c r="E1814" s="7" t="str">
        <f>IFERROR(INDEX($A$1:$A$5000,MATCH(ROWS($D$1:$D1814),$D$1:$D$5000,0)),"")</f>
        <v/>
      </c>
    </row>
    <row r="1815" spans="3:5">
      <c r="C1815" s="17">
        <f t="shared" si="28"/>
        <v>0</v>
      </c>
      <c r="D1815" s="17" t="str">
        <f>IF(C1815=1,COUNTIF($C$1:$C1815,1),"")</f>
        <v/>
      </c>
      <c r="E1815" s="7" t="str">
        <f>IFERROR(INDEX($A$1:$A$5000,MATCH(ROWS($D$1:$D1815),$D$1:$D$5000,0)),"")</f>
        <v/>
      </c>
    </row>
    <row r="1816" spans="3:5">
      <c r="C1816" s="17">
        <f t="shared" si="28"/>
        <v>0</v>
      </c>
      <c r="D1816" s="17" t="str">
        <f>IF(C1816=1,COUNTIF($C$1:$C1816,1),"")</f>
        <v/>
      </c>
      <c r="E1816" s="7" t="str">
        <f>IFERROR(INDEX($A$1:$A$5000,MATCH(ROWS($D$1:$D1816),$D$1:$D$5000,0)),"")</f>
        <v/>
      </c>
    </row>
    <row r="1817" spans="3:5">
      <c r="C1817" s="17">
        <f t="shared" si="28"/>
        <v>0</v>
      </c>
      <c r="D1817" s="17" t="str">
        <f>IF(C1817=1,COUNTIF($C$1:$C1817,1),"")</f>
        <v/>
      </c>
      <c r="E1817" s="7" t="str">
        <f>IFERROR(INDEX($A$1:$A$5000,MATCH(ROWS($D$1:$D1817),$D$1:$D$5000,0)),"")</f>
        <v/>
      </c>
    </row>
    <row r="1818" spans="3:5">
      <c r="C1818" s="17">
        <f t="shared" si="28"/>
        <v>0</v>
      </c>
      <c r="D1818" s="17" t="str">
        <f>IF(C1818=1,COUNTIF($C$1:$C1818,1),"")</f>
        <v/>
      </c>
      <c r="E1818" s="7" t="str">
        <f>IFERROR(INDEX($A$1:$A$5000,MATCH(ROWS($D$1:$D1818),$D$1:$D$5000,0)),"")</f>
        <v/>
      </c>
    </row>
    <row r="1819" spans="3:5">
      <c r="C1819" s="17">
        <f t="shared" si="28"/>
        <v>0</v>
      </c>
      <c r="D1819" s="17" t="str">
        <f>IF(C1819=1,COUNTIF($C$1:$C1819,1),"")</f>
        <v/>
      </c>
      <c r="E1819" s="7" t="str">
        <f>IFERROR(INDEX($A$1:$A$5000,MATCH(ROWS($D$1:$D1819),$D$1:$D$5000,0)),"")</f>
        <v/>
      </c>
    </row>
    <row r="1820" spans="3:5">
      <c r="C1820" s="17">
        <f t="shared" si="28"/>
        <v>0</v>
      </c>
      <c r="D1820" s="17" t="str">
        <f>IF(C1820=1,COUNTIF($C$1:$C1820,1),"")</f>
        <v/>
      </c>
      <c r="E1820" s="7" t="str">
        <f>IFERROR(INDEX($A$1:$A$5000,MATCH(ROWS($D$1:$D1820),$D$1:$D$5000,0)),"")</f>
        <v/>
      </c>
    </row>
    <row r="1821" spans="3:5">
      <c r="C1821" s="17">
        <f t="shared" si="28"/>
        <v>0</v>
      </c>
      <c r="D1821" s="17" t="str">
        <f>IF(C1821=1,COUNTIF($C$1:$C1821,1),"")</f>
        <v/>
      </c>
      <c r="E1821" s="7" t="str">
        <f>IFERROR(INDEX($A$1:$A$5000,MATCH(ROWS($D$1:$D1821),$D$1:$D$5000,0)),"")</f>
        <v/>
      </c>
    </row>
    <row r="1822" spans="3:5">
      <c r="C1822" s="17">
        <f t="shared" si="28"/>
        <v>0</v>
      </c>
      <c r="D1822" s="17" t="str">
        <f>IF(C1822=1,COUNTIF($C$1:$C1822,1),"")</f>
        <v/>
      </c>
      <c r="E1822" s="7" t="str">
        <f>IFERROR(INDEX($A$1:$A$5000,MATCH(ROWS($D$1:$D1822),$D$1:$D$5000,0)),"")</f>
        <v/>
      </c>
    </row>
    <row r="1823" spans="3:5">
      <c r="C1823" s="17">
        <f t="shared" si="28"/>
        <v>0</v>
      </c>
      <c r="D1823" s="17" t="str">
        <f>IF(C1823=1,COUNTIF($C$1:$C1823,1),"")</f>
        <v/>
      </c>
      <c r="E1823" s="7" t="str">
        <f>IFERROR(INDEX($A$1:$A$5000,MATCH(ROWS($D$1:$D1823),$D$1:$D$5000,0)),"")</f>
        <v/>
      </c>
    </row>
    <row r="1824" spans="3:5">
      <c r="C1824" s="17">
        <f t="shared" si="28"/>
        <v>0</v>
      </c>
      <c r="D1824" s="17" t="str">
        <f>IF(C1824=1,COUNTIF($C$1:$C1824,1),"")</f>
        <v/>
      </c>
      <c r="E1824" s="7" t="str">
        <f>IFERROR(INDEX($A$1:$A$5000,MATCH(ROWS($D$1:$D1824),$D$1:$D$5000,0)),"")</f>
        <v/>
      </c>
    </row>
    <row r="1825" spans="3:5">
      <c r="C1825" s="17">
        <f t="shared" si="28"/>
        <v>0</v>
      </c>
      <c r="D1825" s="17" t="str">
        <f>IF(C1825=1,COUNTIF($C$1:$C1825,1),"")</f>
        <v/>
      </c>
      <c r="E1825" s="7" t="str">
        <f>IFERROR(INDEX($A$1:$A$5000,MATCH(ROWS($D$1:$D1825),$D$1:$D$5000,0)),"")</f>
        <v/>
      </c>
    </row>
    <row r="1826" spans="3:5">
      <c r="C1826" s="17">
        <f t="shared" si="28"/>
        <v>0</v>
      </c>
      <c r="D1826" s="17" t="str">
        <f>IF(C1826=1,COUNTIF($C$1:$C1826,1),"")</f>
        <v/>
      </c>
      <c r="E1826" s="7" t="str">
        <f>IFERROR(INDEX($A$1:$A$5000,MATCH(ROWS($D$1:$D1826),$D$1:$D$5000,0)),"")</f>
        <v/>
      </c>
    </row>
    <row r="1827" spans="3:5">
      <c r="C1827" s="17">
        <f t="shared" si="28"/>
        <v>0</v>
      </c>
      <c r="D1827" s="17" t="str">
        <f>IF(C1827=1,COUNTIF($C$1:$C1827,1),"")</f>
        <v/>
      </c>
      <c r="E1827" s="7" t="str">
        <f>IFERROR(INDEX($A$1:$A$5000,MATCH(ROWS($D$1:$D1827),$D$1:$D$5000,0)),"")</f>
        <v/>
      </c>
    </row>
    <row r="1828" spans="3:5">
      <c r="C1828" s="17">
        <f t="shared" si="28"/>
        <v>0</v>
      </c>
      <c r="D1828" s="17" t="str">
        <f>IF(C1828=1,COUNTIF($C$1:$C1828,1),"")</f>
        <v/>
      </c>
      <c r="E1828" s="7" t="str">
        <f>IFERROR(INDEX($A$1:$A$5000,MATCH(ROWS($D$1:$D1828),$D$1:$D$5000,0)),"")</f>
        <v/>
      </c>
    </row>
    <row r="1829" spans="3:5">
      <c r="C1829" s="17">
        <f t="shared" si="28"/>
        <v>0</v>
      </c>
      <c r="D1829" s="17" t="str">
        <f>IF(C1829=1,COUNTIF($C$1:$C1829,1),"")</f>
        <v/>
      </c>
      <c r="E1829" s="7" t="str">
        <f>IFERROR(INDEX($A$1:$A$5000,MATCH(ROWS($D$1:$D1829),$D$1:$D$5000,0)),"")</f>
        <v/>
      </c>
    </row>
    <row r="1830" spans="3:5">
      <c r="C1830" s="17">
        <f t="shared" si="28"/>
        <v>0</v>
      </c>
      <c r="D1830" s="17" t="str">
        <f>IF(C1830=1,COUNTIF($C$1:$C1830,1),"")</f>
        <v/>
      </c>
      <c r="E1830" s="7" t="str">
        <f>IFERROR(INDEX($A$1:$A$5000,MATCH(ROWS($D$1:$D1830),$D$1:$D$5000,0)),"")</f>
        <v/>
      </c>
    </row>
    <row r="1831" spans="3:5">
      <c r="C1831" s="17">
        <f t="shared" si="28"/>
        <v>0</v>
      </c>
      <c r="D1831" s="17" t="str">
        <f>IF(C1831=1,COUNTIF($C$1:$C1831,1),"")</f>
        <v/>
      </c>
      <c r="E1831" s="7" t="str">
        <f>IFERROR(INDEX($A$1:$A$5000,MATCH(ROWS($D$1:$D1831),$D$1:$D$5000,0)),"")</f>
        <v/>
      </c>
    </row>
    <row r="1832" spans="3:5">
      <c r="C1832" s="17">
        <f t="shared" si="28"/>
        <v>0</v>
      </c>
      <c r="D1832" s="17" t="str">
        <f>IF(C1832=1,COUNTIF($C$1:$C1832,1),"")</f>
        <v/>
      </c>
      <c r="E1832" s="7" t="str">
        <f>IFERROR(INDEX($A$1:$A$5000,MATCH(ROWS($D$1:$D1832),$D$1:$D$5000,0)),"")</f>
        <v/>
      </c>
    </row>
    <row r="1833" spans="3:5">
      <c r="C1833" s="17">
        <f t="shared" si="28"/>
        <v>0</v>
      </c>
      <c r="D1833" s="17" t="str">
        <f>IF(C1833=1,COUNTIF($C$1:$C1833,1),"")</f>
        <v/>
      </c>
      <c r="E1833" s="7" t="str">
        <f>IFERROR(INDEX($A$1:$A$5000,MATCH(ROWS($D$1:$D1833),$D$1:$D$5000,0)),"")</f>
        <v/>
      </c>
    </row>
    <row r="1834" spans="3:5">
      <c r="C1834" s="17">
        <f t="shared" si="28"/>
        <v>0</v>
      </c>
      <c r="D1834" s="17" t="str">
        <f>IF(C1834=1,COUNTIF($C$1:$C1834,1),"")</f>
        <v/>
      </c>
      <c r="E1834" s="7" t="str">
        <f>IFERROR(INDEX($A$1:$A$5000,MATCH(ROWS($D$1:$D1834),$D$1:$D$5000,0)),"")</f>
        <v/>
      </c>
    </row>
    <row r="1835" spans="3:5">
      <c r="C1835" s="17">
        <f t="shared" si="28"/>
        <v>0</v>
      </c>
      <c r="D1835" s="17" t="str">
        <f>IF(C1835=1,COUNTIF($C$1:$C1835,1),"")</f>
        <v/>
      </c>
      <c r="E1835" s="7" t="str">
        <f>IFERROR(INDEX($A$1:$A$5000,MATCH(ROWS($D$1:$D1835),$D$1:$D$5000,0)),"")</f>
        <v/>
      </c>
    </row>
    <row r="1836" spans="3:5">
      <c r="C1836" s="17">
        <f t="shared" si="28"/>
        <v>0</v>
      </c>
      <c r="D1836" s="17" t="str">
        <f>IF(C1836=1,COUNTIF($C$1:$C1836,1),"")</f>
        <v/>
      </c>
      <c r="E1836" s="7" t="str">
        <f>IFERROR(INDEX($A$1:$A$5000,MATCH(ROWS($D$1:$D1836),$D$1:$D$5000,0)),"")</f>
        <v/>
      </c>
    </row>
    <row r="1837" spans="3:5">
      <c r="C1837" s="17">
        <f t="shared" si="28"/>
        <v>0</v>
      </c>
      <c r="D1837" s="17" t="str">
        <f>IF(C1837=1,COUNTIF($C$1:$C1837,1),"")</f>
        <v/>
      </c>
      <c r="E1837" s="7" t="str">
        <f>IFERROR(INDEX($A$1:$A$5000,MATCH(ROWS($D$1:$D1837),$D$1:$D$5000,0)),"")</f>
        <v/>
      </c>
    </row>
    <row r="1838" spans="3:5">
      <c r="C1838" s="17">
        <f t="shared" si="28"/>
        <v>0</v>
      </c>
      <c r="D1838" s="17" t="str">
        <f>IF(C1838=1,COUNTIF($C$1:$C1838,1),"")</f>
        <v/>
      </c>
      <c r="E1838" s="7" t="str">
        <f>IFERROR(INDEX($A$1:$A$5000,MATCH(ROWS($D$1:$D1838),$D$1:$D$5000,0)),"")</f>
        <v/>
      </c>
    </row>
    <row r="1839" spans="3:5">
      <c r="C1839" s="17">
        <f t="shared" si="28"/>
        <v>0</v>
      </c>
      <c r="D1839" s="17" t="str">
        <f>IF(C1839=1,COUNTIF($C$1:$C1839,1),"")</f>
        <v/>
      </c>
      <c r="E1839" s="7" t="str">
        <f>IFERROR(INDEX($A$1:$A$5000,MATCH(ROWS($D$1:$D1839),$D$1:$D$5000,0)),"")</f>
        <v/>
      </c>
    </row>
    <row r="1840" spans="3:5">
      <c r="C1840" s="17">
        <f t="shared" si="28"/>
        <v>0</v>
      </c>
      <c r="D1840" s="17" t="str">
        <f>IF(C1840=1,COUNTIF($C$1:$C1840,1),"")</f>
        <v/>
      </c>
      <c r="E1840" s="7" t="str">
        <f>IFERROR(INDEX($A$1:$A$5000,MATCH(ROWS($D$1:$D1840),$D$1:$D$5000,0)),"")</f>
        <v/>
      </c>
    </row>
    <row r="1841" spans="3:5">
      <c r="C1841" s="17">
        <f t="shared" si="28"/>
        <v>0</v>
      </c>
      <c r="D1841" s="17" t="str">
        <f>IF(C1841=1,COUNTIF($C$1:$C1841,1),"")</f>
        <v/>
      </c>
      <c r="E1841" s="7" t="str">
        <f>IFERROR(INDEX($A$1:$A$5000,MATCH(ROWS($D$1:$D1841),$D$1:$D$5000,0)),"")</f>
        <v/>
      </c>
    </row>
    <row r="1842" spans="3:5">
      <c r="C1842" s="17">
        <f t="shared" si="28"/>
        <v>0</v>
      </c>
      <c r="D1842" s="17" t="str">
        <f>IF(C1842=1,COUNTIF($C$1:$C1842,1),"")</f>
        <v/>
      </c>
      <c r="E1842" s="7" t="str">
        <f>IFERROR(INDEX($A$1:$A$5000,MATCH(ROWS($D$1:$D1842),$D$1:$D$5000,0)),"")</f>
        <v/>
      </c>
    </row>
    <row r="1843" spans="3:5">
      <c r="C1843" s="17">
        <f t="shared" si="28"/>
        <v>0</v>
      </c>
      <c r="D1843" s="17" t="str">
        <f>IF(C1843=1,COUNTIF($C$1:$C1843,1),"")</f>
        <v/>
      </c>
      <c r="E1843" s="7" t="str">
        <f>IFERROR(INDEX($A$1:$A$5000,MATCH(ROWS($D$1:$D1843),$D$1:$D$5000,0)),"")</f>
        <v/>
      </c>
    </row>
    <row r="1844" spans="3:5">
      <c r="C1844" s="17">
        <f t="shared" si="28"/>
        <v>0</v>
      </c>
      <c r="D1844" s="17" t="str">
        <f>IF(C1844=1,COUNTIF($C$1:$C1844,1),"")</f>
        <v/>
      </c>
      <c r="E1844" s="7" t="str">
        <f>IFERROR(INDEX($A$1:$A$5000,MATCH(ROWS($D$1:$D1844),$D$1:$D$5000,0)),"")</f>
        <v/>
      </c>
    </row>
    <row r="1845" spans="3:5">
      <c r="C1845" s="17">
        <f t="shared" si="28"/>
        <v>0</v>
      </c>
      <c r="D1845" s="17" t="str">
        <f>IF(C1845=1,COUNTIF($C$1:$C1845,1),"")</f>
        <v/>
      </c>
      <c r="E1845" s="7" t="str">
        <f>IFERROR(INDEX($A$1:$A$5000,MATCH(ROWS($D$1:$D1845),$D$1:$D$5000,0)),"")</f>
        <v/>
      </c>
    </row>
    <row r="1846" spans="3:5">
      <c r="C1846" s="17">
        <f t="shared" si="28"/>
        <v>0</v>
      </c>
      <c r="D1846" s="17" t="str">
        <f>IF(C1846=1,COUNTIF($C$1:$C1846,1),"")</f>
        <v/>
      </c>
      <c r="E1846" s="7" t="str">
        <f>IFERROR(INDEX($A$1:$A$5000,MATCH(ROWS($D$1:$D1846),$D$1:$D$5000,0)),"")</f>
        <v/>
      </c>
    </row>
    <row r="1847" spans="3:5">
      <c r="C1847" s="17">
        <f t="shared" si="28"/>
        <v>0</v>
      </c>
      <c r="D1847" s="17" t="str">
        <f>IF(C1847=1,COUNTIF($C$1:$C1847,1),"")</f>
        <v/>
      </c>
      <c r="E1847" s="7" t="str">
        <f>IFERROR(INDEX($A$1:$A$5000,MATCH(ROWS($D$1:$D1847),$D$1:$D$5000,0)),"")</f>
        <v/>
      </c>
    </row>
    <row r="1848" spans="3:5">
      <c r="C1848" s="17">
        <f t="shared" si="28"/>
        <v>0</v>
      </c>
      <c r="D1848" s="17" t="str">
        <f>IF(C1848=1,COUNTIF($C$1:$C1848,1),"")</f>
        <v/>
      </c>
      <c r="E1848" s="7" t="str">
        <f>IFERROR(INDEX($A$1:$A$5000,MATCH(ROWS($D$1:$D1848),$D$1:$D$5000,0)),"")</f>
        <v/>
      </c>
    </row>
    <row r="1849" spans="3:5">
      <c r="C1849" s="17">
        <f t="shared" si="28"/>
        <v>0</v>
      </c>
      <c r="D1849" s="17" t="str">
        <f>IF(C1849=1,COUNTIF($C$1:$C1849,1),"")</f>
        <v/>
      </c>
      <c r="E1849" s="7" t="str">
        <f>IFERROR(INDEX($A$1:$A$5000,MATCH(ROWS($D$1:$D1849),$D$1:$D$5000,0)),"")</f>
        <v/>
      </c>
    </row>
    <row r="1850" spans="3:5">
      <c r="C1850" s="17">
        <f t="shared" si="28"/>
        <v>0</v>
      </c>
      <c r="D1850" s="17" t="str">
        <f>IF(C1850=1,COUNTIF($C$1:$C1850,1),"")</f>
        <v/>
      </c>
      <c r="E1850" s="7" t="str">
        <f>IFERROR(INDEX($A$1:$A$5000,MATCH(ROWS($D$1:$D1850),$D$1:$D$5000,0)),"")</f>
        <v/>
      </c>
    </row>
    <row r="1851" spans="3:5">
      <c r="C1851" s="17">
        <f t="shared" si="28"/>
        <v>0</v>
      </c>
      <c r="D1851" s="17" t="str">
        <f>IF(C1851=1,COUNTIF($C$1:$C1851,1),"")</f>
        <v/>
      </c>
      <c r="E1851" s="7" t="str">
        <f>IFERROR(INDEX($A$1:$A$5000,MATCH(ROWS($D$1:$D1851),$D$1:$D$5000,0)),"")</f>
        <v/>
      </c>
    </row>
    <row r="1852" spans="3:5">
      <c r="C1852" s="17">
        <f t="shared" si="28"/>
        <v>0</v>
      </c>
      <c r="D1852" s="17" t="str">
        <f>IF(C1852=1,COUNTIF($C$1:$C1852,1),"")</f>
        <v/>
      </c>
      <c r="E1852" s="7" t="str">
        <f>IFERROR(INDEX($A$1:$A$5000,MATCH(ROWS($D$1:$D1852),$D$1:$D$5000,0)),"")</f>
        <v/>
      </c>
    </row>
    <row r="1853" spans="3:5">
      <c r="C1853" s="17">
        <f t="shared" si="28"/>
        <v>0</v>
      </c>
      <c r="D1853" s="17" t="str">
        <f>IF(C1853=1,COUNTIF($C$1:$C1853,1),"")</f>
        <v/>
      </c>
      <c r="E1853" s="7" t="str">
        <f>IFERROR(INDEX($A$1:$A$5000,MATCH(ROWS($D$1:$D1853),$D$1:$D$5000,0)),"")</f>
        <v/>
      </c>
    </row>
    <row r="1854" spans="3:5">
      <c r="C1854" s="17">
        <f t="shared" si="28"/>
        <v>0</v>
      </c>
      <c r="D1854" s="17" t="str">
        <f>IF(C1854=1,COUNTIF($C$1:$C1854,1),"")</f>
        <v/>
      </c>
      <c r="E1854" s="7" t="str">
        <f>IFERROR(INDEX($A$1:$A$5000,MATCH(ROWS($D$1:$D1854),$D$1:$D$5000,0)),"")</f>
        <v/>
      </c>
    </row>
    <row r="1855" spans="3:5">
      <c r="C1855" s="17">
        <f t="shared" si="28"/>
        <v>0</v>
      </c>
      <c r="D1855" s="17" t="str">
        <f>IF(C1855=1,COUNTIF($C$1:$C1855,1),"")</f>
        <v/>
      </c>
      <c r="E1855" s="7" t="str">
        <f>IFERROR(INDEX($A$1:$A$5000,MATCH(ROWS($D$1:$D1855),$D$1:$D$5000,0)),"")</f>
        <v/>
      </c>
    </row>
    <row r="1856" spans="3:5">
      <c r="C1856" s="17">
        <f t="shared" si="28"/>
        <v>0</v>
      </c>
      <c r="D1856" s="17" t="str">
        <f>IF(C1856=1,COUNTIF($C$1:$C1856,1),"")</f>
        <v/>
      </c>
      <c r="E1856" s="7" t="str">
        <f>IFERROR(INDEX($A$1:$A$5000,MATCH(ROWS($D$1:$D1856),$D$1:$D$5000,0)),"")</f>
        <v/>
      </c>
    </row>
    <row r="1857" spans="3:5">
      <c r="C1857" s="17">
        <f t="shared" si="28"/>
        <v>0</v>
      </c>
      <c r="D1857" s="17" t="str">
        <f>IF(C1857=1,COUNTIF($C$1:$C1857,1),"")</f>
        <v/>
      </c>
      <c r="E1857" s="7" t="str">
        <f>IFERROR(INDEX($A$1:$A$5000,MATCH(ROWS($D$1:$D1857),$D$1:$D$5000,0)),"")</f>
        <v/>
      </c>
    </row>
    <row r="1858" spans="3:5">
      <c r="C1858" s="17">
        <f t="shared" ref="C1858:C1921" si="29">--ISNUMBER(SEARCH($B$1,A1858))</f>
        <v>0</v>
      </c>
      <c r="D1858" s="17" t="str">
        <f>IF(C1858=1,COUNTIF($C$1:$C1858,1),"")</f>
        <v/>
      </c>
      <c r="E1858" s="7" t="str">
        <f>IFERROR(INDEX($A$1:$A$5000,MATCH(ROWS($D$1:$D1858),$D$1:$D$5000,0)),"")</f>
        <v/>
      </c>
    </row>
    <row r="1859" spans="3:5">
      <c r="C1859" s="17">
        <f t="shared" si="29"/>
        <v>0</v>
      </c>
      <c r="D1859" s="17" t="str">
        <f>IF(C1859=1,COUNTIF($C$1:$C1859,1),"")</f>
        <v/>
      </c>
      <c r="E1859" s="7" t="str">
        <f>IFERROR(INDEX($A$1:$A$5000,MATCH(ROWS($D$1:$D1859),$D$1:$D$5000,0)),"")</f>
        <v/>
      </c>
    </row>
    <row r="1860" spans="3:5">
      <c r="C1860" s="17">
        <f t="shared" si="29"/>
        <v>0</v>
      </c>
      <c r="D1860" s="17" t="str">
        <f>IF(C1860=1,COUNTIF($C$1:$C1860,1),"")</f>
        <v/>
      </c>
      <c r="E1860" s="7" t="str">
        <f>IFERROR(INDEX($A$1:$A$5000,MATCH(ROWS($D$1:$D1860),$D$1:$D$5000,0)),"")</f>
        <v/>
      </c>
    </row>
    <row r="1861" spans="3:5">
      <c r="C1861" s="17">
        <f t="shared" si="29"/>
        <v>0</v>
      </c>
      <c r="D1861" s="17" t="str">
        <f>IF(C1861=1,COUNTIF($C$1:$C1861,1),"")</f>
        <v/>
      </c>
      <c r="E1861" s="7" t="str">
        <f>IFERROR(INDEX($A$1:$A$5000,MATCH(ROWS($D$1:$D1861),$D$1:$D$5000,0)),"")</f>
        <v/>
      </c>
    </row>
    <row r="1862" spans="3:5">
      <c r="C1862" s="17">
        <f t="shared" si="29"/>
        <v>0</v>
      </c>
      <c r="D1862" s="17" t="str">
        <f>IF(C1862=1,COUNTIF($C$1:$C1862,1),"")</f>
        <v/>
      </c>
      <c r="E1862" s="7" t="str">
        <f>IFERROR(INDEX($A$1:$A$5000,MATCH(ROWS($D$1:$D1862),$D$1:$D$5000,0)),"")</f>
        <v/>
      </c>
    </row>
    <row r="1863" spans="3:5">
      <c r="C1863" s="17">
        <f t="shared" si="29"/>
        <v>0</v>
      </c>
      <c r="D1863" s="17" t="str">
        <f>IF(C1863=1,COUNTIF($C$1:$C1863,1),"")</f>
        <v/>
      </c>
      <c r="E1863" s="7" t="str">
        <f>IFERROR(INDEX($A$1:$A$5000,MATCH(ROWS($D$1:$D1863),$D$1:$D$5000,0)),"")</f>
        <v/>
      </c>
    </row>
    <row r="1864" spans="3:5">
      <c r="C1864" s="17">
        <f t="shared" si="29"/>
        <v>0</v>
      </c>
      <c r="D1864" s="17" t="str">
        <f>IF(C1864=1,COUNTIF($C$1:$C1864,1),"")</f>
        <v/>
      </c>
      <c r="E1864" s="7" t="str">
        <f>IFERROR(INDEX($A$1:$A$5000,MATCH(ROWS($D$1:$D1864),$D$1:$D$5000,0)),"")</f>
        <v/>
      </c>
    </row>
    <row r="1865" spans="3:5">
      <c r="C1865" s="17">
        <f t="shared" si="29"/>
        <v>0</v>
      </c>
      <c r="D1865" s="17" t="str">
        <f>IF(C1865=1,COUNTIF($C$1:$C1865,1),"")</f>
        <v/>
      </c>
      <c r="E1865" s="7" t="str">
        <f>IFERROR(INDEX($A$1:$A$5000,MATCH(ROWS($D$1:$D1865),$D$1:$D$5000,0)),"")</f>
        <v/>
      </c>
    </row>
    <row r="1866" spans="3:5">
      <c r="C1866" s="17">
        <f t="shared" si="29"/>
        <v>0</v>
      </c>
      <c r="D1866" s="17" t="str">
        <f>IF(C1866=1,COUNTIF($C$1:$C1866,1),"")</f>
        <v/>
      </c>
      <c r="E1866" s="7" t="str">
        <f>IFERROR(INDEX($A$1:$A$5000,MATCH(ROWS($D$1:$D1866),$D$1:$D$5000,0)),"")</f>
        <v/>
      </c>
    </row>
    <row r="1867" spans="3:5">
      <c r="C1867" s="17">
        <f t="shared" si="29"/>
        <v>0</v>
      </c>
      <c r="D1867" s="17" t="str">
        <f>IF(C1867=1,COUNTIF($C$1:$C1867,1),"")</f>
        <v/>
      </c>
      <c r="E1867" s="7" t="str">
        <f>IFERROR(INDEX($A$1:$A$5000,MATCH(ROWS($D$1:$D1867),$D$1:$D$5000,0)),"")</f>
        <v/>
      </c>
    </row>
    <row r="1868" spans="3:5">
      <c r="C1868" s="17">
        <f t="shared" si="29"/>
        <v>0</v>
      </c>
      <c r="D1868" s="17" t="str">
        <f>IF(C1868=1,COUNTIF($C$1:$C1868,1),"")</f>
        <v/>
      </c>
      <c r="E1868" s="7" t="str">
        <f>IFERROR(INDEX($A$1:$A$5000,MATCH(ROWS($D$1:$D1868),$D$1:$D$5000,0)),"")</f>
        <v/>
      </c>
    </row>
    <row r="1869" spans="3:5">
      <c r="C1869" s="17">
        <f t="shared" si="29"/>
        <v>0</v>
      </c>
      <c r="D1869" s="17" t="str">
        <f>IF(C1869=1,COUNTIF($C$1:$C1869,1),"")</f>
        <v/>
      </c>
      <c r="E1869" s="7" t="str">
        <f>IFERROR(INDEX($A$1:$A$5000,MATCH(ROWS($D$1:$D1869),$D$1:$D$5000,0)),"")</f>
        <v/>
      </c>
    </row>
    <row r="1870" spans="3:5">
      <c r="C1870" s="17">
        <f t="shared" si="29"/>
        <v>0</v>
      </c>
      <c r="D1870" s="17" t="str">
        <f>IF(C1870=1,COUNTIF($C$1:$C1870,1),"")</f>
        <v/>
      </c>
      <c r="E1870" s="7" t="str">
        <f>IFERROR(INDEX($A$1:$A$5000,MATCH(ROWS($D$1:$D1870),$D$1:$D$5000,0)),"")</f>
        <v/>
      </c>
    </row>
    <row r="1871" spans="3:5">
      <c r="C1871" s="17">
        <f t="shared" si="29"/>
        <v>0</v>
      </c>
      <c r="D1871" s="17" t="str">
        <f>IF(C1871=1,COUNTIF($C$1:$C1871,1),"")</f>
        <v/>
      </c>
      <c r="E1871" s="7" t="str">
        <f>IFERROR(INDEX($A$1:$A$5000,MATCH(ROWS($D$1:$D1871),$D$1:$D$5000,0)),"")</f>
        <v/>
      </c>
    </row>
    <row r="1872" spans="3:5">
      <c r="C1872" s="17">
        <f t="shared" si="29"/>
        <v>0</v>
      </c>
      <c r="D1872" s="17" t="str">
        <f>IF(C1872=1,COUNTIF($C$1:$C1872,1),"")</f>
        <v/>
      </c>
      <c r="E1872" s="7" t="str">
        <f>IFERROR(INDEX($A$1:$A$5000,MATCH(ROWS($D$1:$D1872),$D$1:$D$5000,0)),"")</f>
        <v/>
      </c>
    </row>
    <row r="1873" spans="3:5">
      <c r="C1873" s="17">
        <f t="shared" si="29"/>
        <v>0</v>
      </c>
      <c r="D1873" s="17" t="str">
        <f>IF(C1873=1,COUNTIF($C$1:$C1873,1),"")</f>
        <v/>
      </c>
      <c r="E1873" s="7" t="str">
        <f>IFERROR(INDEX($A$1:$A$5000,MATCH(ROWS($D$1:$D1873),$D$1:$D$5000,0)),"")</f>
        <v/>
      </c>
    </row>
    <row r="1874" spans="3:5">
      <c r="C1874" s="17">
        <f t="shared" si="29"/>
        <v>0</v>
      </c>
      <c r="D1874" s="17" t="str">
        <f>IF(C1874=1,COUNTIF($C$1:$C1874,1),"")</f>
        <v/>
      </c>
      <c r="E1874" s="7" t="str">
        <f>IFERROR(INDEX($A$1:$A$5000,MATCH(ROWS($D$1:$D1874),$D$1:$D$5000,0)),"")</f>
        <v/>
      </c>
    </row>
    <row r="1875" spans="3:5">
      <c r="C1875" s="17">
        <f t="shared" si="29"/>
        <v>0</v>
      </c>
      <c r="D1875" s="17" t="str">
        <f>IF(C1875=1,COUNTIF($C$1:$C1875,1),"")</f>
        <v/>
      </c>
      <c r="E1875" s="7" t="str">
        <f>IFERROR(INDEX($A$1:$A$5000,MATCH(ROWS($D$1:$D1875),$D$1:$D$5000,0)),"")</f>
        <v/>
      </c>
    </row>
    <row r="1876" spans="3:5">
      <c r="C1876" s="17">
        <f t="shared" si="29"/>
        <v>0</v>
      </c>
      <c r="D1876" s="17" t="str">
        <f>IF(C1876=1,COUNTIF($C$1:$C1876,1),"")</f>
        <v/>
      </c>
      <c r="E1876" s="7" t="str">
        <f>IFERROR(INDEX($A$1:$A$5000,MATCH(ROWS($D$1:$D1876),$D$1:$D$5000,0)),"")</f>
        <v/>
      </c>
    </row>
    <row r="1877" spans="3:5">
      <c r="C1877" s="17">
        <f t="shared" si="29"/>
        <v>0</v>
      </c>
      <c r="D1877" s="17" t="str">
        <f>IF(C1877=1,COUNTIF($C$1:$C1877,1),"")</f>
        <v/>
      </c>
      <c r="E1877" s="7" t="str">
        <f>IFERROR(INDEX($A$1:$A$5000,MATCH(ROWS($D$1:$D1877),$D$1:$D$5000,0)),"")</f>
        <v/>
      </c>
    </row>
    <row r="1878" spans="3:5">
      <c r="C1878" s="17">
        <f t="shared" si="29"/>
        <v>0</v>
      </c>
      <c r="D1878" s="17" t="str">
        <f>IF(C1878=1,COUNTIF($C$1:$C1878,1),"")</f>
        <v/>
      </c>
      <c r="E1878" s="7" t="str">
        <f>IFERROR(INDEX($A$1:$A$5000,MATCH(ROWS($D$1:$D1878),$D$1:$D$5000,0)),"")</f>
        <v/>
      </c>
    </row>
    <row r="1879" spans="3:5">
      <c r="C1879" s="17">
        <f t="shared" si="29"/>
        <v>0</v>
      </c>
      <c r="D1879" s="17" t="str">
        <f>IF(C1879=1,COUNTIF($C$1:$C1879,1),"")</f>
        <v/>
      </c>
      <c r="E1879" s="7" t="str">
        <f>IFERROR(INDEX($A$1:$A$5000,MATCH(ROWS($D$1:$D1879),$D$1:$D$5000,0)),"")</f>
        <v/>
      </c>
    </row>
    <row r="1880" spans="3:5">
      <c r="C1880" s="17">
        <f t="shared" si="29"/>
        <v>0</v>
      </c>
      <c r="D1880" s="17" t="str">
        <f>IF(C1880=1,COUNTIF($C$1:$C1880,1),"")</f>
        <v/>
      </c>
      <c r="E1880" s="7" t="str">
        <f>IFERROR(INDEX($A$1:$A$5000,MATCH(ROWS($D$1:$D1880),$D$1:$D$5000,0)),"")</f>
        <v/>
      </c>
    </row>
    <row r="1881" spans="3:5">
      <c r="C1881" s="17">
        <f t="shared" si="29"/>
        <v>0</v>
      </c>
      <c r="D1881" s="17" t="str">
        <f>IF(C1881=1,COUNTIF($C$1:$C1881,1),"")</f>
        <v/>
      </c>
      <c r="E1881" s="7" t="str">
        <f>IFERROR(INDEX($A$1:$A$5000,MATCH(ROWS($D$1:$D1881),$D$1:$D$5000,0)),"")</f>
        <v/>
      </c>
    </row>
    <row r="1882" spans="3:5">
      <c r="C1882" s="17">
        <f t="shared" si="29"/>
        <v>0</v>
      </c>
      <c r="D1882" s="17" t="str">
        <f>IF(C1882=1,COUNTIF($C$1:$C1882,1),"")</f>
        <v/>
      </c>
      <c r="E1882" s="7" t="str">
        <f>IFERROR(INDEX($A$1:$A$5000,MATCH(ROWS($D$1:$D1882),$D$1:$D$5000,0)),"")</f>
        <v/>
      </c>
    </row>
    <row r="1883" spans="3:5">
      <c r="C1883" s="17">
        <f t="shared" si="29"/>
        <v>0</v>
      </c>
      <c r="D1883" s="17" t="str">
        <f>IF(C1883=1,COUNTIF($C$1:$C1883,1),"")</f>
        <v/>
      </c>
      <c r="E1883" s="7" t="str">
        <f>IFERROR(INDEX($A$1:$A$5000,MATCH(ROWS($D$1:$D1883),$D$1:$D$5000,0)),"")</f>
        <v/>
      </c>
    </row>
    <row r="1884" spans="3:5">
      <c r="C1884" s="17">
        <f t="shared" si="29"/>
        <v>0</v>
      </c>
      <c r="D1884" s="17" t="str">
        <f>IF(C1884=1,COUNTIF($C$1:$C1884,1),"")</f>
        <v/>
      </c>
      <c r="E1884" s="7" t="str">
        <f>IFERROR(INDEX($A$1:$A$5000,MATCH(ROWS($D$1:$D1884),$D$1:$D$5000,0)),"")</f>
        <v/>
      </c>
    </row>
    <row r="1885" spans="3:5">
      <c r="C1885" s="17">
        <f t="shared" si="29"/>
        <v>0</v>
      </c>
      <c r="D1885" s="17" t="str">
        <f>IF(C1885=1,COUNTIF($C$1:$C1885,1),"")</f>
        <v/>
      </c>
      <c r="E1885" s="7" t="str">
        <f>IFERROR(INDEX($A$1:$A$5000,MATCH(ROWS($D$1:$D1885),$D$1:$D$5000,0)),"")</f>
        <v/>
      </c>
    </row>
    <row r="1886" spans="3:5">
      <c r="C1886" s="17">
        <f t="shared" si="29"/>
        <v>0</v>
      </c>
      <c r="D1886" s="17" t="str">
        <f>IF(C1886=1,COUNTIF($C$1:$C1886,1),"")</f>
        <v/>
      </c>
      <c r="E1886" s="7" t="str">
        <f>IFERROR(INDEX($A$1:$A$5000,MATCH(ROWS($D$1:$D1886),$D$1:$D$5000,0)),"")</f>
        <v/>
      </c>
    </row>
    <row r="1887" spans="3:5">
      <c r="C1887" s="17">
        <f t="shared" si="29"/>
        <v>0</v>
      </c>
      <c r="D1887" s="17" t="str">
        <f>IF(C1887=1,COUNTIF($C$1:$C1887,1),"")</f>
        <v/>
      </c>
      <c r="E1887" s="7" t="str">
        <f>IFERROR(INDEX($A$1:$A$5000,MATCH(ROWS($D$1:$D1887),$D$1:$D$5000,0)),"")</f>
        <v/>
      </c>
    </row>
    <row r="1888" spans="3:5">
      <c r="C1888" s="17">
        <f t="shared" si="29"/>
        <v>0</v>
      </c>
      <c r="D1888" s="17" t="str">
        <f>IF(C1888=1,COUNTIF($C$1:$C1888,1),"")</f>
        <v/>
      </c>
      <c r="E1888" s="7" t="str">
        <f>IFERROR(INDEX($A$1:$A$5000,MATCH(ROWS($D$1:$D1888),$D$1:$D$5000,0)),"")</f>
        <v/>
      </c>
    </row>
    <row r="1889" spans="3:5">
      <c r="C1889" s="17">
        <f t="shared" si="29"/>
        <v>0</v>
      </c>
      <c r="D1889" s="17" t="str">
        <f>IF(C1889=1,COUNTIF($C$1:$C1889,1),"")</f>
        <v/>
      </c>
      <c r="E1889" s="7" t="str">
        <f>IFERROR(INDEX($A$1:$A$5000,MATCH(ROWS($D$1:$D1889),$D$1:$D$5000,0)),"")</f>
        <v/>
      </c>
    </row>
    <row r="1890" spans="3:5">
      <c r="C1890" s="17">
        <f t="shared" si="29"/>
        <v>0</v>
      </c>
      <c r="D1890" s="17" t="str">
        <f>IF(C1890=1,COUNTIF($C$1:$C1890,1),"")</f>
        <v/>
      </c>
      <c r="E1890" s="7" t="str">
        <f>IFERROR(INDEX($A$1:$A$5000,MATCH(ROWS($D$1:$D1890),$D$1:$D$5000,0)),"")</f>
        <v/>
      </c>
    </row>
    <row r="1891" spans="3:5">
      <c r="C1891" s="17">
        <f t="shared" si="29"/>
        <v>0</v>
      </c>
      <c r="D1891" s="17" t="str">
        <f>IF(C1891=1,COUNTIF($C$1:$C1891,1),"")</f>
        <v/>
      </c>
      <c r="E1891" s="7" t="str">
        <f>IFERROR(INDEX($A$1:$A$5000,MATCH(ROWS($D$1:$D1891),$D$1:$D$5000,0)),"")</f>
        <v/>
      </c>
    </row>
    <row r="1892" spans="3:5">
      <c r="C1892" s="17">
        <f t="shared" si="29"/>
        <v>0</v>
      </c>
      <c r="D1892" s="17" t="str">
        <f>IF(C1892=1,COUNTIF($C$1:$C1892,1),"")</f>
        <v/>
      </c>
      <c r="E1892" s="7" t="str">
        <f>IFERROR(INDEX($A$1:$A$5000,MATCH(ROWS($D$1:$D1892),$D$1:$D$5000,0)),"")</f>
        <v/>
      </c>
    </row>
    <row r="1893" spans="3:5">
      <c r="C1893" s="17">
        <f t="shared" si="29"/>
        <v>0</v>
      </c>
      <c r="D1893" s="17" t="str">
        <f>IF(C1893=1,COUNTIF($C$1:$C1893,1),"")</f>
        <v/>
      </c>
      <c r="E1893" s="7" t="str">
        <f>IFERROR(INDEX($A$1:$A$5000,MATCH(ROWS($D$1:$D1893),$D$1:$D$5000,0)),"")</f>
        <v/>
      </c>
    </row>
    <row r="1894" spans="3:5">
      <c r="C1894" s="17">
        <f t="shared" si="29"/>
        <v>0</v>
      </c>
      <c r="D1894" s="17" t="str">
        <f>IF(C1894=1,COUNTIF($C$1:$C1894,1),"")</f>
        <v/>
      </c>
      <c r="E1894" s="7" t="str">
        <f>IFERROR(INDEX($A$1:$A$5000,MATCH(ROWS($D$1:$D1894),$D$1:$D$5000,0)),"")</f>
        <v/>
      </c>
    </row>
    <row r="1895" spans="3:5">
      <c r="C1895" s="17">
        <f t="shared" si="29"/>
        <v>0</v>
      </c>
      <c r="D1895" s="17" t="str">
        <f>IF(C1895=1,COUNTIF($C$1:$C1895,1),"")</f>
        <v/>
      </c>
      <c r="E1895" s="7" t="str">
        <f>IFERROR(INDEX($A$1:$A$5000,MATCH(ROWS($D$1:$D1895),$D$1:$D$5000,0)),"")</f>
        <v/>
      </c>
    </row>
    <row r="1896" spans="3:5">
      <c r="C1896" s="17">
        <f t="shared" si="29"/>
        <v>0</v>
      </c>
      <c r="D1896" s="17" t="str">
        <f>IF(C1896=1,COUNTIF($C$1:$C1896,1),"")</f>
        <v/>
      </c>
      <c r="E1896" s="7" t="str">
        <f>IFERROR(INDEX($A$1:$A$5000,MATCH(ROWS($D$1:$D1896),$D$1:$D$5000,0)),"")</f>
        <v/>
      </c>
    </row>
    <row r="1897" spans="3:5">
      <c r="C1897" s="17">
        <f t="shared" si="29"/>
        <v>0</v>
      </c>
      <c r="D1897" s="17" t="str">
        <f>IF(C1897=1,COUNTIF($C$1:$C1897,1),"")</f>
        <v/>
      </c>
      <c r="E1897" s="7" t="str">
        <f>IFERROR(INDEX($A$1:$A$5000,MATCH(ROWS($D$1:$D1897),$D$1:$D$5000,0)),"")</f>
        <v/>
      </c>
    </row>
    <row r="1898" spans="3:5">
      <c r="C1898" s="17">
        <f t="shared" si="29"/>
        <v>0</v>
      </c>
      <c r="D1898" s="17" t="str">
        <f>IF(C1898=1,COUNTIF($C$1:$C1898,1),"")</f>
        <v/>
      </c>
      <c r="E1898" s="7" t="str">
        <f>IFERROR(INDEX($A$1:$A$5000,MATCH(ROWS($D$1:$D1898),$D$1:$D$5000,0)),"")</f>
        <v/>
      </c>
    </row>
    <row r="1899" spans="3:5">
      <c r="C1899" s="17">
        <f t="shared" si="29"/>
        <v>0</v>
      </c>
      <c r="D1899" s="17" t="str">
        <f>IF(C1899=1,COUNTIF($C$1:$C1899,1),"")</f>
        <v/>
      </c>
      <c r="E1899" s="7" t="str">
        <f>IFERROR(INDEX($A$1:$A$5000,MATCH(ROWS($D$1:$D1899),$D$1:$D$5000,0)),"")</f>
        <v/>
      </c>
    </row>
    <row r="1900" spans="3:5">
      <c r="C1900" s="17">
        <f t="shared" si="29"/>
        <v>0</v>
      </c>
      <c r="D1900" s="17" t="str">
        <f>IF(C1900=1,COUNTIF($C$1:$C1900,1),"")</f>
        <v/>
      </c>
      <c r="E1900" s="7" t="str">
        <f>IFERROR(INDEX($A$1:$A$5000,MATCH(ROWS($D$1:$D1900),$D$1:$D$5000,0)),"")</f>
        <v/>
      </c>
    </row>
    <row r="1901" spans="3:5">
      <c r="C1901" s="17">
        <f t="shared" si="29"/>
        <v>0</v>
      </c>
      <c r="D1901" s="17" t="str">
        <f>IF(C1901=1,COUNTIF($C$1:$C1901,1),"")</f>
        <v/>
      </c>
      <c r="E1901" s="7" t="str">
        <f>IFERROR(INDEX($A$1:$A$5000,MATCH(ROWS($D$1:$D1901),$D$1:$D$5000,0)),"")</f>
        <v/>
      </c>
    </row>
    <row r="1902" spans="3:5">
      <c r="C1902" s="17">
        <f t="shared" si="29"/>
        <v>0</v>
      </c>
      <c r="D1902" s="17" t="str">
        <f>IF(C1902=1,COUNTIF($C$1:$C1902,1),"")</f>
        <v/>
      </c>
      <c r="E1902" s="7" t="str">
        <f>IFERROR(INDEX($A$1:$A$5000,MATCH(ROWS($D$1:$D1902),$D$1:$D$5000,0)),"")</f>
        <v/>
      </c>
    </row>
    <row r="1903" spans="3:5">
      <c r="C1903" s="17">
        <f t="shared" si="29"/>
        <v>0</v>
      </c>
      <c r="D1903" s="17" t="str">
        <f>IF(C1903=1,COUNTIF($C$1:$C1903,1),"")</f>
        <v/>
      </c>
      <c r="E1903" s="7" t="str">
        <f>IFERROR(INDEX($A$1:$A$5000,MATCH(ROWS($D$1:$D1903),$D$1:$D$5000,0)),"")</f>
        <v/>
      </c>
    </row>
    <row r="1904" spans="3:5">
      <c r="C1904" s="17">
        <f t="shared" si="29"/>
        <v>0</v>
      </c>
      <c r="D1904" s="17" t="str">
        <f>IF(C1904=1,COUNTIF($C$1:$C1904,1),"")</f>
        <v/>
      </c>
      <c r="E1904" s="7" t="str">
        <f>IFERROR(INDEX($A$1:$A$5000,MATCH(ROWS($D$1:$D1904),$D$1:$D$5000,0)),"")</f>
        <v/>
      </c>
    </row>
    <row r="1905" spans="3:5">
      <c r="C1905" s="17">
        <f t="shared" si="29"/>
        <v>0</v>
      </c>
      <c r="D1905" s="17" t="str">
        <f>IF(C1905=1,COUNTIF($C$1:$C1905,1),"")</f>
        <v/>
      </c>
      <c r="E1905" s="7" t="str">
        <f>IFERROR(INDEX($A$1:$A$5000,MATCH(ROWS($D$1:$D1905),$D$1:$D$5000,0)),"")</f>
        <v/>
      </c>
    </row>
    <row r="1906" spans="3:5">
      <c r="C1906" s="17">
        <f t="shared" si="29"/>
        <v>0</v>
      </c>
      <c r="D1906" s="17" t="str">
        <f>IF(C1906=1,COUNTIF($C$1:$C1906,1),"")</f>
        <v/>
      </c>
      <c r="E1906" s="7" t="str">
        <f>IFERROR(INDEX($A$1:$A$5000,MATCH(ROWS($D$1:$D1906),$D$1:$D$5000,0)),"")</f>
        <v/>
      </c>
    </row>
    <row r="1907" spans="3:5">
      <c r="C1907" s="17">
        <f t="shared" si="29"/>
        <v>0</v>
      </c>
      <c r="D1907" s="17" t="str">
        <f>IF(C1907=1,COUNTIF($C$1:$C1907,1),"")</f>
        <v/>
      </c>
      <c r="E1907" s="7" t="str">
        <f>IFERROR(INDEX($A$1:$A$5000,MATCH(ROWS($D$1:$D1907),$D$1:$D$5000,0)),"")</f>
        <v/>
      </c>
    </row>
    <row r="1908" spans="3:5">
      <c r="C1908" s="17">
        <f t="shared" si="29"/>
        <v>0</v>
      </c>
      <c r="D1908" s="17" t="str">
        <f>IF(C1908=1,COUNTIF($C$1:$C1908,1),"")</f>
        <v/>
      </c>
      <c r="E1908" s="7" t="str">
        <f>IFERROR(INDEX($A$1:$A$5000,MATCH(ROWS($D$1:$D1908),$D$1:$D$5000,0)),"")</f>
        <v/>
      </c>
    </row>
    <row r="1909" spans="3:5">
      <c r="C1909" s="17">
        <f t="shared" si="29"/>
        <v>0</v>
      </c>
      <c r="D1909" s="17" t="str">
        <f>IF(C1909=1,COUNTIF($C$1:$C1909,1),"")</f>
        <v/>
      </c>
      <c r="E1909" s="7" t="str">
        <f>IFERROR(INDEX($A$1:$A$5000,MATCH(ROWS($D$1:$D1909),$D$1:$D$5000,0)),"")</f>
        <v/>
      </c>
    </row>
    <row r="1910" spans="3:5">
      <c r="C1910" s="17">
        <f t="shared" si="29"/>
        <v>0</v>
      </c>
      <c r="D1910" s="17" t="str">
        <f>IF(C1910=1,COUNTIF($C$1:$C1910,1),"")</f>
        <v/>
      </c>
      <c r="E1910" s="7" t="str">
        <f>IFERROR(INDEX($A$1:$A$5000,MATCH(ROWS($D$1:$D1910),$D$1:$D$5000,0)),"")</f>
        <v/>
      </c>
    </row>
    <row r="1911" spans="3:5">
      <c r="C1911" s="17">
        <f t="shared" si="29"/>
        <v>0</v>
      </c>
      <c r="D1911" s="17" t="str">
        <f>IF(C1911=1,COUNTIF($C$1:$C1911,1),"")</f>
        <v/>
      </c>
      <c r="E1911" s="7" t="str">
        <f>IFERROR(INDEX($A$1:$A$5000,MATCH(ROWS($D$1:$D1911),$D$1:$D$5000,0)),"")</f>
        <v/>
      </c>
    </row>
    <row r="1912" spans="3:5">
      <c r="C1912" s="17">
        <f t="shared" si="29"/>
        <v>0</v>
      </c>
      <c r="D1912" s="17" t="str">
        <f>IF(C1912=1,COUNTIF($C$1:$C1912,1),"")</f>
        <v/>
      </c>
      <c r="E1912" s="7" t="str">
        <f>IFERROR(INDEX($A$1:$A$5000,MATCH(ROWS($D$1:$D1912),$D$1:$D$5000,0)),"")</f>
        <v/>
      </c>
    </row>
    <row r="1913" spans="3:5">
      <c r="C1913" s="17">
        <f t="shared" si="29"/>
        <v>0</v>
      </c>
      <c r="D1913" s="17" t="str">
        <f>IF(C1913=1,COUNTIF($C$1:$C1913,1),"")</f>
        <v/>
      </c>
      <c r="E1913" s="7" t="str">
        <f>IFERROR(INDEX($A$1:$A$5000,MATCH(ROWS($D$1:$D1913),$D$1:$D$5000,0)),"")</f>
        <v/>
      </c>
    </row>
    <row r="1914" spans="3:5">
      <c r="C1914" s="17">
        <f t="shared" si="29"/>
        <v>0</v>
      </c>
      <c r="D1914" s="17" t="str">
        <f>IF(C1914=1,COUNTIF($C$1:$C1914,1),"")</f>
        <v/>
      </c>
      <c r="E1914" s="7" t="str">
        <f>IFERROR(INDEX($A$1:$A$5000,MATCH(ROWS($D$1:$D1914),$D$1:$D$5000,0)),"")</f>
        <v/>
      </c>
    </row>
    <row r="1915" spans="3:5">
      <c r="C1915" s="17">
        <f t="shared" si="29"/>
        <v>0</v>
      </c>
      <c r="D1915" s="17" t="str">
        <f>IF(C1915=1,COUNTIF($C$1:$C1915,1),"")</f>
        <v/>
      </c>
      <c r="E1915" s="7" t="str">
        <f>IFERROR(INDEX($A$1:$A$5000,MATCH(ROWS($D$1:$D1915),$D$1:$D$5000,0)),"")</f>
        <v/>
      </c>
    </row>
    <row r="1916" spans="3:5">
      <c r="C1916" s="17">
        <f t="shared" si="29"/>
        <v>0</v>
      </c>
      <c r="D1916" s="17" t="str">
        <f>IF(C1916=1,COUNTIF($C$1:$C1916,1),"")</f>
        <v/>
      </c>
      <c r="E1916" s="7" t="str">
        <f>IFERROR(INDEX($A$1:$A$5000,MATCH(ROWS($D$1:$D1916),$D$1:$D$5000,0)),"")</f>
        <v/>
      </c>
    </row>
    <row r="1917" spans="3:5">
      <c r="C1917" s="17">
        <f t="shared" si="29"/>
        <v>0</v>
      </c>
      <c r="D1917" s="17" t="str">
        <f>IF(C1917=1,COUNTIF($C$1:$C1917,1),"")</f>
        <v/>
      </c>
      <c r="E1917" s="7" t="str">
        <f>IFERROR(INDEX($A$1:$A$5000,MATCH(ROWS($D$1:$D1917),$D$1:$D$5000,0)),"")</f>
        <v/>
      </c>
    </row>
    <row r="1918" spans="3:5">
      <c r="C1918" s="17">
        <f t="shared" si="29"/>
        <v>0</v>
      </c>
      <c r="D1918" s="17" t="str">
        <f>IF(C1918=1,COUNTIF($C$1:$C1918,1),"")</f>
        <v/>
      </c>
      <c r="E1918" s="7" t="str">
        <f>IFERROR(INDEX($A$1:$A$5000,MATCH(ROWS($D$1:$D1918),$D$1:$D$5000,0)),"")</f>
        <v/>
      </c>
    </row>
    <row r="1919" spans="3:5">
      <c r="C1919" s="17">
        <f t="shared" si="29"/>
        <v>0</v>
      </c>
      <c r="D1919" s="17" t="str">
        <f>IF(C1919=1,COUNTIF($C$1:$C1919,1),"")</f>
        <v/>
      </c>
      <c r="E1919" s="7" t="str">
        <f>IFERROR(INDEX($A$1:$A$5000,MATCH(ROWS($D$1:$D1919),$D$1:$D$5000,0)),"")</f>
        <v/>
      </c>
    </row>
    <row r="1920" spans="3:5">
      <c r="C1920" s="17">
        <f t="shared" si="29"/>
        <v>0</v>
      </c>
      <c r="D1920" s="17" t="str">
        <f>IF(C1920=1,COUNTIF($C$1:$C1920,1),"")</f>
        <v/>
      </c>
      <c r="E1920" s="7" t="str">
        <f>IFERROR(INDEX($A$1:$A$5000,MATCH(ROWS($D$1:$D1920),$D$1:$D$5000,0)),"")</f>
        <v/>
      </c>
    </row>
    <row r="1921" spans="3:5">
      <c r="C1921" s="17">
        <f t="shared" si="29"/>
        <v>0</v>
      </c>
      <c r="D1921" s="17" t="str">
        <f>IF(C1921=1,COUNTIF($C$1:$C1921,1),"")</f>
        <v/>
      </c>
      <c r="E1921" s="7" t="str">
        <f>IFERROR(INDEX($A$1:$A$5000,MATCH(ROWS($D$1:$D1921),$D$1:$D$5000,0)),"")</f>
        <v/>
      </c>
    </row>
    <row r="1922" spans="3:5">
      <c r="C1922" s="17">
        <f t="shared" ref="C1922:C1985" si="30">--ISNUMBER(SEARCH($B$1,A1922))</f>
        <v>0</v>
      </c>
      <c r="D1922" s="17" t="str">
        <f>IF(C1922=1,COUNTIF($C$1:$C1922,1),"")</f>
        <v/>
      </c>
      <c r="E1922" s="7" t="str">
        <f>IFERROR(INDEX($A$1:$A$5000,MATCH(ROWS($D$1:$D1922),$D$1:$D$5000,0)),"")</f>
        <v/>
      </c>
    </row>
    <row r="1923" spans="3:5">
      <c r="C1923" s="17">
        <f t="shared" si="30"/>
        <v>0</v>
      </c>
      <c r="D1923" s="17" t="str">
        <f>IF(C1923=1,COUNTIF($C$1:$C1923,1),"")</f>
        <v/>
      </c>
      <c r="E1923" s="7" t="str">
        <f>IFERROR(INDEX($A$1:$A$5000,MATCH(ROWS($D$1:$D1923),$D$1:$D$5000,0)),"")</f>
        <v/>
      </c>
    </row>
    <row r="1924" spans="3:5">
      <c r="C1924" s="17">
        <f t="shared" si="30"/>
        <v>0</v>
      </c>
      <c r="D1924" s="17" t="str">
        <f>IF(C1924=1,COUNTIF($C$1:$C1924,1),"")</f>
        <v/>
      </c>
      <c r="E1924" s="7" t="str">
        <f>IFERROR(INDEX($A$1:$A$5000,MATCH(ROWS($D$1:$D1924),$D$1:$D$5000,0)),"")</f>
        <v/>
      </c>
    </row>
    <row r="1925" spans="3:5">
      <c r="C1925" s="17">
        <f t="shared" si="30"/>
        <v>0</v>
      </c>
      <c r="D1925" s="17" t="str">
        <f>IF(C1925=1,COUNTIF($C$1:$C1925,1),"")</f>
        <v/>
      </c>
      <c r="E1925" s="7" t="str">
        <f>IFERROR(INDEX($A$1:$A$5000,MATCH(ROWS($D$1:$D1925),$D$1:$D$5000,0)),"")</f>
        <v/>
      </c>
    </row>
    <row r="1926" spans="3:5">
      <c r="C1926" s="17">
        <f t="shared" si="30"/>
        <v>0</v>
      </c>
      <c r="D1926" s="17" t="str">
        <f>IF(C1926=1,COUNTIF($C$1:$C1926,1),"")</f>
        <v/>
      </c>
      <c r="E1926" s="7" t="str">
        <f>IFERROR(INDEX($A$1:$A$5000,MATCH(ROWS($D$1:$D1926),$D$1:$D$5000,0)),"")</f>
        <v/>
      </c>
    </row>
    <row r="1927" spans="3:5">
      <c r="C1927" s="17">
        <f t="shared" si="30"/>
        <v>0</v>
      </c>
      <c r="D1927" s="17" t="str">
        <f>IF(C1927=1,COUNTIF($C$1:$C1927,1),"")</f>
        <v/>
      </c>
      <c r="E1927" s="7" t="str">
        <f>IFERROR(INDEX($A$1:$A$5000,MATCH(ROWS($D$1:$D1927),$D$1:$D$5000,0)),"")</f>
        <v/>
      </c>
    </row>
    <row r="1928" spans="3:5">
      <c r="C1928" s="17">
        <f t="shared" si="30"/>
        <v>0</v>
      </c>
      <c r="D1928" s="17" t="str">
        <f>IF(C1928=1,COUNTIF($C$1:$C1928,1),"")</f>
        <v/>
      </c>
      <c r="E1928" s="7" t="str">
        <f>IFERROR(INDEX($A$1:$A$5000,MATCH(ROWS($D$1:$D1928),$D$1:$D$5000,0)),"")</f>
        <v/>
      </c>
    </row>
    <row r="1929" spans="3:5">
      <c r="C1929" s="17">
        <f t="shared" si="30"/>
        <v>0</v>
      </c>
      <c r="D1929" s="17" t="str">
        <f>IF(C1929=1,COUNTIF($C$1:$C1929,1),"")</f>
        <v/>
      </c>
      <c r="E1929" s="7" t="str">
        <f>IFERROR(INDEX($A$1:$A$5000,MATCH(ROWS($D$1:$D1929),$D$1:$D$5000,0)),"")</f>
        <v/>
      </c>
    </row>
    <row r="1930" spans="3:5">
      <c r="C1930" s="17">
        <f t="shared" si="30"/>
        <v>0</v>
      </c>
      <c r="D1930" s="17" t="str">
        <f>IF(C1930=1,COUNTIF($C$1:$C1930,1),"")</f>
        <v/>
      </c>
      <c r="E1930" s="7" t="str">
        <f>IFERROR(INDEX($A$1:$A$5000,MATCH(ROWS($D$1:$D1930),$D$1:$D$5000,0)),"")</f>
        <v/>
      </c>
    </row>
    <row r="1931" spans="3:5">
      <c r="C1931" s="17">
        <f t="shared" si="30"/>
        <v>0</v>
      </c>
      <c r="D1931" s="17" t="str">
        <f>IF(C1931=1,COUNTIF($C$1:$C1931,1),"")</f>
        <v/>
      </c>
      <c r="E1931" s="7" t="str">
        <f>IFERROR(INDEX($A$1:$A$5000,MATCH(ROWS($D$1:$D1931),$D$1:$D$5000,0)),"")</f>
        <v/>
      </c>
    </row>
    <row r="1932" spans="3:5">
      <c r="C1932" s="17">
        <f t="shared" si="30"/>
        <v>0</v>
      </c>
      <c r="D1932" s="17" t="str">
        <f>IF(C1932=1,COUNTIF($C$1:$C1932,1),"")</f>
        <v/>
      </c>
      <c r="E1932" s="7" t="str">
        <f>IFERROR(INDEX($A$1:$A$5000,MATCH(ROWS($D$1:$D1932),$D$1:$D$5000,0)),"")</f>
        <v/>
      </c>
    </row>
    <row r="1933" spans="3:5">
      <c r="C1933" s="17">
        <f t="shared" si="30"/>
        <v>0</v>
      </c>
      <c r="D1933" s="17" t="str">
        <f>IF(C1933=1,COUNTIF($C$1:$C1933,1),"")</f>
        <v/>
      </c>
      <c r="E1933" s="7" t="str">
        <f>IFERROR(INDEX($A$1:$A$5000,MATCH(ROWS($D$1:$D1933),$D$1:$D$5000,0)),"")</f>
        <v/>
      </c>
    </row>
    <row r="1934" spans="3:5">
      <c r="C1934" s="17">
        <f t="shared" si="30"/>
        <v>0</v>
      </c>
      <c r="D1934" s="17" t="str">
        <f>IF(C1934=1,COUNTIF($C$1:$C1934,1),"")</f>
        <v/>
      </c>
      <c r="E1934" s="7" t="str">
        <f>IFERROR(INDEX($A$1:$A$5000,MATCH(ROWS($D$1:$D1934),$D$1:$D$5000,0)),"")</f>
        <v/>
      </c>
    </row>
    <row r="1935" spans="3:5">
      <c r="C1935" s="17">
        <f t="shared" si="30"/>
        <v>0</v>
      </c>
      <c r="D1935" s="17" t="str">
        <f>IF(C1935=1,COUNTIF($C$1:$C1935,1),"")</f>
        <v/>
      </c>
      <c r="E1935" s="7" t="str">
        <f>IFERROR(INDEX($A$1:$A$5000,MATCH(ROWS($D$1:$D1935),$D$1:$D$5000,0)),"")</f>
        <v/>
      </c>
    </row>
    <row r="1936" spans="3:5">
      <c r="C1936" s="17">
        <f t="shared" si="30"/>
        <v>0</v>
      </c>
      <c r="D1936" s="17" t="str">
        <f>IF(C1936=1,COUNTIF($C$1:$C1936,1),"")</f>
        <v/>
      </c>
      <c r="E1936" s="7" t="str">
        <f>IFERROR(INDEX($A$1:$A$5000,MATCH(ROWS($D$1:$D1936),$D$1:$D$5000,0)),"")</f>
        <v/>
      </c>
    </row>
    <row r="1937" spans="3:5">
      <c r="C1937" s="17">
        <f t="shared" si="30"/>
        <v>0</v>
      </c>
      <c r="D1937" s="17" t="str">
        <f>IF(C1937=1,COUNTIF($C$1:$C1937,1),"")</f>
        <v/>
      </c>
      <c r="E1937" s="7" t="str">
        <f>IFERROR(INDEX($A$1:$A$5000,MATCH(ROWS($D$1:$D1937),$D$1:$D$5000,0)),"")</f>
        <v/>
      </c>
    </row>
    <row r="1938" spans="3:5">
      <c r="C1938" s="17">
        <f t="shared" si="30"/>
        <v>0</v>
      </c>
      <c r="D1938" s="17" t="str">
        <f>IF(C1938=1,COUNTIF($C$1:$C1938,1),"")</f>
        <v/>
      </c>
      <c r="E1938" s="7" t="str">
        <f>IFERROR(INDEX($A$1:$A$5000,MATCH(ROWS($D$1:$D1938),$D$1:$D$5000,0)),"")</f>
        <v/>
      </c>
    </row>
    <row r="1939" spans="3:5">
      <c r="C1939" s="17">
        <f t="shared" si="30"/>
        <v>0</v>
      </c>
      <c r="D1939" s="17" t="str">
        <f>IF(C1939=1,COUNTIF($C$1:$C1939,1),"")</f>
        <v/>
      </c>
      <c r="E1939" s="7" t="str">
        <f>IFERROR(INDEX($A$1:$A$5000,MATCH(ROWS($D$1:$D1939),$D$1:$D$5000,0)),"")</f>
        <v/>
      </c>
    </row>
    <row r="1940" spans="3:5">
      <c r="C1940" s="17">
        <f t="shared" si="30"/>
        <v>0</v>
      </c>
      <c r="D1940" s="17" t="str">
        <f>IF(C1940=1,COUNTIF($C$1:$C1940,1),"")</f>
        <v/>
      </c>
      <c r="E1940" s="7" t="str">
        <f>IFERROR(INDEX($A$1:$A$5000,MATCH(ROWS($D$1:$D1940),$D$1:$D$5000,0)),"")</f>
        <v/>
      </c>
    </row>
    <row r="1941" spans="3:5">
      <c r="C1941" s="17">
        <f t="shared" si="30"/>
        <v>0</v>
      </c>
      <c r="D1941" s="17" t="str">
        <f>IF(C1941=1,COUNTIF($C$1:$C1941,1),"")</f>
        <v/>
      </c>
      <c r="E1941" s="7" t="str">
        <f>IFERROR(INDEX($A$1:$A$5000,MATCH(ROWS($D$1:$D1941),$D$1:$D$5000,0)),"")</f>
        <v/>
      </c>
    </row>
    <row r="1942" spans="3:5">
      <c r="C1942" s="17">
        <f t="shared" si="30"/>
        <v>0</v>
      </c>
      <c r="D1942" s="17" t="str">
        <f>IF(C1942=1,COUNTIF($C$1:$C1942,1),"")</f>
        <v/>
      </c>
      <c r="E1942" s="7" t="str">
        <f>IFERROR(INDEX($A$1:$A$5000,MATCH(ROWS($D$1:$D1942),$D$1:$D$5000,0)),"")</f>
        <v/>
      </c>
    </row>
    <row r="1943" spans="3:5">
      <c r="C1943" s="17">
        <f t="shared" si="30"/>
        <v>0</v>
      </c>
      <c r="D1943" s="17" t="str">
        <f>IF(C1943=1,COUNTIF($C$1:$C1943,1),"")</f>
        <v/>
      </c>
      <c r="E1943" s="7" t="str">
        <f>IFERROR(INDEX($A$1:$A$5000,MATCH(ROWS($D$1:$D1943),$D$1:$D$5000,0)),"")</f>
        <v/>
      </c>
    </row>
    <row r="1944" spans="3:5">
      <c r="C1944" s="17">
        <f t="shared" si="30"/>
        <v>0</v>
      </c>
      <c r="D1944" s="17" t="str">
        <f>IF(C1944=1,COUNTIF($C$1:$C1944,1),"")</f>
        <v/>
      </c>
      <c r="E1944" s="7" t="str">
        <f>IFERROR(INDEX($A$1:$A$5000,MATCH(ROWS($D$1:$D1944),$D$1:$D$5000,0)),"")</f>
        <v/>
      </c>
    </row>
    <row r="1945" spans="3:5">
      <c r="C1945" s="17">
        <f t="shared" si="30"/>
        <v>0</v>
      </c>
      <c r="D1945" s="17" t="str">
        <f>IF(C1945=1,COUNTIF($C$1:$C1945,1),"")</f>
        <v/>
      </c>
      <c r="E1945" s="7" t="str">
        <f>IFERROR(INDEX($A$1:$A$5000,MATCH(ROWS($D$1:$D1945),$D$1:$D$5000,0)),"")</f>
        <v/>
      </c>
    </row>
    <row r="1946" spans="3:5">
      <c r="C1946" s="17">
        <f t="shared" si="30"/>
        <v>0</v>
      </c>
      <c r="D1946" s="17" t="str">
        <f>IF(C1946=1,COUNTIF($C$1:$C1946,1),"")</f>
        <v/>
      </c>
      <c r="E1946" s="7" t="str">
        <f>IFERROR(INDEX($A$1:$A$5000,MATCH(ROWS($D$1:$D1946),$D$1:$D$5000,0)),"")</f>
        <v/>
      </c>
    </row>
    <row r="1947" spans="3:5">
      <c r="C1947" s="17">
        <f t="shared" si="30"/>
        <v>0</v>
      </c>
      <c r="D1947" s="17" t="str">
        <f>IF(C1947=1,COUNTIF($C$1:$C1947,1),"")</f>
        <v/>
      </c>
      <c r="E1947" s="7" t="str">
        <f>IFERROR(INDEX($A$1:$A$5000,MATCH(ROWS($D$1:$D1947),$D$1:$D$5000,0)),"")</f>
        <v/>
      </c>
    </row>
    <row r="1948" spans="3:5">
      <c r="C1948" s="17">
        <f t="shared" si="30"/>
        <v>0</v>
      </c>
      <c r="D1948" s="17" t="str">
        <f>IF(C1948=1,COUNTIF($C$1:$C1948,1),"")</f>
        <v/>
      </c>
      <c r="E1948" s="7" t="str">
        <f>IFERROR(INDEX($A$1:$A$5000,MATCH(ROWS($D$1:$D1948),$D$1:$D$5000,0)),"")</f>
        <v/>
      </c>
    </row>
    <row r="1949" spans="3:5">
      <c r="C1949" s="17">
        <f t="shared" si="30"/>
        <v>0</v>
      </c>
      <c r="D1949" s="17" t="str">
        <f>IF(C1949=1,COUNTIF($C$1:$C1949,1),"")</f>
        <v/>
      </c>
      <c r="E1949" s="7" t="str">
        <f>IFERROR(INDEX($A$1:$A$5000,MATCH(ROWS($D$1:$D1949),$D$1:$D$5000,0)),"")</f>
        <v/>
      </c>
    </row>
    <row r="1950" spans="3:5">
      <c r="C1950" s="17">
        <f t="shared" si="30"/>
        <v>0</v>
      </c>
      <c r="D1950" s="17" t="str">
        <f>IF(C1950=1,COUNTIF($C$1:$C1950,1),"")</f>
        <v/>
      </c>
      <c r="E1950" s="7" t="str">
        <f>IFERROR(INDEX($A$1:$A$5000,MATCH(ROWS($D$1:$D1950),$D$1:$D$5000,0)),"")</f>
        <v/>
      </c>
    </row>
    <row r="1951" spans="3:5">
      <c r="C1951" s="17">
        <f t="shared" si="30"/>
        <v>0</v>
      </c>
      <c r="D1951" s="17" t="str">
        <f>IF(C1951=1,COUNTIF($C$1:$C1951,1),"")</f>
        <v/>
      </c>
      <c r="E1951" s="7" t="str">
        <f>IFERROR(INDEX($A$1:$A$5000,MATCH(ROWS($D$1:$D1951),$D$1:$D$5000,0)),"")</f>
        <v/>
      </c>
    </row>
    <row r="1952" spans="3:5">
      <c r="C1952" s="17">
        <f t="shared" si="30"/>
        <v>0</v>
      </c>
      <c r="D1952" s="17" t="str">
        <f>IF(C1952=1,COUNTIF($C$1:$C1952,1),"")</f>
        <v/>
      </c>
      <c r="E1952" s="7" t="str">
        <f>IFERROR(INDEX($A$1:$A$5000,MATCH(ROWS($D$1:$D1952),$D$1:$D$5000,0)),"")</f>
        <v/>
      </c>
    </row>
    <row r="1953" spans="3:5">
      <c r="C1953" s="17">
        <f t="shared" si="30"/>
        <v>0</v>
      </c>
      <c r="D1953" s="17" t="str">
        <f>IF(C1953=1,COUNTIF($C$1:$C1953,1),"")</f>
        <v/>
      </c>
      <c r="E1953" s="7" t="str">
        <f>IFERROR(INDEX($A$1:$A$5000,MATCH(ROWS($D$1:$D1953),$D$1:$D$5000,0)),"")</f>
        <v/>
      </c>
    </row>
    <row r="1954" spans="3:5">
      <c r="C1954" s="17">
        <f t="shared" si="30"/>
        <v>0</v>
      </c>
      <c r="D1954" s="17" t="str">
        <f>IF(C1954=1,COUNTIF($C$1:$C1954,1),"")</f>
        <v/>
      </c>
      <c r="E1954" s="7" t="str">
        <f>IFERROR(INDEX($A$1:$A$5000,MATCH(ROWS($D$1:$D1954),$D$1:$D$5000,0)),"")</f>
        <v/>
      </c>
    </row>
    <row r="1955" spans="3:5">
      <c r="C1955" s="17">
        <f t="shared" si="30"/>
        <v>0</v>
      </c>
      <c r="D1955" s="17" t="str">
        <f>IF(C1955=1,COUNTIF($C$1:$C1955,1),"")</f>
        <v/>
      </c>
      <c r="E1955" s="7" t="str">
        <f>IFERROR(INDEX($A$1:$A$5000,MATCH(ROWS($D$1:$D1955),$D$1:$D$5000,0)),"")</f>
        <v/>
      </c>
    </row>
    <row r="1956" spans="3:5">
      <c r="C1956" s="17">
        <f t="shared" si="30"/>
        <v>0</v>
      </c>
      <c r="D1956" s="17" t="str">
        <f>IF(C1956=1,COUNTIF($C$1:$C1956,1),"")</f>
        <v/>
      </c>
      <c r="E1956" s="7" t="str">
        <f>IFERROR(INDEX($A$1:$A$5000,MATCH(ROWS($D$1:$D1956),$D$1:$D$5000,0)),"")</f>
        <v/>
      </c>
    </row>
    <row r="1957" spans="3:5">
      <c r="C1957" s="17">
        <f t="shared" si="30"/>
        <v>0</v>
      </c>
      <c r="D1957" s="17" t="str">
        <f>IF(C1957=1,COUNTIF($C$1:$C1957,1),"")</f>
        <v/>
      </c>
      <c r="E1957" s="7" t="str">
        <f>IFERROR(INDEX($A$1:$A$5000,MATCH(ROWS($D$1:$D1957),$D$1:$D$5000,0)),"")</f>
        <v/>
      </c>
    </row>
    <row r="1958" spans="3:5">
      <c r="C1958" s="17">
        <f t="shared" si="30"/>
        <v>0</v>
      </c>
      <c r="D1958" s="17" t="str">
        <f>IF(C1958=1,COUNTIF($C$1:$C1958,1),"")</f>
        <v/>
      </c>
      <c r="E1958" s="7" t="str">
        <f>IFERROR(INDEX($A$1:$A$5000,MATCH(ROWS($D$1:$D1958),$D$1:$D$5000,0)),"")</f>
        <v/>
      </c>
    </row>
    <row r="1959" spans="3:5">
      <c r="C1959" s="17">
        <f t="shared" si="30"/>
        <v>0</v>
      </c>
      <c r="D1959" s="17" t="str">
        <f>IF(C1959=1,COUNTIF($C$1:$C1959,1),"")</f>
        <v/>
      </c>
      <c r="E1959" s="7" t="str">
        <f>IFERROR(INDEX($A$1:$A$5000,MATCH(ROWS($D$1:$D1959),$D$1:$D$5000,0)),"")</f>
        <v/>
      </c>
    </row>
    <row r="1960" spans="3:5">
      <c r="C1960" s="17">
        <f t="shared" si="30"/>
        <v>0</v>
      </c>
      <c r="D1960" s="17" t="str">
        <f>IF(C1960=1,COUNTIF($C$1:$C1960,1),"")</f>
        <v/>
      </c>
      <c r="E1960" s="7" t="str">
        <f>IFERROR(INDEX($A$1:$A$5000,MATCH(ROWS($D$1:$D1960),$D$1:$D$5000,0)),"")</f>
        <v/>
      </c>
    </row>
    <row r="1961" spans="3:5">
      <c r="C1961" s="17">
        <f t="shared" si="30"/>
        <v>0</v>
      </c>
      <c r="D1961" s="17" t="str">
        <f>IF(C1961=1,COUNTIF($C$1:$C1961,1),"")</f>
        <v/>
      </c>
      <c r="E1961" s="7" t="str">
        <f>IFERROR(INDEX($A$1:$A$5000,MATCH(ROWS($D$1:$D1961),$D$1:$D$5000,0)),"")</f>
        <v/>
      </c>
    </row>
    <row r="1962" spans="3:5">
      <c r="C1962" s="17">
        <f t="shared" si="30"/>
        <v>0</v>
      </c>
      <c r="D1962" s="17" t="str">
        <f>IF(C1962=1,COUNTIF($C$1:$C1962,1),"")</f>
        <v/>
      </c>
      <c r="E1962" s="7" t="str">
        <f>IFERROR(INDEX($A$1:$A$5000,MATCH(ROWS($D$1:$D1962),$D$1:$D$5000,0)),"")</f>
        <v/>
      </c>
    </row>
    <row r="1963" spans="3:5">
      <c r="C1963" s="17">
        <f t="shared" si="30"/>
        <v>0</v>
      </c>
      <c r="D1963" s="17" t="str">
        <f>IF(C1963=1,COUNTIF($C$1:$C1963,1),"")</f>
        <v/>
      </c>
      <c r="E1963" s="7" t="str">
        <f>IFERROR(INDEX($A$1:$A$5000,MATCH(ROWS($D$1:$D1963),$D$1:$D$5000,0)),"")</f>
        <v/>
      </c>
    </row>
    <row r="1964" spans="3:5">
      <c r="C1964" s="17">
        <f t="shared" si="30"/>
        <v>0</v>
      </c>
      <c r="D1964" s="17" t="str">
        <f>IF(C1964=1,COUNTIF($C$1:$C1964,1),"")</f>
        <v/>
      </c>
      <c r="E1964" s="7" t="str">
        <f>IFERROR(INDEX($A$1:$A$5000,MATCH(ROWS($D$1:$D1964),$D$1:$D$5000,0)),"")</f>
        <v/>
      </c>
    </row>
    <row r="1965" spans="3:5">
      <c r="C1965" s="17">
        <f t="shared" si="30"/>
        <v>0</v>
      </c>
      <c r="D1965" s="17" t="str">
        <f>IF(C1965=1,COUNTIF($C$1:$C1965,1),"")</f>
        <v/>
      </c>
      <c r="E1965" s="7" t="str">
        <f>IFERROR(INDEX($A$1:$A$5000,MATCH(ROWS($D$1:$D1965),$D$1:$D$5000,0)),"")</f>
        <v/>
      </c>
    </row>
    <row r="1966" spans="3:5">
      <c r="C1966" s="17">
        <f t="shared" si="30"/>
        <v>0</v>
      </c>
      <c r="D1966" s="17" t="str">
        <f>IF(C1966=1,COUNTIF($C$1:$C1966,1),"")</f>
        <v/>
      </c>
      <c r="E1966" s="7" t="str">
        <f>IFERROR(INDEX($A$1:$A$5000,MATCH(ROWS($D$1:$D1966),$D$1:$D$5000,0)),"")</f>
        <v/>
      </c>
    </row>
    <row r="1967" spans="3:5">
      <c r="C1967" s="17">
        <f t="shared" si="30"/>
        <v>0</v>
      </c>
      <c r="D1967" s="17" t="str">
        <f>IF(C1967=1,COUNTIF($C$1:$C1967,1),"")</f>
        <v/>
      </c>
      <c r="E1967" s="7" t="str">
        <f>IFERROR(INDEX($A$1:$A$5000,MATCH(ROWS($D$1:$D1967),$D$1:$D$5000,0)),"")</f>
        <v/>
      </c>
    </row>
    <row r="1968" spans="3:5">
      <c r="C1968" s="17">
        <f t="shared" si="30"/>
        <v>0</v>
      </c>
      <c r="D1968" s="17" t="str">
        <f>IF(C1968=1,COUNTIF($C$1:$C1968,1),"")</f>
        <v/>
      </c>
      <c r="E1968" s="7" t="str">
        <f>IFERROR(INDEX($A$1:$A$5000,MATCH(ROWS($D$1:$D1968),$D$1:$D$5000,0)),"")</f>
        <v/>
      </c>
    </row>
    <row r="1969" spans="3:5">
      <c r="C1969" s="17">
        <f t="shared" si="30"/>
        <v>0</v>
      </c>
      <c r="D1969" s="17" t="str">
        <f>IF(C1969=1,COUNTIF($C$1:$C1969,1),"")</f>
        <v/>
      </c>
      <c r="E1969" s="7" t="str">
        <f>IFERROR(INDEX($A$1:$A$5000,MATCH(ROWS($D$1:$D1969),$D$1:$D$5000,0)),"")</f>
        <v/>
      </c>
    </row>
    <row r="1970" spans="3:5">
      <c r="C1970" s="17">
        <f t="shared" si="30"/>
        <v>0</v>
      </c>
      <c r="D1970" s="17" t="str">
        <f>IF(C1970=1,COUNTIF($C$1:$C1970,1),"")</f>
        <v/>
      </c>
      <c r="E1970" s="7" t="str">
        <f>IFERROR(INDEX($A$1:$A$5000,MATCH(ROWS($D$1:$D1970),$D$1:$D$5000,0)),"")</f>
        <v/>
      </c>
    </row>
    <row r="1971" spans="3:5">
      <c r="C1971" s="17">
        <f t="shared" si="30"/>
        <v>0</v>
      </c>
      <c r="D1971" s="17" t="str">
        <f>IF(C1971=1,COUNTIF($C$1:$C1971,1),"")</f>
        <v/>
      </c>
      <c r="E1971" s="7" t="str">
        <f>IFERROR(INDEX($A$1:$A$5000,MATCH(ROWS($D$1:$D1971),$D$1:$D$5000,0)),"")</f>
        <v/>
      </c>
    </row>
    <row r="1972" spans="3:5">
      <c r="C1972" s="17">
        <f t="shared" si="30"/>
        <v>0</v>
      </c>
      <c r="D1972" s="17" t="str">
        <f>IF(C1972=1,COUNTIF($C$1:$C1972,1),"")</f>
        <v/>
      </c>
      <c r="E1972" s="7" t="str">
        <f>IFERROR(INDEX($A$1:$A$5000,MATCH(ROWS($D$1:$D1972),$D$1:$D$5000,0)),"")</f>
        <v/>
      </c>
    </row>
    <row r="1973" spans="3:5">
      <c r="C1973" s="17">
        <f t="shared" si="30"/>
        <v>0</v>
      </c>
      <c r="D1973" s="17" t="str">
        <f>IF(C1973=1,COUNTIF($C$1:$C1973,1),"")</f>
        <v/>
      </c>
      <c r="E1973" s="7" t="str">
        <f>IFERROR(INDEX($A$1:$A$5000,MATCH(ROWS($D$1:$D1973),$D$1:$D$5000,0)),"")</f>
        <v/>
      </c>
    </row>
    <row r="1974" spans="3:5">
      <c r="C1974" s="17">
        <f t="shared" si="30"/>
        <v>0</v>
      </c>
      <c r="D1974" s="17" t="str">
        <f>IF(C1974=1,COUNTIF($C$1:$C1974,1),"")</f>
        <v/>
      </c>
      <c r="E1974" s="7" t="str">
        <f>IFERROR(INDEX($A$1:$A$5000,MATCH(ROWS($D$1:$D1974),$D$1:$D$5000,0)),"")</f>
        <v/>
      </c>
    </row>
    <row r="1975" spans="3:5">
      <c r="C1975" s="17">
        <f t="shared" si="30"/>
        <v>0</v>
      </c>
      <c r="D1975" s="17" t="str">
        <f>IF(C1975=1,COUNTIF($C$1:$C1975,1),"")</f>
        <v/>
      </c>
      <c r="E1975" s="7" t="str">
        <f>IFERROR(INDEX($A$1:$A$5000,MATCH(ROWS($D$1:$D1975),$D$1:$D$5000,0)),"")</f>
        <v/>
      </c>
    </row>
    <row r="1976" spans="3:5">
      <c r="C1976" s="17">
        <f t="shared" si="30"/>
        <v>0</v>
      </c>
      <c r="D1976" s="17" t="str">
        <f>IF(C1976=1,COUNTIF($C$1:$C1976,1),"")</f>
        <v/>
      </c>
      <c r="E1976" s="7" t="str">
        <f>IFERROR(INDEX($A$1:$A$5000,MATCH(ROWS($D$1:$D1976),$D$1:$D$5000,0)),"")</f>
        <v/>
      </c>
    </row>
    <row r="1977" spans="3:5">
      <c r="C1977" s="17">
        <f t="shared" si="30"/>
        <v>0</v>
      </c>
      <c r="D1977" s="17" t="str">
        <f>IF(C1977=1,COUNTIF($C$1:$C1977,1),"")</f>
        <v/>
      </c>
      <c r="E1977" s="7" t="str">
        <f>IFERROR(INDEX($A$1:$A$5000,MATCH(ROWS($D$1:$D1977),$D$1:$D$5000,0)),"")</f>
        <v/>
      </c>
    </row>
    <row r="1978" spans="3:5">
      <c r="C1978" s="17">
        <f t="shared" si="30"/>
        <v>0</v>
      </c>
      <c r="D1978" s="17" t="str">
        <f>IF(C1978=1,COUNTIF($C$1:$C1978,1),"")</f>
        <v/>
      </c>
      <c r="E1978" s="7" t="str">
        <f>IFERROR(INDEX($A$1:$A$5000,MATCH(ROWS($D$1:$D1978),$D$1:$D$5000,0)),"")</f>
        <v/>
      </c>
    </row>
    <row r="1979" spans="3:5">
      <c r="C1979" s="17">
        <f t="shared" si="30"/>
        <v>0</v>
      </c>
      <c r="D1979" s="17" t="str">
        <f>IF(C1979=1,COUNTIF($C$1:$C1979,1),"")</f>
        <v/>
      </c>
      <c r="E1979" s="7" t="str">
        <f>IFERROR(INDEX($A$1:$A$5000,MATCH(ROWS($D$1:$D1979),$D$1:$D$5000,0)),"")</f>
        <v/>
      </c>
    </row>
    <row r="1980" spans="3:5">
      <c r="C1980" s="17">
        <f t="shared" si="30"/>
        <v>0</v>
      </c>
      <c r="D1980" s="17" t="str">
        <f>IF(C1980=1,COUNTIF($C$1:$C1980,1),"")</f>
        <v/>
      </c>
      <c r="E1980" s="7" t="str">
        <f>IFERROR(INDEX($A$1:$A$5000,MATCH(ROWS($D$1:$D1980),$D$1:$D$5000,0)),"")</f>
        <v/>
      </c>
    </row>
    <row r="1981" spans="3:5">
      <c r="C1981" s="17">
        <f t="shared" si="30"/>
        <v>0</v>
      </c>
      <c r="D1981" s="17" t="str">
        <f>IF(C1981=1,COUNTIF($C$1:$C1981,1),"")</f>
        <v/>
      </c>
      <c r="E1981" s="7" t="str">
        <f>IFERROR(INDEX($A$1:$A$5000,MATCH(ROWS($D$1:$D1981),$D$1:$D$5000,0)),"")</f>
        <v/>
      </c>
    </row>
    <row r="1982" spans="3:5">
      <c r="C1982" s="17">
        <f t="shared" si="30"/>
        <v>0</v>
      </c>
      <c r="D1982" s="17" t="str">
        <f>IF(C1982=1,COUNTIF($C$1:$C1982,1),"")</f>
        <v/>
      </c>
      <c r="E1982" s="7" t="str">
        <f>IFERROR(INDEX($A$1:$A$5000,MATCH(ROWS($D$1:$D1982),$D$1:$D$5000,0)),"")</f>
        <v/>
      </c>
    </row>
    <row r="1983" spans="3:5">
      <c r="C1983" s="17">
        <f t="shared" si="30"/>
        <v>0</v>
      </c>
      <c r="D1983" s="17" t="str">
        <f>IF(C1983=1,COUNTIF($C$1:$C1983,1),"")</f>
        <v/>
      </c>
      <c r="E1983" s="7" t="str">
        <f>IFERROR(INDEX($A$1:$A$5000,MATCH(ROWS($D$1:$D1983),$D$1:$D$5000,0)),"")</f>
        <v/>
      </c>
    </row>
    <row r="1984" spans="3:5">
      <c r="C1984" s="17">
        <f t="shared" si="30"/>
        <v>0</v>
      </c>
      <c r="D1984" s="17" t="str">
        <f>IF(C1984=1,COUNTIF($C$1:$C1984,1),"")</f>
        <v/>
      </c>
      <c r="E1984" s="7" t="str">
        <f>IFERROR(INDEX($A$1:$A$5000,MATCH(ROWS($D$1:$D1984),$D$1:$D$5000,0)),"")</f>
        <v/>
      </c>
    </row>
    <row r="1985" spans="3:5">
      <c r="C1985" s="17">
        <f t="shared" si="30"/>
        <v>0</v>
      </c>
      <c r="D1985" s="17" t="str">
        <f>IF(C1985=1,COUNTIF($C$1:$C1985,1),"")</f>
        <v/>
      </c>
      <c r="E1985" s="7" t="str">
        <f>IFERROR(INDEX($A$1:$A$5000,MATCH(ROWS($D$1:$D1985),$D$1:$D$5000,0)),"")</f>
        <v/>
      </c>
    </row>
    <row r="1986" spans="3:5">
      <c r="C1986" s="17">
        <f t="shared" ref="C1986:C2049" si="31">--ISNUMBER(SEARCH($B$1,A1986))</f>
        <v>0</v>
      </c>
      <c r="D1986" s="17" t="str">
        <f>IF(C1986=1,COUNTIF($C$1:$C1986,1),"")</f>
        <v/>
      </c>
      <c r="E1986" s="7" t="str">
        <f>IFERROR(INDEX($A$1:$A$5000,MATCH(ROWS($D$1:$D1986),$D$1:$D$5000,0)),"")</f>
        <v/>
      </c>
    </row>
    <row r="1987" spans="3:5">
      <c r="C1987" s="17">
        <f t="shared" si="31"/>
        <v>0</v>
      </c>
      <c r="D1987" s="17" t="str">
        <f>IF(C1987=1,COUNTIF($C$1:$C1987,1),"")</f>
        <v/>
      </c>
      <c r="E1987" s="7" t="str">
        <f>IFERROR(INDEX($A$1:$A$5000,MATCH(ROWS($D$1:$D1987),$D$1:$D$5000,0)),"")</f>
        <v/>
      </c>
    </row>
    <row r="1988" spans="3:5">
      <c r="C1988" s="17">
        <f t="shared" si="31"/>
        <v>0</v>
      </c>
      <c r="D1988" s="17" t="str">
        <f>IF(C1988=1,COUNTIF($C$1:$C1988,1),"")</f>
        <v/>
      </c>
      <c r="E1988" s="7" t="str">
        <f>IFERROR(INDEX($A$1:$A$5000,MATCH(ROWS($D$1:$D1988),$D$1:$D$5000,0)),"")</f>
        <v/>
      </c>
    </row>
    <row r="1989" spans="3:5">
      <c r="C1989" s="17">
        <f t="shared" si="31"/>
        <v>0</v>
      </c>
      <c r="D1989" s="17" t="str">
        <f>IF(C1989=1,COUNTIF($C$1:$C1989,1),"")</f>
        <v/>
      </c>
      <c r="E1989" s="7" t="str">
        <f>IFERROR(INDEX($A$1:$A$5000,MATCH(ROWS($D$1:$D1989),$D$1:$D$5000,0)),"")</f>
        <v/>
      </c>
    </row>
    <row r="1990" spans="3:5">
      <c r="C1990" s="17">
        <f t="shared" si="31"/>
        <v>0</v>
      </c>
      <c r="D1990" s="17" t="str">
        <f>IF(C1990=1,COUNTIF($C$1:$C1990,1),"")</f>
        <v/>
      </c>
      <c r="E1990" s="7" t="str">
        <f>IFERROR(INDEX($A$1:$A$5000,MATCH(ROWS($D$1:$D1990),$D$1:$D$5000,0)),"")</f>
        <v/>
      </c>
    </row>
    <row r="1991" spans="3:5">
      <c r="C1991" s="17">
        <f t="shared" si="31"/>
        <v>0</v>
      </c>
      <c r="D1991" s="17" t="str">
        <f>IF(C1991=1,COUNTIF($C$1:$C1991,1),"")</f>
        <v/>
      </c>
      <c r="E1991" s="7" t="str">
        <f>IFERROR(INDEX($A$1:$A$5000,MATCH(ROWS($D$1:$D1991),$D$1:$D$5000,0)),"")</f>
        <v/>
      </c>
    </row>
    <row r="1992" spans="3:5">
      <c r="C1992" s="17">
        <f t="shared" si="31"/>
        <v>0</v>
      </c>
      <c r="D1992" s="17" t="str">
        <f>IF(C1992=1,COUNTIF($C$1:$C1992,1),"")</f>
        <v/>
      </c>
      <c r="E1992" s="7" t="str">
        <f>IFERROR(INDEX($A$1:$A$5000,MATCH(ROWS($D$1:$D1992),$D$1:$D$5000,0)),"")</f>
        <v/>
      </c>
    </row>
    <row r="1993" spans="3:5">
      <c r="C1993" s="17">
        <f t="shared" si="31"/>
        <v>0</v>
      </c>
      <c r="D1993" s="17" t="str">
        <f>IF(C1993=1,COUNTIF($C$1:$C1993,1),"")</f>
        <v/>
      </c>
      <c r="E1993" s="7" t="str">
        <f>IFERROR(INDEX($A$1:$A$5000,MATCH(ROWS($D$1:$D1993),$D$1:$D$5000,0)),"")</f>
        <v/>
      </c>
    </row>
    <row r="1994" spans="3:5">
      <c r="C1994" s="17">
        <f t="shared" si="31"/>
        <v>0</v>
      </c>
      <c r="D1994" s="17" t="str">
        <f>IF(C1994=1,COUNTIF($C$1:$C1994,1),"")</f>
        <v/>
      </c>
      <c r="E1994" s="7" t="str">
        <f>IFERROR(INDEX($A$1:$A$5000,MATCH(ROWS($D$1:$D1994),$D$1:$D$5000,0)),"")</f>
        <v/>
      </c>
    </row>
    <row r="1995" spans="3:5">
      <c r="C1995" s="17">
        <f t="shared" si="31"/>
        <v>0</v>
      </c>
      <c r="D1995" s="17" t="str">
        <f>IF(C1995=1,COUNTIF($C$1:$C1995,1),"")</f>
        <v/>
      </c>
      <c r="E1995" s="7" t="str">
        <f>IFERROR(INDEX($A$1:$A$5000,MATCH(ROWS($D$1:$D1995),$D$1:$D$5000,0)),"")</f>
        <v/>
      </c>
    </row>
    <row r="1996" spans="3:5">
      <c r="C1996" s="17">
        <f t="shared" si="31"/>
        <v>0</v>
      </c>
      <c r="D1996" s="17" t="str">
        <f>IF(C1996=1,COUNTIF($C$1:$C1996,1),"")</f>
        <v/>
      </c>
      <c r="E1996" s="7" t="str">
        <f>IFERROR(INDEX($A$1:$A$5000,MATCH(ROWS($D$1:$D1996),$D$1:$D$5000,0)),"")</f>
        <v/>
      </c>
    </row>
    <row r="1997" spans="3:5">
      <c r="C1997" s="17">
        <f t="shared" si="31"/>
        <v>0</v>
      </c>
      <c r="D1997" s="17" t="str">
        <f>IF(C1997=1,COUNTIF($C$1:$C1997,1),"")</f>
        <v/>
      </c>
      <c r="E1997" s="7" t="str">
        <f>IFERROR(INDEX($A$1:$A$5000,MATCH(ROWS($D$1:$D1997),$D$1:$D$5000,0)),"")</f>
        <v/>
      </c>
    </row>
    <row r="1998" spans="3:5">
      <c r="C1998" s="17">
        <f t="shared" si="31"/>
        <v>0</v>
      </c>
      <c r="D1998" s="17" t="str">
        <f>IF(C1998=1,COUNTIF($C$1:$C1998,1),"")</f>
        <v/>
      </c>
      <c r="E1998" s="7" t="str">
        <f>IFERROR(INDEX($A$1:$A$5000,MATCH(ROWS($D$1:$D1998),$D$1:$D$5000,0)),"")</f>
        <v/>
      </c>
    </row>
    <row r="1999" spans="3:5">
      <c r="C1999" s="17">
        <f t="shared" si="31"/>
        <v>0</v>
      </c>
      <c r="D1999" s="17" t="str">
        <f>IF(C1999=1,COUNTIF($C$1:$C1999,1),"")</f>
        <v/>
      </c>
      <c r="E1999" s="7" t="str">
        <f>IFERROR(INDEX($A$1:$A$5000,MATCH(ROWS($D$1:$D1999),$D$1:$D$5000,0)),"")</f>
        <v/>
      </c>
    </row>
    <row r="2000" spans="3:5">
      <c r="C2000" s="17">
        <f t="shared" si="31"/>
        <v>0</v>
      </c>
      <c r="D2000" s="17" t="str">
        <f>IF(C2000=1,COUNTIF($C$1:$C2000,1),"")</f>
        <v/>
      </c>
      <c r="E2000" s="7" t="str">
        <f>IFERROR(INDEX($A$1:$A$5000,MATCH(ROWS($D$1:$D2000),$D$1:$D$5000,0)),"")</f>
        <v/>
      </c>
    </row>
    <row r="2001" spans="3:5">
      <c r="C2001" s="17">
        <f t="shared" si="31"/>
        <v>0</v>
      </c>
      <c r="D2001" s="17" t="str">
        <f>IF(C2001=1,COUNTIF($C$1:$C2001,1),"")</f>
        <v/>
      </c>
      <c r="E2001" s="7" t="str">
        <f>IFERROR(INDEX($A$1:$A$5000,MATCH(ROWS($D$1:$D2001),$D$1:$D$5000,0)),"")</f>
        <v/>
      </c>
    </row>
    <row r="2002" spans="3:5">
      <c r="C2002" s="17">
        <f t="shared" si="31"/>
        <v>0</v>
      </c>
      <c r="D2002" s="17" t="str">
        <f>IF(C2002=1,COUNTIF($C$1:$C2002,1),"")</f>
        <v/>
      </c>
      <c r="E2002" s="7" t="str">
        <f>IFERROR(INDEX($A$1:$A$5000,MATCH(ROWS($D$1:$D2002),$D$1:$D$5000,0)),"")</f>
        <v/>
      </c>
    </row>
    <row r="2003" spans="3:5">
      <c r="C2003" s="17">
        <f t="shared" si="31"/>
        <v>0</v>
      </c>
      <c r="D2003" s="17" t="str">
        <f>IF(C2003=1,COUNTIF($C$1:$C2003,1),"")</f>
        <v/>
      </c>
      <c r="E2003" s="7" t="str">
        <f>IFERROR(INDEX($A$1:$A$5000,MATCH(ROWS($D$1:$D2003),$D$1:$D$5000,0)),"")</f>
        <v/>
      </c>
    </row>
    <row r="2004" spans="3:5">
      <c r="C2004" s="17">
        <f t="shared" si="31"/>
        <v>0</v>
      </c>
      <c r="D2004" s="17" t="str">
        <f>IF(C2004=1,COUNTIF($C$1:$C2004,1),"")</f>
        <v/>
      </c>
      <c r="E2004" s="7" t="str">
        <f>IFERROR(INDEX($A$1:$A$5000,MATCH(ROWS($D$1:$D2004),$D$1:$D$5000,0)),"")</f>
        <v/>
      </c>
    </row>
    <row r="2005" spans="3:5">
      <c r="C2005" s="17">
        <f t="shared" si="31"/>
        <v>0</v>
      </c>
      <c r="D2005" s="17" t="str">
        <f>IF(C2005=1,COUNTIF($C$1:$C2005,1),"")</f>
        <v/>
      </c>
      <c r="E2005" s="7" t="str">
        <f>IFERROR(INDEX($A$1:$A$5000,MATCH(ROWS($D$1:$D2005),$D$1:$D$5000,0)),"")</f>
        <v/>
      </c>
    </row>
    <row r="2006" spans="3:5">
      <c r="C2006" s="17">
        <f t="shared" si="31"/>
        <v>0</v>
      </c>
      <c r="D2006" s="17" t="str">
        <f>IF(C2006=1,COUNTIF($C$1:$C2006,1),"")</f>
        <v/>
      </c>
      <c r="E2006" s="7" t="str">
        <f>IFERROR(INDEX($A$1:$A$5000,MATCH(ROWS($D$1:$D2006),$D$1:$D$5000,0)),"")</f>
        <v/>
      </c>
    </row>
    <row r="2007" spans="3:5">
      <c r="C2007" s="17">
        <f t="shared" si="31"/>
        <v>0</v>
      </c>
      <c r="D2007" s="17" t="str">
        <f>IF(C2007=1,COUNTIF($C$1:$C2007,1),"")</f>
        <v/>
      </c>
      <c r="E2007" s="7" t="str">
        <f>IFERROR(INDEX($A$1:$A$5000,MATCH(ROWS($D$1:$D2007),$D$1:$D$5000,0)),"")</f>
        <v/>
      </c>
    </row>
    <row r="2008" spans="3:5">
      <c r="C2008" s="17">
        <f t="shared" si="31"/>
        <v>0</v>
      </c>
      <c r="D2008" s="17" t="str">
        <f>IF(C2008=1,COUNTIF($C$1:$C2008,1),"")</f>
        <v/>
      </c>
      <c r="E2008" s="7" t="str">
        <f>IFERROR(INDEX($A$1:$A$5000,MATCH(ROWS($D$1:$D2008),$D$1:$D$5000,0)),"")</f>
        <v/>
      </c>
    </row>
    <row r="2009" spans="3:5">
      <c r="C2009" s="17">
        <f t="shared" si="31"/>
        <v>0</v>
      </c>
      <c r="D2009" s="17" t="str">
        <f>IF(C2009=1,COUNTIF($C$1:$C2009,1),"")</f>
        <v/>
      </c>
      <c r="E2009" s="7" t="str">
        <f>IFERROR(INDEX($A$1:$A$5000,MATCH(ROWS($D$1:$D2009),$D$1:$D$5000,0)),"")</f>
        <v/>
      </c>
    </row>
    <row r="2010" spans="3:5">
      <c r="C2010" s="17">
        <f t="shared" si="31"/>
        <v>0</v>
      </c>
      <c r="D2010" s="17" t="str">
        <f>IF(C2010=1,COUNTIF($C$1:$C2010,1),"")</f>
        <v/>
      </c>
      <c r="E2010" s="7" t="str">
        <f>IFERROR(INDEX($A$1:$A$5000,MATCH(ROWS($D$1:$D2010),$D$1:$D$5000,0)),"")</f>
        <v/>
      </c>
    </row>
    <row r="2011" spans="3:5">
      <c r="C2011" s="17">
        <f t="shared" si="31"/>
        <v>0</v>
      </c>
      <c r="D2011" s="17" t="str">
        <f>IF(C2011=1,COUNTIF($C$1:$C2011,1),"")</f>
        <v/>
      </c>
      <c r="E2011" s="7" t="str">
        <f>IFERROR(INDEX($A$1:$A$5000,MATCH(ROWS($D$1:$D2011),$D$1:$D$5000,0)),"")</f>
        <v/>
      </c>
    </row>
    <row r="2012" spans="3:5">
      <c r="C2012" s="17">
        <f t="shared" si="31"/>
        <v>0</v>
      </c>
      <c r="D2012" s="17" t="str">
        <f>IF(C2012=1,COUNTIF($C$1:$C2012,1),"")</f>
        <v/>
      </c>
      <c r="E2012" s="7" t="str">
        <f>IFERROR(INDEX($A$1:$A$5000,MATCH(ROWS($D$1:$D2012),$D$1:$D$5000,0)),"")</f>
        <v/>
      </c>
    </row>
    <row r="2013" spans="3:5">
      <c r="C2013" s="17">
        <f t="shared" si="31"/>
        <v>0</v>
      </c>
      <c r="D2013" s="17" t="str">
        <f>IF(C2013=1,COUNTIF($C$1:$C2013,1),"")</f>
        <v/>
      </c>
      <c r="E2013" s="7" t="str">
        <f>IFERROR(INDEX($A$1:$A$5000,MATCH(ROWS($D$1:$D2013),$D$1:$D$5000,0)),"")</f>
        <v/>
      </c>
    </row>
    <row r="2014" spans="3:5">
      <c r="C2014" s="17">
        <f t="shared" si="31"/>
        <v>0</v>
      </c>
      <c r="D2014" s="17" t="str">
        <f>IF(C2014=1,COUNTIF($C$1:$C2014,1),"")</f>
        <v/>
      </c>
      <c r="E2014" s="7" t="str">
        <f>IFERROR(INDEX($A$1:$A$5000,MATCH(ROWS($D$1:$D2014),$D$1:$D$5000,0)),"")</f>
        <v/>
      </c>
    </row>
    <row r="2015" spans="3:5">
      <c r="C2015" s="17">
        <f t="shared" si="31"/>
        <v>0</v>
      </c>
      <c r="D2015" s="17" t="str">
        <f>IF(C2015=1,COUNTIF($C$1:$C2015,1),"")</f>
        <v/>
      </c>
      <c r="E2015" s="7" t="str">
        <f>IFERROR(INDEX($A$1:$A$5000,MATCH(ROWS($D$1:$D2015),$D$1:$D$5000,0)),"")</f>
        <v/>
      </c>
    </row>
    <row r="2016" spans="3:5">
      <c r="C2016" s="17">
        <f t="shared" si="31"/>
        <v>0</v>
      </c>
      <c r="D2016" s="17" t="str">
        <f>IF(C2016=1,COUNTIF($C$1:$C2016,1),"")</f>
        <v/>
      </c>
      <c r="E2016" s="7" t="str">
        <f>IFERROR(INDEX($A$1:$A$5000,MATCH(ROWS($D$1:$D2016),$D$1:$D$5000,0)),"")</f>
        <v/>
      </c>
    </row>
    <row r="2017" spans="3:5">
      <c r="C2017" s="17">
        <f t="shared" si="31"/>
        <v>0</v>
      </c>
      <c r="D2017" s="17" t="str">
        <f>IF(C2017=1,COUNTIF($C$1:$C2017,1),"")</f>
        <v/>
      </c>
      <c r="E2017" s="7" t="str">
        <f>IFERROR(INDEX($A$1:$A$5000,MATCH(ROWS($D$1:$D2017),$D$1:$D$5000,0)),"")</f>
        <v/>
      </c>
    </row>
    <row r="2018" spans="3:5">
      <c r="C2018" s="17">
        <f t="shared" si="31"/>
        <v>0</v>
      </c>
      <c r="D2018" s="17" t="str">
        <f>IF(C2018=1,COUNTIF($C$1:$C2018,1),"")</f>
        <v/>
      </c>
      <c r="E2018" s="7" t="str">
        <f>IFERROR(INDEX($A$1:$A$5000,MATCH(ROWS($D$1:$D2018),$D$1:$D$5000,0)),"")</f>
        <v/>
      </c>
    </row>
    <row r="2019" spans="3:5">
      <c r="C2019" s="17">
        <f t="shared" si="31"/>
        <v>0</v>
      </c>
      <c r="D2019" s="17" t="str">
        <f>IF(C2019=1,COUNTIF($C$1:$C2019,1),"")</f>
        <v/>
      </c>
      <c r="E2019" s="7" t="str">
        <f>IFERROR(INDEX($A$1:$A$5000,MATCH(ROWS($D$1:$D2019),$D$1:$D$5000,0)),"")</f>
        <v/>
      </c>
    </row>
    <row r="2020" spans="3:5">
      <c r="C2020" s="17">
        <f t="shared" si="31"/>
        <v>0</v>
      </c>
      <c r="D2020" s="17" t="str">
        <f>IF(C2020=1,COUNTIF($C$1:$C2020,1),"")</f>
        <v/>
      </c>
      <c r="E2020" s="7" t="str">
        <f>IFERROR(INDEX($A$1:$A$5000,MATCH(ROWS($D$1:$D2020),$D$1:$D$5000,0)),"")</f>
        <v/>
      </c>
    </row>
    <row r="2021" spans="3:5">
      <c r="C2021" s="17">
        <f t="shared" si="31"/>
        <v>0</v>
      </c>
      <c r="D2021" s="17" t="str">
        <f>IF(C2021=1,COUNTIF($C$1:$C2021,1),"")</f>
        <v/>
      </c>
      <c r="E2021" s="7" t="str">
        <f>IFERROR(INDEX($A$1:$A$5000,MATCH(ROWS($D$1:$D2021),$D$1:$D$5000,0)),"")</f>
        <v/>
      </c>
    </row>
    <row r="2022" spans="3:5">
      <c r="C2022" s="17">
        <f t="shared" si="31"/>
        <v>0</v>
      </c>
      <c r="D2022" s="17" t="str">
        <f>IF(C2022=1,COUNTIF($C$1:$C2022,1),"")</f>
        <v/>
      </c>
      <c r="E2022" s="7" t="str">
        <f>IFERROR(INDEX($A$1:$A$5000,MATCH(ROWS($D$1:$D2022),$D$1:$D$5000,0)),"")</f>
        <v/>
      </c>
    </row>
    <row r="2023" spans="3:5">
      <c r="C2023" s="17">
        <f t="shared" si="31"/>
        <v>0</v>
      </c>
      <c r="D2023" s="17" t="str">
        <f>IF(C2023=1,COUNTIF($C$1:$C2023,1),"")</f>
        <v/>
      </c>
      <c r="E2023" s="7" t="str">
        <f>IFERROR(INDEX($A$1:$A$5000,MATCH(ROWS($D$1:$D2023),$D$1:$D$5000,0)),"")</f>
        <v/>
      </c>
    </row>
    <row r="2024" spans="3:5">
      <c r="C2024" s="17">
        <f t="shared" si="31"/>
        <v>0</v>
      </c>
      <c r="D2024" s="17" t="str">
        <f>IF(C2024=1,COUNTIF($C$1:$C2024,1),"")</f>
        <v/>
      </c>
      <c r="E2024" s="7" t="str">
        <f>IFERROR(INDEX($A$1:$A$5000,MATCH(ROWS($D$1:$D2024),$D$1:$D$5000,0)),"")</f>
        <v/>
      </c>
    </row>
    <row r="2025" spans="3:5">
      <c r="C2025" s="17">
        <f t="shared" si="31"/>
        <v>0</v>
      </c>
      <c r="D2025" s="17" t="str">
        <f>IF(C2025=1,COUNTIF($C$1:$C2025,1),"")</f>
        <v/>
      </c>
      <c r="E2025" s="7" t="str">
        <f>IFERROR(INDEX($A$1:$A$5000,MATCH(ROWS($D$1:$D2025),$D$1:$D$5000,0)),"")</f>
        <v/>
      </c>
    </row>
    <row r="2026" spans="3:5">
      <c r="C2026" s="17">
        <f t="shared" si="31"/>
        <v>0</v>
      </c>
      <c r="D2026" s="17" t="str">
        <f>IF(C2026=1,COUNTIF($C$1:$C2026,1),"")</f>
        <v/>
      </c>
      <c r="E2026" s="7" t="str">
        <f>IFERROR(INDEX($A$1:$A$5000,MATCH(ROWS($D$1:$D2026),$D$1:$D$5000,0)),"")</f>
        <v/>
      </c>
    </row>
    <row r="2027" spans="3:5">
      <c r="C2027" s="17">
        <f t="shared" si="31"/>
        <v>0</v>
      </c>
      <c r="D2027" s="17" t="str">
        <f>IF(C2027=1,COUNTIF($C$1:$C2027,1),"")</f>
        <v/>
      </c>
      <c r="E2027" s="7" t="str">
        <f>IFERROR(INDEX($A$1:$A$5000,MATCH(ROWS($D$1:$D2027),$D$1:$D$5000,0)),"")</f>
        <v/>
      </c>
    </row>
    <row r="2028" spans="3:5">
      <c r="C2028" s="17">
        <f t="shared" si="31"/>
        <v>0</v>
      </c>
      <c r="D2028" s="17" t="str">
        <f>IF(C2028=1,COUNTIF($C$1:$C2028,1),"")</f>
        <v/>
      </c>
      <c r="E2028" s="7" t="str">
        <f>IFERROR(INDEX($A$1:$A$5000,MATCH(ROWS($D$1:$D2028),$D$1:$D$5000,0)),"")</f>
        <v/>
      </c>
    </row>
    <row r="2029" spans="3:5">
      <c r="C2029" s="17">
        <f t="shared" si="31"/>
        <v>0</v>
      </c>
      <c r="D2029" s="17" t="str">
        <f>IF(C2029=1,COUNTIF($C$1:$C2029,1),"")</f>
        <v/>
      </c>
      <c r="E2029" s="7" t="str">
        <f>IFERROR(INDEX($A$1:$A$5000,MATCH(ROWS($D$1:$D2029),$D$1:$D$5000,0)),"")</f>
        <v/>
      </c>
    </row>
    <row r="2030" spans="3:5">
      <c r="C2030" s="17">
        <f t="shared" si="31"/>
        <v>0</v>
      </c>
      <c r="D2030" s="17" t="str">
        <f>IF(C2030=1,COUNTIF($C$1:$C2030,1),"")</f>
        <v/>
      </c>
      <c r="E2030" s="7" t="str">
        <f>IFERROR(INDEX($A$1:$A$5000,MATCH(ROWS($D$1:$D2030),$D$1:$D$5000,0)),"")</f>
        <v/>
      </c>
    </row>
    <row r="2031" spans="3:5">
      <c r="C2031" s="17">
        <f t="shared" si="31"/>
        <v>0</v>
      </c>
      <c r="D2031" s="17" t="str">
        <f>IF(C2031=1,COUNTIF($C$1:$C2031,1),"")</f>
        <v/>
      </c>
      <c r="E2031" s="7" t="str">
        <f>IFERROR(INDEX($A$1:$A$5000,MATCH(ROWS($D$1:$D2031),$D$1:$D$5000,0)),"")</f>
        <v/>
      </c>
    </row>
    <row r="2032" spans="3:5">
      <c r="C2032" s="17">
        <f t="shared" si="31"/>
        <v>0</v>
      </c>
      <c r="D2032" s="17" t="str">
        <f>IF(C2032=1,COUNTIF($C$1:$C2032,1),"")</f>
        <v/>
      </c>
      <c r="E2032" s="7" t="str">
        <f>IFERROR(INDEX($A$1:$A$5000,MATCH(ROWS($D$1:$D2032),$D$1:$D$5000,0)),"")</f>
        <v/>
      </c>
    </row>
    <row r="2033" spans="3:5">
      <c r="C2033" s="17">
        <f t="shared" si="31"/>
        <v>0</v>
      </c>
      <c r="D2033" s="17" t="str">
        <f>IF(C2033=1,COUNTIF($C$1:$C2033,1),"")</f>
        <v/>
      </c>
      <c r="E2033" s="7" t="str">
        <f>IFERROR(INDEX($A$1:$A$5000,MATCH(ROWS($D$1:$D2033),$D$1:$D$5000,0)),"")</f>
        <v/>
      </c>
    </row>
    <row r="2034" spans="3:5">
      <c r="C2034" s="17">
        <f t="shared" si="31"/>
        <v>0</v>
      </c>
      <c r="D2034" s="17" t="str">
        <f>IF(C2034=1,COUNTIF($C$1:$C2034,1),"")</f>
        <v/>
      </c>
      <c r="E2034" s="7" t="str">
        <f>IFERROR(INDEX($A$1:$A$5000,MATCH(ROWS($D$1:$D2034),$D$1:$D$5000,0)),"")</f>
        <v/>
      </c>
    </row>
    <row r="2035" spans="3:5">
      <c r="C2035" s="17">
        <f t="shared" si="31"/>
        <v>0</v>
      </c>
      <c r="D2035" s="17" t="str">
        <f>IF(C2035=1,COUNTIF($C$1:$C2035,1),"")</f>
        <v/>
      </c>
      <c r="E2035" s="7" t="str">
        <f>IFERROR(INDEX($A$1:$A$5000,MATCH(ROWS($D$1:$D2035),$D$1:$D$5000,0)),"")</f>
        <v/>
      </c>
    </row>
    <row r="2036" spans="3:5">
      <c r="C2036" s="17">
        <f t="shared" si="31"/>
        <v>0</v>
      </c>
      <c r="D2036" s="17" t="str">
        <f>IF(C2036=1,COUNTIF($C$1:$C2036,1),"")</f>
        <v/>
      </c>
      <c r="E2036" s="7" t="str">
        <f>IFERROR(INDEX($A$1:$A$5000,MATCH(ROWS($D$1:$D2036),$D$1:$D$5000,0)),"")</f>
        <v/>
      </c>
    </row>
    <row r="2037" spans="3:5">
      <c r="C2037" s="17">
        <f t="shared" si="31"/>
        <v>0</v>
      </c>
      <c r="D2037" s="17" t="str">
        <f>IF(C2037=1,COUNTIF($C$1:$C2037,1),"")</f>
        <v/>
      </c>
      <c r="E2037" s="7" t="str">
        <f>IFERROR(INDEX($A$1:$A$5000,MATCH(ROWS($D$1:$D2037),$D$1:$D$5000,0)),"")</f>
        <v/>
      </c>
    </row>
    <row r="2038" spans="3:5">
      <c r="C2038" s="17">
        <f t="shared" si="31"/>
        <v>0</v>
      </c>
      <c r="D2038" s="17" t="str">
        <f>IF(C2038=1,COUNTIF($C$1:$C2038,1),"")</f>
        <v/>
      </c>
      <c r="E2038" s="7" t="str">
        <f>IFERROR(INDEX($A$1:$A$5000,MATCH(ROWS($D$1:$D2038),$D$1:$D$5000,0)),"")</f>
        <v/>
      </c>
    </row>
    <row r="2039" spans="3:5">
      <c r="C2039" s="17">
        <f t="shared" si="31"/>
        <v>0</v>
      </c>
      <c r="D2039" s="17" t="str">
        <f>IF(C2039=1,COUNTIF($C$1:$C2039,1),"")</f>
        <v/>
      </c>
      <c r="E2039" s="7" t="str">
        <f>IFERROR(INDEX($A$1:$A$5000,MATCH(ROWS($D$1:$D2039),$D$1:$D$5000,0)),"")</f>
        <v/>
      </c>
    </row>
    <row r="2040" spans="3:5">
      <c r="C2040" s="17">
        <f t="shared" si="31"/>
        <v>0</v>
      </c>
      <c r="D2040" s="17" t="str">
        <f>IF(C2040=1,COUNTIF($C$1:$C2040,1),"")</f>
        <v/>
      </c>
      <c r="E2040" s="7" t="str">
        <f>IFERROR(INDEX($A$1:$A$5000,MATCH(ROWS($D$1:$D2040),$D$1:$D$5000,0)),"")</f>
        <v/>
      </c>
    </row>
    <row r="2041" spans="3:5">
      <c r="C2041" s="17">
        <f t="shared" si="31"/>
        <v>0</v>
      </c>
      <c r="D2041" s="17" t="str">
        <f>IF(C2041=1,COUNTIF($C$1:$C2041,1),"")</f>
        <v/>
      </c>
      <c r="E2041" s="7" t="str">
        <f>IFERROR(INDEX($A$1:$A$5000,MATCH(ROWS($D$1:$D2041),$D$1:$D$5000,0)),"")</f>
        <v/>
      </c>
    </row>
    <row r="2042" spans="3:5">
      <c r="C2042" s="17">
        <f t="shared" si="31"/>
        <v>0</v>
      </c>
      <c r="D2042" s="17" t="str">
        <f>IF(C2042=1,COUNTIF($C$1:$C2042,1),"")</f>
        <v/>
      </c>
      <c r="E2042" s="7" t="str">
        <f>IFERROR(INDEX($A$1:$A$5000,MATCH(ROWS($D$1:$D2042),$D$1:$D$5000,0)),"")</f>
        <v/>
      </c>
    </row>
    <row r="2043" spans="3:5">
      <c r="C2043" s="17">
        <f t="shared" si="31"/>
        <v>0</v>
      </c>
      <c r="D2043" s="17" t="str">
        <f>IF(C2043=1,COUNTIF($C$1:$C2043,1),"")</f>
        <v/>
      </c>
      <c r="E2043" s="7" t="str">
        <f>IFERROR(INDEX($A$1:$A$5000,MATCH(ROWS($D$1:$D2043),$D$1:$D$5000,0)),"")</f>
        <v/>
      </c>
    </row>
    <row r="2044" spans="3:5">
      <c r="C2044" s="17">
        <f t="shared" si="31"/>
        <v>0</v>
      </c>
      <c r="D2044" s="17" t="str">
        <f>IF(C2044=1,COUNTIF($C$1:$C2044,1),"")</f>
        <v/>
      </c>
      <c r="E2044" s="7" t="str">
        <f>IFERROR(INDEX($A$1:$A$5000,MATCH(ROWS($D$1:$D2044),$D$1:$D$5000,0)),"")</f>
        <v/>
      </c>
    </row>
    <row r="2045" spans="3:5">
      <c r="C2045" s="17">
        <f t="shared" si="31"/>
        <v>0</v>
      </c>
      <c r="D2045" s="17" t="str">
        <f>IF(C2045=1,COUNTIF($C$1:$C2045,1),"")</f>
        <v/>
      </c>
      <c r="E2045" s="7" t="str">
        <f>IFERROR(INDEX($A$1:$A$5000,MATCH(ROWS($D$1:$D2045),$D$1:$D$5000,0)),"")</f>
        <v/>
      </c>
    </row>
    <row r="2046" spans="3:5">
      <c r="C2046" s="17">
        <f t="shared" si="31"/>
        <v>0</v>
      </c>
      <c r="D2046" s="17" t="str">
        <f>IF(C2046=1,COUNTIF($C$1:$C2046,1),"")</f>
        <v/>
      </c>
      <c r="E2046" s="7" t="str">
        <f>IFERROR(INDEX($A$1:$A$5000,MATCH(ROWS($D$1:$D2046),$D$1:$D$5000,0)),"")</f>
        <v/>
      </c>
    </row>
    <row r="2047" spans="3:5">
      <c r="C2047" s="17">
        <f t="shared" si="31"/>
        <v>0</v>
      </c>
      <c r="D2047" s="17" t="str">
        <f>IF(C2047=1,COUNTIF($C$1:$C2047,1),"")</f>
        <v/>
      </c>
      <c r="E2047" s="7" t="str">
        <f>IFERROR(INDEX($A$1:$A$5000,MATCH(ROWS($D$1:$D2047),$D$1:$D$5000,0)),"")</f>
        <v/>
      </c>
    </row>
    <row r="2048" spans="3:5">
      <c r="C2048" s="17">
        <f t="shared" si="31"/>
        <v>0</v>
      </c>
      <c r="D2048" s="17" t="str">
        <f>IF(C2048=1,COUNTIF($C$1:$C2048,1),"")</f>
        <v/>
      </c>
      <c r="E2048" s="7" t="str">
        <f>IFERROR(INDEX($A$1:$A$5000,MATCH(ROWS($D$1:$D2048),$D$1:$D$5000,0)),"")</f>
        <v/>
      </c>
    </row>
    <row r="2049" spans="3:5">
      <c r="C2049" s="17">
        <f t="shared" si="31"/>
        <v>0</v>
      </c>
      <c r="D2049" s="17" t="str">
        <f>IF(C2049=1,COUNTIF($C$1:$C2049,1),"")</f>
        <v/>
      </c>
      <c r="E2049" s="7" t="str">
        <f>IFERROR(INDEX($A$1:$A$5000,MATCH(ROWS($D$1:$D2049),$D$1:$D$5000,0)),"")</f>
        <v/>
      </c>
    </row>
    <row r="2050" spans="3:5">
      <c r="C2050" s="17">
        <f t="shared" ref="C2050:C2113" si="32">--ISNUMBER(SEARCH($B$1,A2050))</f>
        <v>0</v>
      </c>
      <c r="D2050" s="17" t="str">
        <f>IF(C2050=1,COUNTIF($C$1:$C2050,1),"")</f>
        <v/>
      </c>
      <c r="E2050" s="7" t="str">
        <f>IFERROR(INDEX($A$1:$A$5000,MATCH(ROWS($D$1:$D2050),$D$1:$D$5000,0)),"")</f>
        <v/>
      </c>
    </row>
    <row r="2051" spans="3:5">
      <c r="C2051" s="17">
        <f t="shared" si="32"/>
        <v>0</v>
      </c>
      <c r="D2051" s="17" t="str">
        <f>IF(C2051=1,COUNTIF($C$1:$C2051,1),"")</f>
        <v/>
      </c>
      <c r="E2051" s="7" t="str">
        <f>IFERROR(INDEX($A$1:$A$5000,MATCH(ROWS($D$1:$D2051),$D$1:$D$5000,0)),"")</f>
        <v/>
      </c>
    </row>
    <row r="2052" spans="3:5">
      <c r="C2052" s="17">
        <f t="shared" si="32"/>
        <v>0</v>
      </c>
      <c r="D2052" s="17" t="str">
        <f>IF(C2052=1,COUNTIF($C$1:$C2052,1),"")</f>
        <v/>
      </c>
      <c r="E2052" s="7" t="str">
        <f>IFERROR(INDEX($A$1:$A$5000,MATCH(ROWS($D$1:$D2052),$D$1:$D$5000,0)),"")</f>
        <v/>
      </c>
    </row>
    <row r="2053" spans="3:5">
      <c r="C2053" s="17">
        <f t="shared" si="32"/>
        <v>0</v>
      </c>
      <c r="D2053" s="17" t="str">
        <f>IF(C2053=1,COUNTIF($C$1:$C2053,1),"")</f>
        <v/>
      </c>
      <c r="E2053" s="7" t="str">
        <f>IFERROR(INDEX($A$1:$A$5000,MATCH(ROWS($D$1:$D2053),$D$1:$D$5000,0)),"")</f>
        <v/>
      </c>
    </row>
    <row r="2054" spans="3:5">
      <c r="C2054" s="17">
        <f t="shared" si="32"/>
        <v>0</v>
      </c>
      <c r="D2054" s="17" t="str">
        <f>IF(C2054=1,COUNTIF($C$1:$C2054,1),"")</f>
        <v/>
      </c>
      <c r="E2054" s="7" t="str">
        <f>IFERROR(INDEX($A$1:$A$5000,MATCH(ROWS($D$1:$D2054),$D$1:$D$5000,0)),"")</f>
        <v/>
      </c>
    </row>
    <row r="2055" spans="3:5">
      <c r="C2055" s="17">
        <f t="shared" si="32"/>
        <v>0</v>
      </c>
      <c r="D2055" s="17" t="str">
        <f>IF(C2055=1,COUNTIF($C$1:$C2055,1),"")</f>
        <v/>
      </c>
      <c r="E2055" s="7" t="str">
        <f>IFERROR(INDEX($A$1:$A$5000,MATCH(ROWS($D$1:$D2055),$D$1:$D$5000,0)),"")</f>
        <v/>
      </c>
    </row>
    <row r="2056" spans="3:5">
      <c r="C2056" s="17">
        <f t="shared" si="32"/>
        <v>0</v>
      </c>
      <c r="D2056" s="17" t="str">
        <f>IF(C2056=1,COUNTIF($C$1:$C2056,1),"")</f>
        <v/>
      </c>
      <c r="E2056" s="7" t="str">
        <f>IFERROR(INDEX($A$1:$A$5000,MATCH(ROWS($D$1:$D2056),$D$1:$D$5000,0)),"")</f>
        <v/>
      </c>
    </row>
    <row r="2057" spans="3:5">
      <c r="C2057" s="17">
        <f t="shared" si="32"/>
        <v>0</v>
      </c>
      <c r="D2057" s="17" t="str">
        <f>IF(C2057=1,COUNTIF($C$1:$C2057,1),"")</f>
        <v/>
      </c>
      <c r="E2057" s="7" t="str">
        <f>IFERROR(INDEX($A$1:$A$5000,MATCH(ROWS($D$1:$D2057),$D$1:$D$5000,0)),"")</f>
        <v/>
      </c>
    </row>
    <row r="2058" spans="3:5">
      <c r="C2058" s="17">
        <f t="shared" si="32"/>
        <v>0</v>
      </c>
      <c r="D2058" s="17" t="str">
        <f>IF(C2058=1,COUNTIF($C$1:$C2058,1),"")</f>
        <v/>
      </c>
      <c r="E2058" s="7" t="str">
        <f>IFERROR(INDEX($A$1:$A$5000,MATCH(ROWS($D$1:$D2058),$D$1:$D$5000,0)),"")</f>
        <v/>
      </c>
    </row>
    <row r="2059" spans="3:5">
      <c r="C2059" s="17">
        <f t="shared" si="32"/>
        <v>0</v>
      </c>
      <c r="D2059" s="17" t="str">
        <f>IF(C2059=1,COUNTIF($C$1:$C2059,1),"")</f>
        <v/>
      </c>
      <c r="E2059" s="7" t="str">
        <f>IFERROR(INDEX($A$1:$A$5000,MATCH(ROWS($D$1:$D2059),$D$1:$D$5000,0)),"")</f>
        <v/>
      </c>
    </row>
    <row r="2060" spans="3:5">
      <c r="C2060" s="17">
        <f t="shared" si="32"/>
        <v>0</v>
      </c>
      <c r="D2060" s="17" t="str">
        <f>IF(C2060=1,COUNTIF($C$1:$C2060,1),"")</f>
        <v/>
      </c>
      <c r="E2060" s="7" t="str">
        <f>IFERROR(INDEX($A$1:$A$5000,MATCH(ROWS($D$1:$D2060),$D$1:$D$5000,0)),"")</f>
        <v/>
      </c>
    </row>
    <row r="2061" spans="3:5">
      <c r="C2061" s="17">
        <f t="shared" si="32"/>
        <v>0</v>
      </c>
      <c r="D2061" s="17" t="str">
        <f>IF(C2061=1,COUNTIF($C$1:$C2061,1),"")</f>
        <v/>
      </c>
      <c r="E2061" s="7" t="str">
        <f>IFERROR(INDEX($A$1:$A$5000,MATCH(ROWS($D$1:$D2061),$D$1:$D$5000,0)),"")</f>
        <v/>
      </c>
    </row>
    <row r="2062" spans="3:5">
      <c r="C2062" s="17">
        <f t="shared" si="32"/>
        <v>0</v>
      </c>
      <c r="D2062" s="17" t="str">
        <f>IF(C2062=1,COUNTIF($C$1:$C2062,1),"")</f>
        <v/>
      </c>
      <c r="E2062" s="7" t="str">
        <f>IFERROR(INDEX($A$1:$A$5000,MATCH(ROWS($D$1:$D2062),$D$1:$D$5000,0)),"")</f>
        <v/>
      </c>
    </row>
    <row r="2063" spans="3:5">
      <c r="C2063" s="17">
        <f t="shared" si="32"/>
        <v>0</v>
      </c>
      <c r="D2063" s="17" t="str">
        <f>IF(C2063=1,COUNTIF($C$1:$C2063,1),"")</f>
        <v/>
      </c>
      <c r="E2063" s="7" t="str">
        <f>IFERROR(INDEX($A$1:$A$5000,MATCH(ROWS($D$1:$D2063),$D$1:$D$5000,0)),"")</f>
        <v/>
      </c>
    </row>
    <row r="2064" spans="3:5">
      <c r="C2064" s="17">
        <f t="shared" si="32"/>
        <v>0</v>
      </c>
      <c r="D2064" s="17" t="str">
        <f>IF(C2064=1,COUNTIF($C$1:$C2064,1),"")</f>
        <v/>
      </c>
      <c r="E2064" s="7" t="str">
        <f>IFERROR(INDEX($A$1:$A$5000,MATCH(ROWS($D$1:$D2064),$D$1:$D$5000,0)),"")</f>
        <v/>
      </c>
    </row>
    <row r="2065" spans="3:5">
      <c r="C2065" s="17">
        <f t="shared" si="32"/>
        <v>0</v>
      </c>
      <c r="D2065" s="17" t="str">
        <f>IF(C2065=1,COUNTIF($C$1:$C2065,1),"")</f>
        <v/>
      </c>
      <c r="E2065" s="7" t="str">
        <f>IFERROR(INDEX($A$1:$A$5000,MATCH(ROWS($D$1:$D2065),$D$1:$D$5000,0)),"")</f>
        <v/>
      </c>
    </row>
    <row r="2066" spans="3:5">
      <c r="C2066" s="17">
        <f t="shared" si="32"/>
        <v>0</v>
      </c>
      <c r="D2066" s="17" t="str">
        <f>IF(C2066=1,COUNTIF($C$1:$C2066,1),"")</f>
        <v/>
      </c>
      <c r="E2066" s="7" t="str">
        <f>IFERROR(INDEX($A$1:$A$5000,MATCH(ROWS($D$1:$D2066),$D$1:$D$5000,0)),"")</f>
        <v/>
      </c>
    </row>
    <row r="2067" spans="3:5">
      <c r="C2067" s="17">
        <f t="shared" si="32"/>
        <v>0</v>
      </c>
      <c r="D2067" s="17" t="str">
        <f>IF(C2067=1,COUNTIF($C$1:$C2067,1),"")</f>
        <v/>
      </c>
      <c r="E2067" s="7" t="str">
        <f>IFERROR(INDEX($A$1:$A$5000,MATCH(ROWS($D$1:$D2067),$D$1:$D$5000,0)),"")</f>
        <v/>
      </c>
    </row>
    <row r="2068" spans="3:5">
      <c r="C2068" s="17">
        <f t="shared" si="32"/>
        <v>0</v>
      </c>
      <c r="D2068" s="17" t="str">
        <f>IF(C2068=1,COUNTIF($C$1:$C2068,1),"")</f>
        <v/>
      </c>
      <c r="E2068" s="7" t="str">
        <f>IFERROR(INDEX($A$1:$A$5000,MATCH(ROWS($D$1:$D2068),$D$1:$D$5000,0)),"")</f>
        <v/>
      </c>
    </row>
    <row r="2069" spans="3:5">
      <c r="C2069" s="17">
        <f t="shared" si="32"/>
        <v>0</v>
      </c>
      <c r="D2069" s="17" t="str">
        <f>IF(C2069=1,COUNTIF($C$1:$C2069,1),"")</f>
        <v/>
      </c>
      <c r="E2069" s="7" t="str">
        <f>IFERROR(INDEX($A$1:$A$5000,MATCH(ROWS($D$1:$D2069),$D$1:$D$5000,0)),"")</f>
        <v/>
      </c>
    </row>
    <row r="2070" spans="3:5">
      <c r="C2070" s="17">
        <f t="shared" si="32"/>
        <v>0</v>
      </c>
      <c r="D2070" s="17" t="str">
        <f>IF(C2070=1,COUNTIF($C$1:$C2070,1),"")</f>
        <v/>
      </c>
      <c r="E2070" s="7" t="str">
        <f>IFERROR(INDEX($A$1:$A$5000,MATCH(ROWS($D$1:$D2070),$D$1:$D$5000,0)),"")</f>
        <v/>
      </c>
    </row>
    <row r="2071" spans="3:5">
      <c r="C2071" s="17">
        <f t="shared" si="32"/>
        <v>0</v>
      </c>
      <c r="D2071" s="17" t="str">
        <f>IF(C2071=1,COUNTIF($C$1:$C2071,1),"")</f>
        <v/>
      </c>
      <c r="E2071" s="7" t="str">
        <f>IFERROR(INDEX($A$1:$A$5000,MATCH(ROWS($D$1:$D2071),$D$1:$D$5000,0)),"")</f>
        <v/>
      </c>
    </row>
    <row r="2072" spans="3:5">
      <c r="C2072" s="17">
        <f t="shared" si="32"/>
        <v>0</v>
      </c>
      <c r="D2072" s="17" t="str">
        <f>IF(C2072=1,COUNTIF($C$1:$C2072,1),"")</f>
        <v/>
      </c>
      <c r="E2072" s="7" t="str">
        <f>IFERROR(INDEX($A$1:$A$5000,MATCH(ROWS($D$1:$D2072),$D$1:$D$5000,0)),"")</f>
        <v/>
      </c>
    </row>
    <row r="2073" spans="3:5">
      <c r="C2073" s="17">
        <f t="shared" si="32"/>
        <v>0</v>
      </c>
      <c r="D2073" s="17" t="str">
        <f>IF(C2073=1,COUNTIF($C$1:$C2073,1),"")</f>
        <v/>
      </c>
      <c r="E2073" s="7" t="str">
        <f>IFERROR(INDEX($A$1:$A$5000,MATCH(ROWS($D$1:$D2073),$D$1:$D$5000,0)),"")</f>
        <v/>
      </c>
    </row>
    <row r="2074" spans="3:5">
      <c r="C2074" s="17">
        <f t="shared" si="32"/>
        <v>0</v>
      </c>
      <c r="D2074" s="17" t="str">
        <f>IF(C2074=1,COUNTIF($C$1:$C2074,1),"")</f>
        <v/>
      </c>
      <c r="E2074" s="7" t="str">
        <f>IFERROR(INDEX($A$1:$A$5000,MATCH(ROWS($D$1:$D2074),$D$1:$D$5000,0)),"")</f>
        <v/>
      </c>
    </row>
    <row r="2075" spans="3:5">
      <c r="C2075" s="17">
        <f t="shared" si="32"/>
        <v>0</v>
      </c>
      <c r="D2075" s="17" t="str">
        <f>IF(C2075=1,COUNTIF($C$1:$C2075,1),"")</f>
        <v/>
      </c>
      <c r="E2075" s="7" t="str">
        <f>IFERROR(INDEX($A$1:$A$5000,MATCH(ROWS($D$1:$D2075),$D$1:$D$5000,0)),"")</f>
        <v/>
      </c>
    </row>
    <row r="2076" spans="3:5">
      <c r="C2076" s="17">
        <f t="shared" si="32"/>
        <v>0</v>
      </c>
      <c r="D2076" s="17" t="str">
        <f>IF(C2076=1,COUNTIF($C$1:$C2076,1),"")</f>
        <v/>
      </c>
      <c r="E2076" s="7" t="str">
        <f>IFERROR(INDEX($A$1:$A$5000,MATCH(ROWS($D$1:$D2076),$D$1:$D$5000,0)),"")</f>
        <v/>
      </c>
    </row>
    <row r="2077" spans="3:5">
      <c r="C2077" s="17">
        <f t="shared" si="32"/>
        <v>0</v>
      </c>
      <c r="D2077" s="17" t="str">
        <f>IF(C2077=1,COUNTIF($C$1:$C2077,1),"")</f>
        <v/>
      </c>
      <c r="E2077" s="7" t="str">
        <f>IFERROR(INDEX($A$1:$A$5000,MATCH(ROWS($D$1:$D2077),$D$1:$D$5000,0)),"")</f>
        <v/>
      </c>
    </row>
    <row r="2078" spans="3:5">
      <c r="C2078" s="17">
        <f t="shared" si="32"/>
        <v>0</v>
      </c>
      <c r="D2078" s="17" t="str">
        <f>IF(C2078=1,COUNTIF($C$1:$C2078,1),"")</f>
        <v/>
      </c>
      <c r="E2078" s="7" t="str">
        <f>IFERROR(INDEX($A$1:$A$5000,MATCH(ROWS($D$1:$D2078),$D$1:$D$5000,0)),"")</f>
        <v/>
      </c>
    </row>
    <row r="2079" spans="3:5">
      <c r="C2079" s="17">
        <f t="shared" si="32"/>
        <v>0</v>
      </c>
      <c r="D2079" s="17" t="str">
        <f>IF(C2079=1,COUNTIF($C$1:$C2079,1),"")</f>
        <v/>
      </c>
      <c r="E2079" s="7" t="str">
        <f>IFERROR(INDEX($A$1:$A$5000,MATCH(ROWS($D$1:$D2079),$D$1:$D$5000,0)),"")</f>
        <v/>
      </c>
    </row>
    <row r="2080" spans="3:5">
      <c r="C2080" s="17">
        <f t="shared" si="32"/>
        <v>0</v>
      </c>
      <c r="D2080" s="17" t="str">
        <f>IF(C2080=1,COUNTIF($C$1:$C2080,1),"")</f>
        <v/>
      </c>
      <c r="E2080" s="7" t="str">
        <f>IFERROR(INDEX($A$1:$A$5000,MATCH(ROWS($D$1:$D2080),$D$1:$D$5000,0)),"")</f>
        <v/>
      </c>
    </row>
    <row r="2081" spans="3:5">
      <c r="C2081" s="17">
        <f t="shared" si="32"/>
        <v>0</v>
      </c>
      <c r="D2081" s="17" t="str">
        <f>IF(C2081=1,COUNTIF($C$1:$C2081,1),"")</f>
        <v/>
      </c>
      <c r="E2081" s="7" t="str">
        <f>IFERROR(INDEX($A$1:$A$5000,MATCH(ROWS($D$1:$D2081),$D$1:$D$5000,0)),"")</f>
        <v/>
      </c>
    </row>
    <row r="2082" spans="3:5">
      <c r="C2082" s="17">
        <f t="shared" si="32"/>
        <v>0</v>
      </c>
      <c r="D2082" s="17" t="str">
        <f>IF(C2082=1,COUNTIF($C$1:$C2082,1),"")</f>
        <v/>
      </c>
      <c r="E2082" s="7" t="str">
        <f>IFERROR(INDEX($A$1:$A$5000,MATCH(ROWS($D$1:$D2082),$D$1:$D$5000,0)),"")</f>
        <v/>
      </c>
    </row>
    <row r="2083" spans="3:5">
      <c r="C2083" s="17">
        <f t="shared" si="32"/>
        <v>0</v>
      </c>
      <c r="D2083" s="17" t="str">
        <f>IF(C2083=1,COUNTIF($C$1:$C2083,1),"")</f>
        <v/>
      </c>
      <c r="E2083" s="7" t="str">
        <f>IFERROR(INDEX($A$1:$A$5000,MATCH(ROWS($D$1:$D2083),$D$1:$D$5000,0)),"")</f>
        <v/>
      </c>
    </row>
    <row r="2084" spans="3:5">
      <c r="C2084" s="17">
        <f t="shared" si="32"/>
        <v>0</v>
      </c>
      <c r="D2084" s="17" t="str">
        <f>IF(C2084=1,COUNTIF($C$1:$C2084,1),"")</f>
        <v/>
      </c>
      <c r="E2084" s="7" t="str">
        <f>IFERROR(INDEX($A$1:$A$5000,MATCH(ROWS($D$1:$D2084),$D$1:$D$5000,0)),"")</f>
        <v/>
      </c>
    </row>
    <row r="2085" spans="3:5">
      <c r="C2085" s="17">
        <f t="shared" si="32"/>
        <v>0</v>
      </c>
      <c r="D2085" s="17" t="str">
        <f>IF(C2085=1,COUNTIF($C$1:$C2085,1),"")</f>
        <v/>
      </c>
      <c r="E2085" s="7" t="str">
        <f>IFERROR(INDEX($A$1:$A$5000,MATCH(ROWS($D$1:$D2085),$D$1:$D$5000,0)),"")</f>
        <v/>
      </c>
    </row>
    <row r="2086" spans="3:5">
      <c r="C2086" s="17">
        <f t="shared" si="32"/>
        <v>0</v>
      </c>
      <c r="D2086" s="17" t="str">
        <f>IF(C2086=1,COUNTIF($C$1:$C2086,1),"")</f>
        <v/>
      </c>
      <c r="E2086" s="7" t="str">
        <f>IFERROR(INDEX($A$1:$A$5000,MATCH(ROWS($D$1:$D2086),$D$1:$D$5000,0)),"")</f>
        <v/>
      </c>
    </row>
    <row r="2087" spans="3:5">
      <c r="C2087" s="17">
        <f t="shared" si="32"/>
        <v>0</v>
      </c>
      <c r="D2087" s="17" t="str">
        <f>IF(C2087=1,COUNTIF($C$1:$C2087,1),"")</f>
        <v/>
      </c>
      <c r="E2087" s="7" t="str">
        <f>IFERROR(INDEX($A$1:$A$5000,MATCH(ROWS($D$1:$D2087),$D$1:$D$5000,0)),"")</f>
        <v/>
      </c>
    </row>
    <row r="2088" spans="3:5">
      <c r="C2088" s="17">
        <f t="shared" si="32"/>
        <v>0</v>
      </c>
      <c r="D2088" s="17" t="str">
        <f>IF(C2088=1,COUNTIF($C$1:$C2088,1),"")</f>
        <v/>
      </c>
      <c r="E2088" s="7" t="str">
        <f>IFERROR(INDEX($A$1:$A$5000,MATCH(ROWS($D$1:$D2088),$D$1:$D$5000,0)),"")</f>
        <v/>
      </c>
    </row>
    <row r="2089" spans="3:5">
      <c r="C2089" s="17">
        <f t="shared" si="32"/>
        <v>0</v>
      </c>
      <c r="D2089" s="17" t="str">
        <f>IF(C2089=1,COUNTIF($C$1:$C2089,1),"")</f>
        <v/>
      </c>
      <c r="E2089" s="7" t="str">
        <f>IFERROR(INDEX($A$1:$A$5000,MATCH(ROWS($D$1:$D2089),$D$1:$D$5000,0)),"")</f>
        <v/>
      </c>
    </row>
    <row r="2090" spans="3:5">
      <c r="C2090" s="17">
        <f t="shared" si="32"/>
        <v>0</v>
      </c>
      <c r="D2090" s="17" t="str">
        <f>IF(C2090=1,COUNTIF($C$1:$C2090,1),"")</f>
        <v/>
      </c>
      <c r="E2090" s="7" t="str">
        <f>IFERROR(INDEX($A$1:$A$5000,MATCH(ROWS($D$1:$D2090),$D$1:$D$5000,0)),"")</f>
        <v/>
      </c>
    </row>
    <row r="2091" spans="3:5">
      <c r="C2091" s="17">
        <f t="shared" si="32"/>
        <v>0</v>
      </c>
      <c r="D2091" s="17" t="str">
        <f>IF(C2091=1,COUNTIF($C$1:$C2091,1),"")</f>
        <v/>
      </c>
      <c r="E2091" s="7" t="str">
        <f>IFERROR(INDEX($A$1:$A$5000,MATCH(ROWS($D$1:$D2091),$D$1:$D$5000,0)),"")</f>
        <v/>
      </c>
    </row>
    <row r="2092" spans="3:5">
      <c r="C2092" s="17">
        <f t="shared" si="32"/>
        <v>0</v>
      </c>
      <c r="D2092" s="17" t="str">
        <f>IF(C2092=1,COUNTIF($C$1:$C2092,1),"")</f>
        <v/>
      </c>
      <c r="E2092" s="7" t="str">
        <f>IFERROR(INDEX($A$1:$A$5000,MATCH(ROWS($D$1:$D2092),$D$1:$D$5000,0)),"")</f>
        <v/>
      </c>
    </row>
    <row r="2093" spans="3:5">
      <c r="C2093" s="17">
        <f t="shared" si="32"/>
        <v>0</v>
      </c>
      <c r="D2093" s="17" t="str">
        <f>IF(C2093=1,COUNTIF($C$1:$C2093,1),"")</f>
        <v/>
      </c>
      <c r="E2093" s="7"/>
    </row>
    <row r="2094" spans="3:5">
      <c r="C2094" s="17">
        <f t="shared" si="32"/>
        <v>0</v>
      </c>
      <c r="D2094" s="17" t="str">
        <f>IF(C2094=1,COUNTIF($C$1:$C2094,1),"")</f>
        <v/>
      </c>
      <c r="E2094" s="7"/>
    </row>
    <row r="2095" spans="3:5">
      <c r="C2095" s="17">
        <f t="shared" si="32"/>
        <v>0</v>
      </c>
      <c r="D2095" s="17" t="str">
        <f>IF(C2095=1,COUNTIF($C$1:$C2095,1),"")</f>
        <v/>
      </c>
      <c r="E2095" s="7"/>
    </row>
    <row r="2096" spans="3:5">
      <c r="C2096" s="17">
        <f t="shared" si="32"/>
        <v>0</v>
      </c>
      <c r="D2096" s="17" t="str">
        <f>IF(C2096=1,COUNTIF($C$1:$C2096,1),"")</f>
        <v/>
      </c>
      <c r="E2096" s="7"/>
    </row>
    <row r="2097" spans="3:5">
      <c r="C2097" s="17">
        <f t="shared" si="32"/>
        <v>0</v>
      </c>
      <c r="D2097" s="17" t="str">
        <f>IF(C2097=1,COUNTIF($C$1:$C2097,1),"")</f>
        <v/>
      </c>
      <c r="E2097" s="7"/>
    </row>
    <row r="2098" spans="3:5">
      <c r="C2098" s="17">
        <f t="shared" si="32"/>
        <v>0</v>
      </c>
      <c r="D2098" s="17" t="str">
        <f>IF(C2098=1,COUNTIF($C$1:$C2098,1),"")</f>
        <v/>
      </c>
      <c r="E2098" s="7"/>
    </row>
    <row r="2099" spans="3:5">
      <c r="C2099" s="17">
        <f t="shared" si="32"/>
        <v>0</v>
      </c>
      <c r="D2099" s="17" t="str">
        <f>IF(C2099=1,COUNTIF($C$1:$C2099,1),"")</f>
        <v/>
      </c>
      <c r="E2099" s="7"/>
    </row>
    <row r="2100" spans="3:5">
      <c r="C2100" s="17">
        <f t="shared" si="32"/>
        <v>0</v>
      </c>
      <c r="D2100" s="17" t="str">
        <f>IF(C2100=1,COUNTIF($C$1:$C2100,1),"")</f>
        <v/>
      </c>
      <c r="E2100" s="7"/>
    </row>
    <row r="2101" spans="3:5">
      <c r="C2101" s="17">
        <f t="shared" si="32"/>
        <v>0</v>
      </c>
      <c r="D2101" s="17" t="str">
        <f>IF(C2101=1,COUNTIF($C$1:$C2101,1),"")</f>
        <v/>
      </c>
      <c r="E2101" s="7"/>
    </row>
    <row r="2102" spans="3:5">
      <c r="C2102" s="17">
        <f t="shared" si="32"/>
        <v>0</v>
      </c>
      <c r="D2102" s="17" t="str">
        <f>IF(C2102=1,COUNTIF($C$1:$C2102,1),"")</f>
        <v/>
      </c>
      <c r="E2102" s="7"/>
    </row>
    <row r="2103" spans="3:5">
      <c r="C2103" s="17">
        <f t="shared" si="32"/>
        <v>0</v>
      </c>
      <c r="D2103" s="17" t="str">
        <f>IF(C2103=1,COUNTIF($C$1:$C2103,1),"")</f>
        <v/>
      </c>
      <c r="E2103" s="7"/>
    </row>
    <row r="2104" spans="3:5">
      <c r="C2104" s="17">
        <f t="shared" si="32"/>
        <v>0</v>
      </c>
      <c r="D2104" s="17" t="str">
        <f>IF(C2104=1,COUNTIF($C$1:$C2104,1),"")</f>
        <v/>
      </c>
      <c r="E2104" s="7"/>
    </row>
    <row r="2105" spans="3:5">
      <c r="C2105" s="17">
        <f t="shared" si="32"/>
        <v>0</v>
      </c>
      <c r="D2105" s="17" t="str">
        <f>IF(C2105=1,COUNTIF($C$1:$C2105,1),"")</f>
        <v/>
      </c>
      <c r="E2105" s="7"/>
    </row>
    <row r="2106" spans="3:5">
      <c r="C2106" s="17">
        <f t="shared" si="32"/>
        <v>0</v>
      </c>
      <c r="D2106" s="17" t="str">
        <f>IF(C2106=1,COUNTIF($C$1:$C2106,1),"")</f>
        <v/>
      </c>
      <c r="E2106" s="7"/>
    </row>
    <row r="2107" spans="3:5">
      <c r="C2107" s="17">
        <f t="shared" si="32"/>
        <v>0</v>
      </c>
      <c r="D2107" s="17" t="str">
        <f>IF(C2107=1,COUNTIF($C$1:$C2107,1),"")</f>
        <v/>
      </c>
      <c r="E2107" s="7"/>
    </row>
    <row r="2108" spans="3:5">
      <c r="C2108" s="17">
        <f t="shared" si="32"/>
        <v>0</v>
      </c>
      <c r="D2108" s="17" t="str">
        <f>IF(C2108=1,COUNTIF($C$1:$C2108,1),"")</f>
        <v/>
      </c>
      <c r="E2108" s="7"/>
    </row>
    <row r="2109" spans="3:5">
      <c r="C2109" s="17">
        <f t="shared" si="32"/>
        <v>0</v>
      </c>
      <c r="D2109" s="17" t="str">
        <f>IF(C2109=1,COUNTIF($C$1:$C2109,1),"")</f>
        <v/>
      </c>
      <c r="E2109" s="7"/>
    </row>
    <row r="2110" spans="3:5">
      <c r="C2110" s="17">
        <f t="shared" si="32"/>
        <v>0</v>
      </c>
      <c r="D2110" s="17" t="str">
        <f>IF(C2110=1,COUNTIF($C$1:$C2110,1),"")</f>
        <v/>
      </c>
      <c r="E2110" s="7"/>
    </row>
    <row r="2111" spans="3:5">
      <c r="C2111" s="17">
        <f t="shared" si="32"/>
        <v>0</v>
      </c>
      <c r="D2111" s="17" t="str">
        <f>IF(C2111=1,COUNTIF($C$1:$C2111,1),"")</f>
        <v/>
      </c>
      <c r="E2111" s="7"/>
    </row>
    <row r="2112" spans="3:5">
      <c r="C2112" s="17">
        <f t="shared" si="32"/>
        <v>0</v>
      </c>
      <c r="D2112" s="17" t="str">
        <f>IF(C2112=1,COUNTIF($C$1:$C2112,1),"")</f>
        <v/>
      </c>
      <c r="E2112" s="7"/>
    </row>
    <row r="2113" spans="3:5">
      <c r="C2113" s="17">
        <f t="shared" si="32"/>
        <v>0</v>
      </c>
      <c r="D2113" s="17" t="str">
        <f>IF(C2113=1,COUNTIF($C$1:$C2113,1),"")</f>
        <v/>
      </c>
      <c r="E2113" s="7"/>
    </row>
    <row r="2114" spans="3:5">
      <c r="C2114" s="17">
        <f t="shared" ref="C2114:C2177" si="33">--ISNUMBER(SEARCH($B$1,A2114))</f>
        <v>0</v>
      </c>
      <c r="D2114" s="17" t="str">
        <f>IF(C2114=1,COUNTIF($C$1:$C2114,1),"")</f>
        <v/>
      </c>
      <c r="E2114" s="7"/>
    </row>
    <row r="2115" spans="3:5">
      <c r="C2115" s="17">
        <f t="shared" si="33"/>
        <v>0</v>
      </c>
      <c r="D2115" s="17" t="str">
        <f>IF(C2115=1,COUNTIF($C$1:$C2115,1),"")</f>
        <v/>
      </c>
      <c r="E2115" s="7"/>
    </row>
    <row r="2116" spans="3:5">
      <c r="C2116" s="17">
        <f t="shared" si="33"/>
        <v>0</v>
      </c>
      <c r="D2116" s="17" t="str">
        <f>IF(C2116=1,COUNTIF($C$1:$C2116,1),"")</f>
        <v/>
      </c>
      <c r="E2116" s="7"/>
    </row>
    <row r="2117" spans="3:5">
      <c r="C2117" s="17">
        <f t="shared" si="33"/>
        <v>0</v>
      </c>
      <c r="D2117" s="17" t="str">
        <f>IF(C2117=1,COUNTIF($C$1:$C2117,1),"")</f>
        <v/>
      </c>
      <c r="E2117" s="7"/>
    </row>
    <row r="2118" spans="3:5">
      <c r="C2118" s="17">
        <f t="shared" si="33"/>
        <v>0</v>
      </c>
      <c r="D2118" s="17" t="str">
        <f>IF(C2118=1,COUNTIF($C$1:$C2118,1),"")</f>
        <v/>
      </c>
      <c r="E2118" s="7"/>
    </row>
    <row r="2119" spans="3:5">
      <c r="C2119" s="17">
        <f t="shared" si="33"/>
        <v>0</v>
      </c>
      <c r="D2119" s="17" t="str">
        <f>IF(C2119=1,COUNTIF($C$1:$C2119,1),"")</f>
        <v/>
      </c>
      <c r="E2119" s="7"/>
    </row>
    <row r="2120" spans="3:5">
      <c r="C2120" s="17">
        <f t="shared" si="33"/>
        <v>0</v>
      </c>
      <c r="D2120" s="17" t="str">
        <f>IF(C2120=1,COUNTIF($C$1:$C2120,1),"")</f>
        <v/>
      </c>
      <c r="E2120" s="7"/>
    </row>
    <row r="2121" spans="3:5">
      <c r="C2121" s="17">
        <f t="shared" si="33"/>
        <v>0</v>
      </c>
      <c r="D2121" s="17" t="str">
        <f>IF(C2121=1,COUNTIF($C$1:$C2121,1),"")</f>
        <v/>
      </c>
      <c r="E2121" s="7"/>
    </row>
    <row r="2122" spans="3:5">
      <c r="C2122" s="17">
        <f t="shared" si="33"/>
        <v>0</v>
      </c>
      <c r="D2122" s="17" t="str">
        <f>IF(C2122=1,COUNTIF($C$1:$C2122,1),"")</f>
        <v/>
      </c>
      <c r="E2122" s="7"/>
    </row>
    <row r="2123" spans="3:5">
      <c r="C2123" s="17">
        <f t="shared" si="33"/>
        <v>0</v>
      </c>
      <c r="D2123" s="17" t="str">
        <f>IF(C2123=1,COUNTIF($C$1:$C2123,1),"")</f>
        <v/>
      </c>
      <c r="E2123" s="7"/>
    </row>
    <row r="2124" spans="3:5">
      <c r="C2124" s="17">
        <f t="shared" si="33"/>
        <v>0</v>
      </c>
      <c r="D2124" s="17" t="str">
        <f>IF(C2124=1,COUNTIF($C$1:$C2124,1),"")</f>
        <v/>
      </c>
      <c r="E2124" s="7"/>
    </row>
    <row r="2125" spans="3:5">
      <c r="C2125" s="17">
        <f t="shared" si="33"/>
        <v>0</v>
      </c>
      <c r="D2125" s="17" t="str">
        <f>IF(C2125=1,COUNTIF($C$1:$C2125,1),"")</f>
        <v/>
      </c>
      <c r="E2125" s="7"/>
    </row>
    <row r="2126" spans="3:5">
      <c r="C2126" s="17">
        <f t="shared" si="33"/>
        <v>0</v>
      </c>
      <c r="D2126" s="17" t="str">
        <f>IF(C2126=1,COUNTIF($C$1:$C2126,1),"")</f>
        <v/>
      </c>
      <c r="E2126" s="7"/>
    </row>
    <row r="2127" spans="3:5">
      <c r="C2127" s="17">
        <f t="shared" si="33"/>
        <v>0</v>
      </c>
      <c r="D2127" s="17" t="str">
        <f>IF(C2127=1,COUNTIF($C$1:$C2127,1),"")</f>
        <v/>
      </c>
      <c r="E2127" s="7"/>
    </row>
    <row r="2128" spans="3:5">
      <c r="C2128" s="17">
        <f t="shared" si="33"/>
        <v>0</v>
      </c>
      <c r="D2128" s="17" t="str">
        <f>IF(C2128=1,COUNTIF($C$1:$C2128,1),"")</f>
        <v/>
      </c>
      <c r="E2128" s="7"/>
    </row>
    <row r="2129" spans="3:5">
      <c r="C2129" s="17">
        <f t="shared" si="33"/>
        <v>0</v>
      </c>
      <c r="D2129" s="17" t="str">
        <f>IF(C2129=1,COUNTIF($C$1:$C2129,1),"")</f>
        <v/>
      </c>
      <c r="E2129" s="7"/>
    </row>
    <row r="2130" spans="3:5">
      <c r="C2130" s="17">
        <f t="shared" si="33"/>
        <v>0</v>
      </c>
      <c r="D2130" s="17" t="str">
        <f>IF(C2130=1,COUNTIF($C$1:$C2130,1),"")</f>
        <v/>
      </c>
      <c r="E2130" s="7"/>
    </row>
    <row r="2131" spans="3:5">
      <c r="C2131" s="17">
        <f t="shared" si="33"/>
        <v>0</v>
      </c>
      <c r="D2131" s="17" t="str">
        <f>IF(C2131=1,COUNTIF($C$1:$C2131,1),"")</f>
        <v/>
      </c>
      <c r="E2131" s="7"/>
    </row>
    <row r="2132" spans="3:5">
      <c r="C2132" s="17">
        <f t="shared" si="33"/>
        <v>0</v>
      </c>
      <c r="D2132" s="17" t="str">
        <f>IF(C2132=1,COUNTIF($C$1:$C2132,1),"")</f>
        <v/>
      </c>
      <c r="E2132" s="7"/>
    </row>
    <row r="2133" spans="3:5">
      <c r="C2133" s="17">
        <f t="shared" si="33"/>
        <v>0</v>
      </c>
      <c r="D2133" s="17" t="str">
        <f>IF(C2133=1,COUNTIF($C$1:$C2133,1),"")</f>
        <v/>
      </c>
      <c r="E2133" s="7"/>
    </row>
    <row r="2134" spans="3:5">
      <c r="C2134" s="17">
        <f t="shared" si="33"/>
        <v>0</v>
      </c>
      <c r="D2134" s="17" t="str">
        <f>IF(C2134=1,COUNTIF($C$1:$C2134,1),"")</f>
        <v/>
      </c>
      <c r="E2134" s="7"/>
    </row>
    <row r="2135" spans="3:5">
      <c r="C2135" s="17">
        <f t="shared" si="33"/>
        <v>0</v>
      </c>
      <c r="D2135" s="17" t="str">
        <f>IF(C2135=1,COUNTIF($C$1:$C2135,1),"")</f>
        <v/>
      </c>
      <c r="E2135" s="7"/>
    </row>
    <row r="2136" spans="3:5">
      <c r="C2136" s="17">
        <f t="shared" si="33"/>
        <v>0</v>
      </c>
      <c r="D2136" s="17" t="str">
        <f>IF(C2136=1,COUNTIF($C$1:$C2136,1),"")</f>
        <v/>
      </c>
      <c r="E2136" s="7"/>
    </row>
    <row r="2137" spans="3:5">
      <c r="C2137" s="17">
        <f t="shared" si="33"/>
        <v>0</v>
      </c>
      <c r="D2137" s="17" t="str">
        <f>IF(C2137=1,COUNTIF($C$1:$C2137,1),"")</f>
        <v/>
      </c>
      <c r="E2137" s="7"/>
    </row>
    <row r="2138" spans="3:5">
      <c r="C2138" s="17">
        <f t="shared" si="33"/>
        <v>0</v>
      </c>
      <c r="D2138" s="17" t="str">
        <f>IF(C2138=1,COUNTIF($C$1:$C2138,1),"")</f>
        <v/>
      </c>
      <c r="E2138" s="7"/>
    </row>
    <row r="2139" spans="3:5">
      <c r="C2139" s="17">
        <f t="shared" si="33"/>
        <v>0</v>
      </c>
      <c r="D2139" s="17" t="str">
        <f>IF(C2139=1,COUNTIF($C$1:$C2139,1),"")</f>
        <v/>
      </c>
      <c r="E2139" s="7"/>
    </row>
    <row r="2140" spans="3:5">
      <c r="C2140" s="17">
        <f t="shared" si="33"/>
        <v>0</v>
      </c>
      <c r="D2140" s="17" t="str">
        <f>IF(C2140=1,COUNTIF($C$1:$C2140,1),"")</f>
        <v/>
      </c>
      <c r="E2140" s="7"/>
    </row>
    <row r="2141" spans="3:5">
      <c r="C2141" s="17">
        <f t="shared" si="33"/>
        <v>0</v>
      </c>
      <c r="D2141" s="17" t="str">
        <f>IF(C2141=1,COUNTIF($C$1:$C2141,1),"")</f>
        <v/>
      </c>
      <c r="E2141" s="7"/>
    </row>
    <row r="2142" spans="3:5">
      <c r="C2142" s="17">
        <f t="shared" si="33"/>
        <v>0</v>
      </c>
      <c r="D2142" s="17" t="str">
        <f>IF(C2142=1,COUNTIF($C$1:$C2142,1),"")</f>
        <v/>
      </c>
      <c r="E2142" s="7"/>
    </row>
    <row r="2143" spans="3:5">
      <c r="C2143" s="17">
        <f t="shared" si="33"/>
        <v>0</v>
      </c>
      <c r="D2143" s="17" t="str">
        <f>IF(C2143=1,COUNTIF($C$1:$C2143,1),"")</f>
        <v/>
      </c>
      <c r="E2143" s="7"/>
    </row>
    <row r="2144" spans="3:5">
      <c r="C2144" s="17">
        <f t="shared" si="33"/>
        <v>0</v>
      </c>
      <c r="D2144" s="17" t="str">
        <f>IF(C2144=1,COUNTIF($C$1:$C2144,1),"")</f>
        <v/>
      </c>
      <c r="E2144" s="7"/>
    </row>
    <row r="2145" spans="3:5">
      <c r="C2145" s="17">
        <f t="shared" si="33"/>
        <v>0</v>
      </c>
      <c r="D2145" s="17" t="str">
        <f>IF(C2145=1,COUNTIF($C$1:$C2145,1),"")</f>
        <v/>
      </c>
      <c r="E2145" s="7"/>
    </row>
    <row r="2146" spans="3:5">
      <c r="C2146" s="17">
        <f t="shared" si="33"/>
        <v>0</v>
      </c>
      <c r="D2146" s="17" t="str">
        <f>IF(C2146=1,COUNTIF($C$1:$C2146,1),"")</f>
        <v/>
      </c>
      <c r="E2146" s="7"/>
    </row>
    <row r="2147" spans="3:5">
      <c r="C2147" s="17">
        <f t="shared" si="33"/>
        <v>0</v>
      </c>
      <c r="D2147" s="17" t="str">
        <f>IF(C2147=1,COUNTIF($C$1:$C2147,1),"")</f>
        <v/>
      </c>
      <c r="E2147" s="7"/>
    </row>
    <row r="2148" spans="3:5">
      <c r="C2148" s="17">
        <f t="shared" si="33"/>
        <v>0</v>
      </c>
      <c r="D2148" s="17" t="str">
        <f>IF(C2148=1,COUNTIF($C$1:$C2148,1),"")</f>
        <v/>
      </c>
      <c r="E2148" s="7"/>
    </row>
    <row r="2149" spans="3:5">
      <c r="C2149" s="17">
        <f t="shared" si="33"/>
        <v>0</v>
      </c>
      <c r="D2149" s="17" t="str">
        <f>IF(C2149=1,COUNTIF($C$1:$C2149,1),"")</f>
        <v/>
      </c>
      <c r="E2149" s="7"/>
    </row>
    <row r="2150" spans="3:5">
      <c r="C2150" s="17">
        <f t="shared" si="33"/>
        <v>0</v>
      </c>
      <c r="D2150" s="17" t="str">
        <f>IF(C2150=1,COUNTIF($C$1:$C2150,1),"")</f>
        <v/>
      </c>
      <c r="E2150" s="7"/>
    </row>
    <row r="2151" spans="3:5">
      <c r="C2151" s="17">
        <f t="shared" si="33"/>
        <v>0</v>
      </c>
      <c r="D2151" s="17" t="str">
        <f>IF(C2151=1,COUNTIF($C$1:$C2151,1),"")</f>
        <v/>
      </c>
      <c r="E2151" s="7"/>
    </row>
    <row r="2152" spans="3:5">
      <c r="C2152" s="17">
        <f t="shared" si="33"/>
        <v>0</v>
      </c>
      <c r="D2152" s="17" t="str">
        <f>IF(C2152=1,COUNTIF($C$1:$C2152,1),"")</f>
        <v/>
      </c>
      <c r="E2152" s="7"/>
    </row>
    <row r="2153" spans="3:5">
      <c r="C2153" s="17">
        <f t="shared" si="33"/>
        <v>0</v>
      </c>
      <c r="D2153" s="17" t="str">
        <f>IF(C2153=1,COUNTIF($C$1:$C2153,1),"")</f>
        <v/>
      </c>
      <c r="E2153" s="7"/>
    </row>
    <row r="2154" spans="3:5">
      <c r="C2154" s="17">
        <f t="shared" si="33"/>
        <v>0</v>
      </c>
      <c r="D2154" s="17" t="str">
        <f>IF(C2154=1,COUNTIF($C$1:$C2154,1),"")</f>
        <v/>
      </c>
      <c r="E2154" s="7"/>
    </row>
    <row r="2155" spans="3:5">
      <c r="C2155" s="17">
        <f t="shared" si="33"/>
        <v>0</v>
      </c>
      <c r="D2155" s="17" t="str">
        <f>IF(C2155=1,COUNTIF($C$1:$C2155,1),"")</f>
        <v/>
      </c>
      <c r="E2155" s="7"/>
    </row>
    <row r="2156" spans="3:5">
      <c r="C2156" s="17">
        <f t="shared" si="33"/>
        <v>0</v>
      </c>
      <c r="D2156" s="17" t="str">
        <f>IF(C2156=1,COUNTIF($C$1:$C2156,1),"")</f>
        <v/>
      </c>
      <c r="E2156" s="7"/>
    </row>
    <row r="2157" spans="3:5">
      <c r="C2157" s="17">
        <f t="shared" si="33"/>
        <v>0</v>
      </c>
      <c r="D2157" s="17" t="str">
        <f>IF(C2157=1,COUNTIF($C$1:$C2157,1),"")</f>
        <v/>
      </c>
      <c r="E2157" s="7"/>
    </row>
    <row r="2158" spans="3:5">
      <c r="C2158" s="17">
        <f t="shared" si="33"/>
        <v>0</v>
      </c>
      <c r="D2158" s="17" t="str">
        <f>IF(C2158=1,COUNTIF($C$1:$C2158,1),"")</f>
        <v/>
      </c>
      <c r="E2158" s="7"/>
    </row>
    <row r="2159" spans="3:5">
      <c r="C2159" s="17">
        <f t="shared" si="33"/>
        <v>0</v>
      </c>
      <c r="D2159" s="17" t="str">
        <f>IF(C2159=1,COUNTIF($C$1:$C2159,1),"")</f>
        <v/>
      </c>
      <c r="E2159" s="7"/>
    </row>
    <row r="2160" spans="3:5">
      <c r="C2160" s="17">
        <f t="shared" si="33"/>
        <v>0</v>
      </c>
      <c r="D2160" s="17" t="str">
        <f>IF(C2160=1,COUNTIF($C$1:$C2160,1),"")</f>
        <v/>
      </c>
      <c r="E2160" s="7"/>
    </row>
    <row r="2161" spans="3:5">
      <c r="C2161" s="17">
        <f t="shared" si="33"/>
        <v>0</v>
      </c>
      <c r="D2161" s="17" t="str">
        <f>IF(C2161=1,COUNTIF($C$1:$C2161,1),"")</f>
        <v/>
      </c>
      <c r="E2161" s="7"/>
    </row>
    <row r="2162" spans="3:5">
      <c r="C2162" s="17">
        <f t="shared" si="33"/>
        <v>0</v>
      </c>
      <c r="D2162" s="17" t="str">
        <f>IF(C2162=1,COUNTIF($C$1:$C2162,1),"")</f>
        <v/>
      </c>
      <c r="E2162" s="7"/>
    </row>
    <row r="2163" spans="3:5">
      <c r="C2163" s="17">
        <f t="shared" si="33"/>
        <v>0</v>
      </c>
      <c r="D2163" s="17" t="str">
        <f>IF(C2163=1,COUNTIF($C$1:$C2163,1),"")</f>
        <v/>
      </c>
      <c r="E2163" s="7"/>
    </row>
    <row r="2164" spans="3:5">
      <c r="C2164" s="17">
        <f t="shared" si="33"/>
        <v>0</v>
      </c>
      <c r="D2164" s="17" t="str">
        <f>IF(C2164=1,COUNTIF($C$1:$C2164,1),"")</f>
        <v/>
      </c>
      <c r="E2164" s="7"/>
    </row>
    <row r="2165" spans="3:5">
      <c r="C2165" s="17">
        <f t="shared" si="33"/>
        <v>0</v>
      </c>
      <c r="D2165" s="17" t="str">
        <f>IF(C2165=1,COUNTIF($C$1:$C2165,1),"")</f>
        <v/>
      </c>
      <c r="E2165" s="7"/>
    </row>
    <row r="2166" spans="3:5">
      <c r="C2166" s="17">
        <f t="shared" si="33"/>
        <v>0</v>
      </c>
      <c r="D2166" s="17" t="str">
        <f>IF(C2166=1,COUNTIF($C$1:$C2166,1),"")</f>
        <v/>
      </c>
      <c r="E2166" s="7"/>
    </row>
    <row r="2167" spans="3:5">
      <c r="C2167" s="17">
        <f t="shared" si="33"/>
        <v>0</v>
      </c>
      <c r="D2167" s="17" t="str">
        <f>IF(C2167=1,COUNTIF($C$1:$C2167,1),"")</f>
        <v/>
      </c>
      <c r="E2167" s="7"/>
    </row>
    <row r="2168" spans="3:5">
      <c r="C2168" s="17">
        <f t="shared" si="33"/>
        <v>0</v>
      </c>
      <c r="D2168" s="17" t="str">
        <f>IF(C2168=1,COUNTIF($C$1:$C2168,1),"")</f>
        <v/>
      </c>
      <c r="E2168" s="7"/>
    </row>
    <row r="2169" spans="3:5">
      <c r="C2169" s="17">
        <f t="shared" si="33"/>
        <v>0</v>
      </c>
      <c r="D2169" s="17" t="str">
        <f>IF(C2169=1,COUNTIF($C$1:$C2169,1),"")</f>
        <v/>
      </c>
      <c r="E2169" s="7"/>
    </row>
    <row r="2170" spans="3:5">
      <c r="C2170" s="17">
        <f t="shared" si="33"/>
        <v>0</v>
      </c>
      <c r="D2170" s="17" t="str">
        <f>IF(C2170=1,COUNTIF($C$1:$C2170,1),"")</f>
        <v/>
      </c>
      <c r="E2170" s="7"/>
    </row>
    <row r="2171" spans="3:5">
      <c r="C2171" s="17">
        <f t="shared" si="33"/>
        <v>0</v>
      </c>
      <c r="D2171" s="17" t="str">
        <f>IF(C2171=1,COUNTIF($C$1:$C2171,1),"")</f>
        <v/>
      </c>
      <c r="E2171" s="7"/>
    </row>
    <row r="2172" spans="3:5">
      <c r="C2172" s="17">
        <f t="shared" si="33"/>
        <v>0</v>
      </c>
      <c r="D2172" s="17" t="str">
        <f>IF(C2172=1,COUNTIF($C$1:$C2172,1),"")</f>
        <v/>
      </c>
      <c r="E2172" s="7"/>
    </row>
    <row r="2173" spans="3:5">
      <c r="C2173" s="17">
        <f t="shared" si="33"/>
        <v>0</v>
      </c>
      <c r="D2173" s="17" t="str">
        <f>IF(C2173=1,COUNTIF($C$1:$C2173,1),"")</f>
        <v/>
      </c>
      <c r="E2173" s="7"/>
    </row>
    <row r="2174" spans="3:5">
      <c r="C2174" s="17">
        <f t="shared" si="33"/>
        <v>0</v>
      </c>
      <c r="D2174" s="17" t="str">
        <f>IF(C2174=1,COUNTIF($C$1:$C2174,1),"")</f>
        <v/>
      </c>
      <c r="E2174" s="7"/>
    </row>
    <row r="2175" spans="3:5">
      <c r="C2175" s="17">
        <f t="shared" si="33"/>
        <v>0</v>
      </c>
      <c r="D2175" s="17" t="str">
        <f>IF(C2175=1,COUNTIF($C$1:$C2175,1),"")</f>
        <v/>
      </c>
      <c r="E2175" s="7"/>
    </row>
    <row r="2176" spans="3:5">
      <c r="C2176" s="17">
        <f t="shared" si="33"/>
        <v>0</v>
      </c>
      <c r="D2176" s="17" t="str">
        <f>IF(C2176=1,COUNTIF($C$1:$C2176,1),"")</f>
        <v/>
      </c>
      <c r="E2176" s="7"/>
    </row>
    <row r="2177" spans="3:5">
      <c r="C2177" s="17">
        <f t="shared" si="33"/>
        <v>0</v>
      </c>
      <c r="D2177" s="17" t="str">
        <f>IF(C2177=1,COUNTIF($C$1:$C2177,1),"")</f>
        <v/>
      </c>
      <c r="E2177" s="7"/>
    </row>
    <row r="2178" spans="3:5">
      <c r="C2178" s="17">
        <f t="shared" ref="C2178:C2241" si="34">--ISNUMBER(SEARCH($B$1,A2178))</f>
        <v>0</v>
      </c>
      <c r="D2178" s="17" t="str">
        <f>IF(C2178=1,COUNTIF($C$1:$C2178,1),"")</f>
        <v/>
      </c>
      <c r="E2178" s="7"/>
    </row>
    <row r="2179" spans="3:5">
      <c r="C2179" s="17">
        <f t="shared" si="34"/>
        <v>0</v>
      </c>
      <c r="D2179" s="17" t="str">
        <f>IF(C2179=1,COUNTIF($C$1:$C2179,1),"")</f>
        <v/>
      </c>
      <c r="E2179" s="7"/>
    </row>
    <row r="2180" spans="3:5">
      <c r="C2180" s="17">
        <f t="shared" si="34"/>
        <v>0</v>
      </c>
      <c r="D2180" s="17" t="str">
        <f>IF(C2180=1,COUNTIF($C$1:$C2180,1),"")</f>
        <v/>
      </c>
      <c r="E2180" s="7"/>
    </row>
    <row r="2181" spans="3:5">
      <c r="C2181" s="17">
        <f t="shared" si="34"/>
        <v>0</v>
      </c>
      <c r="D2181" s="17" t="str">
        <f>IF(C2181=1,COUNTIF($C$1:$C2181,1),"")</f>
        <v/>
      </c>
      <c r="E2181" s="7"/>
    </row>
    <row r="2182" spans="3:5">
      <c r="C2182" s="17">
        <f t="shared" si="34"/>
        <v>0</v>
      </c>
      <c r="D2182" s="17" t="str">
        <f>IF(C2182=1,COUNTIF($C$1:$C2182,1),"")</f>
        <v/>
      </c>
      <c r="E2182" s="7"/>
    </row>
    <row r="2183" spans="3:5">
      <c r="C2183" s="17">
        <f t="shared" si="34"/>
        <v>0</v>
      </c>
      <c r="D2183" s="17" t="str">
        <f>IF(C2183=1,COUNTIF($C$1:$C2183,1),"")</f>
        <v/>
      </c>
      <c r="E2183" s="7"/>
    </row>
    <row r="2184" spans="3:5">
      <c r="C2184" s="17">
        <f t="shared" si="34"/>
        <v>0</v>
      </c>
      <c r="D2184" s="17" t="str">
        <f>IF(C2184=1,COUNTIF($C$1:$C2184,1),"")</f>
        <v/>
      </c>
      <c r="E2184" s="7"/>
    </row>
    <row r="2185" spans="3:5">
      <c r="C2185" s="17">
        <f t="shared" si="34"/>
        <v>0</v>
      </c>
      <c r="D2185" s="17" t="str">
        <f>IF(C2185=1,COUNTIF($C$1:$C2185,1),"")</f>
        <v/>
      </c>
      <c r="E2185" s="7"/>
    </row>
    <row r="2186" spans="3:5">
      <c r="C2186" s="17">
        <f t="shared" si="34"/>
        <v>0</v>
      </c>
      <c r="D2186" s="17" t="str">
        <f>IF(C2186=1,COUNTIF($C$1:$C2186,1),"")</f>
        <v/>
      </c>
      <c r="E2186" s="7"/>
    </row>
    <row r="2187" spans="3:5">
      <c r="C2187" s="17">
        <f t="shared" si="34"/>
        <v>0</v>
      </c>
      <c r="D2187" s="17" t="str">
        <f>IF(C2187=1,COUNTIF($C$1:$C2187,1),"")</f>
        <v/>
      </c>
      <c r="E2187" s="7"/>
    </row>
    <row r="2188" spans="3:5">
      <c r="C2188" s="17">
        <f t="shared" si="34"/>
        <v>0</v>
      </c>
      <c r="D2188" s="17" t="str">
        <f>IF(C2188=1,COUNTIF($C$1:$C2188,1),"")</f>
        <v/>
      </c>
      <c r="E2188" s="7"/>
    </row>
    <row r="2189" spans="3:5">
      <c r="C2189" s="17">
        <f t="shared" si="34"/>
        <v>0</v>
      </c>
      <c r="D2189" s="17" t="str">
        <f>IF(C2189=1,COUNTIF($C$1:$C2189,1),"")</f>
        <v/>
      </c>
      <c r="E2189" s="7"/>
    </row>
    <row r="2190" spans="3:5">
      <c r="C2190" s="17">
        <f t="shared" si="34"/>
        <v>0</v>
      </c>
      <c r="D2190" s="17" t="str">
        <f>IF(C2190=1,COUNTIF($C$1:$C2190,1),"")</f>
        <v/>
      </c>
      <c r="E2190" s="7"/>
    </row>
    <row r="2191" spans="3:5">
      <c r="C2191" s="17">
        <f t="shared" si="34"/>
        <v>0</v>
      </c>
      <c r="D2191" s="17" t="str">
        <f>IF(C2191=1,COUNTIF($C$1:$C2191,1),"")</f>
        <v/>
      </c>
      <c r="E2191" s="7"/>
    </row>
    <row r="2192" spans="3:5">
      <c r="C2192" s="17">
        <f t="shared" si="34"/>
        <v>0</v>
      </c>
      <c r="D2192" s="17" t="str">
        <f>IF(C2192=1,COUNTIF($C$1:$C2192,1),"")</f>
        <v/>
      </c>
      <c r="E2192" s="7"/>
    </row>
    <row r="2193" spans="3:5">
      <c r="C2193" s="17">
        <f t="shared" si="34"/>
        <v>0</v>
      </c>
      <c r="D2193" s="17" t="str">
        <f>IF(C2193=1,COUNTIF($C$1:$C2193,1),"")</f>
        <v/>
      </c>
      <c r="E2193" s="7"/>
    </row>
    <row r="2194" spans="3:5">
      <c r="C2194" s="17">
        <f t="shared" si="34"/>
        <v>0</v>
      </c>
      <c r="D2194" s="17" t="str">
        <f>IF(C2194=1,COUNTIF($C$1:$C2194,1),"")</f>
        <v/>
      </c>
      <c r="E2194" s="7"/>
    </row>
    <row r="2195" spans="3:5">
      <c r="C2195" s="17">
        <f t="shared" si="34"/>
        <v>0</v>
      </c>
      <c r="D2195" s="17" t="str">
        <f>IF(C2195=1,COUNTIF($C$1:$C2195,1),"")</f>
        <v/>
      </c>
      <c r="E2195" s="7"/>
    </row>
    <row r="2196" spans="3:5">
      <c r="C2196" s="17">
        <f t="shared" si="34"/>
        <v>0</v>
      </c>
      <c r="D2196" s="17" t="str">
        <f>IF(C2196=1,COUNTIF($C$1:$C2196,1),"")</f>
        <v/>
      </c>
      <c r="E2196" s="7"/>
    </row>
    <row r="2197" spans="3:5">
      <c r="C2197" s="17">
        <f t="shared" si="34"/>
        <v>0</v>
      </c>
      <c r="D2197" s="17" t="str">
        <f>IF(C2197=1,COUNTIF($C$1:$C2197,1),"")</f>
        <v/>
      </c>
      <c r="E2197" s="7"/>
    </row>
    <row r="2198" spans="3:5">
      <c r="C2198" s="17">
        <f t="shared" si="34"/>
        <v>0</v>
      </c>
      <c r="D2198" s="17" t="str">
        <f>IF(C2198=1,COUNTIF($C$1:$C2198,1),"")</f>
        <v/>
      </c>
      <c r="E2198" s="7"/>
    </row>
    <row r="2199" spans="3:5">
      <c r="C2199" s="17">
        <f t="shared" si="34"/>
        <v>0</v>
      </c>
      <c r="D2199" s="17" t="str">
        <f>IF(C2199=1,COUNTIF($C$1:$C2199,1),"")</f>
        <v/>
      </c>
      <c r="E2199" s="7"/>
    </row>
    <row r="2200" spans="3:5">
      <c r="C2200" s="17">
        <f t="shared" si="34"/>
        <v>0</v>
      </c>
      <c r="D2200" s="17" t="str">
        <f>IF(C2200=1,COUNTIF($C$1:$C2200,1),"")</f>
        <v/>
      </c>
      <c r="E2200" s="7"/>
    </row>
    <row r="2201" spans="3:5">
      <c r="C2201" s="17">
        <f t="shared" si="34"/>
        <v>0</v>
      </c>
      <c r="D2201" s="17" t="str">
        <f>IF(C2201=1,COUNTIF($C$1:$C2201,1),"")</f>
        <v/>
      </c>
      <c r="E2201" s="7"/>
    </row>
    <row r="2202" spans="3:5">
      <c r="C2202" s="17">
        <f t="shared" si="34"/>
        <v>0</v>
      </c>
      <c r="D2202" s="17" t="str">
        <f>IF(C2202=1,COUNTIF($C$1:$C2202,1),"")</f>
        <v/>
      </c>
      <c r="E2202" s="7"/>
    </row>
    <row r="2203" spans="3:5">
      <c r="C2203" s="17">
        <f t="shared" si="34"/>
        <v>0</v>
      </c>
      <c r="D2203" s="17" t="str">
        <f>IF(C2203=1,COUNTIF($C$1:$C2203,1),"")</f>
        <v/>
      </c>
      <c r="E2203" s="7"/>
    </row>
    <row r="2204" spans="3:5">
      <c r="C2204" s="17">
        <f t="shared" si="34"/>
        <v>0</v>
      </c>
      <c r="D2204" s="17" t="str">
        <f>IF(C2204=1,COUNTIF($C$1:$C2204,1),"")</f>
        <v/>
      </c>
      <c r="E2204" s="7"/>
    </row>
    <row r="2205" spans="3:5">
      <c r="C2205" s="17">
        <f t="shared" si="34"/>
        <v>0</v>
      </c>
      <c r="D2205" s="17" t="str">
        <f>IF(C2205=1,COUNTIF($C$1:$C2205,1),"")</f>
        <v/>
      </c>
      <c r="E2205" s="7"/>
    </row>
    <row r="2206" spans="3:5">
      <c r="C2206" s="17">
        <f t="shared" si="34"/>
        <v>0</v>
      </c>
      <c r="D2206" s="17" t="str">
        <f>IF(C2206=1,COUNTIF($C$1:$C2206,1),"")</f>
        <v/>
      </c>
      <c r="E2206" s="7"/>
    </row>
    <row r="2207" spans="3:5">
      <c r="C2207" s="17">
        <f t="shared" si="34"/>
        <v>0</v>
      </c>
      <c r="D2207" s="17" t="str">
        <f>IF(C2207=1,COUNTIF($C$1:$C2207,1),"")</f>
        <v/>
      </c>
      <c r="E2207" s="7"/>
    </row>
    <row r="2208" spans="3:5">
      <c r="C2208" s="17">
        <f t="shared" si="34"/>
        <v>0</v>
      </c>
      <c r="D2208" s="17" t="str">
        <f>IF(C2208=1,COUNTIF($C$1:$C2208,1),"")</f>
        <v/>
      </c>
      <c r="E2208" s="7"/>
    </row>
    <row r="2209" spans="3:5">
      <c r="C2209" s="17">
        <f t="shared" si="34"/>
        <v>0</v>
      </c>
      <c r="D2209" s="17" t="str">
        <f>IF(C2209=1,COUNTIF($C$1:$C2209,1),"")</f>
        <v/>
      </c>
      <c r="E2209" s="7"/>
    </row>
    <row r="2210" spans="3:5">
      <c r="C2210" s="17">
        <f t="shared" si="34"/>
        <v>0</v>
      </c>
      <c r="D2210" s="17" t="str">
        <f>IF(C2210=1,COUNTIF($C$1:$C2210,1),"")</f>
        <v/>
      </c>
      <c r="E2210" s="7"/>
    </row>
    <row r="2211" spans="3:5">
      <c r="C2211" s="17">
        <f t="shared" si="34"/>
        <v>0</v>
      </c>
      <c r="D2211" s="17" t="str">
        <f>IF(C2211=1,COUNTIF($C$1:$C2211,1),"")</f>
        <v/>
      </c>
      <c r="E2211" s="7"/>
    </row>
    <row r="2212" spans="3:5">
      <c r="C2212" s="17">
        <f t="shared" si="34"/>
        <v>0</v>
      </c>
      <c r="D2212" s="17" t="str">
        <f>IF(C2212=1,COUNTIF($C$1:$C2212,1),"")</f>
        <v/>
      </c>
      <c r="E2212" s="7"/>
    </row>
    <row r="2213" spans="3:5">
      <c r="C2213" s="17">
        <f t="shared" si="34"/>
        <v>0</v>
      </c>
      <c r="D2213" s="17" t="str">
        <f>IF(C2213=1,COUNTIF($C$1:$C2213,1),"")</f>
        <v/>
      </c>
      <c r="E2213" s="7"/>
    </row>
    <row r="2214" spans="3:5">
      <c r="C2214" s="17">
        <f t="shared" si="34"/>
        <v>0</v>
      </c>
      <c r="D2214" s="17" t="str">
        <f>IF(C2214=1,COUNTIF($C$1:$C2214,1),"")</f>
        <v/>
      </c>
      <c r="E2214" s="7"/>
    </row>
    <row r="2215" spans="3:5">
      <c r="C2215" s="17">
        <f t="shared" si="34"/>
        <v>0</v>
      </c>
      <c r="D2215" s="17" t="str">
        <f>IF(C2215=1,COUNTIF($C$1:$C2215,1),"")</f>
        <v/>
      </c>
      <c r="E2215" s="7"/>
    </row>
    <row r="2216" spans="3:5">
      <c r="C2216" s="17">
        <f t="shared" si="34"/>
        <v>0</v>
      </c>
      <c r="D2216" s="17" t="str">
        <f>IF(C2216=1,COUNTIF($C$1:$C2216,1),"")</f>
        <v/>
      </c>
      <c r="E2216" s="7"/>
    </row>
    <row r="2217" spans="3:5">
      <c r="C2217" s="17">
        <f t="shared" si="34"/>
        <v>0</v>
      </c>
      <c r="D2217" s="17" t="str">
        <f>IF(C2217=1,COUNTIF($C$1:$C2217,1),"")</f>
        <v/>
      </c>
      <c r="E2217" s="7"/>
    </row>
    <row r="2218" spans="3:5">
      <c r="C2218" s="17">
        <f t="shared" si="34"/>
        <v>0</v>
      </c>
      <c r="D2218" s="17" t="str">
        <f>IF(C2218=1,COUNTIF($C$1:$C2218,1),"")</f>
        <v/>
      </c>
      <c r="E2218" s="7"/>
    </row>
    <row r="2219" spans="3:5">
      <c r="C2219" s="17">
        <f t="shared" si="34"/>
        <v>0</v>
      </c>
      <c r="D2219" s="17" t="str">
        <f>IF(C2219=1,COUNTIF($C$1:$C2219,1),"")</f>
        <v/>
      </c>
      <c r="E2219" s="7"/>
    </row>
    <row r="2220" spans="3:5">
      <c r="C2220" s="17">
        <f t="shared" si="34"/>
        <v>0</v>
      </c>
      <c r="D2220" s="17" t="str">
        <f>IF(C2220=1,COUNTIF($C$1:$C2220,1),"")</f>
        <v/>
      </c>
      <c r="E2220" s="7"/>
    </row>
    <row r="2221" spans="3:5">
      <c r="C2221" s="17">
        <f t="shared" si="34"/>
        <v>0</v>
      </c>
      <c r="D2221" s="17" t="str">
        <f>IF(C2221=1,COUNTIF($C$1:$C2221,1),"")</f>
        <v/>
      </c>
      <c r="E2221" s="7"/>
    </row>
    <row r="2222" spans="3:5">
      <c r="C2222" s="17">
        <f t="shared" si="34"/>
        <v>0</v>
      </c>
      <c r="D2222" s="17" t="str">
        <f>IF(C2222=1,COUNTIF($C$1:$C2222,1),"")</f>
        <v/>
      </c>
      <c r="E2222" s="7"/>
    </row>
    <row r="2223" spans="3:5">
      <c r="C2223" s="17">
        <f t="shared" si="34"/>
        <v>0</v>
      </c>
      <c r="D2223" s="17" t="str">
        <f>IF(C2223=1,COUNTIF($C$1:$C2223,1),"")</f>
        <v/>
      </c>
      <c r="E2223" s="7"/>
    </row>
    <row r="2224" spans="3:5">
      <c r="C2224" s="17">
        <f t="shared" si="34"/>
        <v>0</v>
      </c>
      <c r="D2224" s="17" t="str">
        <f>IF(C2224=1,COUNTIF($C$1:$C2224,1),"")</f>
        <v/>
      </c>
      <c r="E2224" s="7"/>
    </row>
    <row r="2225" spans="3:5">
      <c r="C2225" s="17">
        <f t="shared" si="34"/>
        <v>0</v>
      </c>
      <c r="D2225" s="17" t="str">
        <f>IF(C2225=1,COUNTIF($C$1:$C2225,1),"")</f>
        <v/>
      </c>
      <c r="E2225" s="7"/>
    </row>
    <row r="2226" spans="3:5">
      <c r="C2226" s="17">
        <f t="shared" si="34"/>
        <v>0</v>
      </c>
      <c r="D2226" s="17" t="str">
        <f>IF(C2226=1,COUNTIF($C$1:$C2226,1),"")</f>
        <v/>
      </c>
      <c r="E2226" s="7"/>
    </row>
    <row r="2227" spans="3:5">
      <c r="C2227" s="17">
        <f t="shared" si="34"/>
        <v>0</v>
      </c>
      <c r="D2227" s="17" t="str">
        <f>IF(C2227=1,COUNTIF($C$1:$C2227,1),"")</f>
        <v/>
      </c>
      <c r="E2227" s="7"/>
    </row>
    <row r="2228" spans="3:5">
      <c r="C2228" s="17">
        <f t="shared" si="34"/>
        <v>0</v>
      </c>
      <c r="D2228" s="17" t="str">
        <f>IF(C2228=1,COUNTIF($C$1:$C2228,1),"")</f>
        <v/>
      </c>
      <c r="E2228" s="7"/>
    </row>
    <row r="2229" spans="3:5">
      <c r="C2229" s="17">
        <f t="shared" si="34"/>
        <v>0</v>
      </c>
      <c r="D2229" s="17" t="str">
        <f>IF(C2229=1,COUNTIF($C$1:$C2229,1),"")</f>
        <v/>
      </c>
      <c r="E2229" s="7"/>
    </row>
    <row r="2230" spans="3:5">
      <c r="C2230" s="17">
        <f t="shared" si="34"/>
        <v>0</v>
      </c>
      <c r="D2230" s="17" t="str">
        <f>IF(C2230=1,COUNTIF($C$1:$C2230,1),"")</f>
        <v/>
      </c>
      <c r="E2230" s="7"/>
    </row>
    <row r="2231" spans="3:5">
      <c r="C2231" s="17">
        <f t="shared" si="34"/>
        <v>0</v>
      </c>
      <c r="D2231" s="17" t="str">
        <f>IF(C2231=1,COUNTIF($C$1:$C2231,1),"")</f>
        <v/>
      </c>
      <c r="E2231" s="7"/>
    </row>
    <row r="2232" spans="3:5">
      <c r="C2232" s="17">
        <f t="shared" si="34"/>
        <v>0</v>
      </c>
      <c r="D2232" s="17" t="str">
        <f>IF(C2232=1,COUNTIF($C$1:$C2232,1),"")</f>
        <v/>
      </c>
      <c r="E2232" s="7"/>
    </row>
    <row r="2233" spans="3:5">
      <c r="C2233" s="17">
        <f t="shared" si="34"/>
        <v>0</v>
      </c>
      <c r="D2233" s="17" t="str">
        <f>IF(C2233=1,COUNTIF($C$1:$C2233,1),"")</f>
        <v/>
      </c>
      <c r="E2233" s="7"/>
    </row>
    <row r="2234" spans="3:5">
      <c r="C2234" s="17">
        <f t="shared" si="34"/>
        <v>0</v>
      </c>
      <c r="D2234" s="17" t="str">
        <f>IF(C2234=1,COUNTIF($C$1:$C2234,1),"")</f>
        <v/>
      </c>
      <c r="E2234" s="7"/>
    </row>
    <row r="2235" spans="3:5">
      <c r="C2235" s="17">
        <f t="shared" si="34"/>
        <v>0</v>
      </c>
      <c r="D2235" s="17" t="str">
        <f>IF(C2235=1,COUNTIF($C$1:$C2235,1),"")</f>
        <v/>
      </c>
      <c r="E2235" s="7"/>
    </row>
    <row r="2236" spans="3:5">
      <c r="C2236" s="17">
        <f t="shared" si="34"/>
        <v>0</v>
      </c>
      <c r="D2236" s="17" t="str">
        <f>IF(C2236=1,COUNTIF($C$1:$C2236,1),"")</f>
        <v/>
      </c>
      <c r="E2236" s="7"/>
    </row>
    <row r="2237" spans="3:5">
      <c r="C2237" s="17">
        <f t="shared" si="34"/>
        <v>0</v>
      </c>
      <c r="D2237" s="17" t="str">
        <f>IF(C2237=1,COUNTIF($C$1:$C2237,1),"")</f>
        <v/>
      </c>
      <c r="E2237" s="7"/>
    </row>
    <row r="2238" spans="3:5">
      <c r="C2238" s="17">
        <f t="shared" si="34"/>
        <v>0</v>
      </c>
      <c r="D2238" s="17" t="str">
        <f>IF(C2238=1,COUNTIF($C$1:$C2238,1),"")</f>
        <v/>
      </c>
      <c r="E2238" s="7"/>
    </row>
    <row r="2239" spans="3:5">
      <c r="C2239" s="17">
        <f t="shared" si="34"/>
        <v>0</v>
      </c>
      <c r="D2239" s="17" t="str">
        <f>IF(C2239=1,COUNTIF($C$1:$C2239,1),"")</f>
        <v/>
      </c>
      <c r="E2239" s="7"/>
    </row>
    <row r="2240" spans="3:5">
      <c r="C2240" s="17">
        <f t="shared" si="34"/>
        <v>0</v>
      </c>
      <c r="D2240" s="17" t="str">
        <f>IF(C2240=1,COUNTIF($C$1:$C2240,1),"")</f>
        <v/>
      </c>
      <c r="E2240" s="7"/>
    </row>
    <row r="2241" spans="3:5">
      <c r="C2241" s="17">
        <f t="shared" si="34"/>
        <v>0</v>
      </c>
      <c r="D2241" s="17" t="str">
        <f>IF(C2241=1,COUNTIF($C$1:$C2241,1),"")</f>
        <v/>
      </c>
      <c r="E2241" s="7"/>
    </row>
    <row r="2242" spans="3:5">
      <c r="C2242" s="17">
        <f t="shared" ref="C2242:C2305" si="35">--ISNUMBER(SEARCH($B$1,A2242))</f>
        <v>0</v>
      </c>
      <c r="D2242" s="17" t="str">
        <f>IF(C2242=1,COUNTIF($C$1:$C2242,1),"")</f>
        <v/>
      </c>
      <c r="E2242" s="7"/>
    </row>
    <row r="2243" spans="3:5">
      <c r="C2243" s="17">
        <f t="shared" si="35"/>
        <v>0</v>
      </c>
      <c r="D2243" s="17" t="str">
        <f>IF(C2243=1,COUNTIF($C$1:$C2243,1),"")</f>
        <v/>
      </c>
      <c r="E2243" s="7"/>
    </row>
    <row r="2244" spans="3:5">
      <c r="C2244" s="17">
        <f t="shared" si="35"/>
        <v>0</v>
      </c>
      <c r="D2244" s="17" t="str">
        <f>IF(C2244=1,COUNTIF($C$1:$C2244,1),"")</f>
        <v/>
      </c>
      <c r="E2244" s="7"/>
    </row>
    <row r="2245" spans="3:5">
      <c r="C2245" s="17">
        <f t="shared" si="35"/>
        <v>0</v>
      </c>
      <c r="D2245" s="17" t="str">
        <f>IF(C2245=1,COUNTIF($C$1:$C2245,1),"")</f>
        <v/>
      </c>
      <c r="E2245" s="7"/>
    </row>
    <row r="2246" spans="3:5">
      <c r="C2246" s="17">
        <f t="shared" si="35"/>
        <v>0</v>
      </c>
      <c r="D2246" s="17" t="str">
        <f>IF(C2246=1,COUNTIF($C$1:$C2246,1),"")</f>
        <v/>
      </c>
      <c r="E2246" s="7"/>
    </row>
    <row r="2247" spans="3:5">
      <c r="C2247" s="17">
        <f t="shared" si="35"/>
        <v>0</v>
      </c>
      <c r="D2247" s="17" t="str">
        <f>IF(C2247=1,COUNTIF($C$1:$C2247,1),"")</f>
        <v/>
      </c>
      <c r="E2247" s="7"/>
    </row>
    <row r="2248" spans="3:5">
      <c r="C2248" s="17">
        <f t="shared" si="35"/>
        <v>0</v>
      </c>
      <c r="D2248" s="17" t="str">
        <f>IF(C2248=1,COUNTIF($C$1:$C2248,1),"")</f>
        <v/>
      </c>
      <c r="E2248" s="7"/>
    </row>
    <row r="2249" spans="3:5">
      <c r="C2249" s="17">
        <f t="shared" si="35"/>
        <v>0</v>
      </c>
      <c r="D2249" s="17" t="str">
        <f>IF(C2249=1,COUNTIF($C$1:$C2249,1),"")</f>
        <v/>
      </c>
      <c r="E2249" s="7"/>
    </row>
    <row r="2250" spans="3:5">
      <c r="C2250" s="17">
        <f t="shared" si="35"/>
        <v>0</v>
      </c>
      <c r="D2250" s="17" t="str">
        <f>IF(C2250=1,COUNTIF($C$1:$C2250,1),"")</f>
        <v/>
      </c>
      <c r="E2250" s="7"/>
    </row>
    <row r="2251" spans="3:5">
      <c r="C2251" s="17">
        <f t="shared" si="35"/>
        <v>0</v>
      </c>
      <c r="D2251" s="17" t="str">
        <f>IF(C2251=1,COUNTIF($C$1:$C2251,1),"")</f>
        <v/>
      </c>
      <c r="E2251" s="7"/>
    </row>
    <row r="2252" spans="3:5">
      <c r="C2252" s="17">
        <f t="shared" si="35"/>
        <v>0</v>
      </c>
      <c r="D2252" s="17" t="str">
        <f>IF(C2252=1,COUNTIF($C$1:$C2252,1),"")</f>
        <v/>
      </c>
      <c r="E2252" s="7"/>
    </row>
    <row r="2253" spans="3:5">
      <c r="C2253" s="17">
        <f t="shared" si="35"/>
        <v>0</v>
      </c>
      <c r="D2253" s="17" t="str">
        <f>IF(C2253=1,COUNTIF($C$1:$C2253,1),"")</f>
        <v/>
      </c>
      <c r="E2253" s="7"/>
    </row>
    <row r="2254" spans="3:5">
      <c r="C2254" s="17">
        <f t="shared" si="35"/>
        <v>0</v>
      </c>
      <c r="D2254" s="17" t="str">
        <f>IF(C2254=1,COUNTIF($C$1:$C2254,1),"")</f>
        <v/>
      </c>
      <c r="E2254" s="7"/>
    </row>
    <row r="2255" spans="3:5">
      <c r="C2255" s="17">
        <f t="shared" si="35"/>
        <v>0</v>
      </c>
      <c r="D2255" s="17" t="str">
        <f>IF(C2255=1,COUNTIF($C$1:$C2255,1),"")</f>
        <v/>
      </c>
      <c r="E2255" s="7"/>
    </row>
    <row r="2256" spans="3:5">
      <c r="C2256" s="17">
        <f t="shared" si="35"/>
        <v>0</v>
      </c>
      <c r="D2256" s="17" t="str">
        <f>IF(C2256=1,COUNTIF($C$1:$C2256,1),"")</f>
        <v/>
      </c>
      <c r="E2256" s="7"/>
    </row>
    <row r="2257" spans="3:5">
      <c r="C2257" s="17">
        <f t="shared" si="35"/>
        <v>0</v>
      </c>
      <c r="D2257" s="17" t="str">
        <f>IF(C2257=1,COUNTIF($C$1:$C2257,1),"")</f>
        <v/>
      </c>
      <c r="E2257" s="7"/>
    </row>
    <row r="2258" spans="3:5">
      <c r="C2258" s="17">
        <f t="shared" si="35"/>
        <v>0</v>
      </c>
      <c r="D2258" s="17" t="str">
        <f>IF(C2258=1,COUNTIF($C$1:$C2258,1),"")</f>
        <v/>
      </c>
      <c r="E2258" s="7"/>
    </row>
    <row r="2259" spans="3:5">
      <c r="C2259" s="17">
        <f t="shared" si="35"/>
        <v>0</v>
      </c>
      <c r="D2259" s="17" t="str">
        <f>IF(C2259=1,COUNTIF($C$1:$C2259,1),"")</f>
        <v/>
      </c>
      <c r="E2259" s="7"/>
    </row>
    <row r="2260" spans="3:5">
      <c r="C2260" s="17">
        <f t="shared" si="35"/>
        <v>0</v>
      </c>
      <c r="D2260" s="17" t="str">
        <f>IF(C2260=1,COUNTIF($C$1:$C2260,1),"")</f>
        <v/>
      </c>
      <c r="E2260" s="7"/>
    </row>
    <row r="2261" spans="3:5">
      <c r="C2261" s="17">
        <f t="shared" si="35"/>
        <v>0</v>
      </c>
      <c r="D2261" s="17" t="str">
        <f>IF(C2261=1,COUNTIF($C$1:$C2261,1),"")</f>
        <v/>
      </c>
      <c r="E2261" s="7"/>
    </row>
    <row r="2262" spans="3:5">
      <c r="C2262" s="17">
        <f t="shared" si="35"/>
        <v>0</v>
      </c>
      <c r="D2262" s="17" t="str">
        <f>IF(C2262=1,COUNTIF($C$1:$C2262,1),"")</f>
        <v/>
      </c>
      <c r="E2262" s="7"/>
    </row>
    <row r="2263" spans="3:5">
      <c r="C2263" s="17">
        <f t="shared" si="35"/>
        <v>0</v>
      </c>
      <c r="D2263" s="17" t="str">
        <f>IF(C2263=1,COUNTIF($C$1:$C2263,1),"")</f>
        <v/>
      </c>
      <c r="E2263" s="7"/>
    </row>
    <row r="2264" spans="3:5">
      <c r="C2264" s="17">
        <f t="shared" si="35"/>
        <v>0</v>
      </c>
      <c r="D2264" s="17" t="str">
        <f>IF(C2264=1,COUNTIF($C$1:$C2264,1),"")</f>
        <v/>
      </c>
      <c r="E2264" s="7"/>
    </row>
    <row r="2265" spans="3:5">
      <c r="C2265" s="17">
        <f t="shared" si="35"/>
        <v>0</v>
      </c>
      <c r="D2265" s="17" t="str">
        <f>IF(C2265=1,COUNTIF($C$1:$C2265,1),"")</f>
        <v/>
      </c>
      <c r="E2265" s="7"/>
    </row>
    <row r="2266" spans="3:5">
      <c r="C2266" s="17">
        <f t="shared" si="35"/>
        <v>0</v>
      </c>
      <c r="D2266" s="17" t="str">
        <f>IF(C2266=1,COUNTIF($C$1:$C2266,1),"")</f>
        <v/>
      </c>
      <c r="E2266" s="7"/>
    </row>
    <row r="2267" spans="3:5">
      <c r="C2267" s="17">
        <f t="shared" si="35"/>
        <v>0</v>
      </c>
      <c r="D2267" s="17" t="str">
        <f>IF(C2267=1,COUNTIF($C$1:$C2267,1),"")</f>
        <v/>
      </c>
      <c r="E2267" s="7"/>
    </row>
    <row r="2268" spans="3:5">
      <c r="C2268" s="17">
        <f t="shared" si="35"/>
        <v>0</v>
      </c>
      <c r="D2268" s="17" t="str">
        <f>IF(C2268=1,COUNTIF($C$1:$C2268,1),"")</f>
        <v/>
      </c>
      <c r="E2268" s="7"/>
    </row>
    <row r="2269" spans="3:5">
      <c r="C2269" s="17">
        <f t="shared" si="35"/>
        <v>0</v>
      </c>
      <c r="D2269" s="17" t="str">
        <f>IF(C2269=1,COUNTIF($C$1:$C2269,1),"")</f>
        <v/>
      </c>
      <c r="E2269" s="7"/>
    </row>
    <row r="2270" spans="3:5">
      <c r="C2270" s="17">
        <f t="shared" si="35"/>
        <v>0</v>
      </c>
      <c r="D2270" s="17" t="str">
        <f>IF(C2270=1,COUNTIF($C$1:$C2270,1),"")</f>
        <v/>
      </c>
      <c r="E2270" s="7"/>
    </row>
    <row r="2271" spans="3:5">
      <c r="C2271" s="17">
        <f t="shared" si="35"/>
        <v>0</v>
      </c>
      <c r="D2271" s="17" t="str">
        <f>IF(C2271=1,COUNTIF($C$1:$C2271,1),"")</f>
        <v/>
      </c>
      <c r="E2271" s="7"/>
    </row>
    <row r="2272" spans="3:5">
      <c r="C2272" s="17">
        <f t="shared" si="35"/>
        <v>0</v>
      </c>
      <c r="D2272" s="17" t="str">
        <f>IF(C2272=1,COUNTIF($C$1:$C2272,1),"")</f>
        <v/>
      </c>
      <c r="E2272" s="7"/>
    </row>
    <row r="2273" spans="3:5">
      <c r="C2273" s="17">
        <f t="shared" si="35"/>
        <v>0</v>
      </c>
      <c r="D2273" s="17" t="str">
        <f>IF(C2273=1,COUNTIF($C$1:$C2273,1),"")</f>
        <v/>
      </c>
      <c r="E2273" s="7"/>
    </row>
    <row r="2274" spans="3:5">
      <c r="C2274" s="17">
        <f t="shared" si="35"/>
        <v>0</v>
      </c>
      <c r="D2274" s="17" t="str">
        <f>IF(C2274=1,COUNTIF($C$1:$C2274,1),"")</f>
        <v/>
      </c>
      <c r="E2274" s="7"/>
    </row>
    <row r="2275" spans="3:5">
      <c r="C2275" s="17">
        <f t="shared" si="35"/>
        <v>0</v>
      </c>
      <c r="D2275" s="17" t="str">
        <f>IF(C2275=1,COUNTIF($C$1:$C2275,1),"")</f>
        <v/>
      </c>
      <c r="E2275" s="7"/>
    </row>
    <row r="2276" spans="3:5">
      <c r="C2276" s="17">
        <f t="shared" si="35"/>
        <v>0</v>
      </c>
      <c r="D2276" s="17" t="str">
        <f>IF(C2276=1,COUNTIF($C$1:$C2276,1),"")</f>
        <v/>
      </c>
      <c r="E2276" s="7"/>
    </row>
    <row r="2277" spans="3:5">
      <c r="C2277" s="17">
        <f t="shared" si="35"/>
        <v>0</v>
      </c>
      <c r="D2277" s="17" t="str">
        <f>IF(C2277=1,COUNTIF($C$1:$C2277,1),"")</f>
        <v/>
      </c>
      <c r="E2277" s="7"/>
    </row>
    <row r="2278" spans="3:5">
      <c r="C2278" s="17">
        <f t="shared" si="35"/>
        <v>0</v>
      </c>
      <c r="D2278" s="17" t="str">
        <f>IF(C2278=1,COUNTIF($C$1:$C2278,1),"")</f>
        <v/>
      </c>
      <c r="E2278" s="7"/>
    </row>
    <row r="2279" spans="3:5">
      <c r="C2279" s="17">
        <f t="shared" si="35"/>
        <v>0</v>
      </c>
      <c r="D2279" s="17" t="str">
        <f>IF(C2279=1,COUNTIF($C$1:$C2279,1),"")</f>
        <v/>
      </c>
      <c r="E2279" s="7"/>
    </row>
    <row r="2280" spans="3:5">
      <c r="C2280" s="17">
        <f t="shared" si="35"/>
        <v>0</v>
      </c>
      <c r="D2280" s="17" t="str">
        <f>IF(C2280=1,COUNTIF($C$1:$C2280,1),"")</f>
        <v/>
      </c>
      <c r="E2280" s="7"/>
    </row>
    <row r="2281" spans="3:5">
      <c r="C2281" s="17">
        <f t="shared" si="35"/>
        <v>0</v>
      </c>
      <c r="D2281" s="17" t="str">
        <f>IF(C2281=1,COUNTIF($C$1:$C2281,1),"")</f>
        <v/>
      </c>
      <c r="E2281" s="7"/>
    </row>
    <row r="2282" spans="3:5">
      <c r="C2282" s="17">
        <f t="shared" si="35"/>
        <v>0</v>
      </c>
      <c r="D2282" s="17" t="str">
        <f>IF(C2282=1,COUNTIF($C$1:$C2282,1),"")</f>
        <v/>
      </c>
      <c r="E2282" s="7"/>
    </row>
    <row r="2283" spans="3:5">
      <c r="C2283" s="17">
        <f t="shared" si="35"/>
        <v>0</v>
      </c>
      <c r="D2283" s="17" t="str">
        <f>IF(C2283=1,COUNTIF($C$1:$C2283,1),"")</f>
        <v/>
      </c>
      <c r="E2283" s="7"/>
    </row>
    <row r="2284" spans="3:5">
      <c r="C2284" s="17">
        <f t="shared" si="35"/>
        <v>0</v>
      </c>
      <c r="D2284" s="17" t="str">
        <f>IF(C2284=1,COUNTIF($C$1:$C2284,1),"")</f>
        <v/>
      </c>
      <c r="E2284" s="7"/>
    </row>
    <row r="2285" spans="3:5">
      <c r="C2285" s="17">
        <f t="shared" si="35"/>
        <v>0</v>
      </c>
      <c r="D2285" s="17" t="str">
        <f>IF(C2285=1,COUNTIF($C$1:$C2285,1),"")</f>
        <v/>
      </c>
      <c r="E2285" s="7"/>
    </row>
    <row r="2286" spans="3:5">
      <c r="C2286" s="17">
        <f t="shared" si="35"/>
        <v>0</v>
      </c>
      <c r="D2286" s="17" t="str">
        <f>IF(C2286=1,COUNTIF($C$1:$C2286,1),"")</f>
        <v/>
      </c>
      <c r="E2286" s="7"/>
    </row>
    <row r="2287" spans="3:5">
      <c r="C2287" s="17">
        <f t="shared" si="35"/>
        <v>0</v>
      </c>
      <c r="D2287" s="17" t="str">
        <f>IF(C2287=1,COUNTIF($C$1:$C2287,1),"")</f>
        <v/>
      </c>
      <c r="E2287" s="7"/>
    </row>
    <row r="2288" spans="3:5">
      <c r="C2288" s="17">
        <f t="shared" si="35"/>
        <v>0</v>
      </c>
      <c r="D2288" s="17" t="str">
        <f>IF(C2288=1,COUNTIF($C$1:$C2288,1),"")</f>
        <v/>
      </c>
      <c r="E2288" s="7"/>
    </row>
    <row r="2289" spans="3:5">
      <c r="C2289" s="17">
        <f t="shared" si="35"/>
        <v>0</v>
      </c>
      <c r="D2289" s="17" t="str">
        <f>IF(C2289=1,COUNTIF($C$1:$C2289,1),"")</f>
        <v/>
      </c>
      <c r="E2289" s="7"/>
    </row>
    <row r="2290" spans="3:5">
      <c r="C2290" s="17">
        <f t="shared" si="35"/>
        <v>0</v>
      </c>
      <c r="D2290" s="17" t="str">
        <f>IF(C2290=1,COUNTIF($C$1:$C2290,1),"")</f>
        <v/>
      </c>
      <c r="E2290" s="7"/>
    </row>
    <row r="2291" spans="3:5">
      <c r="C2291" s="17">
        <f t="shared" si="35"/>
        <v>0</v>
      </c>
      <c r="D2291" s="17" t="str">
        <f>IF(C2291=1,COUNTIF($C$1:$C2291,1),"")</f>
        <v/>
      </c>
      <c r="E2291" s="7"/>
    </row>
    <row r="2292" spans="3:5">
      <c r="C2292" s="17">
        <f t="shared" si="35"/>
        <v>0</v>
      </c>
      <c r="D2292" s="17" t="str">
        <f>IF(C2292=1,COUNTIF($C$1:$C2292,1),"")</f>
        <v/>
      </c>
      <c r="E2292" s="7"/>
    </row>
    <row r="2293" spans="3:5">
      <c r="C2293" s="17">
        <f t="shared" si="35"/>
        <v>0</v>
      </c>
      <c r="D2293" s="17" t="str">
        <f>IF(C2293=1,COUNTIF($C$1:$C2293,1),"")</f>
        <v/>
      </c>
      <c r="E2293" s="7"/>
    </row>
    <row r="2294" spans="3:5">
      <c r="C2294" s="17">
        <f t="shared" si="35"/>
        <v>0</v>
      </c>
      <c r="D2294" s="17" t="str">
        <f>IF(C2294=1,COUNTIF($C$1:$C2294,1),"")</f>
        <v/>
      </c>
      <c r="E2294" s="7"/>
    </row>
    <row r="2295" spans="3:5">
      <c r="C2295" s="17">
        <f t="shared" si="35"/>
        <v>0</v>
      </c>
      <c r="D2295" s="17" t="str">
        <f>IF(C2295=1,COUNTIF($C$1:$C2295,1),"")</f>
        <v/>
      </c>
      <c r="E2295" s="7"/>
    </row>
    <row r="2296" spans="3:5">
      <c r="C2296" s="17">
        <f t="shared" si="35"/>
        <v>0</v>
      </c>
      <c r="D2296" s="17" t="str">
        <f>IF(C2296=1,COUNTIF($C$1:$C2296,1),"")</f>
        <v/>
      </c>
      <c r="E2296" s="7"/>
    </row>
    <row r="2297" spans="3:5">
      <c r="C2297" s="17">
        <f t="shared" si="35"/>
        <v>0</v>
      </c>
      <c r="D2297" s="17" t="str">
        <f>IF(C2297=1,COUNTIF($C$1:$C2297,1),"")</f>
        <v/>
      </c>
      <c r="E2297" s="7"/>
    </row>
    <row r="2298" spans="3:5">
      <c r="C2298" s="17">
        <f t="shared" si="35"/>
        <v>0</v>
      </c>
      <c r="D2298" s="17" t="str">
        <f>IF(C2298=1,COUNTIF($C$1:$C2298,1),"")</f>
        <v/>
      </c>
      <c r="E2298" s="7"/>
    </row>
    <row r="2299" spans="3:5">
      <c r="C2299" s="17">
        <f t="shared" si="35"/>
        <v>0</v>
      </c>
      <c r="D2299" s="17" t="str">
        <f>IF(C2299=1,COUNTIF($C$1:$C2299,1),"")</f>
        <v/>
      </c>
      <c r="E2299" s="7"/>
    </row>
    <row r="2300" spans="3:5">
      <c r="C2300" s="17">
        <f t="shared" si="35"/>
        <v>0</v>
      </c>
      <c r="D2300" s="17" t="str">
        <f>IF(C2300=1,COUNTIF($C$1:$C2300,1),"")</f>
        <v/>
      </c>
      <c r="E2300" s="7"/>
    </row>
    <row r="2301" spans="3:5">
      <c r="C2301" s="17">
        <f t="shared" si="35"/>
        <v>0</v>
      </c>
      <c r="D2301" s="17" t="str">
        <f>IF(C2301=1,COUNTIF($C$1:$C2301,1),"")</f>
        <v/>
      </c>
      <c r="E2301" s="7"/>
    </row>
    <row r="2302" spans="3:5">
      <c r="C2302" s="17">
        <f t="shared" si="35"/>
        <v>0</v>
      </c>
      <c r="D2302" s="17" t="str">
        <f>IF(C2302=1,COUNTIF($C$1:$C2302,1),"")</f>
        <v/>
      </c>
      <c r="E2302" s="7"/>
    </row>
    <row r="2303" spans="3:5">
      <c r="C2303" s="17">
        <f t="shared" si="35"/>
        <v>0</v>
      </c>
      <c r="D2303" s="17" t="str">
        <f>IF(C2303=1,COUNTIF($C$1:$C2303,1),"")</f>
        <v/>
      </c>
      <c r="E2303" s="7"/>
    </row>
    <row r="2304" spans="3:5">
      <c r="C2304" s="17">
        <f t="shared" si="35"/>
        <v>0</v>
      </c>
      <c r="D2304" s="17" t="str">
        <f>IF(C2304=1,COUNTIF($C$1:$C2304,1),"")</f>
        <v/>
      </c>
      <c r="E2304" s="7"/>
    </row>
    <row r="2305" spans="3:5">
      <c r="C2305" s="17">
        <f t="shared" si="35"/>
        <v>0</v>
      </c>
      <c r="D2305" s="17" t="str">
        <f>IF(C2305=1,COUNTIF($C$1:$C2305,1),"")</f>
        <v/>
      </c>
      <c r="E2305" s="7"/>
    </row>
    <row r="2306" spans="3:5">
      <c r="C2306" s="17">
        <f t="shared" ref="C2306:C2369" si="36">--ISNUMBER(SEARCH($B$1,A2306))</f>
        <v>0</v>
      </c>
      <c r="D2306" s="17" t="str">
        <f>IF(C2306=1,COUNTIF($C$1:$C2306,1),"")</f>
        <v/>
      </c>
      <c r="E2306" s="7"/>
    </row>
    <row r="2307" spans="3:5">
      <c r="C2307" s="17">
        <f t="shared" si="36"/>
        <v>0</v>
      </c>
      <c r="D2307" s="17" t="str">
        <f>IF(C2307=1,COUNTIF($C$1:$C2307,1),"")</f>
        <v/>
      </c>
      <c r="E2307" s="7"/>
    </row>
    <row r="2308" spans="3:5">
      <c r="C2308" s="17">
        <f t="shared" si="36"/>
        <v>0</v>
      </c>
      <c r="D2308" s="17" t="str">
        <f>IF(C2308=1,COUNTIF($C$1:$C2308,1),"")</f>
        <v/>
      </c>
      <c r="E2308" s="7"/>
    </row>
    <row r="2309" spans="3:5">
      <c r="C2309" s="17">
        <f t="shared" si="36"/>
        <v>0</v>
      </c>
      <c r="D2309" s="17" t="str">
        <f>IF(C2309=1,COUNTIF($C$1:$C2309,1),"")</f>
        <v/>
      </c>
      <c r="E2309" s="7"/>
    </row>
    <row r="2310" spans="3:5">
      <c r="C2310" s="17">
        <f t="shared" si="36"/>
        <v>0</v>
      </c>
      <c r="D2310" s="17" t="str">
        <f>IF(C2310=1,COUNTIF($C$1:$C2310,1),"")</f>
        <v/>
      </c>
      <c r="E2310" s="7"/>
    </row>
    <row r="2311" spans="3:5">
      <c r="C2311" s="17">
        <f t="shared" si="36"/>
        <v>0</v>
      </c>
      <c r="D2311" s="17" t="str">
        <f>IF(C2311=1,COUNTIF($C$1:$C2311,1),"")</f>
        <v/>
      </c>
      <c r="E2311" s="7"/>
    </row>
    <row r="2312" spans="3:5">
      <c r="C2312" s="17">
        <f t="shared" si="36"/>
        <v>0</v>
      </c>
      <c r="D2312" s="17" t="str">
        <f>IF(C2312=1,COUNTIF($C$1:$C2312,1),"")</f>
        <v/>
      </c>
      <c r="E2312" s="7"/>
    </row>
    <row r="2313" spans="3:5">
      <c r="C2313" s="17">
        <f t="shared" si="36"/>
        <v>0</v>
      </c>
      <c r="D2313" s="17" t="str">
        <f>IF(C2313=1,COUNTIF($C$1:$C2313,1),"")</f>
        <v/>
      </c>
      <c r="E2313" s="7"/>
    </row>
    <row r="2314" spans="3:5">
      <c r="C2314" s="17">
        <f t="shared" si="36"/>
        <v>0</v>
      </c>
      <c r="D2314" s="17" t="str">
        <f>IF(C2314=1,COUNTIF($C$1:$C2314,1),"")</f>
        <v/>
      </c>
      <c r="E2314" s="7"/>
    </row>
    <row r="2315" spans="3:5">
      <c r="C2315" s="17">
        <f t="shared" si="36"/>
        <v>0</v>
      </c>
      <c r="D2315" s="17" t="str">
        <f>IF(C2315=1,COUNTIF($C$1:$C2315,1),"")</f>
        <v/>
      </c>
      <c r="E2315" s="7"/>
    </row>
    <row r="2316" spans="3:5">
      <c r="C2316" s="17">
        <f t="shared" si="36"/>
        <v>0</v>
      </c>
      <c r="D2316" s="17" t="str">
        <f>IF(C2316=1,COUNTIF($C$1:$C2316,1),"")</f>
        <v/>
      </c>
      <c r="E2316" s="7"/>
    </row>
    <row r="2317" spans="3:5">
      <c r="C2317" s="17">
        <f t="shared" si="36"/>
        <v>0</v>
      </c>
      <c r="D2317" s="17" t="str">
        <f>IF(C2317=1,COUNTIF($C$1:$C2317,1),"")</f>
        <v/>
      </c>
      <c r="E2317" s="7"/>
    </row>
    <row r="2318" spans="3:5">
      <c r="C2318" s="17">
        <f t="shared" si="36"/>
        <v>0</v>
      </c>
      <c r="D2318" s="17" t="str">
        <f>IF(C2318=1,COUNTIF($C$1:$C2318,1),"")</f>
        <v/>
      </c>
      <c r="E2318" s="7"/>
    </row>
    <row r="2319" spans="3:5">
      <c r="C2319" s="17">
        <f t="shared" si="36"/>
        <v>0</v>
      </c>
      <c r="D2319" s="17" t="str">
        <f>IF(C2319=1,COUNTIF($C$1:$C2319,1),"")</f>
        <v/>
      </c>
      <c r="E2319" s="7"/>
    </row>
    <row r="2320" spans="3:5">
      <c r="C2320" s="17">
        <f t="shared" si="36"/>
        <v>0</v>
      </c>
      <c r="D2320" s="17" t="str">
        <f>IF(C2320=1,COUNTIF($C$1:$C2320,1),"")</f>
        <v/>
      </c>
      <c r="E2320" s="7"/>
    </row>
    <row r="2321" spans="3:5">
      <c r="C2321" s="17">
        <f t="shared" si="36"/>
        <v>0</v>
      </c>
      <c r="D2321" s="17" t="str">
        <f>IF(C2321=1,COUNTIF($C$1:$C2321,1),"")</f>
        <v/>
      </c>
      <c r="E2321" s="7"/>
    </row>
    <row r="2322" spans="3:5">
      <c r="C2322" s="17">
        <f t="shared" si="36"/>
        <v>0</v>
      </c>
      <c r="D2322" s="17" t="str">
        <f>IF(C2322=1,COUNTIF($C$1:$C2322,1),"")</f>
        <v/>
      </c>
      <c r="E2322" s="7"/>
    </row>
    <row r="2323" spans="3:5">
      <c r="C2323" s="17">
        <f t="shared" si="36"/>
        <v>0</v>
      </c>
      <c r="D2323" s="17" t="str">
        <f>IF(C2323=1,COUNTIF($C$1:$C2323,1),"")</f>
        <v/>
      </c>
      <c r="E2323" s="7"/>
    </row>
    <row r="2324" spans="3:5">
      <c r="C2324" s="17">
        <f t="shared" si="36"/>
        <v>0</v>
      </c>
      <c r="D2324" s="17" t="str">
        <f>IF(C2324=1,COUNTIF($C$1:$C2324,1),"")</f>
        <v/>
      </c>
      <c r="E2324" s="7"/>
    </row>
    <row r="2325" spans="3:5">
      <c r="C2325" s="17">
        <f t="shared" si="36"/>
        <v>0</v>
      </c>
      <c r="D2325" s="17" t="str">
        <f>IF(C2325=1,COUNTIF($C$1:$C2325,1),"")</f>
        <v/>
      </c>
      <c r="E2325" s="7"/>
    </row>
    <row r="2326" spans="3:5">
      <c r="C2326" s="17">
        <f t="shared" si="36"/>
        <v>0</v>
      </c>
      <c r="D2326" s="17" t="str">
        <f>IF(C2326=1,COUNTIF($C$1:$C2326,1),"")</f>
        <v/>
      </c>
      <c r="E2326" s="7"/>
    </row>
    <row r="2327" spans="3:5">
      <c r="C2327" s="17">
        <f t="shared" si="36"/>
        <v>0</v>
      </c>
      <c r="D2327" s="17" t="str">
        <f>IF(C2327=1,COUNTIF($C$1:$C2327,1),"")</f>
        <v/>
      </c>
      <c r="E2327" s="7"/>
    </row>
    <row r="2328" spans="3:5">
      <c r="C2328" s="17">
        <f t="shared" si="36"/>
        <v>0</v>
      </c>
      <c r="D2328" s="17" t="str">
        <f>IF(C2328=1,COUNTIF($C$1:$C2328,1),"")</f>
        <v/>
      </c>
      <c r="E2328" s="7"/>
    </row>
    <row r="2329" spans="3:5">
      <c r="C2329" s="17">
        <f t="shared" si="36"/>
        <v>0</v>
      </c>
      <c r="D2329" s="17" t="str">
        <f>IF(C2329=1,COUNTIF($C$1:$C2329,1),"")</f>
        <v/>
      </c>
      <c r="E2329" s="7"/>
    </row>
    <row r="2330" spans="3:5">
      <c r="C2330" s="17">
        <f t="shared" si="36"/>
        <v>0</v>
      </c>
      <c r="D2330" s="17" t="str">
        <f>IF(C2330=1,COUNTIF($C$1:$C2330,1),"")</f>
        <v/>
      </c>
      <c r="E2330" s="7"/>
    </row>
    <row r="2331" spans="3:5">
      <c r="C2331" s="17">
        <f t="shared" si="36"/>
        <v>0</v>
      </c>
      <c r="D2331" s="17" t="str">
        <f>IF(C2331=1,COUNTIF($C$1:$C2331,1),"")</f>
        <v/>
      </c>
      <c r="E2331" s="7"/>
    </row>
    <row r="2332" spans="3:5">
      <c r="C2332" s="17">
        <f t="shared" si="36"/>
        <v>0</v>
      </c>
      <c r="D2332" s="17" t="str">
        <f>IF(C2332=1,COUNTIF($C$1:$C2332,1),"")</f>
        <v/>
      </c>
      <c r="E2332" s="7"/>
    </row>
    <row r="2333" spans="3:5">
      <c r="C2333" s="17">
        <f t="shared" si="36"/>
        <v>0</v>
      </c>
      <c r="D2333" s="17" t="str">
        <f>IF(C2333=1,COUNTIF($C$1:$C2333,1),"")</f>
        <v/>
      </c>
      <c r="E2333" s="7"/>
    </row>
    <row r="2334" spans="3:5">
      <c r="C2334" s="17">
        <f t="shared" si="36"/>
        <v>0</v>
      </c>
      <c r="D2334" s="17" t="str">
        <f>IF(C2334=1,COUNTIF($C$1:$C2334,1),"")</f>
        <v/>
      </c>
      <c r="E2334" s="7"/>
    </row>
    <row r="2335" spans="3:5">
      <c r="C2335" s="17">
        <f t="shared" si="36"/>
        <v>0</v>
      </c>
      <c r="D2335" s="17" t="str">
        <f>IF(C2335=1,COUNTIF($C$1:$C2335,1),"")</f>
        <v/>
      </c>
      <c r="E2335" s="7"/>
    </row>
    <row r="2336" spans="3:5">
      <c r="C2336" s="17">
        <f t="shared" si="36"/>
        <v>0</v>
      </c>
      <c r="D2336" s="17" t="str">
        <f>IF(C2336=1,COUNTIF($C$1:$C2336,1),"")</f>
        <v/>
      </c>
      <c r="E2336" s="7"/>
    </row>
    <row r="2337" spans="3:5">
      <c r="C2337" s="17">
        <f t="shared" si="36"/>
        <v>0</v>
      </c>
      <c r="D2337" s="17" t="str">
        <f>IF(C2337=1,COUNTIF($C$1:$C2337,1),"")</f>
        <v/>
      </c>
      <c r="E2337" s="7"/>
    </row>
    <row r="2338" spans="3:5">
      <c r="C2338" s="17">
        <f t="shared" si="36"/>
        <v>0</v>
      </c>
      <c r="D2338" s="17" t="str">
        <f>IF(C2338=1,COUNTIF($C$1:$C2338,1),"")</f>
        <v/>
      </c>
      <c r="E2338" s="7"/>
    </row>
    <row r="2339" spans="3:5">
      <c r="C2339" s="17">
        <f t="shared" si="36"/>
        <v>0</v>
      </c>
      <c r="D2339" s="17" t="str">
        <f>IF(C2339=1,COUNTIF($C$1:$C2339,1),"")</f>
        <v/>
      </c>
      <c r="E2339" s="7"/>
    </row>
    <row r="2340" spans="3:5">
      <c r="C2340" s="17">
        <f t="shared" si="36"/>
        <v>0</v>
      </c>
      <c r="D2340" s="17" t="str">
        <f>IF(C2340=1,COUNTIF($C$1:$C2340,1),"")</f>
        <v/>
      </c>
      <c r="E2340" s="7"/>
    </row>
    <row r="2341" spans="3:5">
      <c r="C2341" s="17">
        <f t="shared" si="36"/>
        <v>0</v>
      </c>
      <c r="D2341" s="17" t="str">
        <f>IF(C2341=1,COUNTIF($C$1:$C2341,1),"")</f>
        <v/>
      </c>
      <c r="E2341" s="7"/>
    </row>
    <row r="2342" spans="3:5">
      <c r="C2342" s="17">
        <f t="shared" si="36"/>
        <v>0</v>
      </c>
      <c r="D2342" s="17" t="str">
        <f>IF(C2342=1,COUNTIF($C$1:$C2342,1),"")</f>
        <v/>
      </c>
      <c r="E2342" s="7"/>
    </row>
    <row r="2343" spans="3:5">
      <c r="C2343" s="17">
        <f t="shared" si="36"/>
        <v>0</v>
      </c>
      <c r="D2343" s="17" t="str">
        <f>IF(C2343=1,COUNTIF($C$1:$C2343,1),"")</f>
        <v/>
      </c>
      <c r="E2343" s="7"/>
    </row>
    <row r="2344" spans="3:5">
      <c r="C2344" s="17">
        <f t="shared" si="36"/>
        <v>0</v>
      </c>
      <c r="D2344" s="17" t="str">
        <f>IF(C2344=1,COUNTIF($C$1:$C2344,1),"")</f>
        <v/>
      </c>
      <c r="E2344" s="7"/>
    </row>
    <row r="2345" spans="3:5">
      <c r="C2345" s="17">
        <f t="shared" si="36"/>
        <v>0</v>
      </c>
      <c r="D2345" s="17" t="str">
        <f>IF(C2345=1,COUNTIF($C$1:$C2345,1),"")</f>
        <v/>
      </c>
      <c r="E2345" s="7"/>
    </row>
    <row r="2346" spans="3:5">
      <c r="C2346" s="17">
        <f t="shared" si="36"/>
        <v>0</v>
      </c>
      <c r="D2346" s="17" t="str">
        <f>IF(C2346=1,COUNTIF($C$1:$C2346,1),"")</f>
        <v/>
      </c>
      <c r="E2346" s="7"/>
    </row>
    <row r="2347" spans="3:5">
      <c r="C2347" s="17">
        <f t="shared" si="36"/>
        <v>0</v>
      </c>
      <c r="D2347" s="17" t="str">
        <f>IF(C2347=1,COUNTIF($C$1:$C2347,1),"")</f>
        <v/>
      </c>
      <c r="E2347" s="7"/>
    </row>
    <row r="2348" spans="3:5">
      <c r="C2348" s="17">
        <f t="shared" si="36"/>
        <v>0</v>
      </c>
      <c r="D2348" s="17" t="str">
        <f>IF(C2348=1,COUNTIF($C$1:$C2348,1),"")</f>
        <v/>
      </c>
      <c r="E2348" s="7"/>
    </row>
    <row r="2349" spans="3:5">
      <c r="C2349" s="17">
        <f t="shared" si="36"/>
        <v>0</v>
      </c>
      <c r="D2349" s="17" t="str">
        <f>IF(C2349=1,COUNTIF($C$1:$C2349,1),"")</f>
        <v/>
      </c>
      <c r="E2349" s="7"/>
    </row>
    <row r="2350" spans="3:5">
      <c r="C2350" s="17">
        <f t="shared" si="36"/>
        <v>0</v>
      </c>
      <c r="D2350" s="17" t="str">
        <f>IF(C2350=1,COUNTIF($C$1:$C2350,1),"")</f>
        <v/>
      </c>
      <c r="E2350" s="7"/>
    </row>
    <row r="2351" spans="3:5">
      <c r="C2351" s="17">
        <f t="shared" si="36"/>
        <v>0</v>
      </c>
      <c r="D2351" s="17" t="str">
        <f>IF(C2351=1,COUNTIF($C$1:$C2351,1),"")</f>
        <v/>
      </c>
      <c r="E2351" s="7"/>
    </row>
    <row r="2352" spans="3:5">
      <c r="C2352" s="17">
        <f t="shared" si="36"/>
        <v>0</v>
      </c>
      <c r="D2352" s="17" t="str">
        <f>IF(C2352=1,COUNTIF($C$1:$C2352,1),"")</f>
        <v/>
      </c>
      <c r="E2352" s="7"/>
    </row>
    <row r="2353" spans="3:5">
      <c r="C2353" s="17">
        <f t="shared" si="36"/>
        <v>0</v>
      </c>
      <c r="D2353" s="17" t="str">
        <f>IF(C2353=1,COUNTIF($C$1:$C2353,1),"")</f>
        <v/>
      </c>
      <c r="E2353" s="7"/>
    </row>
    <row r="2354" spans="3:5">
      <c r="C2354" s="17">
        <f t="shared" si="36"/>
        <v>0</v>
      </c>
      <c r="D2354" s="17" t="str">
        <f>IF(C2354=1,COUNTIF($C$1:$C2354,1),"")</f>
        <v/>
      </c>
      <c r="E2354" s="7"/>
    </row>
    <row r="2355" spans="3:5">
      <c r="C2355" s="17">
        <f t="shared" si="36"/>
        <v>0</v>
      </c>
      <c r="D2355" s="17" t="str">
        <f>IF(C2355=1,COUNTIF($C$1:$C2355,1),"")</f>
        <v/>
      </c>
      <c r="E2355" s="7"/>
    </row>
    <row r="2356" spans="3:5">
      <c r="C2356" s="17">
        <f t="shared" si="36"/>
        <v>0</v>
      </c>
      <c r="D2356" s="17" t="str">
        <f>IF(C2356=1,COUNTIF($C$1:$C2356,1),"")</f>
        <v/>
      </c>
      <c r="E2356" s="7"/>
    </row>
    <row r="2357" spans="3:5">
      <c r="C2357" s="17">
        <f t="shared" si="36"/>
        <v>0</v>
      </c>
      <c r="D2357" s="17" t="str">
        <f>IF(C2357=1,COUNTIF($C$1:$C2357,1),"")</f>
        <v/>
      </c>
      <c r="E2357" s="7"/>
    </row>
    <row r="2358" spans="3:5">
      <c r="C2358" s="17">
        <f t="shared" si="36"/>
        <v>0</v>
      </c>
      <c r="D2358" s="17" t="str">
        <f>IF(C2358=1,COUNTIF($C$1:$C2358,1),"")</f>
        <v/>
      </c>
      <c r="E2358" s="7"/>
    </row>
    <row r="2359" spans="3:5">
      <c r="C2359" s="17">
        <f t="shared" si="36"/>
        <v>0</v>
      </c>
      <c r="D2359" s="17" t="str">
        <f>IF(C2359=1,COUNTIF($C$1:$C2359,1),"")</f>
        <v/>
      </c>
      <c r="E2359" s="7"/>
    </row>
    <row r="2360" spans="3:5">
      <c r="C2360" s="17">
        <f t="shared" si="36"/>
        <v>0</v>
      </c>
      <c r="D2360" s="17" t="str">
        <f>IF(C2360=1,COUNTIF($C$1:$C2360,1),"")</f>
        <v/>
      </c>
      <c r="E2360" s="7"/>
    </row>
    <row r="2361" spans="3:5">
      <c r="C2361" s="17">
        <f t="shared" si="36"/>
        <v>0</v>
      </c>
      <c r="D2361" s="17" t="str">
        <f>IF(C2361=1,COUNTIF($C$1:$C2361,1),"")</f>
        <v/>
      </c>
      <c r="E2361" s="7"/>
    </row>
    <row r="2362" spans="3:5">
      <c r="C2362" s="17">
        <f t="shared" si="36"/>
        <v>0</v>
      </c>
      <c r="D2362" s="17" t="str">
        <f>IF(C2362=1,COUNTIF($C$1:$C2362,1),"")</f>
        <v/>
      </c>
      <c r="E2362" s="7"/>
    </row>
    <row r="2363" spans="3:5">
      <c r="C2363" s="17">
        <f t="shared" si="36"/>
        <v>0</v>
      </c>
      <c r="D2363" s="17" t="str">
        <f>IF(C2363=1,COUNTIF($C$1:$C2363,1),"")</f>
        <v/>
      </c>
      <c r="E2363" s="7"/>
    </row>
    <row r="2364" spans="3:5">
      <c r="C2364" s="17">
        <f t="shared" si="36"/>
        <v>0</v>
      </c>
      <c r="D2364" s="17" t="str">
        <f>IF(C2364=1,COUNTIF($C$1:$C2364,1),"")</f>
        <v/>
      </c>
      <c r="E2364" s="7"/>
    </row>
    <row r="2365" spans="3:5">
      <c r="C2365" s="17">
        <f t="shared" si="36"/>
        <v>0</v>
      </c>
      <c r="D2365" s="17" t="str">
        <f>IF(C2365=1,COUNTIF($C$1:$C2365,1),"")</f>
        <v/>
      </c>
      <c r="E2365" s="7"/>
    </row>
    <row r="2366" spans="3:5">
      <c r="C2366" s="17">
        <f t="shared" si="36"/>
        <v>0</v>
      </c>
      <c r="D2366" s="17" t="str">
        <f>IF(C2366=1,COUNTIF($C$1:$C2366,1),"")</f>
        <v/>
      </c>
      <c r="E2366" s="7"/>
    </row>
    <row r="2367" spans="3:5">
      <c r="C2367" s="17">
        <f t="shared" si="36"/>
        <v>0</v>
      </c>
      <c r="D2367" s="17" t="str">
        <f>IF(C2367=1,COUNTIF($C$1:$C2367,1),"")</f>
        <v/>
      </c>
      <c r="E2367" s="7"/>
    </row>
    <row r="2368" spans="3:5">
      <c r="C2368" s="17">
        <f t="shared" si="36"/>
        <v>0</v>
      </c>
      <c r="D2368" s="17" t="str">
        <f>IF(C2368=1,COUNTIF($C$1:$C2368,1),"")</f>
        <v/>
      </c>
      <c r="E2368" s="7"/>
    </row>
    <row r="2369" spans="3:5">
      <c r="C2369" s="17">
        <f t="shared" si="36"/>
        <v>0</v>
      </c>
      <c r="D2369" s="17" t="str">
        <f>IF(C2369=1,COUNTIF($C$1:$C2369,1),"")</f>
        <v/>
      </c>
      <c r="E2369" s="7"/>
    </row>
    <row r="2370" spans="3:5">
      <c r="C2370" s="17">
        <f t="shared" ref="C2370:C2433" si="37">--ISNUMBER(SEARCH($B$1,A2370))</f>
        <v>0</v>
      </c>
      <c r="D2370" s="17" t="str">
        <f>IF(C2370=1,COUNTIF($C$1:$C2370,1),"")</f>
        <v/>
      </c>
      <c r="E2370" s="7"/>
    </row>
    <row r="2371" spans="3:5">
      <c r="C2371" s="17">
        <f t="shared" si="37"/>
        <v>0</v>
      </c>
      <c r="D2371" s="17" t="str">
        <f>IF(C2371=1,COUNTIF($C$1:$C2371,1),"")</f>
        <v/>
      </c>
      <c r="E2371" s="7"/>
    </row>
    <row r="2372" spans="3:5">
      <c r="C2372" s="17">
        <f t="shared" si="37"/>
        <v>0</v>
      </c>
      <c r="D2372" s="17" t="str">
        <f>IF(C2372=1,COUNTIF($C$1:$C2372,1),"")</f>
        <v/>
      </c>
      <c r="E2372" s="7"/>
    </row>
    <row r="2373" spans="3:5">
      <c r="C2373" s="17">
        <f t="shared" si="37"/>
        <v>0</v>
      </c>
      <c r="D2373" s="17" t="str">
        <f>IF(C2373=1,COUNTIF($C$1:$C2373,1),"")</f>
        <v/>
      </c>
      <c r="E2373" s="7"/>
    </row>
    <row r="2374" spans="3:5">
      <c r="C2374" s="17">
        <f t="shared" si="37"/>
        <v>0</v>
      </c>
      <c r="D2374" s="17" t="str">
        <f>IF(C2374=1,COUNTIF($C$1:$C2374,1),"")</f>
        <v/>
      </c>
      <c r="E2374" s="7"/>
    </row>
    <row r="2375" spans="3:5">
      <c r="C2375" s="17">
        <f t="shared" si="37"/>
        <v>0</v>
      </c>
      <c r="D2375" s="17" t="str">
        <f>IF(C2375=1,COUNTIF($C$1:$C2375,1),"")</f>
        <v/>
      </c>
      <c r="E2375" s="7"/>
    </row>
    <row r="2376" spans="3:5">
      <c r="C2376" s="17">
        <f t="shared" si="37"/>
        <v>0</v>
      </c>
      <c r="D2376" s="17" t="str">
        <f>IF(C2376=1,COUNTIF($C$1:$C2376,1),"")</f>
        <v/>
      </c>
      <c r="E2376" s="7"/>
    </row>
    <row r="2377" spans="3:5">
      <c r="C2377" s="17">
        <f t="shared" si="37"/>
        <v>0</v>
      </c>
      <c r="D2377" s="17" t="str">
        <f>IF(C2377=1,COUNTIF($C$1:$C2377,1),"")</f>
        <v/>
      </c>
      <c r="E2377" s="7"/>
    </row>
    <row r="2378" spans="3:5">
      <c r="C2378" s="17">
        <f t="shared" si="37"/>
        <v>0</v>
      </c>
      <c r="D2378" s="17" t="str">
        <f>IF(C2378=1,COUNTIF($C$1:$C2378,1),"")</f>
        <v/>
      </c>
      <c r="E2378" s="7"/>
    </row>
    <row r="2379" spans="3:5">
      <c r="C2379" s="17">
        <f t="shared" si="37"/>
        <v>0</v>
      </c>
      <c r="D2379" s="17" t="str">
        <f>IF(C2379=1,COUNTIF($C$1:$C2379,1),"")</f>
        <v/>
      </c>
      <c r="E2379" s="7"/>
    </row>
    <row r="2380" spans="3:5">
      <c r="C2380" s="17">
        <f t="shared" si="37"/>
        <v>0</v>
      </c>
      <c r="D2380" s="17" t="str">
        <f>IF(C2380=1,COUNTIF($C$1:$C2380,1),"")</f>
        <v/>
      </c>
      <c r="E2380" s="7"/>
    </row>
    <row r="2381" spans="3:5">
      <c r="C2381" s="17">
        <f t="shared" si="37"/>
        <v>0</v>
      </c>
      <c r="D2381" s="17" t="str">
        <f>IF(C2381=1,COUNTIF($C$1:$C2381,1),"")</f>
        <v/>
      </c>
      <c r="E2381" s="7"/>
    </row>
    <row r="2382" spans="3:5">
      <c r="C2382" s="17">
        <f t="shared" si="37"/>
        <v>0</v>
      </c>
      <c r="D2382" s="17" t="str">
        <f>IF(C2382=1,COUNTIF($C$1:$C2382,1),"")</f>
        <v/>
      </c>
      <c r="E2382" s="7"/>
    </row>
    <row r="2383" spans="3:5">
      <c r="C2383" s="17">
        <f t="shared" si="37"/>
        <v>0</v>
      </c>
      <c r="D2383" s="17" t="str">
        <f>IF(C2383=1,COUNTIF($C$1:$C2383,1),"")</f>
        <v/>
      </c>
      <c r="E2383" s="7"/>
    </row>
    <row r="2384" spans="3:5">
      <c r="C2384" s="17">
        <f t="shared" si="37"/>
        <v>0</v>
      </c>
      <c r="D2384" s="17" t="str">
        <f>IF(C2384=1,COUNTIF($C$1:$C2384,1),"")</f>
        <v/>
      </c>
      <c r="E2384" s="7"/>
    </row>
    <row r="2385" spans="3:5">
      <c r="C2385" s="17">
        <f t="shared" si="37"/>
        <v>0</v>
      </c>
      <c r="D2385" s="17" t="str">
        <f>IF(C2385=1,COUNTIF($C$1:$C2385,1),"")</f>
        <v/>
      </c>
      <c r="E2385" s="7"/>
    </row>
    <row r="2386" spans="3:5">
      <c r="C2386" s="17">
        <f t="shared" si="37"/>
        <v>0</v>
      </c>
      <c r="D2386" s="17" t="str">
        <f>IF(C2386=1,COUNTIF($C$1:$C2386,1),"")</f>
        <v/>
      </c>
      <c r="E2386" s="7"/>
    </row>
    <row r="2387" spans="3:5">
      <c r="C2387" s="17">
        <f t="shared" si="37"/>
        <v>0</v>
      </c>
      <c r="D2387" s="17" t="str">
        <f>IF(C2387=1,COUNTIF($C$1:$C2387,1),"")</f>
        <v/>
      </c>
      <c r="E2387" s="7"/>
    </row>
    <row r="2388" spans="3:5">
      <c r="C2388" s="17">
        <f t="shared" si="37"/>
        <v>0</v>
      </c>
      <c r="D2388" s="17" t="str">
        <f>IF(C2388=1,COUNTIF($C$1:$C2388,1),"")</f>
        <v/>
      </c>
      <c r="E2388" s="7"/>
    </row>
    <row r="2389" spans="3:5">
      <c r="C2389" s="17">
        <f t="shared" si="37"/>
        <v>0</v>
      </c>
      <c r="D2389" s="17" t="str">
        <f>IF(C2389=1,COUNTIF($C$1:$C2389,1),"")</f>
        <v/>
      </c>
      <c r="E2389" s="7"/>
    </row>
    <row r="2390" spans="3:5">
      <c r="C2390" s="17">
        <f t="shared" si="37"/>
        <v>0</v>
      </c>
      <c r="D2390" s="17" t="str">
        <f>IF(C2390=1,COUNTIF($C$1:$C2390,1),"")</f>
        <v/>
      </c>
      <c r="E2390" s="7"/>
    </row>
    <row r="2391" spans="3:5">
      <c r="C2391" s="17">
        <f t="shared" si="37"/>
        <v>0</v>
      </c>
      <c r="D2391" s="17" t="str">
        <f>IF(C2391=1,COUNTIF($C$1:$C2391,1),"")</f>
        <v/>
      </c>
      <c r="E2391" s="7"/>
    </row>
    <row r="2392" spans="3:5">
      <c r="C2392" s="17">
        <f t="shared" si="37"/>
        <v>0</v>
      </c>
      <c r="D2392" s="17" t="str">
        <f>IF(C2392=1,COUNTIF($C$1:$C2392,1),"")</f>
        <v/>
      </c>
      <c r="E2392" s="7"/>
    </row>
    <row r="2393" spans="3:5">
      <c r="C2393" s="17">
        <f t="shared" si="37"/>
        <v>0</v>
      </c>
      <c r="D2393" s="17" t="str">
        <f>IF(C2393=1,COUNTIF($C$1:$C2393,1),"")</f>
        <v/>
      </c>
      <c r="E2393" s="7"/>
    </row>
    <row r="2394" spans="3:5">
      <c r="C2394" s="17">
        <f t="shared" si="37"/>
        <v>0</v>
      </c>
      <c r="D2394" s="17" t="str">
        <f>IF(C2394=1,COUNTIF($C$1:$C2394,1),"")</f>
        <v/>
      </c>
      <c r="E2394" s="7"/>
    </row>
    <row r="2395" spans="3:5">
      <c r="C2395" s="17">
        <f t="shared" si="37"/>
        <v>0</v>
      </c>
      <c r="D2395" s="17" t="str">
        <f>IF(C2395=1,COUNTIF($C$1:$C2395,1),"")</f>
        <v/>
      </c>
      <c r="E2395" s="7"/>
    </row>
    <row r="2396" spans="3:5">
      <c r="C2396" s="17">
        <f t="shared" si="37"/>
        <v>0</v>
      </c>
      <c r="D2396" s="17" t="str">
        <f>IF(C2396=1,COUNTIF($C$1:$C2396,1),"")</f>
        <v/>
      </c>
      <c r="E2396" s="7"/>
    </row>
    <row r="2397" spans="3:5">
      <c r="C2397" s="17">
        <f t="shared" si="37"/>
        <v>0</v>
      </c>
      <c r="D2397" s="17" t="str">
        <f>IF(C2397=1,COUNTIF($C$1:$C2397,1),"")</f>
        <v/>
      </c>
      <c r="E2397" s="7"/>
    </row>
    <row r="2398" spans="3:5">
      <c r="C2398" s="17">
        <f t="shared" si="37"/>
        <v>0</v>
      </c>
      <c r="D2398" s="17" t="str">
        <f>IF(C2398=1,COUNTIF($C$1:$C2398,1),"")</f>
        <v/>
      </c>
      <c r="E2398" s="7"/>
    </row>
    <row r="2399" spans="3:5">
      <c r="C2399" s="17">
        <f t="shared" si="37"/>
        <v>0</v>
      </c>
      <c r="D2399" s="17" t="str">
        <f>IF(C2399=1,COUNTIF($C$1:$C2399,1),"")</f>
        <v/>
      </c>
      <c r="E2399" s="7"/>
    </row>
    <row r="2400" spans="3:5">
      <c r="C2400" s="17">
        <f t="shared" si="37"/>
        <v>0</v>
      </c>
      <c r="D2400" s="17" t="str">
        <f>IF(C2400=1,COUNTIF($C$1:$C2400,1),"")</f>
        <v/>
      </c>
      <c r="E2400" s="7"/>
    </row>
    <row r="2401" spans="3:5">
      <c r="C2401" s="17">
        <f t="shared" si="37"/>
        <v>0</v>
      </c>
      <c r="D2401" s="17" t="str">
        <f>IF(C2401=1,COUNTIF($C$1:$C2401,1),"")</f>
        <v/>
      </c>
      <c r="E2401" s="7"/>
    </row>
    <row r="2402" spans="3:5">
      <c r="C2402" s="17">
        <f t="shared" si="37"/>
        <v>0</v>
      </c>
      <c r="D2402" s="17" t="str">
        <f>IF(C2402=1,COUNTIF($C$1:$C2402,1),"")</f>
        <v/>
      </c>
      <c r="E2402" s="7"/>
    </row>
    <row r="2403" spans="3:5">
      <c r="C2403" s="17">
        <f t="shared" si="37"/>
        <v>0</v>
      </c>
      <c r="D2403" s="17" t="str">
        <f>IF(C2403=1,COUNTIF($C$1:$C2403,1),"")</f>
        <v/>
      </c>
      <c r="E2403" s="7"/>
    </row>
    <row r="2404" spans="3:5">
      <c r="C2404" s="17">
        <f t="shared" si="37"/>
        <v>0</v>
      </c>
      <c r="D2404" s="17" t="str">
        <f>IF(C2404=1,COUNTIF($C$1:$C2404,1),"")</f>
        <v/>
      </c>
      <c r="E2404" s="7"/>
    </row>
    <row r="2405" spans="3:5">
      <c r="C2405" s="17">
        <f t="shared" si="37"/>
        <v>0</v>
      </c>
      <c r="D2405" s="17" t="str">
        <f>IF(C2405=1,COUNTIF($C$1:$C2405,1),"")</f>
        <v/>
      </c>
      <c r="E2405" s="7"/>
    </row>
    <row r="2406" spans="3:5">
      <c r="C2406" s="17">
        <f t="shared" si="37"/>
        <v>0</v>
      </c>
      <c r="D2406" s="17" t="str">
        <f>IF(C2406=1,COUNTIF($C$1:$C2406,1),"")</f>
        <v/>
      </c>
      <c r="E2406" s="7"/>
    </row>
    <row r="2407" spans="3:5">
      <c r="C2407" s="17">
        <f t="shared" si="37"/>
        <v>0</v>
      </c>
      <c r="D2407" s="17" t="str">
        <f>IF(C2407=1,COUNTIF($C$1:$C2407,1),"")</f>
        <v/>
      </c>
      <c r="E2407" s="7"/>
    </row>
    <row r="2408" spans="3:5">
      <c r="C2408" s="17">
        <f t="shared" si="37"/>
        <v>0</v>
      </c>
      <c r="D2408" s="17" t="str">
        <f>IF(C2408=1,COUNTIF($C$1:$C2408,1),"")</f>
        <v/>
      </c>
      <c r="E2408" s="7"/>
    </row>
    <row r="2409" spans="3:5">
      <c r="C2409" s="17">
        <f t="shared" si="37"/>
        <v>0</v>
      </c>
      <c r="D2409" s="17" t="str">
        <f>IF(C2409=1,COUNTIF($C$1:$C2409,1),"")</f>
        <v/>
      </c>
      <c r="E2409" s="7"/>
    </row>
    <row r="2410" spans="3:5">
      <c r="C2410" s="17">
        <f t="shared" si="37"/>
        <v>0</v>
      </c>
      <c r="D2410" s="17" t="str">
        <f>IF(C2410=1,COUNTIF($C$1:$C2410,1),"")</f>
        <v/>
      </c>
      <c r="E2410" s="7"/>
    </row>
    <row r="2411" spans="3:5">
      <c r="C2411" s="17">
        <f t="shared" si="37"/>
        <v>0</v>
      </c>
      <c r="D2411" s="17" t="str">
        <f>IF(C2411=1,COUNTIF($C$1:$C2411,1),"")</f>
        <v/>
      </c>
      <c r="E2411" s="7"/>
    </row>
    <row r="2412" spans="3:5">
      <c r="C2412" s="17">
        <f t="shared" si="37"/>
        <v>0</v>
      </c>
      <c r="D2412" s="17" t="str">
        <f>IF(C2412=1,COUNTIF($C$1:$C2412,1),"")</f>
        <v/>
      </c>
      <c r="E2412" s="7"/>
    </row>
    <row r="2413" spans="3:5">
      <c r="C2413" s="17">
        <f t="shared" si="37"/>
        <v>0</v>
      </c>
      <c r="D2413" s="17" t="str">
        <f>IF(C2413=1,COUNTIF($C$1:$C2413,1),"")</f>
        <v/>
      </c>
      <c r="E2413" s="7"/>
    </row>
    <row r="2414" spans="3:5">
      <c r="C2414" s="17">
        <f t="shared" si="37"/>
        <v>0</v>
      </c>
      <c r="D2414" s="17" t="str">
        <f>IF(C2414=1,COUNTIF($C$1:$C2414,1),"")</f>
        <v/>
      </c>
      <c r="E2414" s="7"/>
    </row>
    <row r="2415" spans="3:5">
      <c r="C2415" s="17">
        <f t="shared" si="37"/>
        <v>0</v>
      </c>
      <c r="D2415" s="17" t="str">
        <f>IF(C2415=1,COUNTIF($C$1:$C2415,1),"")</f>
        <v/>
      </c>
      <c r="E2415" s="7"/>
    </row>
    <row r="2416" spans="3:5">
      <c r="C2416" s="17">
        <f t="shared" si="37"/>
        <v>0</v>
      </c>
      <c r="D2416" s="17" t="str">
        <f>IF(C2416=1,COUNTIF($C$1:$C2416,1),"")</f>
        <v/>
      </c>
      <c r="E2416" s="7"/>
    </row>
    <row r="2417" spans="3:5">
      <c r="C2417" s="17">
        <f t="shared" si="37"/>
        <v>0</v>
      </c>
      <c r="D2417" s="17" t="str">
        <f>IF(C2417=1,COUNTIF($C$1:$C2417,1),"")</f>
        <v/>
      </c>
      <c r="E2417" s="7"/>
    </row>
    <row r="2418" spans="3:5">
      <c r="C2418" s="17">
        <f t="shared" si="37"/>
        <v>0</v>
      </c>
      <c r="D2418" s="17" t="str">
        <f>IF(C2418=1,COUNTIF($C$1:$C2418,1),"")</f>
        <v/>
      </c>
      <c r="E2418" s="7"/>
    </row>
    <row r="2419" spans="3:5">
      <c r="C2419" s="17">
        <f t="shared" si="37"/>
        <v>0</v>
      </c>
      <c r="D2419" s="17" t="str">
        <f>IF(C2419=1,COUNTIF($C$1:$C2419,1),"")</f>
        <v/>
      </c>
      <c r="E2419" s="7"/>
    </row>
    <row r="2420" spans="3:5">
      <c r="C2420" s="17">
        <f t="shared" si="37"/>
        <v>0</v>
      </c>
      <c r="D2420" s="17" t="str">
        <f>IF(C2420=1,COUNTIF($C$1:$C2420,1),"")</f>
        <v/>
      </c>
      <c r="E2420" s="7"/>
    </row>
    <row r="2421" spans="3:5">
      <c r="C2421" s="17">
        <f t="shared" si="37"/>
        <v>0</v>
      </c>
      <c r="D2421" s="17" t="str">
        <f>IF(C2421=1,COUNTIF($C$1:$C2421,1),"")</f>
        <v/>
      </c>
      <c r="E2421" s="7"/>
    </row>
    <row r="2422" spans="3:5">
      <c r="C2422" s="17">
        <f t="shared" si="37"/>
        <v>0</v>
      </c>
      <c r="D2422" s="17" t="str">
        <f>IF(C2422=1,COUNTIF($C$1:$C2422,1),"")</f>
        <v/>
      </c>
      <c r="E2422" s="7"/>
    </row>
    <row r="2423" spans="3:5">
      <c r="C2423" s="17">
        <f t="shared" si="37"/>
        <v>0</v>
      </c>
      <c r="D2423" s="17" t="str">
        <f>IF(C2423=1,COUNTIF($C$1:$C2423,1),"")</f>
        <v/>
      </c>
      <c r="E2423" s="7"/>
    </row>
    <row r="2424" spans="3:5">
      <c r="C2424" s="17">
        <f t="shared" si="37"/>
        <v>0</v>
      </c>
      <c r="D2424" s="17" t="str">
        <f>IF(C2424=1,COUNTIF($C$1:$C2424,1),"")</f>
        <v/>
      </c>
      <c r="E2424" s="7"/>
    </row>
    <row r="2425" spans="3:5">
      <c r="C2425" s="17">
        <f t="shared" si="37"/>
        <v>0</v>
      </c>
      <c r="D2425" s="17" t="str">
        <f>IF(C2425=1,COUNTIF($C$1:$C2425,1),"")</f>
        <v/>
      </c>
      <c r="E2425" s="7"/>
    </row>
    <row r="2426" spans="3:5">
      <c r="C2426" s="17">
        <f t="shared" si="37"/>
        <v>0</v>
      </c>
      <c r="D2426" s="17" t="str">
        <f>IF(C2426=1,COUNTIF($C$1:$C2426,1),"")</f>
        <v/>
      </c>
      <c r="E2426" s="7"/>
    </row>
    <row r="2427" spans="3:5">
      <c r="C2427" s="17">
        <f t="shared" si="37"/>
        <v>0</v>
      </c>
      <c r="D2427" s="17" t="str">
        <f>IF(C2427=1,COUNTIF($C$1:$C2427,1),"")</f>
        <v/>
      </c>
      <c r="E2427" s="7"/>
    </row>
    <row r="2428" spans="3:5">
      <c r="C2428" s="17">
        <f t="shared" si="37"/>
        <v>0</v>
      </c>
      <c r="D2428" s="17" t="str">
        <f>IF(C2428=1,COUNTIF($C$1:$C2428,1),"")</f>
        <v/>
      </c>
      <c r="E2428" s="7"/>
    </row>
    <row r="2429" spans="3:5">
      <c r="C2429" s="17">
        <f t="shared" si="37"/>
        <v>0</v>
      </c>
      <c r="D2429" s="17" t="str">
        <f>IF(C2429=1,COUNTIF($C$1:$C2429,1),"")</f>
        <v/>
      </c>
      <c r="E2429" s="7"/>
    </row>
    <row r="2430" spans="3:5">
      <c r="C2430" s="17">
        <f t="shared" si="37"/>
        <v>0</v>
      </c>
      <c r="D2430" s="17" t="str">
        <f>IF(C2430=1,COUNTIF($C$1:$C2430,1),"")</f>
        <v/>
      </c>
      <c r="E2430" s="7"/>
    </row>
    <row r="2431" spans="3:5">
      <c r="C2431" s="17">
        <f t="shared" si="37"/>
        <v>0</v>
      </c>
      <c r="D2431" s="17" t="str">
        <f>IF(C2431=1,COUNTIF($C$1:$C2431,1),"")</f>
        <v/>
      </c>
      <c r="E2431" s="7"/>
    </row>
    <row r="2432" spans="3:5">
      <c r="C2432" s="17">
        <f t="shared" si="37"/>
        <v>0</v>
      </c>
      <c r="D2432" s="17" t="str">
        <f>IF(C2432=1,COUNTIF($C$1:$C2432,1),"")</f>
        <v/>
      </c>
      <c r="E2432" s="7"/>
    </row>
    <row r="2433" spans="3:5">
      <c r="C2433" s="17">
        <f t="shared" si="37"/>
        <v>0</v>
      </c>
      <c r="D2433" s="17" t="str">
        <f>IF(C2433=1,COUNTIF($C$1:$C2433,1),"")</f>
        <v/>
      </c>
      <c r="E2433" s="7"/>
    </row>
    <row r="2434" spans="3:5">
      <c r="C2434" s="17">
        <f t="shared" ref="C2434:C2497" si="38">--ISNUMBER(SEARCH($B$1,A2434))</f>
        <v>0</v>
      </c>
      <c r="D2434" s="17" t="str">
        <f>IF(C2434=1,COUNTIF($C$1:$C2434,1),"")</f>
        <v/>
      </c>
      <c r="E2434" s="7"/>
    </row>
    <row r="2435" spans="3:5">
      <c r="C2435" s="17">
        <f t="shared" si="38"/>
        <v>0</v>
      </c>
      <c r="D2435" s="17" t="str">
        <f>IF(C2435=1,COUNTIF($C$1:$C2435,1),"")</f>
        <v/>
      </c>
      <c r="E2435" s="7"/>
    </row>
    <row r="2436" spans="3:5">
      <c r="C2436" s="17">
        <f t="shared" si="38"/>
        <v>0</v>
      </c>
      <c r="D2436" s="17" t="str">
        <f>IF(C2436=1,COUNTIF($C$1:$C2436,1),"")</f>
        <v/>
      </c>
      <c r="E2436" s="7"/>
    </row>
    <row r="2437" spans="3:5">
      <c r="C2437" s="17">
        <f t="shared" si="38"/>
        <v>0</v>
      </c>
      <c r="D2437" s="17" t="str">
        <f>IF(C2437=1,COUNTIF($C$1:$C2437,1),"")</f>
        <v/>
      </c>
      <c r="E2437" s="7"/>
    </row>
    <row r="2438" spans="3:5">
      <c r="C2438" s="17">
        <f t="shared" si="38"/>
        <v>0</v>
      </c>
      <c r="D2438" s="17" t="str">
        <f>IF(C2438=1,COUNTIF($C$1:$C2438,1),"")</f>
        <v/>
      </c>
      <c r="E2438" s="7"/>
    </row>
    <row r="2439" spans="3:5">
      <c r="C2439" s="17">
        <f t="shared" si="38"/>
        <v>0</v>
      </c>
      <c r="D2439" s="17" t="str">
        <f>IF(C2439=1,COUNTIF($C$1:$C2439,1),"")</f>
        <v/>
      </c>
      <c r="E2439" s="7"/>
    </row>
    <row r="2440" spans="3:5">
      <c r="C2440" s="17">
        <f t="shared" si="38"/>
        <v>0</v>
      </c>
      <c r="D2440" s="17" t="str">
        <f>IF(C2440=1,COUNTIF($C$1:$C2440,1),"")</f>
        <v/>
      </c>
      <c r="E2440" s="7"/>
    </row>
    <row r="2441" spans="3:5">
      <c r="C2441" s="17">
        <f t="shared" si="38"/>
        <v>0</v>
      </c>
      <c r="D2441" s="17" t="str">
        <f>IF(C2441=1,COUNTIF($C$1:$C2441,1),"")</f>
        <v/>
      </c>
      <c r="E2441" s="7"/>
    </row>
    <row r="2442" spans="3:5">
      <c r="C2442" s="17">
        <f t="shared" si="38"/>
        <v>0</v>
      </c>
      <c r="D2442" s="17" t="str">
        <f>IF(C2442=1,COUNTIF($C$1:$C2442,1),"")</f>
        <v/>
      </c>
      <c r="E2442" s="7"/>
    </row>
    <row r="2443" spans="3:5">
      <c r="C2443" s="17">
        <f t="shared" si="38"/>
        <v>0</v>
      </c>
      <c r="D2443" s="17" t="str">
        <f>IF(C2443=1,COUNTIF($C$1:$C2443,1),"")</f>
        <v/>
      </c>
      <c r="E2443" s="7"/>
    </row>
    <row r="2444" spans="3:5">
      <c r="C2444" s="17">
        <f t="shared" si="38"/>
        <v>0</v>
      </c>
      <c r="D2444" s="17" t="str">
        <f>IF(C2444=1,COUNTIF($C$1:$C2444,1),"")</f>
        <v/>
      </c>
      <c r="E2444" s="7"/>
    </row>
    <row r="2445" spans="3:5">
      <c r="C2445" s="17">
        <f t="shared" si="38"/>
        <v>0</v>
      </c>
      <c r="D2445" s="17" t="str">
        <f>IF(C2445=1,COUNTIF($C$1:$C2445,1),"")</f>
        <v/>
      </c>
      <c r="E2445" s="7"/>
    </row>
    <row r="2446" spans="3:5">
      <c r="C2446" s="17">
        <f t="shared" si="38"/>
        <v>0</v>
      </c>
      <c r="D2446" s="17" t="str">
        <f>IF(C2446=1,COUNTIF($C$1:$C2446,1),"")</f>
        <v/>
      </c>
      <c r="E2446" s="7"/>
    </row>
    <row r="2447" spans="3:5">
      <c r="C2447" s="17">
        <f t="shared" si="38"/>
        <v>0</v>
      </c>
      <c r="D2447" s="17" t="str">
        <f>IF(C2447=1,COUNTIF($C$1:$C2447,1),"")</f>
        <v/>
      </c>
      <c r="E2447" s="7"/>
    </row>
    <row r="2448" spans="3:5">
      <c r="C2448" s="17">
        <f t="shared" si="38"/>
        <v>0</v>
      </c>
      <c r="D2448" s="17" t="str">
        <f>IF(C2448=1,COUNTIF($C$1:$C2448,1),"")</f>
        <v/>
      </c>
      <c r="E2448" s="7"/>
    </row>
    <row r="2449" spans="3:5">
      <c r="C2449" s="17">
        <f t="shared" si="38"/>
        <v>0</v>
      </c>
      <c r="D2449" s="17" t="str">
        <f>IF(C2449=1,COUNTIF($C$1:$C2449,1),"")</f>
        <v/>
      </c>
      <c r="E2449" s="7"/>
    </row>
    <row r="2450" spans="3:5">
      <c r="C2450" s="17">
        <f t="shared" si="38"/>
        <v>0</v>
      </c>
      <c r="D2450" s="17" t="str">
        <f>IF(C2450=1,COUNTIF($C$1:$C2450,1),"")</f>
        <v/>
      </c>
      <c r="E2450" s="7"/>
    </row>
    <row r="2451" spans="3:5">
      <c r="C2451" s="17">
        <f t="shared" si="38"/>
        <v>0</v>
      </c>
      <c r="D2451" s="17" t="str">
        <f>IF(C2451=1,COUNTIF($C$1:$C2451,1),"")</f>
        <v/>
      </c>
      <c r="E2451" s="7"/>
    </row>
    <row r="2452" spans="3:5">
      <c r="C2452" s="17">
        <f t="shared" si="38"/>
        <v>0</v>
      </c>
      <c r="D2452" s="17" t="str">
        <f>IF(C2452=1,COUNTIF($C$1:$C2452,1),"")</f>
        <v/>
      </c>
      <c r="E2452" s="7"/>
    </row>
    <row r="2453" spans="3:5">
      <c r="C2453" s="17">
        <f t="shared" si="38"/>
        <v>0</v>
      </c>
      <c r="D2453" s="17" t="str">
        <f>IF(C2453=1,COUNTIF($C$1:$C2453,1),"")</f>
        <v/>
      </c>
      <c r="E2453" s="7"/>
    </row>
    <row r="2454" spans="3:5">
      <c r="C2454" s="17">
        <f t="shared" si="38"/>
        <v>0</v>
      </c>
      <c r="D2454" s="17" t="str">
        <f>IF(C2454=1,COUNTIF($C$1:$C2454,1),"")</f>
        <v/>
      </c>
      <c r="E2454" s="7"/>
    </row>
    <row r="2455" spans="3:5">
      <c r="C2455" s="17">
        <f t="shared" si="38"/>
        <v>0</v>
      </c>
      <c r="D2455" s="17" t="str">
        <f>IF(C2455=1,COUNTIF($C$1:$C2455,1),"")</f>
        <v/>
      </c>
      <c r="E2455" s="7"/>
    </row>
    <row r="2456" spans="3:5">
      <c r="C2456" s="17">
        <f t="shared" si="38"/>
        <v>0</v>
      </c>
      <c r="D2456" s="17" t="str">
        <f>IF(C2456=1,COUNTIF($C$1:$C2456,1),"")</f>
        <v/>
      </c>
      <c r="E2456" s="7"/>
    </row>
    <row r="2457" spans="3:5">
      <c r="C2457" s="17">
        <f t="shared" si="38"/>
        <v>0</v>
      </c>
      <c r="D2457" s="17" t="str">
        <f>IF(C2457=1,COUNTIF($C$1:$C2457,1),"")</f>
        <v/>
      </c>
      <c r="E2457" s="7"/>
    </row>
    <row r="2458" spans="3:5">
      <c r="C2458" s="17">
        <f t="shared" si="38"/>
        <v>0</v>
      </c>
      <c r="D2458" s="17" t="str">
        <f>IF(C2458=1,COUNTIF($C$1:$C2458,1),"")</f>
        <v/>
      </c>
      <c r="E2458" s="7"/>
    </row>
    <row r="2459" spans="3:5">
      <c r="C2459" s="17">
        <f t="shared" si="38"/>
        <v>0</v>
      </c>
      <c r="D2459" s="17" t="str">
        <f>IF(C2459=1,COUNTIF($C$1:$C2459,1),"")</f>
        <v/>
      </c>
      <c r="E2459" s="7"/>
    </row>
    <row r="2460" spans="3:5">
      <c r="C2460" s="17">
        <f t="shared" si="38"/>
        <v>0</v>
      </c>
      <c r="D2460" s="17" t="str">
        <f>IF(C2460=1,COUNTIF($C$1:$C2460,1),"")</f>
        <v/>
      </c>
      <c r="E2460" s="7"/>
    </row>
    <row r="2461" spans="3:5">
      <c r="C2461" s="17">
        <f t="shared" si="38"/>
        <v>0</v>
      </c>
      <c r="D2461" s="17" t="str">
        <f>IF(C2461=1,COUNTIF($C$1:$C2461,1),"")</f>
        <v/>
      </c>
      <c r="E2461" s="7"/>
    </row>
    <row r="2462" spans="3:5">
      <c r="C2462" s="17">
        <f t="shared" si="38"/>
        <v>0</v>
      </c>
      <c r="D2462" s="17" t="str">
        <f>IF(C2462=1,COUNTIF($C$1:$C2462,1),"")</f>
        <v/>
      </c>
      <c r="E2462" s="7"/>
    </row>
    <row r="2463" spans="3:5">
      <c r="C2463" s="17">
        <f t="shared" si="38"/>
        <v>0</v>
      </c>
      <c r="D2463" s="17" t="str">
        <f>IF(C2463=1,COUNTIF($C$1:$C2463,1),"")</f>
        <v/>
      </c>
      <c r="E2463" s="7"/>
    </row>
    <row r="2464" spans="3:5">
      <c r="C2464" s="17">
        <f t="shared" si="38"/>
        <v>0</v>
      </c>
      <c r="D2464" s="17" t="str">
        <f>IF(C2464=1,COUNTIF($C$1:$C2464,1),"")</f>
        <v/>
      </c>
      <c r="E2464" s="7"/>
    </row>
    <row r="2465" spans="3:5">
      <c r="C2465" s="17">
        <f t="shared" si="38"/>
        <v>0</v>
      </c>
      <c r="D2465" s="17" t="str">
        <f>IF(C2465=1,COUNTIF($C$1:$C2465,1),"")</f>
        <v/>
      </c>
      <c r="E2465" s="7"/>
    </row>
    <row r="2466" spans="3:5">
      <c r="C2466" s="17">
        <f t="shared" si="38"/>
        <v>0</v>
      </c>
      <c r="D2466" s="17" t="str">
        <f>IF(C2466=1,COUNTIF($C$1:$C2466,1),"")</f>
        <v/>
      </c>
      <c r="E2466" s="7"/>
    </row>
    <row r="2467" spans="3:5">
      <c r="C2467" s="17">
        <f t="shared" si="38"/>
        <v>0</v>
      </c>
      <c r="D2467" s="17" t="str">
        <f>IF(C2467=1,COUNTIF($C$1:$C2467,1),"")</f>
        <v/>
      </c>
      <c r="E2467" s="7"/>
    </row>
    <row r="2468" spans="3:5">
      <c r="C2468" s="17">
        <f t="shared" si="38"/>
        <v>0</v>
      </c>
      <c r="D2468" s="17" t="str">
        <f>IF(C2468=1,COUNTIF($C$1:$C2468,1),"")</f>
        <v/>
      </c>
      <c r="E2468" s="7"/>
    </row>
    <row r="2469" spans="3:5">
      <c r="C2469" s="17">
        <f t="shared" si="38"/>
        <v>0</v>
      </c>
      <c r="D2469" s="17" t="str">
        <f>IF(C2469=1,COUNTIF($C$1:$C2469,1),"")</f>
        <v/>
      </c>
      <c r="E2469" s="7"/>
    </row>
    <row r="2470" spans="3:5">
      <c r="C2470" s="17">
        <f t="shared" si="38"/>
        <v>0</v>
      </c>
      <c r="D2470" s="17" t="str">
        <f>IF(C2470=1,COUNTIF($C$1:$C2470,1),"")</f>
        <v/>
      </c>
      <c r="E2470" s="7"/>
    </row>
    <row r="2471" spans="3:5">
      <c r="C2471" s="17">
        <f t="shared" si="38"/>
        <v>0</v>
      </c>
      <c r="D2471" s="17" t="str">
        <f>IF(C2471=1,COUNTIF($C$1:$C2471,1),"")</f>
        <v/>
      </c>
      <c r="E2471" s="7"/>
    </row>
    <row r="2472" spans="3:5">
      <c r="C2472" s="17">
        <f t="shared" si="38"/>
        <v>0</v>
      </c>
      <c r="D2472" s="17" t="str">
        <f>IF(C2472=1,COUNTIF($C$1:$C2472,1),"")</f>
        <v/>
      </c>
      <c r="E2472" s="7"/>
    </row>
    <row r="2473" spans="3:5">
      <c r="C2473" s="17">
        <f t="shared" si="38"/>
        <v>0</v>
      </c>
      <c r="D2473" s="17" t="str">
        <f>IF(C2473=1,COUNTIF($C$1:$C2473,1),"")</f>
        <v/>
      </c>
      <c r="E2473" s="7"/>
    </row>
    <row r="2474" spans="3:5">
      <c r="C2474" s="17">
        <f t="shared" si="38"/>
        <v>0</v>
      </c>
      <c r="D2474" s="17" t="str">
        <f>IF(C2474=1,COUNTIF($C$1:$C2474,1),"")</f>
        <v/>
      </c>
      <c r="E2474" s="7"/>
    </row>
    <row r="2475" spans="3:5">
      <c r="C2475" s="17">
        <f t="shared" si="38"/>
        <v>0</v>
      </c>
      <c r="D2475" s="17" t="str">
        <f>IF(C2475=1,COUNTIF($C$1:$C2475,1),"")</f>
        <v/>
      </c>
      <c r="E2475" s="7"/>
    </row>
    <row r="2476" spans="3:5">
      <c r="C2476" s="17">
        <f t="shared" si="38"/>
        <v>0</v>
      </c>
      <c r="D2476" s="17" t="str">
        <f>IF(C2476=1,COUNTIF($C$1:$C2476,1),"")</f>
        <v/>
      </c>
      <c r="E2476" s="7"/>
    </row>
    <row r="2477" spans="3:5">
      <c r="C2477" s="17">
        <f t="shared" si="38"/>
        <v>0</v>
      </c>
      <c r="D2477" s="17" t="str">
        <f>IF(C2477=1,COUNTIF($C$1:$C2477,1),"")</f>
        <v/>
      </c>
      <c r="E2477" s="7"/>
    </row>
    <row r="2478" spans="3:5">
      <c r="C2478" s="17">
        <f t="shared" si="38"/>
        <v>0</v>
      </c>
      <c r="D2478" s="17" t="str">
        <f>IF(C2478=1,COUNTIF($C$1:$C2478,1),"")</f>
        <v/>
      </c>
      <c r="E2478" s="7"/>
    </row>
    <row r="2479" spans="3:5">
      <c r="C2479" s="17">
        <f t="shared" si="38"/>
        <v>0</v>
      </c>
      <c r="D2479" s="17" t="str">
        <f>IF(C2479=1,COUNTIF($C$1:$C2479,1),"")</f>
        <v/>
      </c>
      <c r="E2479" s="7"/>
    </row>
    <row r="2480" spans="3:5">
      <c r="C2480" s="17">
        <f t="shared" si="38"/>
        <v>0</v>
      </c>
      <c r="D2480" s="17" t="str">
        <f>IF(C2480=1,COUNTIF($C$1:$C2480,1),"")</f>
        <v/>
      </c>
      <c r="E2480" s="7"/>
    </row>
    <row r="2481" spans="3:5">
      <c r="C2481" s="17">
        <f t="shared" si="38"/>
        <v>0</v>
      </c>
      <c r="D2481" s="17" t="str">
        <f>IF(C2481=1,COUNTIF($C$1:$C2481,1),"")</f>
        <v/>
      </c>
      <c r="E2481" s="7"/>
    </row>
    <row r="2482" spans="3:5">
      <c r="C2482" s="17">
        <f t="shared" si="38"/>
        <v>0</v>
      </c>
      <c r="D2482" s="17" t="str">
        <f>IF(C2482=1,COUNTIF($C$1:$C2482,1),"")</f>
        <v/>
      </c>
      <c r="E2482" s="7"/>
    </row>
    <row r="2483" spans="3:5">
      <c r="C2483" s="17">
        <f t="shared" si="38"/>
        <v>0</v>
      </c>
      <c r="D2483" s="17" t="str">
        <f>IF(C2483=1,COUNTIF($C$1:$C2483,1),"")</f>
        <v/>
      </c>
      <c r="E2483" s="7"/>
    </row>
    <row r="2484" spans="3:5">
      <c r="C2484" s="17">
        <f t="shared" si="38"/>
        <v>0</v>
      </c>
      <c r="D2484" s="17" t="str">
        <f>IF(C2484=1,COUNTIF($C$1:$C2484,1),"")</f>
        <v/>
      </c>
      <c r="E2484" s="7"/>
    </row>
    <row r="2485" spans="3:5">
      <c r="C2485" s="17">
        <f t="shared" si="38"/>
        <v>0</v>
      </c>
      <c r="D2485" s="17" t="str">
        <f>IF(C2485=1,COUNTIF($C$1:$C2485,1),"")</f>
        <v/>
      </c>
      <c r="E2485" s="7"/>
    </row>
    <row r="2486" spans="3:5">
      <c r="C2486" s="17">
        <f t="shared" si="38"/>
        <v>0</v>
      </c>
      <c r="D2486" s="17" t="str">
        <f>IF(C2486=1,COUNTIF($C$1:$C2486,1),"")</f>
        <v/>
      </c>
      <c r="E2486" s="7"/>
    </row>
    <row r="2487" spans="3:5">
      <c r="C2487" s="17">
        <f t="shared" si="38"/>
        <v>0</v>
      </c>
      <c r="D2487" s="17" t="str">
        <f>IF(C2487=1,COUNTIF($C$1:$C2487,1),"")</f>
        <v/>
      </c>
      <c r="E2487" s="7"/>
    </row>
    <row r="2488" spans="3:5">
      <c r="C2488" s="17">
        <f t="shared" si="38"/>
        <v>0</v>
      </c>
      <c r="D2488" s="17" t="str">
        <f>IF(C2488=1,COUNTIF($C$1:$C2488,1),"")</f>
        <v/>
      </c>
      <c r="E2488" s="7"/>
    </row>
    <row r="2489" spans="3:5">
      <c r="C2489" s="17">
        <f t="shared" si="38"/>
        <v>0</v>
      </c>
      <c r="D2489" s="17" t="str">
        <f>IF(C2489=1,COUNTIF($C$1:$C2489,1),"")</f>
        <v/>
      </c>
      <c r="E2489" s="7"/>
    </row>
    <row r="2490" spans="3:5">
      <c r="C2490" s="17">
        <f t="shared" si="38"/>
        <v>0</v>
      </c>
      <c r="D2490" s="17" t="str">
        <f>IF(C2490=1,COUNTIF($C$1:$C2490,1),"")</f>
        <v/>
      </c>
      <c r="E2490" s="7"/>
    </row>
    <row r="2491" spans="3:5">
      <c r="C2491" s="17">
        <f t="shared" si="38"/>
        <v>0</v>
      </c>
      <c r="D2491" s="17" t="str">
        <f>IF(C2491=1,COUNTIF($C$1:$C2491,1),"")</f>
        <v/>
      </c>
      <c r="E2491" s="7"/>
    </row>
    <row r="2492" spans="3:5">
      <c r="C2492" s="17">
        <f t="shared" si="38"/>
        <v>0</v>
      </c>
      <c r="D2492" s="17" t="str">
        <f>IF(C2492=1,COUNTIF($C$1:$C2492,1),"")</f>
        <v/>
      </c>
      <c r="E2492" s="7"/>
    </row>
    <row r="2493" spans="3:5">
      <c r="C2493" s="17">
        <f t="shared" si="38"/>
        <v>0</v>
      </c>
      <c r="D2493" s="17" t="str">
        <f>IF(C2493=1,COUNTIF($C$1:$C2493,1),"")</f>
        <v/>
      </c>
      <c r="E2493" s="7"/>
    </row>
    <row r="2494" spans="3:5">
      <c r="C2494" s="17">
        <f t="shared" si="38"/>
        <v>0</v>
      </c>
      <c r="D2494" s="17" t="str">
        <f>IF(C2494=1,COUNTIF($C$1:$C2494,1),"")</f>
        <v/>
      </c>
      <c r="E2494" s="7"/>
    </row>
    <row r="2495" spans="3:5">
      <c r="C2495" s="17">
        <f t="shared" si="38"/>
        <v>0</v>
      </c>
      <c r="D2495" s="17" t="str">
        <f>IF(C2495=1,COUNTIF($C$1:$C2495,1),"")</f>
        <v/>
      </c>
      <c r="E2495" s="7"/>
    </row>
    <row r="2496" spans="3:5">
      <c r="C2496" s="17">
        <f t="shared" si="38"/>
        <v>0</v>
      </c>
      <c r="D2496" s="17" t="str">
        <f>IF(C2496=1,COUNTIF($C$1:$C2496,1),"")</f>
        <v/>
      </c>
      <c r="E2496" s="7"/>
    </row>
    <row r="2497" spans="3:5">
      <c r="C2497" s="17">
        <f t="shared" si="38"/>
        <v>0</v>
      </c>
      <c r="D2497" s="17" t="str">
        <f>IF(C2497=1,COUNTIF($C$1:$C2497,1),"")</f>
        <v/>
      </c>
      <c r="E2497" s="7"/>
    </row>
    <row r="2498" spans="3:5">
      <c r="C2498" s="17">
        <f t="shared" ref="C2498:C2561" si="39">--ISNUMBER(SEARCH($B$1,A2498))</f>
        <v>0</v>
      </c>
      <c r="D2498" s="17" t="str">
        <f>IF(C2498=1,COUNTIF($C$1:$C2498,1),"")</f>
        <v/>
      </c>
      <c r="E2498" s="7"/>
    </row>
    <row r="2499" spans="3:5">
      <c r="C2499" s="17">
        <f t="shared" si="39"/>
        <v>0</v>
      </c>
      <c r="D2499" s="17" t="str">
        <f>IF(C2499=1,COUNTIF($C$1:$C2499,1),"")</f>
        <v/>
      </c>
      <c r="E2499" s="7"/>
    </row>
    <row r="2500" spans="3:5">
      <c r="C2500" s="17">
        <f t="shared" si="39"/>
        <v>0</v>
      </c>
      <c r="D2500" s="17" t="str">
        <f>IF(C2500=1,COUNTIF($C$1:$C2500,1),"")</f>
        <v/>
      </c>
      <c r="E2500" s="7"/>
    </row>
    <row r="2501" spans="3:5">
      <c r="C2501" s="17">
        <f t="shared" si="39"/>
        <v>0</v>
      </c>
      <c r="D2501" s="17" t="str">
        <f>IF(C2501=1,COUNTIF($C$1:$C2501,1),"")</f>
        <v/>
      </c>
      <c r="E2501" s="7"/>
    </row>
    <row r="2502" spans="3:5">
      <c r="C2502" s="17">
        <f t="shared" si="39"/>
        <v>0</v>
      </c>
      <c r="D2502" s="17" t="str">
        <f>IF(C2502=1,COUNTIF($C$1:$C2502,1),"")</f>
        <v/>
      </c>
      <c r="E2502" s="7"/>
    </row>
    <row r="2503" spans="3:5">
      <c r="C2503" s="17">
        <f t="shared" si="39"/>
        <v>0</v>
      </c>
      <c r="D2503" s="17" t="str">
        <f>IF(C2503=1,COUNTIF($C$1:$C2503,1),"")</f>
        <v/>
      </c>
      <c r="E2503" s="7"/>
    </row>
    <row r="2504" spans="3:5">
      <c r="C2504" s="17">
        <f t="shared" si="39"/>
        <v>0</v>
      </c>
      <c r="D2504" s="17" t="str">
        <f>IF(C2504=1,COUNTIF($C$1:$C2504,1),"")</f>
        <v/>
      </c>
      <c r="E2504" s="7"/>
    </row>
    <row r="2505" spans="3:5">
      <c r="C2505" s="17">
        <f t="shared" si="39"/>
        <v>0</v>
      </c>
      <c r="D2505" s="17" t="str">
        <f>IF(C2505=1,COUNTIF($C$1:$C2505,1),"")</f>
        <v/>
      </c>
      <c r="E2505" s="7"/>
    </row>
    <row r="2506" spans="3:5">
      <c r="C2506" s="17">
        <f t="shared" si="39"/>
        <v>0</v>
      </c>
      <c r="D2506" s="17" t="str">
        <f>IF(C2506=1,COUNTIF($C$1:$C2506,1),"")</f>
        <v/>
      </c>
      <c r="E2506" s="7"/>
    </row>
    <row r="2507" spans="3:5">
      <c r="C2507" s="17">
        <f t="shared" si="39"/>
        <v>0</v>
      </c>
      <c r="D2507" s="17" t="str">
        <f>IF(C2507=1,COUNTIF($C$1:$C2507,1),"")</f>
        <v/>
      </c>
      <c r="E2507" s="7"/>
    </row>
    <row r="2508" spans="3:5">
      <c r="C2508" s="17">
        <f t="shared" si="39"/>
        <v>0</v>
      </c>
      <c r="D2508" s="17" t="str">
        <f>IF(C2508=1,COUNTIF($C$1:$C2508,1),"")</f>
        <v/>
      </c>
      <c r="E2508" s="7"/>
    </row>
    <row r="2509" spans="3:5">
      <c r="C2509" s="17">
        <f t="shared" si="39"/>
        <v>0</v>
      </c>
      <c r="D2509" s="17" t="str">
        <f>IF(C2509=1,COUNTIF($C$1:$C2509,1),"")</f>
        <v/>
      </c>
      <c r="E2509" s="7"/>
    </row>
    <row r="2510" spans="3:5">
      <c r="C2510" s="17">
        <f t="shared" si="39"/>
        <v>0</v>
      </c>
      <c r="D2510" s="17" t="str">
        <f>IF(C2510=1,COUNTIF($C$1:$C2510,1),"")</f>
        <v/>
      </c>
      <c r="E2510" s="7"/>
    </row>
    <row r="2511" spans="3:5">
      <c r="C2511" s="17">
        <f t="shared" si="39"/>
        <v>0</v>
      </c>
      <c r="D2511" s="17" t="str">
        <f>IF(C2511=1,COUNTIF($C$1:$C2511,1),"")</f>
        <v/>
      </c>
      <c r="E2511" s="7"/>
    </row>
    <row r="2512" spans="3:5">
      <c r="C2512" s="17">
        <f t="shared" si="39"/>
        <v>0</v>
      </c>
      <c r="D2512" s="17" t="str">
        <f>IF(C2512=1,COUNTIF($C$1:$C2512,1),"")</f>
        <v/>
      </c>
      <c r="E2512" s="7"/>
    </row>
    <row r="2513" spans="3:5">
      <c r="C2513" s="17">
        <f t="shared" si="39"/>
        <v>0</v>
      </c>
      <c r="D2513" s="17" t="str">
        <f>IF(C2513=1,COUNTIF($C$1:$C2513,1),"")</f>
        <v/>
      </c>
      <c r="E2513" s="7"/>
    </row>
    <row r="2514" spans="3:5">
      <c r="C2514" s="17">
        <f t="shared" si="39"/>
        <v>0</v>
      </c>
      <c r="D2514" s="17" t="str">
        <f>IF(C2514=1,COUNTIF($C$1:$C2514,1),"")</f>
        <v/>
      </c>
      <c r="E2514" s="7"/>
    </row>
    <row r="2515" spans="3:5">
      <c r="C2515" s="17">
        <f t="shared" si="39"/>
        <v>0</v>
      </c>
      <c r="D2515" s="17" t="str">
        <f>IF(C2515=1,COUNTIF($C$1:$C2515,1),"")</f>
        <v/>
      </c>
      <c r="E2515" s="7"/>
    </row>
    <row r="2516" spans="3:5">
      <c r="C2516" s="17">
        <f t="shared" si="39"/>
        <v>0</v>
      </c>
      <c r="D2516" s="17" t="str">
        <f>IF(C2516=1,COUNTIF($C$1:$C2516,1),"")</f>
        <v/>
      </c>
      <c r="E2516" s="7"/>
    </row>
    <row r="2517" spans="3:5">
      <c r="C2517" s="17">
        <f t="shared" si="39"/>
        <v>0</v>
      </c>
      <c r="D2517" s="17" t="str">
        <f>IF(C2517=1,COUNTIF($C$1:$C2517,1),"")</f>
        <v/>
      </c>
      <c r="E2517" s="7"/>
    </row>
    <row r="2518" spans="3:5">
      <c r="C2518" s="17">
        <f t="shared" si="39"/>
        <v>0</v>
      </c>
      <c r="D2518" s="17" t="str">
        <f>IF(C2518=1,COUNTIF($C$1:$C2518,1),"")</f>
        <v/>
      </c>
      <c r="E2518" s="7"/>
    </row>
    <row r="2519" spans="3:5">
      <c r="C2519" s="17">
        <f t="shared" si="39"/>
        <v>0</v>
      </c>
      <c r="D2519" s="17" t="str">
        <f>IF(C2519=1,COUNTIF($C$1:$C2519,1),"")</f>
        <v/>
      </c>
      <c r="E2519" s="7"/>
    </row>
    <row r="2520" spans="3:5">
      <c r="C2520" s="17">
        <f t="shared" si="39"/>
        <v>0</v>
      </c>
      <c r="D2520" s="17" t="str">
        <f>IF(C2520=1,COUNTIF($C$1:$C2520,1),"")</f>
        <v/>
      </c>
      <c r="E2520" s="7"/>
    </row>
    <row r="2521" spans="3:5">
      <c r="C2521" s="17">
        <f t="shared" si="39"/>
        <v>0</v>
      </c>
      <c r="D2521" s="17" t="str">
        <f>IF(C2521=1,COUNTIF($C$1:$C2521,1),"")</f>
        <v/>
      </c>
      <c r="E2521" s="7"/>
    </row>
    <row r="2522" spans="3:5">
      <c r="C2522" s="17">
        <f t="shared" si="39"/>
        <v>0</v>
      </c>
      <c r="D2522" s="17" t="str">
        <f>IF(C2522=1,COUNTIF($C$1:$C2522,1),"")</f>
        <v/>
      </c>
      <c r="E2522" s="7"/>
    </row>
    <row r="2523" spans="3:5">
      <c r="C2523" s="17">
        <f t="shared" si="39"/>
        <v>0</v>
      </c>
      <c r="D2523" s="17" t="str">
        <f>IF(C2523=1,COUNTIF($C$1:$C2523,1),"")</f>
        <v/>
      </c>
      <c r="E2523" s="7"/>
    </row>
    <row r="2524" spans="3:5">
      <c r="C2524" s="17">
        <f t="shared" si="39"/>
        <v>0</v>
      </c>
      <c r="D2524" s="17" t="str">
        <f>IF(C2524=1,COUNTIF($C$1:$C2524,1),"")</f>
        <v/>
      </c>
      <c r="E2524" s="7"/>
    </row>
    <row r="2525" spans="3:5">
      <c r="C2525" s="17">
        <f t="shared" si="39"/>
        <v>0</v>
      </c>
      <c r="D2525" s="17" t="str">
        <f>IF(C2525=1,COUNTIF($C$1:$C2525,1),"")</f>
        <v/>
      </c>
      <c r="E2525" s="7"/>
    </row>
    <row r="2526" spans="3:5">
      <c r="C2526" s="17">
        <f t="shared" si="39"/>
        <v>0</v>
      </c>
      <c r="D2526" s="17" t="str">
        <f>IF(C2526=1,COUNTIF($C$1:$C2526,1),"")</f>
        <v/>
      </c>
      <c r="E2526" s="7"/>
    </row>
    <row r="2527" spans="3:5">
      <c r="C2527" s="17">
        <f t="shared" si="39"/>
        <v>0</v>
      </c>
      <c r="D2527" s="17" t="str">
        <f>IF(C2527=1,COUNTIF($C$1:$C2527,1),"")</f>
        <v/>
      </c>
      <c r="E2527" s="7"/>
    </row>
    <row r="2528" spans="3:5">
      <c r="C2528" s="17">
        <f t="shared" si="39"/>
        <v>0</v>
      </c>
      <c r="D2528" s="17" t="str">
        <f>IF(C2528=1,COUNTIF($C$1:$C2528,1),"")</f>
        <v/>
      </c>
      <c r="E2528" s="7"/>
    </row>
    <row r="2529" spans="3:5">
      <c r="C2529" s="17">
        <f t="shared" si="39"/>
        <v>0</v>
      </c>
      <c r="D2529" s="17" t="str">
        <f>IF(C2529=1,COUNTIF($C$1:$C2529,1),"")</f>
        <v/>
      </c>
      <c r="E2529" s="7"/>
    </row>
    <row r="2530" spans="3:5">
      <c r="C2530" s="17">
        <f t="shared" si="39"/>
        <v>0</v>
      </c>
      <c r="D2530" s="17" t="str">
        <f>IF(C2530=1,COUNTIF($C$1:$C2530,1),"")</f>
        <v/>
      </c>
      <c r="E2530" s="7"/>
    </row>
    <row r="2531" spans="3:5">
      <c r="C2531" s="17">
        <f t="shared" si="39"/>
        <v>0</v>
      </c>
      <c r="D2531" s="17" t="str">
        <f>IF(C2531=1,COUNTIF($C$1:$C2531,1),"")</f>
        <v/>
      </c>
      <c r="E2531" s="7"/>
    </row>
    <row r="2532" spans="3:5">
      <c r="C2532" s="17">
        <f t="shared" si="39"/>
        <v>0</v>
      </c>
      <c r="D2532" s="17" t="str">
        <f>IF(C2532=1,COUNTIF($C$1:$C2532,1),"")</f>
        <v/>
      </c>
      <c r="E2532" s="7"/>
    </row>
    <row r="2533" spans="3:5">
      <c r="C2533" s="17">
        <f t="shared" si="39"/>
        <v>0</v>
      </c>
      <c r="D2533" s="17" t="str">
        <f>IF(C2533=1,COUNTIF($C$1:$C2533,1),"")</f>
        <v/>
      </c>
      <c r="E2533" s="7"/>
    </row>
    <row r="2534" spans="3:5">
      <c r="C2534" s="17">
        <f t="shared" si="39"/>
        <v>0</v>
      </c>
      <c r="D2534" s="17" t="str">
        <f>IF(C2534=1,COUNTIF($C$1:$C2534,1),"")</f>
        <v/>
      </c>
      <c r="E2534" s="7"/>
    </row>
    <row r="2535" spans="3:5">
      <c r="C2535" s="17">
        <f t="shared" si="39"/>
        <v>0</v>
      </c>
      <c r="D2535" s="17" t="str">
        <f>IF(C2535=1,COUNTIF($C$1:$C2535,1),"")</f>
        <v/>
      </c>
      <c r="E2535" s="7"/>
    </row>
    <row r="2536" spans="3:5">
      <c r="C2536" s="17">
        <f t="shared" si="39"/>
        <v>0</v>
      </c>
      <c r="D2536" s="17" t="str">
        <f>IF(C2536=1,COUNTIF($C$1:$C2536,1),"")</f>
        <v/>
      </c>
      <c r="E2536" s="7"/>
    </row>
    <row r="2537" spans="3:5">
      <c r="C2537" s="17">
        <f t="shared" si="39"/>
        <v>0</v>
      </c>
      <c r="D2537" s="17" t="str">
        <f>IF(C2537=1,COUNTIF($C$1:$C2537,1),"")</f>
        <v/>
      </c>
      <c r="E2537" s="7"/>
    </row>
    <row r="2538" spans="3:5">
      <c r="C2538" s="17">
        <f t="shared" si="39"/>
        <v>0</v>
      </c>
      <c r="D2538" s="17" t="str">
        <f>IF(C2538=1,COUNTIF($C$1:$C2538,1),"")</f>
        <v/>
      </c>
      <c r="E2538" s="7"/>
    </row>
    <row r="2539" spans="3:5">
      <c r="C2539" s="17">
        <f t="shared" si="39"/>
        <v>0</v>
      </c>
      <c r="D2539" s="17" t="str">
        <f>IF(C2539=1,COUNTIF($C$1:$C2539,1),"")</f>
        <v/>
      </c>
      <c r="E2539" s="7"/>
    </row>
    <row r="2540" spans="3:5">
      <c r="C2540" s="17">
        <f t="shared" si="39"/>
        <v>0</v>
      </c>
      <c r="D2540" s="17" t="str">
        <f>IF(C2540=1,COUNTIF($C$1:$C2540,1),"")</f>
        <v/>
      </c>
      <c r="E2540" s="7"/>
    </row>
    <row r="2541" spans="3:5">
      <c r="C2541" s="17">
        <f t="shared" si="39"/>
        <v>0</v>
      </c>
      <c r="D2541" s="17" t="str">
        <f>IF(C2541=1,COUNTIF($C$1:$C2541,1),"")</f>
        <v/>
      </c>
      <c r="E2541" s="7"/>
    </row>
    <row r="2542" spans="3:5">
      <c r="C2542" s="17">
        <f t="shared" si="39"/>
        <v>0</v>
      </c>
      <c r="D2542" s="17" t="str">
        <f>IF(C2542=1,COUNTIF($C$1:$C2542,1),"")</f>
        <v/>
      </c>
      <c r="E2542" s="7"/>
    </row>
    <row r="2543" spans="3:5">
      <c r="C2543" s="17">
        <f t="shared" si="39"/>
        <v>0</v>
      </c>
      <c r="D2543" s="17" t="str">
        <f>IF(C2543=1,COUNTIF($C$1:$C2543,1),"")</f>
        <v/>
      </c>
      <c r="E2543" s="7"/>
    </row>
    <row r="2544" spans="3:5">
      <c r="C2544" s="17">
        <f t="shared" si="39"/>
        <v>0</v>
      </c>
      <c r="D2544" s="17" t="str">
        <f>IF(C2544=1,COUNTIF($C$1:$C2544,1),"")</f>
        <v/>
      </c>
      <c r="E2544" s="7"/>
    </row>
    <row r="2545" spans="3:5">
      <c r="C2545" s="17">
        <f t="shared" si="39"/>
        <v>0</v>
      </c>
      <c r="D2545" s="17" t="str">
        <f>IF(C2545=1,COUNTIF($C$1:$C2545,1),"")</f>
        <v/>
      </c>
      <c r="E2545" s="7"/>
    </row>
    <row r="2546" spans="3:5">
      <c r="C2546" s="17">
        <f t="shared" si="39"/>
        <v>0</v>
      </c>
      <c r="D2546" s="17" t="str">
        <f>IF(C2546=1,COUNTIF($C$1:$C2546,1),"")</f>
        <v/>
      </c>
      <c r="E2546" s="7"/>
    </row>
    <row r="2547" spans="3:5">
      <c r="C2547" s="17">
        <f t="shared" si="39"/>
        <v>0</v>
      </c>
      <c r="D2547" s="17" t="str">
        <f>IF(C2547=1,COUNTIF($C$1:$C2547,1),"")</f>
        <v/>
      </c>
      <c r="E2547" s="7"/>
    </row>
    <row r="2548" spans="3:5">
      <c r="C2548" s="17">
        <f t="shared" si="39"/>
        <v>0</v>
      </c>
      <c r="D2548" s="17" t="str">
        <f>IF(C2548=1,COUNTIF($C$1:$C2548,1),"")</f>
        <v/>
      </c>
      <c r="E2548" s="7"/>
    </row>
    <row r="2549" spans="3:5">
      <c r="C2549" s="17">
        <f t="shared" si="39"/>
        <v>0</v>
      </c>
      <c r="D2549" s="17" t="str">
        <f>IF(C2549=1,COUNTIF($C$1:$C2549,1),"")</f>
        <v/>
      </c>
      <c r="E2549" s="7"/>
    </row>
    <row r="2550" spans="3:5">
      <c r="C2550" s="17">
        <f t="shared" si="39"/>
        <v>0</v>
      </c>
      <c r="D2550" s="17" t="str">
        <f>IF(C2550=1,COUNTIF($C$1:$C2550,1),"")</f>
        <v/>
      </c>
      <c r="E2550" s="7"/>
    </row>
    <row r="2551" spans="3:5">
      <c r="C2551" s="17">
        <f t="shared" si="39"/>
        <v>0</v>
      </c>
      <c r="D2551" s="17" t="str">
        <f>IF(C2551=1,COUNTIF($C$1:$C2551,1),"")</f>
        <v/>
      </c>
      <c r="E2551" s="7"/>
    </row>
    <row r="2552" spans="3:5">
      <c r="C2552" s="17">
        <f t="shared" si="39"/>
        <v>0</v>
      </c>
      <c r="D2552" s="17" t="str">
        <f>IF(C2552=1,COUNTIF($C$1:$C2552,1),"")</f>
        <v/>
      </c>
      <c r="E2552" s="7"/>
    </row>
    <row r="2553" spans="3:5">
      <c r="C2553" s="17">
        <f t="shared" si="39"/>
        <v>0</v>
      </c>
      <c r="D2553" s="17" t="str">
        <f>IF(C2553=1,COUNTIF($C$1:$C2553,1),"")</f>
        <v/>
      </c>
      <c r="E2553" s="7"/>
    </row>
    <row r="2554" spans="3:5">
      <c r="C2554" s="17">
        <f t="shared" si="39"/>
        <v>0</v>
      </c>
      <c r="D2554" s="17" t="str">
        <f>IF(C2554=1,COUNTIF($C$1:$C2554,1),"")</f>
        <v/>
      </c>
      <c r="E2554" s="7"/>
    </row>
    <row r="2555" spans="3:5">
      <c r="C2555" s="17">
        <f t="shared" si="39"/>
        <v>0</v>
      </c>
      <c r="D2555" s="17" t="str">
        <f>IF(C2555=1,COUNTIF($C$1:$C2555,1),"")</f>
        <v/>
      </c>
      <c r="E2555" s="7"/>
    </row>
    <row r="2556" spans="3:5">
      <c r="C2556" s="17">
        <f t="shared" si="39"/>
        <v>0</v>
      </c>
      <c r="D2556" s="17" t="str">
        <f>IF(C2556=1,COUNTIF($C$1:$C2556,1),"")</f>
        <v/>
      </c>
      <c r="E2556" s="7"/>
    </row>
    <row r="2557" spans="3:5">
      <c r="C2557" s="17">
        <f t="shared" si="39"/>
        <v>0</v>
      </c>
      <c r="D2557" s="17" t="str">
        <f>IF(C2557=1,COUNTIF($C$1:$C2557,1),"")</f>
        <v/>
      </c>
      <c r="E2557" s="7"/>
    </row>
    <row r="2558" spans="3:5">
      <c r="C2558" s="17">
        <f t="shared" si="39"/>
        <v>0</v>
      </c>
      <c r="D2558" s="17" t="str">
        <f>IF(C2558=1,COUNTIF($C$1:$C2558,1),"")</f>
        <v/>
      </c>
      <c r="E2558" s="7"/>
    </row>
    <row r="2559" spans="3:5">
      <c r="C2559" s="17">
        <f t="shared" si="39"/>
        <v>0</v>
      </c>
      <c r="D2559" s="17" t="str">
        <f>IF(C2559=1,COUNTIF($C$1:$C2559,1),"")</f>
        <v/>
      </c>
      <c r="E2559" s="7"/>
    </row>
    <row r="2560" spans="3:5">
      <c r="C2560" s="17">
        <f t="shared" si="39"/>
        <v>0</v>
      </c>
      <c r="D2560" s="17" t="str">
        <f>IF(C2560=1,COUNTIF($C$1:$C2560,1),"")</f>
        <v/>
      </c>
      <c r="E2560" s="7"/>
    </row>
    <row r="2561" spans="3:5">
      <c r="C2561" s="17">
        <f t="shared" si="39"/>
        <v>0</v>
      </c>
      <c r="D2561" s="17" t="str">
        <f>IF(C2561=1,COUNTIF($C$1:$C2561,1),"")</f>
        <v/>
      </c>
      <c r="E2561" s="7"/>
    </row>
    <row r="2562" spans="3:5">
      <c r="C2562" s="17">
        <f t="shared" ref="C2562:C2625" si="40">--ISNUMBER(SEARCH($B$1,A2562))</f>
        <v>0</v>
      </c>
      <c r="D2562" s="17" t="str">
        <f>IF(C2562=1,COUNTIF($C$1:$C2562,1),"")</f>
        <v/>
      </c>
      <c r="E2562" s="7"/>
    </row>
    <row r="2563" spans="3:5">
      <c r="C2563" s="17">
        <f t="shared" si="40"/>
        <v>0</v>
      </c>
      <c r="D2563" s="17" t="str">
        <f>IF(C2563=1,COUNTIF($C$1:$C2563,1),"")</f>
        <v/>
      </c>
      <c r="E2563" s="7"/>
    </row>
    <row r="2564" spans="3:5">
      <c r="C2564" s="17">
        <f t="shared" si="40"/>
        <v>0</v>
      </c>
      <c r="D2564" s="17" t="str">
        <f>IF(C2564=1,COUNTIF($C$1:$C2564,1),"")</f>
        <v/>
      </c>
      <c r="E2564" s="7"/>
    </row>
    <row r="2565" spans="3:5">
      <c r="C2565" s="17">
        <f t="shared" si="40"/>
        <v>0</v>
      </c>
      <c r="D2565" s="17" t="str">
        <f>IF(C2565=1,COUNTIF($C$1:$C2565,1),"")</f>
        <v/>
      </c>
      <c r="E2565" s="7"/>
    </row>
    <row r="2566" spans="3:5">
      <c r="C2566" s="17">
        <f t="shared" si="40"/>
        <v>0</v>
      </c>
      <c r="D2566" s="17" t="str">
        <f>IF(C2566=1,COUNTIF($C$1:$C2566,1),"")</f>
        <v/>
      </c>
      <c r="E2566" s="7"/>
    </row>
    <row r="2567" spans="3:5">
      <c r="C2567" s="17">
        <f t="shared" si="40"/>
        <v>0</v>
      </c>
      <c r="D2567" s="17" t="str">
        <f>IF(C2567=1,COUNTIF($C$1:$C2567,1),"")</f>
        <v/>
      </c>
      <c r="E2567" s="7"/>
    </row>
    <row r="2568" spans="3:5">
      <c r="C2568" s="17">
        <f t="shared" si="40"/>
        <v>0</v>
      </c>
      <c r="D2568" s="17" t="str">
        <f>IF(C2568=1,COUNTIF($C$1:$C2568,1),"")</f>
        <v/>
      </c>
      <c r="E2568" s="7"/>
    </row>
    <row r="2569" spans="3:5">
      <c r="C2569" s="17">
        <f t="shared" si="40"/>
        <v>0</v>
      </c>
      <c r="D2569" s="17" t="str">
        <f>IF(C2569=1,COUNTIF($C$1:$C2569,1),"")</f>
        <v/>
      </c>
      <c r="E2569" s="7"/>
    </row>
    <row r="2570" spans="3:5">
      <c r="C2570" s="17">
        <f t="shared" si="40"/>
        <v>0</v>
      </c>
      <c r="D2570" s="17" t="str">
        <f>IF(C2570=1,COUNTIF($C$1:$C2570,1),"")</f>
        <v/>
      </c>
      <c r="E2570" s="7"/>
    </row>
    <row r="2571" spans="3:5">
      <c r="C2571" s="17">
        <f t="shared" si="40"/>
        <v>0</v>
      </c>
      <c r="D2571" s="17" t="str">
        <f>IF(C2571=1,COUNTIF($C$1:$C2571,1),"")</f>
        <v/>
      </c>
      <c r="E2571" s="7"/>
    </row>
    <row r="2572" spans="3:5">
      <c r="C2572" s="17">
        <f t="shared" si="40"/>
        <v>0</v>
      </c>
      <c r="D2572" s="17" t="str">
        <f>IF(C2572=1,COUNTIF($C$1:$C2572,1),"")</f>
        <v/>
      </c>
      <c r="E2572" s="7"/>
    </row>
    <row r="2573" spans="3:5">
      <c r="C2573" s="17">
        <f t="shared" si="40"/>
        <v>0</v>
      </c>
      <c r="D2573" s="17" t="str">
        <f>IF(C2573=1,COUNTIF($C$1:$C2573,1),"")</f>
        <v/>
      </c>
      <c r="E2573" s="7"/>
    </row>
    <row r="2574" spans="3:5">
      <c r="C2574" s="17">
        <f t="shared" si="40"/>
        <v>0</v>
      </c>
      <c r="D2574" s="17" t="str">
        <f>IF(C2574=1,COUNTIF($C$1:$C2574,1),"")</f>
        <v/>
      </c>
      <c r="E2574" s="7"/>
    </row>
    <row r="2575" spans="3:5">
      <c r="C2575" s="17">
        <f t="shared" si="40"/>
        <v>0</v>
      </c>
      <c r="D2575" s="17" t="str">
        <f>IF(C2575=1,COUNTIF($C$1:$C2575,1),"")</f>
        <v/>
      </c>
      <c r="E2575" s="7"/>
    </row>
    <row r="2576" spans="3:5">
      <c r="C2576" s="17">
        <f t="shared" si="40"/>
        <v>0</v>
      </c>
      <c r="D2576" s="17" t="str">
        <f>IF(C2576=1,COUNTIF($C$1:$C2576,1),"")</f>
        <v/>
      </c>
      <c r="E2576" s="7"/>
    </row>
    <row r="2577" spans="3:5">
      <c r="C2577" s="17">
        <f t="shared" si="40"/>
        <v>0</v>
      </c>
      <c r="D2577" s="17" t="str">
        <f>IF(C2577=1,COUNTIF($C$1:$C2577,1),"")</f>
        <v/>
      </c>
      <c r="E2577" s="7"/>
    </row>
    <row r="2578" spans="3:5">
      <c r="C2578" s="17">
        <f t="shared" si="40"/>
        <v>0</v>
      </c>
      <c r="D2578" s="17" t="str">
        <f>IF(C2578=1,COUNTIF($C$1:$C2578,1),"")</f>
        <v/>
      </c>
      <c r="E2578" s="7"/>
    </row>
    <row r="2579" spans="3:5">
      <c r="C2579" s="17">
        <f t="shared" si="40"/>
        <v>0</v>
      </c>
      <c r="D2579" s="17" t="str">
        <f>IF(C2579=1,COUNTIF($C$1:$C2579,1),"")</f>
        <v/>
      </c>
      <c r="E2579" s="7"/>
    </row>
    <row r="2580" spans="3:5">
      <c r="C2580" s="17">
        <f t="shared" si="40"/>
        <v>0</v>
      </c>
      <c r="D2580" s="17" t="str">
        <f>IF(C2580=1,COUNTIF($C$1:$C2580,1),"")</f>
        <v/>
      </c>
      <c r="E2580" s="7"/>
    </row>
    <row r="2581" spans="3:5">
      <c r="C2581" s="17">
        <f t="shared" si="40"/>
        <v>0</v>
      </c>
      <c r="D2581" s="17" t="str">
        <f>IF(C2581=1,COUNTIF($C$1:$C2581,1),"")</f>
        <v/>
      </c>
      <c r="E2581" s="7"/>
    </row>
    <row r="2582" spans="3:5">
      <c r="C2582" s="17">
        <f t="shared" si="40"/>
        <v>0</v>
      </c>
      <c r="D2582" s="17" t="str">
        <f>IF(C2582=1,COUNTIF($C$1:$C2582,1),"")</f>
        <v/>
      </c>
      <c r="E2582" s="7"/>
    </row>
    <row r="2583" spans="3:5">
      <c r="C2583" s="17">
        <f t="shared" si="40"/>
        <v>0</v>
      </c>
      <c r="D2583" s="17" t="str">
        <f>IF(C2583=1,COUNTIF($C$1:$C2583,1),"")</f>
        <v/>
      </c>
      <c r="E2583" s="7"/>
    </row>
    <row r="2584" spans="3:5">
      <c r="C2584" s="17">
        <f t="shared" si="40"/>
        <v>0</v>
      </c>
      <c r="D2584" s="17" t="str">
        <f>IF(C2584=1,COUNTIF($C$1:$C2584,1),"")</f>
        <v/>
      </c>
      <c r="E2584" s="7"/>
    </row>
    <row r="2585" spans="3:5">
      <c r="C2585" s="17">
        <f t="shared" si="40"/>
        <v>0</v>
      </c>
      <c r="D2585" s="17" t="str">
        <f>IF(C2585=1,COUNTIF($C$1:$C2585,1),"")</f>
        <v/>
      </c>
      <c r="E2585" s="7"/>
    </row>
    <row r="2586" spans="3:5">
      <c r="C2586" s="17">
        <f t="shared" si="40"/>
        <v>0</v>
      </c>
      <c r="D2586" s="17" t="str">
        <f>IF(C2586=1,COUNTIF($C$1:$C2586,1),"")</f>
        <v/>
      </c>
      <c r="E2586" s="7"/>
    </row>
    <row r="2587" spans="3:5">
      <c r="C2587" s="17">
        <f t="shared" si="40"/>
        <v>0</v>
      </c>
      <c r="D2587" s="17" t="str">
        <f>IF(C2587=1,COUNTIF($C$1:$C2587,1),"")</f>
        <v/>
      </c>
      <c r="E2587" s="7"/>
    </row>
    <row r="2588" spans="3:5">
      <c r="C2588" s="17">
        <f t="shared" si="40"/>
        <v>0</v>
      </c>
      <c r="D2588" s="17" t="str">
        <f>IF(C2588=1,COUNTIF($C$1:$C2588,1),"")</f>
        <v/>
      </c>
      <c r="E2588" s="7"/>
    </row>
    <row r="2589" spans="3:5">
      <c r="C2589" s="17">
        <f t="shared" si="40"/>
        <v>0</v>
      </c>
      <c r="D2589" s="17" t="str">
        <f>IF(C2589=1,COUNTIF($C$1:$C2589,1),"")</f>
        <v/>
      </c>
      <c r="E2589" s="7"/>
    </row>
    <row r="2590" spans="3:5">
      <c r="C2590" s="17">
        <f t="shared" si="40"/>
        <v>0</v>
      </c>
      <c r="D2590" s="17" t="str">
        <f>IF(C2590=1,COUNTIF($C$1:$C2590,1),"")</f>
        <v/>
      </c>
      <c r="E2590" s="7"/>
    </row>
    <row r="2591" spans="3:5">
      <c r="C2591" s="17">
        <f t="shared" si="40"/>
        <v>0</v>
      </c>
      <c r="D2591" s="17" t="str">
        <f>IF(C2591=1,COUNTIF($C$1:$C2591,1),"")</f>
        <v/>
      </c>
      <c r="E2591" s="7"/>
    </row>
    <row r="2592" spans="3:5">
      <c r="C2592" s="17">
        <f t="shared" si="40"/>
        <v>0</v>
      </c>
      <c r="D2592" s="17" t="str">
        <f>IF(C2592=1,COUNTIF($C$1:$C2592,1),"")</f>
        <v/>
      </c>
      <c r="E2592" s="7"/>
    </row>
    <row r="2593" spans="3:5">
      <c r="C2593" s="17">
        <f t="shared" si="40"/>
        <v>0</v>
      </c>
      <c r="D2593" s="17" t="str">
        <f>IF(C2593=1,COUNTIF($C$1:$C2593,1),"")</f>
        <v/>
      </c>
      <c r="E2593" s="7"/>
    </row>
    <row r="2594" spans="3:5">
      <c r="C2594" s="17">
        <f t="shared" si="40"/>
        <v>0</v>
      </c>
      <c r="D2594" s="17" t="str">
        <f>IF(C2594=1,COUNTIF($C$1:$C2594,1),"")</f>
        <v/>
      </c>
      <c r="E2594" s="7"/>
    </row>
    <row r="2595" spans="3:5">
      <c r="C2595" s="17">
        <f t="shared" si="40"/>
        <v>0</v>
      </c>
      <c r="D2595" s="17" t="str">
        <f>IF(C2595=1,COUNTIF($C$1:$C2595,1),"")</f>
        <v/>
      </c>
      <c r="E2595" s="7"/>
    </row>
    <row r="2596" spans="3:5">
      <c r="C2596" s="17">
        <f t="shared" si="40"/>
        <v>0</v>
      </c>
      <c r="D2596" s="17" t="str">
        <f>IF(C2596=1,COUNTIF($C$1:$C2596,1),"")</f>
        <v/>
      </c>
      <c r="E2596" s="7"/>
    </row>
    <row r="2597" spans="3:5">
      <c r="C2597" s="17">
        <f t="shared" si="40"/>
        <v>0</v>
      </c>
      <c r="D2597" s="17" t="str">
        <f>IF(C2597=1,COUNTIF($C$1:$C2597,1),"")</f>
        <v/>
      </c>
      <c r="E2597" s="7"/>
    </row>
    <row r="2598" spans="3:5">
      <c r="C2598" s="17">
        <f t="shared" si="40"/>
        <v>0</v>
      </c>
      <c r="D2598" s="17" t="str">
        <f>IF(C2598=1,COUNTIF($C$1:$C2598,1),"")</f>
        <v/>
      </c>
      <c r="E2598" s="7"/>
    </row>
    <row r="2599" spans="3:5">
      <c r="C2599" s="17">
        <f t="shared" si="40"/>
        <v>0</v>
      </c>
      <c r="D2599" s="17" t="str">
        <f>IF(C2599=1,COUNTIF($C$1:$C2599,1),"")</f>
        <v/>
      </c>
      <c r="E2599" s="7"/>
    </row>
    <row r="2600" spans="3:5">
      <c r="C2600" s="17">
        <f t="shared" si="40"/>
        <v>0</v>
      </c>
      <c r="D2600" s="17" t="str">
        <f>IF(C2600=1,COUNTIF($C$1:$C2600,1),"")</f>
        <v/>
      </c>
      <c r="E2600" s="7"/>
    </row>
    <row r="2601" spans="3:5">
      <c r="C2601" s="17">
        <f t="shared" si="40"/>
        <v>0</v>
      </c>
      <c r="D2601" s="17" t="str">
        <f>IF(C2601=1,COUNTIF($C$1:$C2601,1),"")</f>
        <v/>
      </c>
      <c r="E2601" s="7"/>
    </row>
    <row r="2602" spans="3:5">
      <c r="C2602" s="17">
        <f t="shared" si="40"/>
        <v>0</v>
      </c>
      <c r="D2602" s="17" t="str">
        <f>IF(C2602=1,COUNTIF($C$1:$C2602,1),"")</f>
        <v/>
      </c>
      <c r="E2602" s="7"/>
    </row>
    <row r="2603" spans="3:5">
      <c r="C2603" s="17">
        <f t="shared" si="40"/>
        <v>0</v>
      </c>
      <c r="D2603" s="17" t="str">
        <f>IF(C2603=1,COUNTIF($C$1:$C2603,1),"")</f>
        <v/>
      </c>
      <c r="E2603" s="7"/>
    </row>
    <row r="2604" spans="3:5">
      <c r="C2604" s="17">
        <f t="shared" si="40"/>
        <v>0</v>
      </c>
      <c r="D2604" s="17" t="str">
        <f>IF(C2604=1,COUNTIF($C$1:$C2604,1),"")</f>
        <v/>
      </c>
      <c r="E2604" s="7"/>
    </row>
    <row r="2605" spans="3:5">
      <c r="C2605" s="17">
        <f t="shared" si="40"/>
        <v>0</v>
      </c>
      <c r="D2605" s="17" t="str">
        <f>IF(C2605=1,COUNTIF($C$1:$C2605,1),"")</f>
        <v/>
      </c>
      <c r="E2605" s="7"/>
    </row>
    <row r="2606" spans="3:5">
      <c r="C2606" s="17">
        <f t="shared" si="40"/>
        <v>0</v>
      </c>
      <c r="D2606" s="17" t="str">
        <f>IF(C2606=1,COUNTIF($C$1:$C2606,1),"")</f>
        <v/>
      </c>
      <c r="E2606" s="7"/>
    </row>
    <row r="2607" spans="3:5">
      <c r="C2607" s="17">
        <f t="shared" si="40"/>
        <v>0</v>
      </c>
      <c r="D2607" s="17" t="str">
        <f>IF(C2607=1,COUNTIF($C$1:$C2607,1),"")</f>
        <v/>
      </c>
      <c r="E2607" s="7"/>
    </row>
    <row r="2608" spans="3:5">
      <c r="C2608" s="17">
        <f t="shared" si="40"/>
        <v>0</v>
      </c>
      <c r="D2608" s="17" t="str">
        <f>IF(C2608=1,COUNTIF($C$1:$C2608,1),"")</f>
        <v/>
      </c>
      <c r="E2608" s="7"/>
    </row>
    <row r="2609" spans="3:5">
      <c r="C2609" s="17">
        <f t="shared" si="40"/>
        <v>0</v>
      </c>
      <c r="D2609" s="17" t="str">
        <f>IF(C2609=1,COUNTIF($C$1:$C2609,1),"")</f>
        <v/>
      </c>
      <c r="E2609" s="7"/>
    </row>
    <row r="2610" spans="3:5">
      <c r="C2610" s="17">
        <f t="shared" si="40"/>
        <v>0</v>
      </c>
      <c r="D2610" s="17" t="str">
        <f>IF(C2610=1,COUNTIF($C$1:$C2610,1),"")</f>
        <v/>
      </c>
      <c r="E2610" s="7"/>
    </row>
    <row r="2611" spans="3:5">
      <c r="C2611" s="17">
        <f t="shared" si="40"/>
        <v>0</v>
      </c>
      <c r="D2611" s="17" t="str">
        <f>IF(C2611=1,COUNTIF($C$1:$C2611,1),"")</f>
        <v/>
      </c>
      <c r="E2611" s="7"/>
    </row>
    <row r="2612" spans="3:5">
      <c r="C2612" s="17">
        <f t="shared" si="40"/>
        <v>0</v>
      </c>
      <c r="D2612" s="17" t="str">
        <f>IF(C2612=1,COUNTIF($C$1:$C2612,1),"")</f>
        <v/>
      </c>
      <c r="E2612" s="7"/>
    </row>
    <row r="2613" spans="3:5">
      <c r="C2613" s="17">
        <f t="shared" si="40"/>
        <v>0</v>
      </c>
      <c r="D2613" s="17" t="str">
        <f>IF(C2613=1,COUNTIF($C$1:$C2613,1),"")</f>
        <v/>
      </c>
      <c r="E2613" s="7"/>
    </row>
    <row r="2614" spans="3:5">
      <c r="C2614" s="17">
        <f t="shared" si="40"/>
        <v>0</v>
      </c>
      <c r="D2614" s="17" t="str">
        <f>IF(C2614=1,COUNTIF($C$1:$C2614,1),"")</f>
        <v/>
      </c>
      <c r="E2614" s="7"/>
    </row>
    <row r="2615" spans="3:5">
      <c r="C2615" s="17">
        <f t="shared" si="40"/>
        <v>0</v>
      </c>
      <c r="D2615" s="17" t="str">
        <f>IF(C2615=1,COUNTIF($C$1:$C2615,1),"")</f>
        <v/>
      </c>
      <c r="E2615" s="7"/>
    </row>
    <row r="2616" spans="3:5">
      <c r="C2616" s="17">
        <f t="shared" si="40"/>
        <v>0</v>
      </c>
      <c r="D2616" s="17" t="str">
        <f>IF(C2616=1,COUNTIF($C$1:$C2616,1),"")</f>
        <v/>
      </c>
      <c r="E2616" s="7"/>
    </row>
    <row r="2617" spans="3:5">
      <c r="C2617" s="17">
        <f t="shared" si="40"/>
        <v>0</v>
      </c>
      <c r="D2617" s="17" t="str">
        <f>IF(C2617=1,COUNTIF($C$1:$C2617,1),"")</f>
        <v/>
      </c>
      <c r="E2617" s="7"/>
    </row>
    <row r="2618" spans="3:5">
      <c r="C2618" s="17">
        <f t="shared" si="40"/>
        <v>0</v>
      </c>
      <c r="D2618" s="17" t="str">
        <f>IF(C2618=1,COUNTIF($C$1:$C2618,1),"")</f>
        <v/>
      </c>
      <c r="E2618" s="7"/>
    </row>
    <row r="2619" spans="3:5">
      <c r="C2619" s="17">
        <f t="shared" si="40"/>
        <v>0</v>
      </c>
      <c r="D2619" s="17" t="str">
        <f>IF(C2619=1,COUNTIF($C$1:$C2619,1),"")</f>
        <v/>
      </c>
      <c r="E2619" s="7"/>
    </row>
    <row r="2620" spans="3:5">
      <c r="C2620" s="17">
        <f t="shared" si="40"/>
        <v>0</v>
      </c>
      <c r="D2620" s="17" t="str">
        <f>IF(C2620=1,COUNTIF($C$1:$C2620,1),"")</f>
        <v/>
      </c>
      <c r="E2620" s="7"/>
    </row>
    <row r="2621" spans="3:5">
      <c r="C2621" s="17">
        <f t="shared" si="40"/>
        <v>0</v>
      </c>
      <c r="D2621" s="17" t="str">
        <f>IF(C2621=1,COUNTIF($C$1:$C2621,1),"")</f>
        <v/>
      </c>
      <c r="E2621" s="7"/>
    </row>
    <row r="2622" spans="3:5">
      <c r="C2622" s="17">
        <f t="shared" si="40"/>
        <v>0</v>
      </c>
      <c r="D2622" s="17" t="str">
        <f>IF(C2622=1,COUNTIF($C$1:$C2622,1),"")</f>
        <v/>
      </c>
      <c r="E2622" s="7"/>
    </row>
    <row r="2623" spans="3:5">
      <c r="C2623" s="17">
        <f t="shared" si="40"/>
        <v>0</v>
      </c>
      <c r="D2623" s="17" t="str">
        <f>IF(C2623=1,COUNTIF($C$1:$C2623,1),"")</f>
        <v/>
      </c>
      <c r="E2623" s="7"/>
    </row>
    <row r="2624" spans="3:5">
      <c r="C2624" s="17">
        <f t="shared" si="40"/>
        <v>0</v>
      </c>
      <c r="D2624" s="17" t="str">
        <f>IF(C2624=1,COUNTIF($C$1:$C2624,1),"")</f>
        <v/>
      </c>
      <c r="E2624" s="7"/>
    </row>
    <row r="2625" spans="3:5">
      <c r="C2625" s="17">
        <f t="shared" si="40"/>
        <v>0</v>
      </c>
      <c r="D2625" s="17" t="str">
        <f>IF(C2625=1,COUNTIF($C$1:$C2625,1),"")</f>
        <v/>
      </c>
      <c r="E2625" s="7"/>
    </row>
    <row r="2626" spans="3:5">
      <c r="C2626" s="17">
        <f t="shared" ref="C2626:C2689" si="41">--ISNUMBER(SEARCH($B$1,A2626))</f>
        <v>0</v>
      </c>
      <c r="D2626" s="17" t="str">
        <f>IF(C2626=1,COUNTIF($C$1:$C2626,1),"")</f>
        <v/>
      </c>
      <c r="E2626" s="7"/>
    </row>
    <row r="2627" spans="3:5">
      <c r="C2627" s="17">
        <f t="shared" si="41"/>
        <v>0</v>
      </c>
      <c r="D2627" s="17" t="str">
        <f>IF(C2627=1,COUNTIF($C$1:$C2627,1),"")</f>
        <v/>
      </c>
      <c r="E2627" s="7"/>
    </row>
    <row r="2628" spans="3:5">
      <c r="C2628" s="17">
        <f t="shared" si="41"/>
        <v>0</v>
      </c>
      <c r="D2628" s="17" t="str">
        <f>IF(C2628=1,COUNTIF($C$1:$C2628,1),"")</f>
        <v/>
      </c>
      <c r="E2628" s="7"/>
    </row>
    <row r="2629" spans="3:5">
      <c r="C2629" s="17">
        <f t="shared" si="41"/>
        <v>0</v>
      </c>
      <c r="D2629" s="17" t="str">
        <f>IF(C2629=1,COUNTIF($C$1:$C2629,1),"")</f>
        <v/>
      </c>
      <c r="E2629" s="7"/>
    </row>
    <row r="2630" spans="3:5">
      <c r="C2630" s="17">
        <f t="shared" si="41"/>
        <v>0</v>
      </c>
      <c r="D2630" s="17" t="str">
        <f>IF(C2630=1,COUNTIF($C$1:$C2630,1),"")</f>
        <v/>
      </c>
      <c r="E2630" s="7"/>
    </row>
    <row r="2631" spans="3:5">
      <c r="C2631" s="17">
        <f t="shared" si="41"/>
        <v>0</v>
      </c>
      <c r="D2631" s="17" t="str">
        <f>IF(C2631=1,COUNTIF($C$1:$C2631,1),"")</f>
        <v/>
      </c>
      <c r="E2631" s="7"/>
    </row>
    <row r="2632" spans="3:5">
      <c r="C2632" s="17">
        <f t="shared" si="41"/>
        <v>0</v>
      </c>
      <c r="D2632" s="17" t="str">
        <f>IF(C2632=1,COUNTIF($C$1:$C2632,1),"")</f>
        <v/>
      </c>
      <c r="E2632" s="7"/>
    </row>
    <row r="2633" spans="3:5">
      <c r="C2633" s="17">
        <f t="shared" si="41"/>
        <v>0</v>
      </c>
      <c r="D2633" s="17" t="str">
        <f>IF(C2633=1,COUNTIF($C$1:$C2633,1),"")</f>
        <v/>
      </c>
      <c r="E2633" s="7"/>
    </row>
    <row r="2634" spans="3:5">
      <c r="C2634" s="17">
        <f t="shared" si="41"/>
        <v>0</v>
      </c>
      <c r="D2634" s="17" t="str">
        <f>IF(C2634=1,COUNTIF($C$1:$C2634,1),"")</f>
        <v/>
      </c>
      <c r="E2634" s="7"/>
    </row>
    <row r="2635" spans="3:5">
      <c r="C2635" s="17">
        <f t="shared" si="41"/>
        <v>0</v>
      </c>
      <c r="D2635" s="17" t="str">
        <f>IF(C2635=1,COUNTIF($C$1:$C2635,1),"")</f>
        <v/>
      </c>
      <c r="E2635" s="7"/>
    </row>
    <row r="2636" spans="3:5">
      <c r="C2636" s="17">
        <f t="shared" si="41"/>
        <v>0</v>
      </c>
      <c r="D2636" s="17" t="str">
        <f>IF(C2636=1,COUNTIF($C$1:$C2636,1),"")</f>
        <v/>
      </c>
      <c r="E2636" s="7"/>
    </row>
    <row r="2637" spans="3:5">
      <c r="C2637" s="17">
        <f t="shared" si="41"/>
        <v>0</v>
      </c>
      <c r="D2637" s="17" t="str">
        <f>IF(C2637=1,COUNTIF($C$1:$C2637,1),"")</f>
        <v/>
      </c>
      <c r="E2637" s="7"/>
    </row>
    <row r="2638" spans="3:5">
      <c r="C2638" s="17">
        <f t="shared" si="41"/>
        <v>0</v>
      </c>
      <c r="D2638" s="17" t="str">
        <f>IF(C2638=1,COUNTIF($C$1:$C2638,1),"")</f>
        <v/>
      </c>
      <c r="E2638" s="7"/>
    </row>
    <row r="2639" spans="3:5">
      <c r="C2639" s="17">
        <f t="shared" si="41"/>
        <v>0</v>
      </c>
      <c r="D2639" s="17" t="str">
        <f>IF(C2639=1,COUNTIF($C$1:$C2639,1),"")</f>
        <v/>
      </c>
      <c r="E2639" s="7"/>
    </row>
    <row r="2640" spans="3:5">
      <c r="C2640" s="17">
        <f t="shared" si="41"/>
        <v>0</v>
      </c>
      <c r="D2640" s="17" t="str">
        <f>IF(C2640=1,COUNTIF($C$1:$C2640,1),"")</f>
        <v/>
      </c>
      <c r="E2640" s="7"/>
    </row>
    <row r="2641" spans="3:5">
      <c r="C2641" s="17">
        <f t="shared" si="41"/>
        <v>0</v>
      </c>
      <c r="D2641" s="17" t="str">
        <f>IF(C2641=1,COUNTIF($C$1:$C2641,1),"")</f>
        <v/>
      </c>
      <c r="E2641" s="7"/>
    </row>
    <row r="2642" spans="3:5">
      <c r="C2642" s="17">
        <f t="shared" si="41"/>
        <v>0</v>
      </c>
      <c r="D2642" s="17" t="str">
        <f>IF(C2642=1,COUNTIF($C$1:$C2642,1),"")</f>
        <v/>
      </c>
      <c r="E2642" s="7"/>
    </row>
    <row r="2643" spans="3:5">
      <c r="C2643" s="17">
        <f t="shared" si="41"/>
        <v>0</v>
      </c>
      <c r="D2643" s="17" t="str">
        <f>IF(C2643=1,COUNTIF($C$1:$C2643,1),"")</f>
        <v/>
      </c>
      <c r="E2643" s="7"/>
    </row>
    <row r="2644" spans="3:5">
      <c r="C2644" s="17">
        <f t="shared" si="41"/>
        <v>0</v>
      </c>
      <c r="D2644" s="17" t="str">
        <f>IF(C2644=1,COUNTIF($C$1:$C2644,1),"")</f>
        <v/>
      </c>
      <c r="E2644" s="7"/>
    </row>
    <row r="2645" spans="3:5">
      <c r="C2645" s="17">
        <f t="shared" si="41"/>
        <v>0</v>
      </c>
      <c r="D2645" s="17" t="str">
        <f>IF(C2645=1,COUNTIF($C$1:$C2645,1),"")</f>
        <v/>
      </c>
      <c r="E2645" s="7"/>
    </row>
    <row r="2646" spans="3:5">
      <c r="C2646" s="17">
        <f t="shared" si="41"/>
        <v>0</v>
      </c>
      <c r="D2646" s="17" t="str">
        <f>IF(C2646=1,COUNTIF($C$1:$C2646,1),"")</f>
        <v/>
      </c>
      <c r="E2646" s="7"/>
    </row>
    <row r="2647" spans="3:5">
      <c r="C2647" s="17">
        <f t="shared" si="41"/>
        <v>0</v>
      </c>
      <c r="D2647" s="17" t="str">
        <f>IF(C2647=1,COUNTIF($C$1:$C2647,1),"")</f>
        <v/>
      </c>
      <c r="E2647" s="7"/>
    </row>
    <row r="2648" spans="3:5">
      <c r="C2648" s="17">
        <f t="shared" si="41"/>
        <v>0</v>
      </c>
      <c r="D2648" s="17" t="str">
        <f>IF(C2648=1,COUNTIF($C$1:$C2648,1),"")</f>
        <v/>
      </c>
      <c r="E2648" s="7"/>
    </row>
    <row r="2649" spans="3:5">
      <c r="C2649" s="17">
        <f t="shared" si="41"/>
        <v>0</v>
      </c>
      <c r="D2649" s="17" t="str">
        <f>IF(C2649=1,COUNTIF($C$1:$C2649,1),"")</f>
        <v/>
      </c>
      <c r="E2649" s="7"/>
    </row>
    <row r="2650" spans="3:5">
      <c r="C2650" s="17">
        <f t="shared" si="41"/>
        <v>0</v>
      </c>
      <c r="D2650" s="17" t="str">
        <f>IF(C2650=1,COUNTIF($C$1:$C2650,1),"")</f>
        <v/>
      </c>
      <c r="E2650" s="7"/>
    </row>
    <row r="2651" spans="3:5">
      <c r="C2651" s="17">
        <f t="shared" si="41"/>
        <v>0</v>
      </c>
      <c r="D2651" s="17" t="str">
        <f>IF(C2651=1,COUNTIF($C$1:$C2651,1),"")</f>
        <v/>
      </c>
      <c r="E2651" s="7"/>
    </row>
    <row r="2652" spans="3:5">
      <c r="C2652" s="17">
        <f t="shared" si="41"/>
        <v>0</v>
      </c>
      <c r="D2652" s="17" t="str">
        <f>IF(C2652=1,COUNTIF($C$1:$C2652,1),"")</f>
        <v/>
      </c>
      <c r="E2652" s="7"/>
    </row>
    <row r="2653" spans="3:5">
      <c r="C2653" s="17">
        <f t="shared" si="41"/>
        <v>0</v>
      </c>
      <c r="D2653" s="17" t="str">
        <f>IF(C2653=1,COUNTIF($C$1:$C2653,1),"")</f>
        <v/>
      </c>
      <c r="E2653" s="7"/>
    </row>
    <row r="2654" spans="3:5">
      <c r="C2654" s="17">
        <f t="shared" si="41"/>
        <v>0</v>
      </c>
      <c r="D2654" s="17" t="str">
        <f>IF(C2654=1,COUNTIF($C$1:$C2654,1),"")</f>
        <v/>
      </c>
      <c r="E2654" s="7"/>
    </row>
    <row r="2655" spans="3:5">
      <c r="C2655" s="17">
        <f t="shared" si="41"/>
        <v>0</v>
      </c>
      <c r="D2655" s="17" t="str">
        <f>IF(C2655=1,COUNTIF($C$1:$C2655,1),"")</f>
        <v/>
      </c>
      <c r="E2655" s="7"/>
    </row>
    <row r="2656" spans="3:5">
      <c r="C2656" s="17">
        <f t="shared" si="41"/>
        <v>0</v>
      </c>
      <c r="D2656" s="17" t="str">
        <f>IF(C2656=1,COUNTIF($C$1:$C2656,1),"")</f>
        <v/>
      </c>
      <c r="E2656" s="7"/>
    </row>
    <row r="2657" spans="3:5">
      <c r="C2657" s="17">
        <f t="shared" si="41"/>
        <v>0</v>
      </c>
      <c r="D2657" s="17" t="str">
        <f>IF(C2657=1,COUNTIF($C$1:$C2657,1),"")</f>
        <v/>
      </c>
      <c r="E2657" s="7"/>
    </row>
    <row r="2658" spans="3:5">
      <c r="C2658" s="17">
        <f t="shared" si="41"/>
        <v>0</v>
      </c>
      <c r="D2658" s="17" t="str">
        <f>IF(C2658=1,COUNTIF($C$1:$C2658,1),"")</f>
        <v/>
      </c>
      <c r="E2658" s="7"/>
    </row>
    <row r="2659" spans="3:5">
      <c r="C2659" s="17">
        <f t="shared" si="41"/>
        <v>0</v>
      </c>
      <c r="D2659" s="17" t="str">
        <f>IF(C2659=1,COUNTIF($C$1:$C2659,1),"")</f>
        <v/>
      </c>
      <c r="E2659" s="7"/>
    </row>
    <row r="2660" spans="3:5">
      <c r="C2660" s="17">
        <f t="shared" si="41"/>
        <v>0</v>
      </c>
      <c r="D2660" s="17" t="str">
        <f>IF(C2660=1,COUNTIF($C$1:$C2660,1),"")</f>
        <v/>
      </c>
      <c r="E2660" s="7"/>
    </row>
    <row r="2661" spans="3:5">
      <c r="C2661" s="17">
        <f t="shared" si="41"/>
        <v>0</v>
      </c>
      <c r="D2661" s="17" t="str">
        <f>IF(C2661=1,COUNTIF($C$1:$C2661,1),"")</f>
        <v/>
      </c>
      <c r="E2661" s="7"/>
    </row>
    <row r="2662" spans="3:5">
      <c r="C2662" s="17">
        <f t="shared" si="41"/>
        <v>0</v>
      </c>
      <c r="D2662" s="17" t="str">
        <f>IF(C2662=1,COUNTIF($C$1:$C2662,1),"")</f>
        <v/>
      </c>
      <c r="E2662" s="7"/>
    </row>
    <row r="2663" spans="3:5">
      <c r="C2663" s="17">
        <f t="shared" si="41"/>
        <v>0</v>
      </c>
      <c r="D2663" s="17" t="str">
        <f>IF(C2663=1,COUNTIF($C$1:$C2663,1),"")</f>
        <v/>
      </c>
      <c r="E2663" s="7"/>
    </row>
    <row r="2664" spans="3:5">
      <c r="C2664" s="17">
        <f t="shared" si="41"/>
        <v>0</v>
      </c>
      <c r="D2664" s="17" t="str">
        <f>IF(C2664=1,COUNTIF($C$1:$C2664,1),"")</f>
        <v/>
      </c>
      <c r="E2664" s="7"/>
    </row>
    <row r="2665" spans="3:5">
      <c r="C2665" s="17">
        <f t="shared" si="41"/>
        <v>0</v>
      </c>
      <c r="D2665" s="17" t="str">
        <f>IF(C2665=1,COUNTIF($C$1:$C2665,1),"")</f>
        <v/>
      </c>
      <c r="E2665" s="7"/>
    </row>
    <row r="2666" spans="3:5">
      <c r="C2666" s="17">
        <f t="shared" si="41"/>
        <v>0</v>
      </c>
      <c r="D2666" s="17" t="str">
        <f>IF(C2666=1,COUNTIF($C$1:$C2666,1),"")</f>
        <v/>
      </c>
      <c r="E2666" s="7"/>
    </row>
    <row r="2667" spans="3:5">
      <c r="C2667" s="17">
        <f t="shared" si="41"/>
        <v>0</v>
      </c>
      <c r="D2667" s="17" t="str">
        <f>IF(C2667=1,COUNTIF($C$1:$C2667,1),"")</f>
        <v/>
      </c>
      <c r="E2667" s="7"/>
    </row>
    <row r="2668" spans="3:5">
      <c r="C2668" s="17">
        <f t="shared" si="41"/>
        <v>0</v>
      </c>
      <c r="D2668" s="17" t="str">
        <f>IF(C2668=1,COUNTIF($C$1:$C2668,1),"")</f>
        <v/>
      </c>
      <c r="E2668" s="7"/>
    </row>
    <row r="2669" spans="3:5">
      <c r="C2669" s="17">
        <f t="shared" si="41"/>
        <v>0</v>
      </c>
      <c r="D2669" s="17" t="str">
        <f>IF(C2669=1,COUNTIF($C$1:$C2669,1),"")</f>
        <v/>
      </c>
      <c r="E2669" s="7"/>
    </row>
    <row r="2670" spans="3:5">
      <c r="C2670" s="17">
        <f t="shared" si="41"/>
        <v>0</v>
      </c>
      <c r="D2670" s="17" t="str">
        <f>IF(C2670=1,COUNTIF($C$1:$C2670,1),"")</f>
        <v/>
      </c>
      <c r="E2670" s="7"/>
    </row>
    <row r="2671" spans="3:5">
      <c r="C2671" s="17">
        <f t="shared" si="41"/>
        <v>0</v>
      </c>
      <c r="D2671" s="17" t="str">
        <f>IF(C2671=1,COUNTIF($C$1:$C2671,1),"")</f>
        <v/>
      </c>
      <c r="E2671" s="7"/>
    </row>
    <row r="2672" spans="3:5">
      <c r="C2672" s="17">
        <f t="shared" si="41"/>
        <v>0</v>
      </c>
      <c r="D2672" s="17" t="str">
        <f>IF(C2672=1,COUNTIF($C$1:$C2672,1),"")</f>
        <v/>
      </c>
      <c r="E2672" s="7"/>
    </row>
    <row r="2673" spans="3:5">
      <c r="C2673" s="17">
        <f t="shared" si="41"/>
        <v>0</v>
      </c>
      <c r="D2673" s="17" t="str">
        <f>IF(C2673=1,COUNTIF($C$1:$C2673,1),"")</f>
        <v/>
      </c>
      <c r="E2673" s="7"/>
    </row>
    <row r="2674" spans="3:5">
      <c r="C2674" s="17">
        <f t="shared" si="41"/>
        <v>0</v>
      </c>
      <c r="D2674" s="17" t="str">
        <f>IF(C2674=1,COUNTIF($C$1:$C2674,1),"")</f>
        <v/>
      </c>
      <c r="E2674" s="7"/>
    </row>
    <row r="2675" spans="3:5">
      <c r="C2675" s="17">
        <f t="shared" si="41"/>
        <v>0</v>
      </c>
      <c r="D2675" s="17" t="str">
        <f>IF(C2675=1,COUNTIF($C$1:$C2675,1),"")</f>
        <v/>
      </c>
      <c r="E2675" s="7"/>
    </row>
    <row r="2676" spans="3:5">
      <c r="C2676" s="17">
        <f t="shared" si="41"/>
        <v>0</v>
      </c>
      <c r="D2676" s="17" t="str">
        <f>IF(C2676=1,COUNTIF($C$1:$C2676,1),"")</f>
        <v/>
      </c>
      <c r="E2676" s="7"/>
    </row>
    <row r="2677" spans="3:5">
      <c r="C2677" s="17">
        <f t="shared" si="41"/>
        <v>0</v>
      </c>
      <c r="D2677" s="17" t="str">
        <f>IF(C2677=1,COUNTIF($C$1:$C2677,1),"")</f>
        <v/>
      </c>
      <c r="E2677" s="7"/>
    </row>
    <row r="2678" spans="3:5">
      <c r="C2678" s="17">
        <f t="shared" si="41"/>
        <v>0</v>
      </c>
      <c r="D2678" s="17" t="str">
        <f>IF(C2678=1,COUNTIF($C$1:$C2678,1),"")</f>
        <v/>
      </c>
      <c r="E2678" s="7"/>
    </row>
    <row r="2679" spans="3:5">
      <c r="C2679" s="17">
        <f t="shared" si="41"/>
        <v>0</v>
      </c>
      <c r="D2679" s="17" t="str">
        <f>IF(C2679=1,COUNTIF($C$1:$C2679,1),"")</f>
        <v/>
      </c>
      <c r="E2679" s="7"/>
    </row>
    <row r="2680" spans="3:5">
      <c r="C2680" s="17">
        <f t="shared" si="41"/>
        <v>0</v>
      </c>
      <c r="D2680" s="17" t="str">
        <f>IF(C2680=1,COUNTIF($C$1:$C2680,1),"")</f>
        <v/>
      </c>
      <c r="E2680" s="7"/>
    </row>
    <row r="2681" spans="3:5">
      <c r="C2681" s="17">
        <f t="shared" si="41"/>
        <v>0</v>
      </c>
      <c r="D2681" s="17" t="str">
        <f>IF(C2681=1,COUNTIF($C$1:$C2681,1),"")</f>
        <v/>
      </c>
      <c r="E2681" s="7"/>
    </row>
    <row r="2682" spans="3:5">
      <c r="C2682" s="17">
        <f t="shared" si="41"/>
        <v>0</v>
      </c>
      <c r="D2682" s="17" t="str">
        <f>IF(C2682=1,COUNTIF($C$1:$C2682,1),"")</f>
        <v/>
      </c>
      <c r="E2682" s="7"/>
    </row>
    <row r="2683" spans="3:5">
      <c r="C2683" s="17">
        <f t="shared" si="41"/>
        <v>0</v>
      </c>
      <c r="D2683" s="17" t="str">
        <f>IF(C2683=1,COUNTIF($C$1:$C2683,1),"")</f>
        <v/>
      </c>
      <c r="E2683" s="7"/>
    </row>
    <row r="2684" spans="3:5">
      <c r="C2684" s="17">
        <f t="shared" si="41"/>
        <v>0</v>
      </c>
      <c r="D2684" s="17" t="str">
        <f>IF(C2684=1,COUNTIF($C$1:$C2684,1),"")</f>
        <v/>
      </c>
      <c r="E2684" s="7"/>
    </row>
    <row r="2685" spans="3:5">
      <c r="C2685" s="17">
        <f t="shared" si="41"/>
        <v>0</v>
      </c>
      <c r="D2685" s="17" t="str">
        <f>IF(C2685=1,COUNTIF($C$1:$C2685,1),"")</f>
        <v/>
      </c>
      <c r="E2685" s="7"/>
    </row>
    <row r="2686" spans="3:5">
      <c r="C2686" s="17">
        <f t="shared" si="41"/>
        <v>0</v>
      </c>
      <c r="D2686" s="17" t="str">
        <f>IF(C2686=1,COUNTIF($C$1:$C2686,1),"")</f>
        <v/>
      </c>
      <c r="E2686" s="7"/>
    </row>
    <row r="2687" spans="3:5">
      <c r="C2687" s="17">
        <f t="shared" si="41"/>
        <v>0</v>
      </c>
      <c r="D2687" s="17" t="str">
        <f>IF(C2687=1,COUNTIF($C$1:$C2687,1),"")</f>
        <v/>
      </c>
      <c r="E2687" s="7"/>
    </row>
    <row r="2688" spans="3:5">
      <c r="C2688" s="17">
        <f t="shared" si="41"/>
        <v>0</v>
      </c>
      <c r="D2688" s="17" t="str">
        <f>IF(C2688=1,COUNTIF($C$1:$C2688,1),"")</f>
        <v/>
      </c>
      <c r="E2688" s="7"/>
    </row>
    <row r="2689" spans="3:5">
      <c r="C2689" s="17">
        <f t="shared" si="41"/>
        <v>0</v>
      </c>
      <c r="D2689" s="17" t="str">
        <f>IF(C2689=1,COUNTIF($C$1:$C2689,1),"")</f>
        <v/>
      </c>
      <c r="E2689" s="7"/>
    </row>
    <row r="2690" spans="3:5">
      <c r="C2690" s="17">
        <f t="shared" ref="C2690:C2753" si="42">--ISNUMBER(SEARCH($B$1,A2690))</f>
        <v>0</v>
      </c>
      <c r="D2690" s="17" t="str">
        <f>IF(C2690=1,COUNTIF($C$1:$C2690,1),"")</f>
        <v/>
      </c>
      <c r="E2690" s="7"/>
    </row>
    <row r="2691" spans="3:5">
      <c r="C2691" s="17">
        <f t="shared" si="42"/>
        <v>0</v>
      </c>
      <c r="D2691" s="17" t="str">
        <f>IF(C2691=1,COUNTIF($C$1:$C2691,1),"")</f>
        <v/>
      </c>
      <c r="E2691" s="7"/>
    </row>
    <row r="2692" spans="3:5">
      <c r="C2692" s="17">
        <f t="shared" si="42"/>
        <v>0</v>
      </c>
      <c r="D2692" s="17" t="str">
        <f>IF(C2692=1,COUNTIF($C$1:$C2692,1),"")</f>
        <v/>
      </c>
      <c r="E2692" s="7"/>
    </row>
    <row r="2693" spans="3:5">
      <c r="C2693" s="17">
        <f t="shared" si="42"/>
        <v>0</v>
      </c>
      <c r="D2693" s="17" t="str">
        <f>IF(C2693=1,COUNTIF($C$1:$C2693,1),"")</f>
        <v/>
      </c>
      <c r="E2693" s="7"/>
    </row>
    <row r="2694" spans="3:5">
      <c r="C2694" s="17">
        <f t="shared" si="42"/>
        <v>0</v>
      </c>
      <c r="D2694" s="17" t="str">
        <f>IF(C2694=1,COUNTIF($C$1:$C2694,1),"")</f>
        <v/>
      </c>
      <c r="E2694" s="7"/>
    </row>
    <row r="2695" spans="3:5">
      <c r="C2695" s="17">
        <f t="shared" si="42"/>
        <v>0</v>
      </c>
      <c r="D2695" s="17" t="str">
        <f>IF(C2695=1,COUNTIF($C$1:$C2695,1),"")</f>
        <v/>
      </c>
      <c r="E2695" s="7"/>
    </row>
    <row r="2696" spans="3:5">
      <c r="C2696" s="17">
        <f t="shared" si="42"/>
        <v>0</v>
      </c>
      <c r="D2696" s="17" t="str">
        <f>IF(C2696=1,COUNTIF($C$1:$C2696,1),"")</f>
        <v/>
      </c>
      <c r="E2696" s="7"/>
    </row>
    <row r="2697" spans="3:5">
      <c r="C2697" s="17">
        <f t="shared" si="42"/>
        <v>0</v>
      </c>
      <c r="D2697" s="17" t="str">
        <f>IF(C2697=1,COUNTIF($C$1:$C2697,1),"")</f>
        <v/>
      </c>
      <c r="E2697" s="7"/>
    </row>
    <row r="2698" spans="3:5">
      <c r="C2698" s="17">
        <f t="shared" si="42"/>
        <v>0</v>
      </c>
      <c r="D2698" s="17" t="str">
        <f>IF(C2698=1,COUNTIF($C$1:$C2698,1),"")</f>
        <v/>
      </c>
      <c r="E2698" s="7"/>
    </row>
    <row r="2699" spans="3:5">
      <c r="C2699" s="17">
        <f t="shared" si="42"/>
        <v>0</v>
      </c>
      <c r="D2699" s="17" t="str">
        <f>IF(C2699=1,COUNTIF($C$1:$C2699,1),"")</f>
        <v/>
      </c>
      <c r="E2699" s="7"/>
    </row>
    <row r="2700" spans="3:5">
      <c r="C2700" s="17">
        <f t="shared" si="42"/>
        <v>0</v>
      </c>
      <c r="D2700" s="17" t="str">
        <f>IF(C2700=1,COUNTIF($C$1:$C2700,1),"")</f>
        <v/>
      </c>
      <c r="E2700" s="7"/>
    </row>
    <row r="2701" spans="3:5">
      <c r="C2701" s="17">
        <f t="shared" si="42"/>
        <v>0</v>
      </c>
      <c r="D2701" s="17" t="str">
        <f>IF(C2701=1,COUNTIF($C$1:$C2701,1),"")</f>
        <v/>
      </c>
      <c r="E2701" s="7"/>
    </row>
    <row r="2702" spans="3:5">
      <c r="C2702" s="17">
        <f t="shared" si="42"/>
        <v>0</v>
      </c>
      <c r="D2702" s="17" t="str">
        <f>IF(C2702=1,COUNTIF($C$1:$C2702,1),"")</f>
        <v/>
      </c>
      <c r="E2702" s="7"/>
    </row>
    <row r="2703" spans="3:5">
      <c r="C2703" s="17">
        <f t="shared" si="42"/>
        <v>0</v>
      </c>
      <c r="D2703" s="17" t="str">
        <f>IF(C2703=1,COUNTIF($C$1:$C2703,1),"")</f>
        <v/>
      </c>
      <c r="E2703" s="7"/>
    </row>
    <row r="2704" spans="3:5">
      <c r="C2704" s="17">
        <f t="shared" si="42"/>
        <v>0</v>
      </c>
      <c r="D2704" s="17" t="str">
        <f>IF(C2704=1,COUNTIF($C$1:$C2704,1),"")</f>
        <v/>
      </c>
      <c r="E2704" s="7"/>
    </row>
    <row r="2705" spans="3:5">
      <c r="C2705" s="17">
        <f t="shared" si="42"/>
        <v>0</v>
      </c>
      <c r="D2705" s="17" t="str">
        <f>IF(C2705=1,COUNTIF($C$1:$C2705,1),"")</f>
        <v/>
      </c>
      <c r="E2705" s="7"/>
    </row>
    <row r="2706" spans="3:5">
      <c r="C2706" s="17">
        <f t="shared" si="42"/>
        <v>0</v>
      </c>
      <c r="D2706" s="17" t="str">
        <f>IF(C2706=1,COUNTIF($C$1:$C2706,1),"")</f>
        <v/>
      </c>
      <c r="E2706" s="7"/>
    </row>
    <row r="2707" spans="3:5">
      <c r="C2707" s="17">
        <f t="shared" si="42"/>
        <v>0</v>
      </c>
      <c r="D2707" s="17" t="str">
        <f>IF(C2707=1,COUNTIF($C$1:$C2707,1),"")</f>
        <v/>
      </c>
      <c r="E2707" s="7"/>
    </row>
    <row r="2708" spans="3:5">
      <c r="C2708" s="17">
        <f t="shared" si="42"/>
        <v>0</v>
      </c>
      <c r="D2708" s="17" t="str">
        <f>IF(C2708=1,COUNTIF($C$1:$C2708,1),"")</f>
        <v/>
      </c>
      <c r="E2708" s="7"/>
    </row>
    <row r="2709" spans="3:5">
      <c r="C2709" s="17">
        <f t="shared" si="42"/>
        <v>0</v>
      </c>
      <c r="D2709" s="17" t="str">
        <f>IF(C2709=1,COUNTIF($C$1:$C2709,1),"")</f>
        <v/>
      </c>
      <c r="E2709" s="7"/>
    </row>
    <row r="2710" spans="3:5">
      <c r="C2710" s="17">
        <f t="shared" si="42"/>
        <v>0</v>
      </c>
      <c r="D2710" s="17" t="str">
        <f>IF(C2710=1,COUNTIF($C$1:$C2710,1),"")</f>
        <v/>
      </c>
      <c r="E2710" s="7"/>
    </row>
    <row r="2711" spans="3:5">
      <c r="C2711" s="17">
        <f t="shared" si="42"/>
        <v>0</v>
      </c>
      <c r="D2711" s="17" t="str">
        <f>IF(C2711=1,COUNTIF($C$1:$C2711,1),"")</f>
        <v/>
      </c>
      <c r="E2711" s="7"/>
    </row>
    <row r="2712" spans="3:5">
      <c r="C2712" s="17">
        <f t="shared" si="42"/>
        <v>0</v>
      </c>
      <c r="D2712" s="17" t="str">
        <f>IF(C2712=1,COUNTIF($C$1:$C2712,1),"")</f>
        <v/>
      </c>
      <c r="E2712" s="7"/>
    </row>
    <row r="2713" spans="3:5">
      <c r="C2713" s="17">
        <f t="shared" si="42"/>
        <v>0</v>
      </c>
      <c r="D2713" s="17" t="str">
        <f>IF(C2713=1,COUNTIF($C$1:$C2713,1),"")</f>
        <v/>
      </c>
      <c r="E2713" s="7"/>
    </row>
    <row r="2714" spans="3:5">
      <c r="C2714" s="17">
        <f t="shared" si="42"/>
        <v>0</v>
      </c>
      <c r="D2714" s="17" t="str">
        <f>IF(C2714=1,COUNTIF($C$1:$C2714,1),"")</f>
        <v/>
      </c>
      <c r="E2714" s="7"/>
    </row>
    <row r="2715" spans="3:5">
      <c r="C2715" s="17">
        <f t="shared" si="42"/>
        <v>0</v>
      </c>
      <c r="D2715" s="17" t="str">
        <f>IF(C2715=1,COUNTIF($C$1:$C2715,1),"")</f>
        <v/>
      </c>
      <c r="E2715" s="7"/>
    </row>
    <row r="2716" spans="3:5">
      <c r="C2716" s="17">
        <f t="shared" si="42"/>
        <v>0</v>
      </c>
      <c r="D2716" s="17" t="str">
        <f>IF(C2716=1,COUNTIF($C$1:$C2716,1),"")</f>
        <v/>
      </c>
      <c r="E2716" s="7"/>
    </row>
    <row r="2717" spans="3:5">
      <c r="C2717" s="17">
        <f t="shared" si="42"/>
        <v>0</v>
      </c>
      <c r="D2717" s="17" t="str">
        <f>IF(C2717=1,COUNTIF($C$1:$C2717,1),"")</f>
        <v/>
      </c>
      <c r="E2717" s="7"/>
    </row>
    <row r="2718" spans="3:5">
      <c r="C2718" s="17">
        <f t="shared" si="42"/>
        <v>0</v>
      </c>
      <c r="D2718" s="17" t="str">
        <f>IF(C2718=1,COUNTIF($C$1:$C2718,1),"")</f>
        <v/>
      </c>
      <c r="E2718" s="7"/>
    </row>
    <row r="2719" spans="3:5">
      <c r="C2719" s="17">
        <f t="shared" si="42"/>
        <v>0</v>
      </c>
      <c r="D2719" s="17" t="str">
        <f>IF(C2719=1,COUNTIF($C$1:$C2719,1),"")</f>
        <v/>
      </c>
      <c r="E2719" s="7"/>
    </row>
    <row r="2720" spans="3:5">
      <c r="C2720" s="17">
        <f t="shared" si="42"/>
        <v>0</v>
      </c>
      <c r="D2720" s="17" t="str">
        <f>IF(C2720=1,COUNTIF($C$1:$C2720,1),"")</f>
        <v/>
      </c>
      <c r="E2720" s="7"/>
    </row>
    <row r="2721" spans="3:5">
      <c r="C2721" s="17">
        <f t="shared" si="42"/>
        <v>0</v>
      </c>
      <c r="D2721" s="17" t="str">
        <f>IF(C2721=1,COUNTIF($C$1:$C2721,1),"")</f>
        <v/>
      </c>
      <c r="E2721" s="7"/>
    </row>
    <row r="2722" spans="3:5">
      <c r="C2722" s="17">
        <f t="shared" si="42"/>
        <v>0</v>
      </c>
      <c r="D2722" s="17" t="str">
        <f>IF(C2722=1,COUNTIF($C$1:$C2722,1),"")</f>
        <v/>
      </c>
      <c r="E2722" s="7"/>
    </row>
    <row r="2723" spans="3:5">
      <c r="C2723" s="17">
        <f t="shared" si="42"/>
        <v>0</v>
      </c>
      <c r="D2723" s="17" t="str">
        <f>IF(C2723=1,COUNTIF($C$1:$C2723,1),"")</f>
        <v/>
      </c>
      <c r="E2723" s="7"/>
    </row>
    <row r="2724" spans="3:5">
      <c r="C2724" s="17">
        <f t="shared" si="42"/>
        <v>0</v>
      </c>
      <c r="D2724" s="17" t="str">
        <f>IF(C2724=1,COUNTIF($C$1:$C2724,1),"")</f>
        <v/>
      </c>
      <c r="E2724" s="7"/>
    </row>
    <row r="2725" spans="3:5">
      <c r="C2725" s="17">
        <f t="shared" si="42"/>
        <v>0</v>
      </c>
      <c r="D2725" s="17" t="str">
        <f>IF(C2725=1,COUNTIF($C$1:$C2725,1),"")</f>
        <v/>
      </c>
      <c r="E2725" s="7"/>
    </row>
    <row r="2726" spans="3:5">
      <c r="C2726" s="17">
        <f t="shared" si="42"/>
        <v>0</v>
      </c>
      <c r="D2726" s="17" t="str">
        <f>IF(C2726=1,COUNTIF($C$1:$C2726,1),"")</f>
        <v/>
      </c>
      <c r="E2726" s="7"/>
    </row>
    <row r="2727" spans="3:5">
      <c r="C2727" s="17">
        <f t="shared" si="42"/>
        <v>0</v>
      </c>
      <c r="D2727" s="17" t="str">
        <f>IF(C2727=1,COUNTIF($C$1:$C2727,1),"")</f>
        <v/>
      </c>
      <c r="E2727" s="7"/>
    </row>
    <row r="2728" spans="3:5">
      <c r="C2728" s="17">
        <f t="shared" si="42"/>
        <v>0</v>
      </c>
      <c r="D2728" s="17" t="str">
        <f>IF(C2728=1,COUNTIF($C$1:$C2728,1),"")</f>
        <v/>
      </c>
      <c r="E2728" s="7"/>
    </row>
    <row r="2729" spans="3:5">
      <c r="C2729" s="17">
        <f t="shared" si="42"/>
        <v>0</v>
      </c>
      <c r="D2729" s="17" t="str">
        <f>IF(C2729=1,COUNTIF($C$1:$C2729,1),"")</f>
        <v/>
      </c>
      <c r="E2729" s="7"/>
    </row>
    <row r="2730" spans="3:5">
      <c r="C2730" s="17">
        <f t="shared" si="42"/>
        <v>0</v>
      </c>
      <c r="D2730" s="17" t="str">
        <f>IF(C2730=1,COUNTIF($C$1:$C2730,1),"")</f>
        <v/>
      </c>
      <c r="E2730" s="7"/>
    </row>
    <row r="2731" spans="3:5">
      <c r="C2731" s="17">
        <f t="shared" si="42"/>
        <v>0</v>
      </c>
      <c r="D2731" s="17" t="str">
        <f>IF(C2731=1,COUNTIF($C$1:$C2731,1),"")</f>
        <v/>
      </c>
      <c r="E2731" s="7"/>
    </row>
    <row r="2732" spans="3:5">
      <c r="C2732" s="17">
        <f t="shared" si="42"/>
        <v>0</v>
      </c>
      <c r="D2732" s="17" t="str">
        <f>IF(C2732=1,COUNTIF($C$1:$C2732,1),"")</f>
        <v/>
      </c>
      <c r="E2732" s="7"/>
    </row>
    <row r="2733" spans="3:5">
      <c r="C2733" s="17">
        <f t="shared" si="42"/>
        <v>0</v>
      </c>
      <c r="D2733" s="17" t="str">
        <f>IF(C2733=1,COUNTIF($C$1:$C2733,1),"")</f>
        <v/>
      </c>
      <c r="E2733" s="7"/>
    </row>
    <row r="2734" spans="3:5">
      <c r="C2734" s="17">
        <f t="shared" si="42"/>
        <v>0</v>
      </c>
      <c r="D2734" s="17" t="str">
        <f>IF(C2734=1,COUNTIF($C$1:$C2734,1),"")</f>
        <v/>
      </c>
      <c r="E2734" s="7"/>
    </row>
    <row r="2735" spans="3:5">
      <c r="C2735" s="17">
        <f t="shared" si="42"/>
        <v>0</v>
      </c>
      <c r="D2735" s="17" t="str">
        <f>IF(C2735=1,COUNTIF($C$1:$C2735,1),"")</f>
        <v/>
      </c>
      <c r="E2735" s="7"/>
    </row>
    <row r="2736" spans="3:5">
      <c r="C2736" s="17">
        <f t="shared" si="42"/>
        <v>0</v>
      </c>
      <c r="D2736" s="17" t="str">
        <f>IF(C2736=1,COUNTIF($C$1:$C2736,1),"")</f>
        <v/>
      </c>
      <c r="E2736" s="7"/>
    </row>
    <row r="2737" spans="3:5">
      <c r="C2737" s="17">
        <f t="shared" si="42"/>
        <v>0</v>
      </c>
      <c r="D2737" s="17" t="str">
        <f>IF(C2737=1,COUNTIF($C$1:$C2737,1),"")</f>
        <v/>
      </c>
      <c r="E2737" s="7"/>
    </row>
    <row r="2738" spans="3:5">
      <c r="C2738" s="17">
        <f t="shared" si="42"/>
        <v>0</v>
      </c>
      <c r="D2738" s="17" t="str">
        <f>IF(C2738=1,COUNTIF($C$1:$C2738,1),"")</f>
        <v/>
      </c>
      <c r="E2738" s="7"/>
    </row>
    <row r="2739" spans="3:5">
      <c r="C2739" s="17">
        <f t="shared" si="42"/>
        <v>0</v>
      </c>
      <c r="D2739" s="17" t="str">
        <f>IF(C2739=1,COUNTIF($C$1:$C2739,1),"")</f>
        <v/>
      </c>
      <c r="E2739" s="7"/>
    </row>
    <row r="2740" spans="3:5">
      <c r="C2740" s="17">
        <f t="shared" si="42"/>
        <v>0</v>
      </c>
      <c r="D2740" s="17" t="str">
        <f>IF(C2740=1,COUNTIF($C$1:$C2740,1),"")</f>
        <v/>
      </c>
      <c r="E2740" s="7"/>
    </row>
    <row r="2741" spans="3:5">
      <c r="C2741" s="17">
        <f t="shared" si="42"/>
        <v>0</v>
      </c>
      <c r="D2741" s="17" t="str">
        <f>IF(C2741=1,COUNTIF($C$1:$C2741,1),"")</f>
        <v/>
      </c>
      <c r="E2741" s="7"/>
    </row>
    <row r="2742" spans="3:5">
      <c r="C2742" s="17">
        <f t="shared" si="42"/>
        <v>0</v>
      </c>
      <c r="D2742" s="17" t="str">
        <f>IF(C2742=1,COUNTIF($C$1:$C2742,1),"")</f>
        <v/>
      </c>
      <c r="E2742" s="7"/>
    </row>
    <row r="2743" spans="3:5">
      <c r="C2743" s="17">
        <f t="shared" si="42"/>
        <v>0</v>
      </c>
      <c r="D2743" s="17" t="str">
        <f>IF(C2743=1,COUNTIF($C$1:$C2743,1),"")</f>
        <v/>
      </c>
      <c r="E2743" s="7"/>
    </row>
    <row r="2744" spans="3:5">
      <c r="C2744" s="17">
        <f t="shared" si="42"/>
        <v>0</v>
      </c>
      <c r="D2744" s="17" t="str">
        <f>IF(C2744=1,COUNTIF($C$1:$C2744,1),"")</f>
        <v/>
      </c>
      <c r="E2744" s="7"/>
    </row>
    <row r="2745" spans="3:5">
      <c r="C2745" s="17">
        <f t="shared" si="42"/>
        <v>0</v>
      </c>
      <c r="D2745" s="17" t="str">
        <f>IF(C2745=1,COUNTIF($C$1:$C2745,1),"")</f>
        <v/>
      </c>
      <c r="E2745" s="7"/>
    </row>
    <row r="2746" spans="3:5">
      <c r="C2746" s="17">
        <f t="shared" si="42"/>
        <v>0</v>
      </c>
      <c r="D2746" s="17" t="str">
        <f>IF(C2746=1,COUNTIF($C$1:$C2746,1),"")</f>
        <v/>
      </c>
      <c r="E2746" s="7"/>
    </row>
    <row r="2747" spans="3:5">
      <c r="C2747" s="17">
        <f t="shared" si="42"/>
        <v>0</v>
      </c>
      <c r="D2747" s="17" t="str">
        <f>IF(C2747=1,COUNTIF($C$1:$C2747,1),"")</f>
        <v/>
      </c>
      <c r="E2747" s="7"/>
    </row>
    <row r="2748" spans="3:5">
      <c r="C2748" s="17">
        <f t="shared" si="42"/>
        <v>0</v>
      </c>
      <c r="D2748" s="17" t="str">
        <f>IF(C2748=1,COUNTIF($C$1:$C2748,1),"")</f>
        <v/>
      </c>
      <c r="E2748" s="7"/>
    </row>
    <row r="2749" spans="3:5">
      <c r="C2749" s="17">
        <f t="shared" si="42"/>
        <v>0</v>
      </c>
      <c r="D2749" s="17" t="str">
        <f>IF(C2749=1,COUNTIF($C$1:$C2749,1),"")</f>
        <v/>
      </c>
      <c r="E2749" s="7"/>
    </row>
    <row r="2750" spans="3:5">
      <c r="C2750" s="17">
        <f t="shared" si="42"/>
        <v>0</v>
      </c>
      <c r="D2750" s="17" t="str">
        <f>IF(C2750=1,COUNTIF($C$1:$C2750,1),"")</f>
        <v/>
      </c>
      <c r="E2750" s="7"/>
    </row>
    <row r="2751" spans="3:5">
      <c r="C2751" s="17">
        <f t="shared" si="42"/>
        <v>0</v>
      </c>
      <c r="D2751" s="17" t="str">
        <f>IF(C2751=1,COUNTIF($C$1:$C2751,1),"")</f>
        <v/>
      </c>
      <c r="E2751" s="7"/>
    </row>
    <row r="2752" spans="3:5">
      <c r="C2752" s="17">
        <f t="shared" si="42"/>
        <v>0</v>
      </c>
      <c r="D2752" s="17" t="str">
        <f>IF(C2752=1,COUNTIF($C$1:$C2752,1),"")</f>
        <v/>
      </c>
      <c r="E2752" s="7"/>
    </row>
    <row r="2753" spans="3:5">
      <c r="C2753" s="17">
        <f t="shared" si="42"/>
        <v>0</v>
      </c>
      <c r="D2753" s="17" t="str">
        <f>IF(C2753=1,COUNTIF($C$1:$C2753,1),"")</f>
        <v/>
      </c>
      <c r="E2753" s="7"/>
    </row>
    <row r="2754" spans="3:5">
      <c r="C2754" s="17">
        <f t="shared" ref="C2754:C2817" si="43">--ISNUMBER(SEARCH($B$1,A2754))</f>
        <v>0</v>
      </c>
      <c r="D2754" s="17" t="str">
        <f>IF(C2754=1,COUNTIF($C$1:$C2754,1),"")</f>
        <v/>
      </c>
      <c r="E2754" s="7"/>
    </row>
    <row r="2755" spans="3:5">
      <c r="C2755" s="17">
        <f t="shared" si="43"/>
        <v>0</v>
      </c>
      <c r="D2755" s="17" t="str">
        <f>IF(C2755=1,COUNTIF($C$1:$C2755,1),"")</f>
        <v/>
      </c>
      <c r="E2755" s="7"/>
    </row>
    <row r="2756" spans="3:5">
      <c r="C2756" s="17">
        <f t="shared" si="43"/>
        <v>0</v>
      </c>
      <c r="D2756" s="17" t="str">
        <f>IF(C2756=1,COUNTIF($C$1:$C2756,1),"")</f>
        <v/>
      </c>
      <c r="E2756" s="7"/>
    </row>
    <row r="2757" spans="3:5">
      <c r="C2757" s="17">
        <f t="shared" si="43"/>
        <v>0</v>
      </c>
      <c r="D2757" s="17" t="str">
        <f>IF(C2757=1,COUNTIF($C$1:$C2757,1),"")</f>
        <v/>
      </c>
      <c r="E2757" s="7"/>
    </row>
    <row r="2758" spans="3:5">
      <c r="C2758" s="17">
        <f t="shared" si="43"/>
        <v>0</v>
      </c>
      <c r="D2758" s="17" t="str">
        <f>IF(C2758=1,COUNTIF($C$1:$C2758,1),"")</f>
        <v/>
      </c>
      <c r="E2758" s="7"/>
    </row>
    <row r="2759" spans="3:5">
      <c r="C2759" s="17">
        <f t="shared" si="43"/>
        <v>0</v>
      </c>
      <c r="D2759" s="17" t="str">
        <f>IF(C2759=1,COUNTIF($C$1:$C2759,1),"")</f>
        <v/>
      </c>
      <c r="E2759" s="7"/>
    </row>
    <row r="2760" spans="3:5">
      <c r="C2760" s="17">
        <f t="shared" si="43"/>
        <v>0</v>
      </c>
      <c r="D2760" s="17" t="str">
        <f>IF(C2760=1,COUNTIF($C$1:$C2760,1),"")</f>
        <v/>
      </c>
      <c r="E2760" s="7"/>
    </row>
    <row r="2761" spans="3:5">
      <c r="C2761" s="17">
        <f t="shared" si="43"/>
        <v>0</v>
      </c>
      <c r="D2761" s="17" t="str">
        <f>IF(C2761=1,COUNTIF($C$1:$C2761,1),"")</f>
        <v/>
      </c>
      <c r="E2761" s="7"/>
    </row>
    <row r="2762" spans="3:5">
      <c r="C2762" s="17">
        <f t="shared" si="43"/>
        <v>0</v>
      </c>
      <c r="D2762" s="17" t="str">
        <f>IF(C2762=1,COUNTIF($C$1:$C2762,1),"")</f>
        <v/>
      </c>
      <c r="E2762" s="7"/>
    </row>
    <row r="2763" spans="3:5">
      <c r="C2763" s="17">
        <f t="shared" si="43"/>
        <v>0</v>
      </c>
      <c r="D2763" s="17" t="str">
        <f>IF(C2763=1,COUNTIF($C$1:$C2763,1),"")</f>
        <v/>
      </c>
      <c r="E2763" s="7"/>
    </row>
    <row r="2764" spans="3:5">
      <c r="C2764" s="17">
        <f t="shared" si="43"/>
        <v>0</v>
      </c>
      <c r="D2764" s="17" t="str">
        <f>IF(C2764=1,COUNTIF($C$1:$C2764,1),"")</f>
        <v/>
      </c>
      <c r="E2764" s="7"/>
    </row>
    <row r="2765" spans="3:5">
      <c r="C2765" s="17">
        <f t="shared" si="43"/>
        <v>0</v>
      </c>
      <c r="D2765" s="17" t="str">
        <f>IF(C2765=1,COUNTIF($C$1:$C2765,1),"")</f>
        <v/>
      </c>
      <c r="E2765" s="7"/>
    </row>
    <row r="2766" spans="3:5">
      <c r="C2766" s="17">
        <f t="shared" si="43"/>
        <v>0</v>
      </c>
      <c r="D2766" s="17" t="str">
        <f>IF(C2766=1,COUNTIF($C$1:$C2766,1),"")</f>
        <v/>
      </c>
      <c r="E2766" s="7"/>
    </row>
    <row r="2767" spans="3:5">
      <c r="C2767" s="17">
        <f t="shared" si="43"/>
        <v>0</v>
      </c>
      <c r="D2767" s="17" t="str">
        <f>IF(C2767=1,COUNTIF($C$1:$C2767,1),"")</f>
        <v/>
      </c>
      <c r="E2767" s="7"/>
    </row>
    <row r="2768" spans="3:5">
      <c r="C2768" s="17">
        <f t="shared" si="43"/>
        <v>0</v>
      </c>
      <c r="D2768" s="17" t="str">
        <f>IF(C2768=1,COUNTIF($C$1:$C2768,1),"")</f>
        <v/>
      </c>
      <c r="E2768" s="7"/>
    </row>
    <row r="2769" spans="3:5">
      <c r="C2769" s="17">
        <f t="shared" si="43"/>
        <v>0</v>
      </c>
      <c r="D2769" s="17" t="str">
        <f>IF(C2769=1,COUNTIF($C$1:$C2769,1),"")</f>
        <v/>
      </c>
      <c r="E2769" s="7"/>
    </row>
    <row r="2770" spans="3:5">
      <c r="C2770" s="17">
        <f t="shared" si="43"/>
        <v>0</v>
      </c>
      <c r="D2770" s="17" t="str">
        <f>IF(C2770=1,COUNTIF($C$1:$C2770,1),"")</f>
        <v/>
      </c>
      <c r="E2770" s="7"/>
    </row>
    <row r="2771" spans="3:5">
      <c r="C2771" s="17">
        <f t="shared" si="43"/>
        <v>0</v>
      </c>
      <c r="D2771" s="17" t="str">
        <f>IF(C2771=1,COUNTIF($C$1:$C2771,1),"")</f>
        <v/>
      </c>
      <c r="E2771" s="7"/>
    </row>
    <row r="2772" spans="3:5">
      <c r="C2772" s="17">
        <f t="shared" si="43"/>
        <v>0</v>
      </c>
      <c r="D2772" s="17" t="str">
        <f>IF(C2772=1,COUNTIF($C$1:$C2772,1),"")</f>
        <v/>
      </c>
      <c r="E2772" s="7"/>
    </row>
    <row r="2773" spans="3:5">
      <c r="C2773" s="17">
        <f t="shared" si="43"/>
        <v>0</v>
      </c>
      <c r="D2773" s="17" t="str">
        <f>IF(C2773=1,COUNTIF($C$1:$C2773,1),"")</f>
        <v/>
      </c>
      <c r="E2773" s="7"/>
    </row>
    <row r="2774" spans="3:5">
      <c r="C2774" s="17">
        <f t="shared" si="43"/>
        <v>0</v>
      </c>
      <c r="D2774" s="17" t="str">
        <f>IF(C2774=1,COUNTIF($C$1:$C2774,1),"")</f>
        <v/>
      </c>
      <c r="E2774" s="7"/>
    </row>
    <row r="2775" spans="3:5">
      <c r="C2775" s="17">
        <f t="shared" si="43"/>
        <v>0</v>
      </c>
      <c r="D2775" s="17" t="str">
        <f>IF(C2775=1,COUNTIF($C$1:$C2775,1),"")</f>
        <v/>
      </c>
      <c r="E2775" s="7"/>
    </row>
    <row r="2776" spans="3:5">
      <c r="C2776" s="17">
        <f t="shared" si="43"/>
        <v>0</v>
      </c>
      <c r="D2776" s="17" t="str">
        <f>IF(C2776=1,COUNTIF($C$1:$C2776,1),"")</f>
        <v/>
      </c>
      <c r="E2776" s="7"/>
    </row>
    <row r="2777" spans="3:5">
      <c r="C2777" s="17">
        <f t="shared" si="43"/>
        <v>0</v>
      </c>
      <c r="D2777" s="17" t="str">
        <f>IF(C2777=1,COUNTIF($C$1:$C2777,1),"")</f>
        <v/>
      </c>
      <c r="E2777" s="7"/>
    </row>
    <row r="2778" spans="3:5">
      <c r="C2778" s="17">
        <f t="shared" si="43"/>
        <v>0</v>
      </c>
      <c r="D2778" s="17" t="str">
        <f>IF(C2778=1,COUNTIF($C$1:$C2778,1),"")</f>
        <v/>
      </c>
      <c r="E2778" s="7"/>
    </row>
    <row r="2779" spans="3:5">
      <c r="C2779" s="17">
        <f t="shared" si="43"/>
        <v>0</v>
      </c>
      <c r="D2779" s="17" t="str">
        <f>IF(C2779=1,COUNTIF($C$1:$C2779,1),"")</f>
        <v/>
      </c>
      <c r="E2779" s="7"/>
    </row>
    <row r="2780" spans="3:5">
      <c r="C2780" s="17">
        <f t="shared" si="43"/>
        <v>0</v>
      </c>
      <c r="D2780" s="17" t="str">
        <f>IF(C2780=1,COUNTIF($C$1:$C2780,1),"")</f>
        <v/>
      </c>
      <c r="E2780" s="7"/>
    </row>
    <row r="2781" spans="3:5">
      <c r="C2781" s="17">
        <f t="shared" si="43"/>
        <v>0</v>
      </c>
      <c r="D2781" s="17" t="str">
        <f>IF(C2781=1,COUNTIF($C$1:$C2781,1),"")</f>
        <v/>
      </c>
      <c r="E2781" s="7"/>
    </row>
    <row r="2782" spans="3:5">
      <c r="C2782" s="17">
        <f t="shared" si="43"/>
        <v>0</v>
      </c>
      <c r="D2782" s="17" t="str">
        <f>IF(C2782=1,COUNTIF($C$1:$C2782,1),"")</f>
        <v/>
      </c>
      <c r="E2782" s="7"/>
    </row>
    <row r="2783" spans="3:5">
      <c r="C2783" s="17">
        <f t="shared" si="43"/>
        <v>0</v>
      </c>
      <c r="D2783" s="17" t="str">
        <f>IF(C2783=1,COUNTIF($C$1:$C2783,1),"")</f>
        <v/>
      </c>
      <c r="E2783" s="7"/>
    </row>
    <row r="2784" spans="3:5">
      <c r="C2784" s="17">
        <f t="shared" si="43"/>
        <v>0</v>
      </c>
      <c r="D2784" s="17" t="str">
        <f>IF(C2784=1,COUNTIF($C$1:$C2784,1),"")</f>
        <v/>
      </c>
      <c r="E2784" s="7"/>
    </row>
    <row r="2785" spans="3:5">
      <c r="C2785" s="17">
        <f t="shared" si="43"/>
        <v>0</v>
      </c>
      <c r="D2785" s="17" t="str">
        <f>IF(C2785=1,COUNTIF($C$1:$C2785,1),"")</f>
        <v/>
      </c>
      <c r="E2785" s="7"/>
    </row>
    <row r="2786" spans="3:5">
      <c r="C2786" s="17">
        <f t="shared" si="43"/>
        <v>0</v>
      </c>
      <c r="D2786" s="17" t="str">
        <f>IF(C2786=1,COUNTIF($C$1:$C2786,1),"")</f>
        <v/>
      </c>
      <c r="E2786" s="7"/>
    </row>
    <row r="2787" spans="3:5">
      <c r="C2787" s="17">
        <f t="shared" si="43"/>
        <v>0</v>
      </c>
      <c r="D2787" s="17" t="str">
        <f>IF(C2787=1,COUNTIF($C$1:$C2787,1),"")</f>
        <v/>
      </c>
      <c r="E2787" s="7"/>
    </row>
    <row r="2788" spans="3:5">
      <c r="C2788" s="17">
        <f t="shared" si="43"/>
        <v>0</v>
      </c>
      <c r="D2788" s="17" t="str">
        <f>IF(C2788=1,COUNTIF($C$1:$C2788,1),"")</f>
        <v/>
      </c>
      <c r="E2788" s="7"/>
    </row>
    <row r="2789" spans="3:5">
      <c r="C2789" s="17">
        <f t="shared" si="43"/>
        <v>0</v>
      </c>
      <c r="D2789" s="17" t="str">
        <f>IF(C2789=1,COUNTIF($C$1:$C2789,1),"")</f>
        <v/>
      </c>
      <c r="E2789" s="7"/>
    </row>
    <row r="2790" spans="3:5">
      <c r="C2790" s="17">
        <f t="shared" si="43"/>
        <v>0</v>
      </c>
      <c r="D2790" s="17" t="str">
        <f>IF(C2790=1,COUNTIF($C$1:$C2790,1),"")</f>
        <v/>
      </c>
      <c r="E2790" s="7"/>
    </row>
    <row r="2791" spans="3:5">
      <c r="C2791" s="17">
        <f t="shared" si="43"/>
        <v>0</v>
      </c>
      <c r="D2791" s="17" t="str">
        <f>IF(C2791=1,COUNTIF($C$1:$C2791,1),"")</f>
        <v/>
      </c>
      <c r="E2791" s="7"/>
    </row>
    <row r="2792" spans="3:5">
      <c r="C2792" s="17">
        <f t="shared" si="43"/>
        <v>0</v>
      </c>
      <c r="D2792" s="17" t="str">
        <f>IF(C2792=1,COUNTIF($C$1:$C2792,1),"")</f>
        <v/>
      </c>
      <c r="E2792" s="7"/>
    </row>
    <row r="2793" spans="3:5">
      <c r="C2793" s="17">
        <f t="shared" si="43"/>
        <v>0</v>
      </c>
      <c r="D2793" s="17" t="str">
        <f>IF(C2793=1,COUNTIF($C$1:$C2793,1),"")</f>
        <v/>
      </c>
      <c r="E2793" s="7"/>
    </row>
    <row r="2794" spans="3:5">
      <c r="C2794" s="17">
        <f t="shared" si="43"/>
        <v>0</v>
      </c>
      <c r="D2794" s="17" t="str">
        <f>IF(C2794=1,COUNTIF($C$1:$C2794,1),"")</f>
        <v/>
      </c>
      <c r="E2794" s="7"/>
    </row>
    <row r="2795" spans="3:5">
      <c r="C2795" s="17">
        <f t="shared" si="43"/>
        <v>0</v>
      </c>
      <c r="D2795" s="17" t="str">
        <f>IF(C2795=1,COUNTIF($C$1:$C2795,1),"")</f>
        <v/>
      </c>
      <c r="E2795" s="7"/>
    </row>
    <row r="2796" spans="3:5">
      <c r="C2796" s="17">
        <f t="shared" si="43"/>
        <v>0</v>
      </c>
      <c r="D2796" s="17" t="str">
        <f>IF(C2796=1,COUNTIF($C$1:$C2796,1),"")</f>
        <v/>
      </c>
      <c r="E2796" s="7"/>
    </row>
    <row r="2797" spans="3:5">
      <c r="C2797" s="17">
        <f t="shared" si="43"/>
        <v>0</v>
      </c>
      <c r="D2797" s="17" t="str">
        <f>IF(C2797=1,COUNTIF($C$1:$C2797,1),"")</f>
        <v/>
      </c>
      <c r="E2797" s="7"/>
    </row>
    <row r="2798" spans="3:5">
      <c r="C2798" s="17">
        <f t="shared" si="43"/>
        <v>0</v>
      </c>
      <c r="D2798" s="17" t="str">
        <f>IF(C2798=1,COUNTIF($C$1:$C2798,1),"")</f>
        <v/>
      </c>
      <c r="E2798" s="7"/>
    </row>
    <row r="2799" spans="3:5">
      <c r="C2799" s="17">
        <f t="shared" si="43"/>
        <v>0</v>
      </c>
      <c r="D2799" s="17" t="str">
        <f>IF(C2799=1,COUNTIF($C$1:$C2799,1),"")</f>
        <v/>
      </c>
      <c r="E2799" s="7"/>
    </row>
    <row r="2800" spans="3:5">
      <c r="C2800" s="17">
        <f t="shared" si="43"/>
        <v>0</v>
      </c>
      <c r="D2800" s="17" t="str">
        <f>IF(C2800=1,COUNTIF($C$1:$C2800,1),"")</f>
        <v/>
      </c>
      <c r="E2800" s="7"/>
    </row>
    <row r="2801" spans="3:5">
      <c r="C2801" s="17">
        <f t="shared" si="43"/>
        <v>0</v>
      </c>
      <c r="D2801" s="17" t="str">
        <f>IF(C2801=1,COUNTIF($C$1:$C2801,1),"")</f>
        <v/>
      </c>
      <c r="E2801" s="7"/>
    </row>
    <row r="2802" spans="3:5">
      <c r="C2802" s="17">
        <f t="shared" si="43"/>
        <v>0</v>
      </c>
      <c r="D2802" s="17" t="str">
        <f>IF(C2802=1,COUNTIF($C$1:$C2802,1),"")</f>
        <v/>
      </c>
      <c r="E2802" s="7"/>
    </row>
    <row r="2803" spans="3:5">
      <c r="C2803" s="17">
        <f t="shared" si="43"/>
        <v>0</v>
      </c>
      <c r="D2803" s="17" t="str">
        <f>IF(C2803=1,COUNTIF($C$1:$C2803,1),"")</f>
        <v/>
      </c>
      <c r="E2803" s="7"/>
    </row>
    <row r="2804" spans="3:5">
      <c r="C2804" s="17">
        <f t="shared" si="43"/>
        <v>0</v>
      </c>
      <c r="D2804" s="17" t="str">
        <f>IF(C2804=1,COUNTIF($C$1:$C2804,1),"")</f>
        <v/>
      </c>
      <c r="E2804" s="7"/>
    </row>
    <row r="2805" spans="3:5">
      <c r="C2805" s="17">
        <f t="shared" si="43"/>
        <v>0</v>
      </c>
      <c r="D2805" s="17" t="str">
        <f>IF(C2805=1,COUNTIF($C$1:$C2805,1),"")</f>
        <v/>
      </c>
      <c r="E2805" s="7"/>
    </row>
    <row r="2806" spans="3:5">
      <c r="C2806" s="17">
        <f t="shared" si="43"/>
        <v>0</v>
      </c>
      <c r="D2806" s="17" t="str">
        <f>IF(C2806=1,COUNTIF($C$1:$C2806,1),"")</f>
        <v/>
      </c>
      <c r="E2806" s="7"/>
    </row>
    <row r="2807" spans="3:5">
      <c r="C2807" s="17">
        <f t="shared" si="43"/>
        <v>0</v>
      </c>
      <c r="D2807" s="17" t="str">
        <f>IF(C2807=1,COUNTIF($C$1:$C2807,1),"")</f>
        <v/>
      </c>
      <c r="E2807" s="7"/>
    </row>
    <row r="2808" spans="3:5">
      <c r="C2808" s="17">
        <f t="shared" si="43"/>
        <v>0</v>
      </c>
      <c r="D2808" s="17" t="str">
        <f>IF(C2808=1,COUNTIF($C$1:$C2808,1),"")</f>
        <v/>
      </c>
      <c r="E2808" s="7"/>
    </row>
    <row r="2809" spans="3:5">
      <c r="C2809" s="17">
        <f t="shared" si="43"/>
        <v>0</v>
      </c>
      <c r="D2809" s="17" t="str">
        <f>IF(C2809=1,COUNTIF($C$1:$C2809,1),"")</f>
        <v/>
      </c>
      <c r="E2809" s="7"/>
    </row>
    <row r="2810" spans="3:5">
      <c r="C2810" s="17">
        <f t="shared" si="43"/>
        <v>0</v>
      </c>
      <c r="D2810" s="17" t="str">
        <f>IF(C2810=1,COUNTIF($C$1:$C2810,1),"")</f>
        <v/>
      </c>
      <c r="E2810" s="7"/>
    </row>
    <row r="2811" spans="3:5">
      <c r="C2811" s="17">
        <f t="shared" si="43"/>
        <v>0</v>
      </c>
      <c r="D2811" s="17" t="str">
        <f>IF(C2811=1,COUNTIF($C$1:$C2811,1),"")</f>
        <v/>
      </c>
      <c r="E2811" s="7"/>
    </row>
    <row r="2812" spans="3:5">
      <c r="C2812" s="17">
        <f t="shared" si="43"/>
        <v>0</v>
      </c>
      <c r="D2812" s="17" t="str">
        <f>IF(C2812=1,COUNTIF($C$1:$C2812,1),"")</f>
        <v/>
      </c>
      <c r="E2812" s="7"/>
    </row>
    <row r="2813" spans="3:5">
      <c r="C2813" s="17">
        <f t="shared" si="43"/>
        <v>0</v>
      </c>
      <c r="D2813" s="17" t="str">
        <f>IF(C2813=1,COUNTIF($C$1:$C2813,1),"")</f>
        <v/>
      </c>
      <c r="E2813" s="7"/>
    </row>
    <row r="2814" spans="3:5">
      <c r="C2814" s="17">
        <f t="shared" si="43"/>
        <v>0</v>
      </c>
      <c r="D2814" s="17" t="str">
        <f>IF(C2814=1,COUNTIF($C$1:$C2814,1),"")</f>
        <v/>
      </c>
      <c r="E2814" s="7"/>
    </row>
    <row r="2815" spans="3:5">
      <c r="C2815" s="17">
        <f t="shared" si="43"/>
        <v>0</v>
      </c>
      <c r="D2815" s="17" t="str">
        <f>IF(C2815=1,COUNTIF($C$1:$C2815,1),"")</f>
        <v/>
      </c>
      <c r="E2815" s="7"/>
    </row>
    <row r="2816" spans="3:5">
      <c r="C2816" s="17">
        <f t="shared" si="43"/>
        <v>0</v>
      </c>
      <c r="D2816" s="17" t="str">
        <f>IF(C2816=1,COUNTIF($C$1:$C2816,1),"")</f>
        <v/>
      </c>
      <c r="E2816" s="7"/>
    </row>
    <row r="2817" spans="3:5">
      <c r="C2817" s="17">
        <f t="shared" si="43"/>
        <v>0</v>
      </c>
      <c r="D2817" s="17" t="str">
        <f>IF(C2817=1,COUNTIF($C$1:$C2817,1),"")</f>
        <v/>
      </c>
      <c r="E2817" s="7"/>
    </row>
    <row r="2818" spans="3:5">
      <c r="C2818" s="17">
        <f t="shared" ref="C2818:C2881" si="44">--ISNUMBER(SEARCH($B$1,A2818))</f>
        <v>0</v>
      </c>
      <c r="D2818" s="17" t="str">
        <f>IF(C2818=1,COUNTIF($C$1:$C2818,1),"")</f>
        <v/>
      </c>
      <c r="E2818" s="7"/>
    </row>
    <row r="2819" spans="3:5">
      <c r="C2819" s="17">
        <f t="shared" si="44"/>
        <v>0</v>
      </c>
      <c r="D2819" s="17" t="str">
        <f>IF(C2819=1,COUNTIF($C$1:$C2819,1),"")</f>
        <v/>
      </c>
      <c r="E2819" s="7"/>
    </row>
    <row r="2820" spans="3:5">
      <c r="C2820" s="17">
        <f t="shared" si="44"/>
        <v>0</v>
      </c>
      <c r="D2820" s="17" t="str">
        <f>IF(C2820=1,COUNTIF($C$1:$C2820,1),"")</f>
        <v/>
      </c>
      <c r="E2820" s="7"/>
    </row>
    <row r="2821" spans="3:5">
      <c r="C2821" s="17">
        <f t="shared" si="44"/>
        <v>0</v>
      </c>
      <c r="D2821" s="17" t="str">
        <f>IF(C2821=1,COUNTIF($C$1:$C2821,1),"")</f>
        <v/>
      </c>
      <c r="E2821" s="7"/>
    </row>
    <row r="2822" spans="3:5">
      <c r="C2822" s="17">
        <f t="shared" si="44"/>
        <v>0</v>
      </c>
      <c r="D2822" s="17" t="str">
        <f>IF(C2822=1,COUNTIF($C$1:$C2822,1),"")</f>
        <v/>
      </c>
      <c r="E2822" s="7"/>
    </row>
    <row r="2823" spans="3:5">
      <c r="C2823" s="17">
        <f t="shared" si="44"/>
        <v>0</v>
      </c>
      <c r="D2823" s="17" t="str">
        <f>IF(C2823=1,COUNTIF($C$1:$C2823,1),"")</f>
        <v/>
      </c>
      <c r="E2823" s="7"/>
    </row>
    <row r="2824" spans="3:5">
      <c r="C2824" s="17">
        <f t="shared" si="44"/>
        <v>0</v>
      </c>
      <c r="D2824" s="17" t="str">
        <f>IF(C2824=1,COUNTIF($C$1:$C2824,1),"")</f>
        <v/>
      </c>
      <c r="E2824" s="7"/>
    </row>
    <row r="2825" spans="3:5">
      <c r="C2825" s="17">
        <f t="shared" si="44"/>
        <v>0</v>
      </c>
      <c r="D2825" s="17" t="str">
        <f>IF(C2825=1,COUNTIF($C$1:$C2825,1),"")</f>
        <v/>
      </c>
      <c r="E2825" s="7"/>
    </row>
    <row r="2826" spans="3:5">
      <c r="C2826" s="17">
        <f t="shared" si="44"/>
        <v>0</v>
      </c>
      <c r="D2826" s="17" t="str">
        <f>IF(C2826=1,COUNTIF($C$1:$C2826,1),"")</f>
        <v/>
      </c>
      <c r="E2826" s="7"/>
    </row>
    <row r="2827" spans="3:5">
      <c r="C2827" s="17">
        <f t="shared" si="44"/>
        <v>0</v>
      </c>
      <c r="D2827" s="17" t="str">
        <f>IF(C2827=1,COUNTIF($C$1:$C2827,1),"")</f>
        <v/>
      </c>
      <c r="E2827" s="7"/>
    </row>
    <row r="2828" spans="3:5">
      <c r="C2828" s="17">
        <f t="shared" si="44"/>
        <v>0</v>
      </c>
      <c r="D2828" s="17" t="str">
        <f>IF(C2828=1,COUNTIF($C$1:$C2828,1),"")</f>
        <v/>
      </c>
      <c r="E2828" s="7"/>
    </row>
    <row r="2829" spans="3:5">
      <c r="C2829" s="17">
        <f t="shared" si="44"/>
        <v>0</v>
      </c>
      <c r="D2829" s="17" t="str">
        <f>IF(C2829=1,COUNTIF($C$1:$C2829,1),"")</f>
        <v/>
      </c>
      <c r="E2829" s="7"/>
    </row>
    <row r="2830" spans="3:5">
      <c r="C2830" s="17">
        <f t="shared" si="44"/>
        <v>0</v>
      </c>
      <c r="D2830" s="17" t="str">
        <f>IF(C2830=1,COUNTIF($C$1:$C2830,1),"")</f>
        <v/>
      </c>
      <c r="E2830" s="7"/>
    </row>
    <row r="2831" spans="3:5">
      <c r="C2831" s="17">
        <f t="shared" si="44"/>
        <v>0</v>
      </c>
      <c r="D2831" s="17" t="str">
        <f>IF(C2831=1,COUNTIF($C$1:$C2831,1),"")</f>
        <v/>
      </c>
      <c r="E2831" s="7"/>
    </row>
    <row r="2832" spans="3:5">
      <c r="C2832" s="17">
        <f t="shared" si="44"/>
        <v>0</v>
      </c>
      <c r="D2832" s="17" t="str">
        <f>IF(C2832=1,COUNTIF($C$1:$C2832,1),"")</f>
        <v/>
      </c>
      <c r="E2832" s="7"/>
    </row>
    <row r="2833" spans="3:5">
      <c r="C2833" s="17">
        <f t="shared" si="44"/>
        <v>0</v>
      </c>
      <c r="D2833" s="17" t="str">
        <f>IF(C2833=1,COUNTIF($C$1:$C2833,1),"")</f>
        <v/>
      </c>
      <c r="E2833" s="7"/>
    </row>
    <row r="2834" spans="3:5">
      <c r="C2834" s="17">
        <f t="shared" si="44"/>
        <v>0</v>
      </c>
      <c r="D2834" s="17" t="str">
        <f>IF(C2834=1,COUNTIF($C$1:$C2834,1),"")</f>
        <v/>
      </c>
      <c r="E2834" s="7"/>
    </row>
    <row r="2835" spans="3:5">
      <c r="C2835" s="17">
        <f t="shared" si="44"/>
        <v>0</v>
      </c>
      <c r="D2835" s="17" t="str">
        <f>IF(C2835=1,COUNTIF($C$1:$C2835,1),"")</f>
        <v/>
      </c>
      <c r="E2835" s="7"/>
    </row>
    <row r="2836" spans="3:5">
      <c r="C2836" s="17">
        <f t="shared" si="44"/>
        <v>0</v>
      </c>
      <c r="D2836" s="17" t="str">
        <f>IF(C2836=1,COUNTIF($C$1:$C2836,1),"")</f>
        <v/>
      </c>
      <c r="E2836" s="7"/>
    </row>
    <row r="2837" spans="3:5">
      <c r="C2837" s="17">
        <f t="shared" si="44"/>
        <v>0</v>
      </c>
      <c r="D2837" s="17" t="str">
        <f>IF(C2837=1,COUNTIF($C$1:$C2837,1),"")</f>
        <v/>
      </c>
      <c r="E2837" s="7"/>
    </row>
    <row r="2838" spans="3:5">
      <c r="C2838" s="17">
        <f t="shared" si="44"/>
        <v>0</v>
      </c>
      <c r="D2838" s="17" t="str">
        <f>IF(C2838=1,COUNTIF($C$1:$C2838,1),"")</f>
        <v/>
      </c>
      <c r="E2838" s="7"/>
    </row>
    <row r="2839" spans="3:5">
      <c r="C2839" s="17">
        <f t="shared" si="44"/>
        <v>0</v>
      </c>
      <c r="D2839" s="17" t="str">
        <f>IF(C2839=1,COUNTIF($C$1:$C2839,1),"")</f>
        <v/>
      </c>
      <c r="E2839" s="7"/>
    </row>
    <row r="2840" spans="3:5">
      <c r="C2840" s="17">
        <f t="shared" si="44"/>
        <v>0</v>
      </c>
      <c r="D2840" s="17" t="str">
        <f>IF(C2840=1,COUNTIF($C$1:$C2840,1),"")</f>
        <v/>
      </c>
      <c r="E2840" s="7"/>
    </row>
    <row r="2841" spans="3:5">
      <c r="C2841" s="17">
        <f t="shared" si="44"/>
        <v>0</v>
      </c>
      <c r="D2841" s="17" t="str">
        <f>IF(C2841=1,COUNTIF($C$1:$C2841,1),"")</f>
        <v/>
      </c>
      <c r="E2841" s="7"/>
    </row>
    <row r="2842" spans="3:5">
      <c r="C2842" s="17">
        <f t="shared" si="44"/>
        <v>0</v>
      </c>
      <c r="D2842" s="17" t="str">
        <f>IF(C2842=1,COUNTIF($C$1:$C2842,1),"")</f>
        <v/>
      </c>
      <c r="E2842" s="7"/>
    </row>
    <row r="2843" spans="3:5">
      <c r="C2843" s="17">
        <f t="shared" si="44"/>
        <v>0</v>
      </c>
      <c r="D2843" s="17" t="str">
        <f>IF(C2843=1,COUNTIF($C$1:$C2843,1),"")</f>
        <v/>
      </c>
      <c r="E2843" s="7"/>
    </row>
    <row r="2844" spans="3:5">
      <c r="C2844" s="17">
        <f t="shared" si="44"/>
        <v>0</v>
      </c>
      <c r="D2844" s="17" t="str">
        <f>IF(C2844=1,COUNTIF($C$1:$C2844,1),"")</f>
        <v/>
      </c>
      <c r="E2844" s="7"/>
    </row>
    <row r="2845" spans="3:5">
      <c r="C2845" s="17">
        <f t="shared" si="44"/>
        <v>0</v>
      </c>
      <c r="D2845" s="17" t="str">
        <f>IF(C2845=1,COUNTIF($C$1:$C2845,1),"")</f>
        <v/>
      </c>
      <c r="E2845" s="7"/>
    </row>
    <row r="2846" spans="3:5">
      <c r="C2846" s="17">
        <f t="shared" si="44"/>
        <v>0</v>
      </c>
      <c r="D2846" s="17" t="str">
        <f>IF(C2846=1,COUNTIF($C$1:$C2846,1),"")</f>
        <v/>
      </c>
      <c r="E2846" s="7"/>
    </row>
    <row r="2847" spans="3:5">
      <c r="C2847" s="17">
        <f t="shared" si="44"/>
        <v>0</v>
      </c>
      <c r="D2847" s="17" t="str">
        <f>IF(C2847=1,COUNTIF($C$1:$C2847,1),"")</f>
        <v/>
      </c>
      <c r="E2847" s="7"/>
    </row>
    <row r="2848" spans="3:5">
      <c r="C2848" s="17">
        <f t="shared" si="44"/>
        <v>0</v>
      </c>
      <c r="D2848" s="17" t="str">
        <f>IF(C2848=1,COUNTIF($C$1:$C2848,1),"")</f>
        <v/>
      </c>
      <c r="E2848" s="7"/>
    </row>
    <row r="2849" spans="3:5">
      <c r="C2849" s="17">
        <f t="shared" si="44"/>
        <v>0</v>
      </c>
      <c r="D2849" s="17" t="str">
        <f>IF(C2849=1,COUNTIF($C$1:$C2849,1),"")</f>
        <v/>
      </c>
      <c r="E2849" s="7"/>
    </row>
    <row r="2850" spans="3:5">
      <c r="C2850" s="17">
        <f t="shared" si="44"/>
        <v>0</v>
      </c>
      <c r="D2850" s="17" t="str">
        <f>IF(C2850=1,COUNTIF($C$1:$C2850,1),"")</f>
        <v/>
      </c>
      <c r="E2850" s="7"/>
    </row>
    <row r="2851" spans="3:5">
      <c r="C2851" s="17">
        <f t="shared" si="44"/>
        <v>0</v>
      </c>
      <c r="D2851" s="17" t="str">
        <f>IF(C2851=1,COUNTIF($C$1:$C2851,1),"")</f>
        <v/>
      </c>
      <c r="E2851" s="7"/>
    </row>
    <row r="2852" spans="3:5">
      <c r="C2852" s="17">
        <f t="shared" si="44"/>
        <v>0</v>
      </c>
      <c r="D2852" s="17" t="str">
        <f>IF(C2852=1,COUNTIF($C$1:$C2852,1),"")</f>
        <v/>
      </c>
      <c r="E2852" s="7"/>
    </row>
    <row r="2853" spans="3:5">
      <c r="C2853" s="17">
        <f t="shared" si="44"/>
        <v>0</v>
      </c>
      <c r="D2853" s="17" t="str">
        <f>IF(C2853=1,COUNTIF($C$1:$C2853,1),"")</f>
        <v/>
      </c>
      <c r="E2853" s="7"/>
    </row>
    <row r="2854" spans="3:5">
      <c r="C2854" s="17">
        <f t="shared" si="44"/>
        <v>0</v>
      </c>
      <c r="D2854" s="17" t="str">
        <f>IF(C2854=1,COUNTIF($C$1:$C2854,1),"")</f>
        <v/>
      </c>
      <c r="E2854" s="7"/>
    </row>
    <row r="2855" spans="3:5">
      <c r="C2855" s="17">
        <f t="shared" si="44"/>
        <v>0</v>
      </c>
      <c r="D2855" s="17" t="str">
        <f>IF(C2855=1,COUNTIF($C$1:$C2855,1),"")</f>
        <v/>
      </c>
      <c r="E2855" s="7"/>
    </row>
    <row r="2856" spans="3:5">
      <c r="C2856" s="17">
        <f t="shared" si="44"/>
        <v>0</v>
      </c>
      <c r="D2856" s="17" t="str">
        <f>IF(C2856=1,COUNTIF($C$1:$C2856,1),"")</f>
        <v/>
      </c>
      <c r="E2856" s="7"/>
    </row>
    <row r="2857" spans="3:5">
      <c r="C2857" s="17">
        <f t="shared" si="44"/>
        <v>0</v>
      </c>
      <c r="D2857" s="17" t="str">
        <f>IF(C2857=1,COUNTIF($C$1:$C2857,1),"")</f>
        <v/>
      </c>
      <c r="E2857" s="7"/>
    </row>
    <row r="2858" spans="3:5">
      <c r="C2858" s="17">
        <f t="shared" si="44"/>
        <v>0</v>
      </c>
      <c r="D2858" s="17" t="str">
        <f>IF(C2858=1,COUNTIF($C$1:$C2858,1),"")</f>
        <v/>
      </c>
      <c r="E2858" s="7"/>
    </row>
    <row r="2859" spans="3:5">
      <c r="C2859" s="17">
        <f t="shared" si="44"/>
        <v>0</v>
      </c>
      <c r="D2859" s="17" t="str">
        <f>IF(C2859=1,COUNTIF($C$1:$C2859,1),"")</f>
        <v/>
      </c>
      <c r="E2859" s="7"/>
    </row>
    <row r="2860" spans="3:5">
      <c r="C2860" s="17">
        <f t="shared" si="44"/>
        <v>0</v>
      </c>
      <c r="D2860" s="17" t="str">
        <f>IF(C2860=1,COUNTIF($C$1:$C2860,1),"")</f>
        <v/>
      </c>
      <c r="E2860" s="7"/>
    </row>
    <row r="2861" spans="3:5">
      <c r="C2861" s="17">
        <f t="shared" si="44"/>
        <v>0</v>
      </c>
      <c r="D2861" s="17" t="str">
        <f>IF(C2861=1,COUNTIF($C$1:$C2861,1),"")</f>
        <v/>
      </c>
      <c r="E2861" s="7"/>
    </row>
    <row r="2862" spans="3:5">
      <c r="C2862" s="17">
        <f t="shared" si="44"/>
        <v>0</v>
      </c>
      <c r="D2862" s="17" t="str">
        <f>IF(C2862=1,COUNTIF($C$1:$C2862,1),"")</f>
        <v/>
      </c>
      <c r="E2862" s="7"/>
    </row>
    <row r="2863" spans="3:5">
      <c r="C2863" s="17">
        <f t="shared" si="44"/>
        <v>0</v>
      </c>
      <c r="D2863" s="17" t="str">
        <f>IF(C2863=1,COUNTIF($C$1:$C2863,1),"")</f>
        <v/>
      </c>
      <c r="E2863" s="7"/>
    </row>
    <row r="2864" spans="3:5">
      <c r="C2864" s="17">
        <f t="shared" si="44"/>
        <v>0</v>
      </c>
      <c r="D2864" s="17" t="str">
        <f>IF(C2864=1,COUNTIF($C$1:$C2864,1),"")</f>
        <v/>
      </c>
      <c r="E2864" s="7"/>
    </row>
    <row r="2865" spans="3:5">
      <c r="C2865" s="17">
        <f t="shared" si="44"/>
        <v>0</v>
      </c>
      <c r="D2865" s="17" t="str">
        <f>IF(C2865=1,COUNTIF($C$1:$C2865,1),"")</f>
        <v/>
      </c>
      <c r="E2865" s="7"/>
    </row>
    <row r="2866" spans="3:5">
      <c r="C2866" s="17">
        <f t="shared" si="44"/>
        <v>0</v>
      </c>
      <c r="D2866" s="17" t="str">
        <f>IF(C2866=1,COUNTIF($C$1:$C2866,1),"")</f>
        <v/>
      </c>
      <c r="E2866" s="7"/>
    </row>
    <row r="2867" spans="3:5">
      <c r="C2867" s="17">
        <f t="shared" si="44"/>
        <v>0</v>
      </c>
      <c r="D2867" s="17" t="str">
        <f>IF(C2867=1,COUNTIF($C$1:$C2867,1),"")</f>
        <v/>
      </c>
      <c r="E2867" s="7"/>
    </row>
    <row r="2868" spans="3:5">
      <c r="C2868" s="17">
        <f t="shared" si="44"/>
        <v>0</v>
      </c>
      <c r="D2868" s="17" t="str">
        <f>IF(C2868=1,COUNTIF($C$1:$C2868,1),"")</f>
        <v/>
      </c>
      <c r="E2868" s="7"/>
    </row>
    <row r="2869" spans="3:5">
      <c r="C2869" s="17">
        <f t="shared" si="44"/>
        <v>0</v>
      </c>
      <c r="D2869" s="17" t="str">
        <f>IF(C2869=1,COUNTIF($C$1:$C2869,1),"")</f>
        <v/>
      </c>
      <c r="E2869" s="7"/>
    </row>
    <row r="2870" spans="3:5">
      <c r="C2870" s="17">
        <f t="shared" si="44"/>
        <v>0</v>
      </c>
      <c r="D2870" s="17" t="str">
        <f>IF(C2870=1,COUNTIF($C$1:$C2870,1),"")</f>
        <v/>
      </c>
      <c r="E2870" s="7"/>
    </row>
    <row r="2871" spans="3:5">
      <c r="C2871" s="17">
        <f t="shared" si="44"/>
        <v>0</v>
      </c>
      <c r="D2871" s="17" t="str">
        <f>IF(C2871=1,COUNTIF($C$1:$C2871,1),"")</f>
        <v/>
      </c>
      <c r="E2871" s="7"/>
    </row>
    <row r="2872" spans="3:5">
      <c r="C2872" s="17">
        <f t="shared" si="44"/>
        <v>0</v>
      </c>
      <c r="D2872" s="17" t="str">
        <f>IF(C2872=1,COUNTIF($C$1:$C2872,1),"")</f>
        <v/>
      </c>
      <c r="E2872" s="7"/>
    </row>
    <row r="2873" spans="3:5">
      <c r="C2873" s="17">
        <f t="shared" si="44"/>
        <v>0</v>
      </c>
      <c r="D2873" s="17" t="str">
        <f>IF(C2873=1,COUNTIF($C$1:$C2873,1),"")</f>
        <v/>
      </c>
      <c r="E2873" s="7"/>
    </row>
    <row r="2874" spans="3:5">
      <c r="C2874" s="17">
        <f t="shared" si="44"/>
        <v>0</v>
      </c>
      <c r="D2874" s="17" t="str">
        <f>IF(C2874=1,COUNTIF($C$1:$C2874,1),"")</f>
        <v/>
      </c>
      <c r="E2874" s="7"/>
    </row>
    <row r="2875" spans="3:5">
      <c r="C2875" s="17">
        <f t="shared" si="44"/>
        <v>0</v>
      </c>
      <c r="D2875" s="17" t="str">
        <f>IF(C2875=1,COUNTIF($C$1:$C2875,1),"")</f>
        <v/>
      </c>
      <c r="E2875" s="7"/>
    </row>
    <row r="2876" spans="3:5">
      <c r="C2876" s="17">
        <f t="shared" si="44"/>
        <v>0</v>
      </c>
      <c r="D2876" s="17" t="str">
        <f>IF(C2876=1,COUNTIF($C$1:$C2876,1),"")</f>
        <v/>
      </c>
      <c r="E2876" s="7"/>
    </row>
    <row r="2877" spans="3:5">
      <c r="C2877" s="17">
        <f t="shared" si="44"/>
        <v>0</v>
      </c>
      <c r="D2877" s="17" t="str">
        <f>IF(C2877=1,COUNTIF($C$1:$C2877,1),"")</f>
        <v/>
      </c>
      <c r="E2877" s="7"/>
    </row>
    <row r="2878" spans="3:5">
      <c r="C2878" s="17">
        <f t="shared" si="44"/>
        <v>0</v>
      </c>
      <c r="D2878" s="17" t="str">
        <f>IF(C2878=1,COUNTIF($C$1:$C2878,1),"")</f>
        <v/>
      </c>
      <c r="E2878" s="7"/>
    </row>
    <row r="2879" spans="3:5">
      <c r="C2879" s="17">
        <f t="shared" si="44"/>
        <v>0</v>
      </c>
      <c r="D2879" s="17" t="str">
        <f>IF(C2879=1,COUNTIF($C$1:$C2879,1),"")</f>
        <v/>
      </c>
      <c r="E2879" s="7"/>
    </row>
    <row r="2880" spans="3:5">
      <c r="C2880" s="17">
        <f t="shared" si="44"/>
        <v>0</v>
      </c>
      <c r="D2880" s="17" t="str">
        <f>IF(C2880=1,COUNTIF($C$1:$C2880,1),"")</f>
        <v/>
      </c>
      <c r="E2880" s="7"/>
    </row>
    <row r="2881" spans="3:5">
      <c r="C2881" s="17">
        <f t="shared" si="44"/>
        <v>0</v>
      </c>
      <c r="D2881" s="17" t="str">
        <f>IF(C2881=1,COUNTIF($C$1:$C2881,1),"")</f>
        <v/>
      </c>
      <c r="E2881" s="7"/>
    </row>
    <row r="2882" spans="3:5">
      <c r="C2882" s="17">
        <f t="shared" ref="C2882:C2945" si="45">--ISNUMBER(SEARCH($B$1,A2882))</f>
        <v>0</v>
      </c>
      <c r="D2882" s="17" t="str">
        <f>IF(C2882=1,COUNTIF($C$1:$C2882,1),"")</f>
        <v/>
      </c>
      <c r="E2882" s="7"/>
    </row>
    <row r="2883" spans="3:5">
      <c r="C2883" s="17">
        <f t="shared" si="45"/>
        <v>0</v>
      </c>
      <c r="D2883" s="17" t="str">
        <f>IF(C2883=1,COUNTIF($C$1:$C2883,1),"")</f>
        <v/>
      </c>
      <c r="E2883" s="7"/>
    </row>
    <row r="2884" spans="3:5">
      <c r="C2884" s="17">
        <f t="shared" si="45"/>
        <v>0</v>
      </c>
      <c r="D2884" s="17" t="str">
        <f>IF(C2884=1,COUNTIF($C$1:$C2884,1),"")</f>
        <v/>
      </c>
      <c r="E2884" s="7"/>
    </row>
    <row r="2885" spans="3:5">
      <c r="C2885" s="17">
        <f t="shared" si="45"/>
        <v>0</v>
      </c>
      <c r="D2885" s="17" t="str">
        <f>IF(C2885=1,COUNTIF($C$1:$C2885,1),"")</f>
        <v/>
      </c>
      <c r="E2885" s="7"/>
    </row>
    <row r="2886" spans="3:5">
      <c r="C2886" s="17">
        <f t="shared" si="45"/>
        <v>0</v>
      </c>
      <c r="D2886" s="17" t="str">
        <f>IF(C2886=1,COUNTIF($C$1:$C2886,1),"")</f>
        <v/>
      </c>
      <c r="E2886" s="7"/>
    </row>
    <row r="2887" spans="3:5">
      <c r="C2887" s="17">
        <f t="shared" si="45"/>
        <v>0</v>
      </c>
      <c r="D2887" s="17" t="str">
        <f>IF(C2887=1,COUNTIF($C$1:$C2887,1),"")</f>
        <v/>
      </c>
      <c r="E2887" s="7"/>
    </row>
    <row r="2888" spans="3:5">
      <c r="C2888" s="17">
        <f t="shared" si="45"/>
        <v>0</v>
      </c>
      <c r="D2888" s="17" t="str">
        <f>IF(C2888=1,COUNTIF($C$1:$C2888,1),"")</f>
        <v/>
      </c>
      <c r="E2888" s="7"/>
    </row>
    <row r="2889" spans="3:5">
      <c r="C2889" s="17">
        <f t="shared" si="45"/>
        <v>0</v>
      </c>
      <c r="D2889" s="17" t="str">
        <f>IF(C2889=1,COUNTIF($C$1:$C2889,1),"")</f>
        <v/>
      </c>
      <c r="E2889" s="7"/>
    </row>
    <row r="2890" spans="3:5">
      <c r="C2890" s="17">
        <f t="shared" si="45"/>
        <v>0</v>
      </c>
      <c r="D2890" s="17" t="str">
        <f>IF(C2890=1,COUNTIF($C$1:$C2890,1),"")</f>
        <v/>
      </c>
      <c r="E2890" s="7"/>
    </row>
    <row r="2891" spans="3:5">
      <c r="C2891" s="17">
        <f t="shared" si="45"/>
        <v>0</v>
      </c>
      <c r="D2891" s="17" t="str">
        <f>IF(C2891=1,COUNTIF($C$1:$C2891,1),"")</f>
        <v/>
      </c>
      <c r="E2891" s="7"/>
    </row>
    <row r="2892" spans="3:5">
      <c r="C2892" s="17">
        <f t="shared" si="45"/>
        <v>0</v>
      </c>
      <c r="D2892" s="17" t="str">
        <f>IF(C2892=1,COUNTIF($C$1:$C2892,1),"")</f>
        <v/>
      </c>
      <c r="E2892" s="7"/>
    </row>
    <row r="2893" spans="3:5">
      <c r="C2893" s="17">
        <f t="shared" si="45"/>
        <v>0</v>
      </c>
      <c r="D2893" s="17" t="str">
        <f>IF(C2893=1,COUNTIF($C$1:$C2893,1),"")</f>
        <v/>
      </c>
      <c r="E2893" s="7"/>
    </row>
    <row r="2894" spans="3:5">
      <c r="C2894" s="17">
        <f t="shared" si="45"/>
        <v>0</v>
      </c>
      <c r="D2894" s="17" t="str">
        <f>IF(C2894=1,COUNTIF($C$1:$C2894,1),"")</f>
        <v/>
      </c>
      <c r="E2894" s="7"/>
    </row>
    <row r="2895" spans="3:5">
      <c r="C2895" s="17">
        <f t="shared" si="45"/>
        <v>0</v>
      </c>
      <c r="D2895" s="17" t="str">
        <f>IF(C2895=1,COUNTIF($C$1:$C2895,1),"")</f>
        <v/>
      </c>
      <c r="E2895" s="7"/>
    </row>
    <row r="2896" spans="3:5">
      <c r="C2896" s="17">
        <f t="shared" si="45"/>
        <v>0</v>
      </c>
      <c r="D2896" s="17" t="str">
        <f>IF(C2896=1,COUNTIF($C$1:$C2896,1),"")</f>
        <v/>
      </c>
      <c r="E2896" s="7"/>
    </row>
    <row r="2897" spans="3:5">
      <c r="C2897" s="17">
        <f t="shared" si="45"/>
        <v>0</v>
      </c>
      <c r="D2897" s="17" t="str">
        <f>IF(C2897=1,COUNTIF($C$1:$C2897,1),"")</f>
        <v/>
      </c>
      <c r="E2897" s="7"/>
    </row>
    <row r="2898" spans="3:5">
      <c r="C2898" s="17">
        <f t="shared" si="45"/>
        <v>0</v>
      </c>
      <c r="D2898" s="17" t="str">
        <f>IF(C2898=1,COUNTIF($C$1:$C2898,1),"")</f>
        <v/>
      </c>
      <c r="E2898" s="7"/>
    </row>
    <row r="2899" spans="3:5">
      <c r="C2899" s="17">
        <f t="shared" si="45"/>
        <v>0</v>
      </c>
      <c r="D2899" s="17" t="str">
        <f>IF(C2899=1,COUNTIF($C$1:$C2899,1),"")</f>
        <v/>
      </c>
      <c r="E2899" s="7"/>
    </row>
    <row r="2900" spans="3:5">
      <c r="C2900" s="17">
        <f t="shared" si="45"/>
        <v>0</v>
      </c>
      <c r="D2900" s="17" t="str">
        <f>IF(C2900=1,COUNTIF($C$1:$C2900,1),"")</f>
        <v/>
      </c>
      <c r="E2900" s="7"/>
    </row>
    <row r="2901" spans="3:5">
      <c r="C2901" s="17">
        <f t="shared" si="45"/>
        <v>0</v>
      </c>
      <c r="D2901" s="17" t="str">
        <f>IF(C2901=1,COUNTIF($C$1:$C2901,1),"")</f>
        <v/>
      </c>
      <c r="E2901" s="7"/>
    </row>
    <row r="2902" spans="3:5">
      <c r="C2902" s="17">
        <f t="shared" si="45"/>
        <v>0</v>
      </c>
      <c r="D2902" s="17" t="str">
        <f>IF(C2902=1,COUNTIF($C$1:$C2902,1),"")</f>
        <v/>
      </c>
      <c r="E2902" s="7"/>
    </row>
    <row r="2903" spans="3:5">
      <c r="C2903" s="17">
        <f t="shared" si="45"/>
        <v>0</v>
      </c>
      <c r="D2903" s="17" t="str">
        <f>IF(C2903=1,COUNTIF($C$1:$C2903,1),"")</f>
        <v/>
      </c>
      <c r="E2903" s="7"/>
    </row>
    <row r="2904" spans="3:5">
      <c r="C2904" s="17">
        <f t="shared" si="45"/>
        <v>0</v>
      </c>
      <c r="D2904" s="17" t="str">
        <f>IF(C2904=1,COUNTIF($C$1:$C2904,1),"")</f>
        <v/>
      </c>
      <c r="E2904" s="7"/>
    </row>
    <row r="2905" spans="3:5">
      <c r="C2905" s="17">
        <f t="shared" si="45"/>
        <v>0</v>
      </c>
      <c r="D2905" s="17" t="str">
        <f>IF(C2905=1,COUNTIF($C$1:$C2905,1),"")</f>
        <v/>
      </c>
      <c r="E2905" s="7"/>
    </row>
    <row r="2906" spans="3:5">
      <c r="C2906" s="17">
        <f t="shared" si="45"/>
        <v>0</v>
      </c>
      <c r="D2906" s="17" t="str">
        <f>IF(C2906=1,COUNTIF($C$1:$C2906,1),"")</f>
        <v/>
      </c>
      <c r="E2906" s="7"/>
    </row>
    <row r="2907" spans="3:5">
      <c r="C2907" s="17">
        <f t="shared" si="45"/>
        <v>0</v>
      </c>
      <c r="D2907" s="17" t="str">
        <f>IF(C2907=1,COUNTIF($C$1:$C2907,1),"")</f>
        <v/>
      </c>
      <c r="E2907" s="7"/>
    </row>
    <row r="2908" spans="3:5">
      <c r="C2908" s="17">
        <f t="shared" si="45"/>
        <v>0</v>
      </c>
      <c r="D2908" s="17" t="str">
        <f>IF(C2908=1,COUNTIF($C$1:$C2908,1),"")</f>
        <v/>
      </c>
      <c r="E2908" s="7"/>
    </row>
    <row r="2909" spans="3:5">
      <c r="C2909" s="17">
        <f t="shared" si="45"/>
        <v>0</v>
      </c>
      <c r="D2909" s="17" t="str">
        <f>IF(C2909=1,COUNTIF($C$1:$C2909,1),"")</f>
        <v/>
      </c>
      <c r="E2909" s="7"/>
    </row>
    <row r="2910" spans="3:5">
      <c r="C2910" s="17">
        <f t="shared" si="45"/>
        <v>0</v>
      </c>
      <c r="D2910" s="17" t="str">
        <f>IF(C2910=1,COUNTIF($C$1:$C2910,1),"")</f>
        <v/>
      </c>
      <c r="E2910" s="7"/>
    </row>
    <row r="2911" spans="3:5">
      <c r="C2911" s="17">
        <f t="shared" si="45"/>
        <v>0</v>
      </c>
      <c r="D2911" s="17" t="str">
        <f>IF(C2911=1,COUNTIF($C$1:$C2911,1),"")</f>
        <v/>
      </c>
      <c r="E2911" s="7"/>
    </row>
    <row r="2912" spans="3:5">
      <c r="C2912" s="17">
        <f t="shared" si="45"/>
        <v>0</v>
      </c>
      <c r="D2912" s="17" t="str">
        <f>IF(C2912=1,COUNTIF($C$1:$C2912,1),"")</f>
        <v/>
      </c>
      <c r="E2912" s="7"/>
    </row>
    <row r="2913" spans="3:5">
      <c r="C2913" s="17">
        <f t="shared" si="45"/>
        <v>0</v>
      </c>
      <c r="D2913" s="17" t="str">
        <f>IF(C2913=1,COUNTIF($C$1:$C2913,1),"")</f>
        <v/>
      </c>
      <c r="E2913" s="7"/>
    </row>
    <row r="2914" spans="3:5">
      <c r="C2914" s="17">
        <f t="shared" si="45"/>
        <v>0</v>
      </c>
      <c r="D2914" s="17" t="str">
        <f>IF(C2914=1,COUNTIF($C$1:$C2914,1),"")</f>
        <v/>
      </c>
      <c r="E2914" s="7"/>
    </row>
    <row r="2915" spans="3:5">
      <c r="C2915" s="17">
        <f t="shared" si="45"/>
        <v>0</v>
      </c>
      <c r="D2915" s="17" t="str">
        <f>IF(C2915=1,COUNTIF($C$1:$C2915,1),"")</f>
        <v/>
      </c>
      <c r="E2915" s="7"/>
    </row>
    <row r="2916" spans="3:5">
      <c r="C2916" s="17">
        <f t="shared" si="45"/>
        <v>0</v>
      </c>
      <c r="D2916" s="17" t="str">
        <f>IF(C2916=1,COUNTIF($C$1:$C2916,1),"")</f>
        <v/>
      </c>
      <c r="E2916" s="7"/>
    </row>
    <row r="2917" spans="3:5">
      <c r="C2917" s="17">
        <f t="shared" si="45"/>
        <v>0</v>
      </c>
      <c r="D2917" s="17" t="str">
        <f>IF(C2917=1,COUNTIF($C$1:$C2917,1),"")</f>
        <v/>
      </c>
      <c r="E2917" s="7"/>
    </row>
    <row r="2918" spans="3:5">
      <c r="C2918" s="17">
        <f t="shared" si="45"/>
        <v>0</v>
      </c>
      <c r="D2918" s="17" t="str">
        <f>IF(C2918=1,COUNTIF($C$1:$C2918,1),"")</f>
        <v/>
      </c>
      <c r="E2918" s="7"/>
    </row>
    <row r="2919" spans="3:5">
      <c r="C2919" s="17">
        <f t="shared" si="45"/>
        <v>0</v>
      </c>
      <c r="D2919" s="17" t="str">
        <f>IF(C2919=1,COUNTIF($C$1:$C2919,1),"")</f>
        <v/>
      </c>
      <c r="E2919" s="7"/>
    </row>
    <row r="2920" spans="3:5">
      <c r="C2920" s="17">
        <f t="shared" si="45"/>
        <v>0</v>
      </c>
      <c r="D2920" s="17" t="str">
        <f>IF(C2920=1,COUNTIF($C$1:$C2920,1),"")</f>
        <v/>
      </c>
      <c r="E2920" s="7"/>
    </row>
    <row r="2921" spans="3:5">
      <c r="C2921" s="17">
        <f t="shared" si="45"/>
        <v>0</v>
      </c>
      <c r="D2921" s="17" t="str">
        <f>IF(C2921=1,COUNTIF($C$1:$C2921,1),"")</f>
        <v/>
      </c>
      <c r="E2921" s="7"/>
    </row>
    <row r="2922" spans="3:5">
      <c r="C2922" s="17">
        <f t="shared" si="45"/>
        <v>0</v>
      </c>
      <c r="D2922" s="17" t="str">
        <f>IF(C2922=1,COUNTIF($C$1:$C2922,1),"")</f>
        <v/>
      </c>
      <c r="E2922" s="7"/>
    </row>
    <row r="2923" spans="3:5">
      <c r="C2923" s="17">
        <f t="shared" si="45"/>
        <v>0</v>
      </c>
      <c r="D2923" s="17" t="str">
        <f>IF(C2923=1,COUNTIF($C$1:$C2923,1),"")</f>
        <v/>
      </c>
      <c r="E2923" s="7"/>
    </row>
    <row r="2924" spans="3:5">
      <c r="C2924" s="17">
        <f t="shared" si="45"/>
        <v>0</v>
      </c>
      <c r="D2924" s="17" t="str">
        <f>IF(C2924=1,COUNTIF($C$1:$C2924,1),"")</f>
        <v/>
      </c>
      <c r="E2924" s="7"/>
    </row>
    <row r="2925" spans="3:5">
      <c r="C2925" s="17">
        <f t="shared" si="45"/>
        <v>0</v>
      </c>
      <c r="D2925" s="17" t="str">
        <f>IF(C2925=1,COUNTIF($C$1:$C2925,1),"")</f>
        <v/>
      </c>
      <c r="E2925" s="7"/>
    </row>
    <row r="2926" spans="3:5">
      <c r="C2926" s="17">
        <f t="shared" si="45"/>
        <v>0</v>
      </c>
      <c r="D2926" s="17" t="str">
        <f>IF(C2926=1,COUNTIF($C$1:$C2926,1),"")</f>
        <v/>
      </c>
      <c r="E2926" s="7"/>
    </row>
    <row r="2927" spans="3:5">
      <c r="C2927" s="17">
        <f t="shared" si="45"/>
        <v>0</v>
      </c>
      <c r="D2927" s="17" t="str">
        <f>IF(C2927=1,COUNTIF($C$1:$C2927,1),"")</f>
        <v/>
      </c>
      <c r="E2927" s="7"/>
    </row>
    <row r="2928" spans="3:5">
      <c r="C2928" s="17">
        <f t="shared" si="45"/>
        <v>0</v>
      </c>
      <c r="D2928" s="17" t="str">
        <f>IF(C2928=1,COUNTIF($C$1:$C2928,1),"")</f>
        <v/>
      </c>
      <c r="E2928" s="7"/>
    </row>
    <row r="2929" spans="3:5">
      <c r="C2929" s="17">
        <f t="shared" si="45"/>
        <v>0</v>
      </c>
      <c r="D2929" s="17" t="str">
        <f>IF(C2929=1,COUNTIF($C$1:$C2929,1),"")</f>
        <v/>
      </c>
      <c r="E2929" s="7"/>
    </row>
    <row r="2930" spans="3:5">
      <c r="C2930" s="17">
        <f t="shared" si="45"/>
        <v>0</v>
      </c>
      <c r="D2930" s="17" t="str">
        <f>IF(C2930=1,COUNTIF($C$1:$C2930,1),"")</f>
        <v/>
      </c>
      <c r="E2930" s="7"/>
    </row>
    <row r="2931" spans="3:5">
      <c r="C2931" s="17">
        <f t="shared" si="45"/>
        <v>0</v>
      </c>
      <c r="D2931" s="17" t="str">
        <f>IF(C2931=1,COUNTIF($C$1:$C2931,1),"")</f>
        <v/>
      </c>
      <c r="E2931" s="7"/>
    </row>
    <row r="2932" spans="3:5">
      <c r="C2932" s="17">
        <f t="shared" si="45"/>
        <v>0</v>
      </c>
      <c r="D2932" s="17" t="str">
        <f>IF(C2932=1,COUNTIF($C$1:$C2932,1),"")</f>
        <v/>
      </c>
      <c r="E2932" s="7"/>
    </row>
    <row r="2933" spans="3:5">
      <c r="C2933" s="17">
        <f t="shared" si="45"/>
        <v>0</v>
      </c>
      <c r="D2933" s="17" t="str">
        <f>IF(C2933=1,COUNTIF($C$1:$C2933,1),"")</f>
        <v/>
      </c>
      <c r="E2933" s="7"/>
    </row>
    <row r="2934" spans="3:5">
      <c r="C2934" s="17">
        <f t="shared" si="45"/>
        <v>0</v>
      </c>
      <c r="D2934" s="17" t="str">
        <f>IF(C2934=1,COUNTIF($C$1:$C2934,1),"")</f>
        <v/>
      </c>
      <c r="E2934" s="7"/>
    </row>
    <row r="2935" spans="3:5">
      <c r="C2935" s="17">
        <f t="shared" si="45"/>
        <v>0</v>
      </c>
      <c r="D2935" s="17" t="str">
        <f>IF(C2935=1,COUNTIF($C$1:$C2935,1),"")</f>
        <v/>
      </c>
      <c r="E2935" s="7"/>
    </row>
    <row r="2936" spans="3:5">
      <c r="C2936" s="17">
        <f t="shared" si="45"/>
        <v>0</v>
      </c>
      <c r="D2936" s="17" t="str">
        <f>IF(C2936=1,COUNTIF($C$1:$C2936,1),"")</f>
        <v/>
      </c>
      <c r="E2936" s="7"/>
    </row>
    <row r="2937" spans="3:5">
      <c r="C2937" s="17">
        <f t="shared" si="45"/>
        <v>0</v>
      </c>
      <c r="D2937" s="17" t="str">
        <f>IF(C2937=1,COUNTIF($C$1:$C2937,1),"")</f>
        <v/>
      </c>
      <c r="E2937" s="7"/>
    </row>
    <row r="2938" spans="3:5">
      <c r="C2938" s="17">
        <f t="shared" si="45"/>
        <v>0</v>
      </c>
      <c r="D2938" s="17" t="str">
        <f>IF(C2938=1,COUNTIF($C$1:$C2938,1),"")</f>
        <v/>
      </c>
      <c r="E2938" s="7"/>
    </row>
    <row r="2939" spans="3:5">
      <c r="C2939" s="17">
        <f t="shared" si="45"/>
        <v>0</v>
      </c>
      <c r="D2939" s="17" t="str">
        <f>IF(C2939=1,COUNTIF($C$1:$C2939,1),"")</f>
        <v/>
      </c>
      <c r="E2939" s="7"/>
    </row>
    <row r="2940" spans="3:5">
      <c r="C2940" s="17">
        <f t="shared" si="45"/>
        <v>0</v>
      </c>
      <c r="D2940" s="17" t="str">
        <f>IF(C2940=1,COUNTIF($C$1:$C2940,1),"")</f>
        <v/>
      </c>
      <c r="E2940" s="7"/>
    </row>
    <row r="2941" spans="3:5">
      <c r="C2941" s="17">
        <f t="shared" si="45"/>
        <v>0</v>
      </c>
      <c r="D2941" s="17" t="str">
        <f>IF(C2941=1,COUNTIF($C$1:$C2941,1),"")</f>
        <v/>
      </c>
      <c r="E2941" s="7"/>
    </row>
    <row r="2942" spans="3:5">
      <c r="C2942" s="17">
        <f t="shared" si="45"/>
        <v>0</v>
      </c>
      <c r="D2942" s="17" t="str">
        <f>IF(C2942=1,COUNTIF($C$1:$C2942,1),"")</f>
        <v/>
      </c>
      <c r="E2942" s="7"/>
    </row>
    <row r="2943" spans="3:5">
      <c r="C2943" s="17">
        <f t="shared" si="45"/>
        <v>0</v>
      </c>
      <c r="D2943" s="17" t="str">
        <f>IF(C2943=1,COUNTIF($C$1:$C2943,1),"")</f>
        <v/>
      </c>
      <c r="E2943" s="7"/>
    </row>
    <row r="2944" spans="3:5">
      <c r="C2944" s="17">
        <f t="shared" si="45"/>
        <v>0</v>
      </c>
      <c r="D2944" s="17" t="str">
        <f>IF(C2944=1,COUNTIF($C$1:$C2944,1),"")</f>
        <v/>
      </c>
      <c r="E2944" s="7"/>
    </row>
    <row r="2945" spans="3:5">
      <c r="C2945" s="17">
        <f t="shared" si="45"/>
        <v>0</v>
      </c>
      <c r="D2945" s="17" t="str">
        <f>IF(C2945=1,COUNTIF($C$1:$C2945,1),"")</f>
        <v/>
      </c>
      <c r="E2945" s="7"/>
    </row>
    <row r="2946" spans="3:5">
      <c r="C2946" s="17">
        <f t="shared" ref="C2946:C3009" si="46">--ISNUMBER(SEARCH($B$1,A2946))</f>
        <v>0</v>
      </c>
      <c r="D2946" s="17" t="str">
        <f>IF(C2946=1,COUNTIF($C$1:$C2946,1),"")</f>
        <v/>
      </c>
      <c r="E2946" s="7"/>
    </row>
    <row r="2947" spans="3:5">
      <c r="C2947" s="17">
        <f t="shared" si="46"/>
        <v>0</v>
      </c>
      <c r="D2947" s="17" t="str">
        <f>IF(C2947=1,COUNTIF($C$1:$C2947,1),"")</f>
        <v/>
      </c>
      <c r="E2947" s="7"/>
    </row>
    <row r="2948" spans="3:5">
      <c r="C2948" s="17">
        <f t="shared" si="46"/>
        <v>0</v>
      </c>
      <c r="D2948" s="17" t="str">
        <f>IF(C2948=1,COUNTIF($C$1:$C2948,1),"")</f>
        <v/>
      </c>
      <c r="E2948" s="7"/>
    </row>
    <row r="2949" spans="3:5">
      <c r="C2949" s="17">
        <f t="shared" si="46"/>
        <v>0</v>
      </c>
      <c r="D2949" s="17" t="str">
        <f>IF(C2949=1,COUNTIF($C$1:$C2949,1),"")</f>
        <v/>
      </c>
      <c r="E2949" s="7"/>
    </row>
    <row r="2950" spans="3:5">
      <c r="C2950" s="17">
        <f t="shared" si="46"/>
        <v>0</v>
      </c>
      <c r="D2950" s="17" t="str">
        <f>IF(C2950=1,COUNTIF($C$1:$C2950,1),"")</f>
        <v/>
      </c>
      <c r="E2950" s="7"/>
    </row>
    <row r="2951" spans="3:5">
      <c r="C2951" s="17">
        <f t="shared" si="46"/>
        <v>0</v>
      </c>
      <c r="D2951" s="17" t="str">
        <f>IF(C2951=1,COUNTIF($C$1:$C2951,1),"")</f>
        <v/>
      </c>
      <c r="E2951" s="7"/>
    </row>
    <row r="2952" spans="3:5">
      <c r="C2952" s="17">
        <f t="shared" si="46"/>
        <v>0</v>
      </c>
      <c r="D2952" s="17" t="str">
        <f>IF(C2952=1,COUNTIF($C$1:$C2952,1),"")</f>
        <v/>
      </c>
      <c r="E2952" s="7"/>
    </row>
    <row r="2953" spans="3:5">
      <c r="C2953" s="17">
        <f t="shared" si="46"/>
        <v>0</v>
      </c>
      <c r="D2953" s="17" t="str">
        <f>IF(C2953=1,COUNTIF($C$1:$C2953,1),"")</f>
        <v/>
      </c>
      <c r="E2953" s="7"/>
    </row>
    <row r="2954" spans="3:5">
      <c r="C2954" s="17">
        <f t="shared" si="46"/>
        <v>0</v>
      </c>
      <c r="D2954" s="17" t="str">
        <f>IF(C2954=1,COUNTIF($C$1:$C2954,1),"")</f>
        <v/>
      </c>
      <c r="E2954" s="7"/>
    </row>
    <row r="2955" spans="3:5">
      <c r="C2955" s="17">
        <f t="shared" si="46"/>
        <v>0</v>
      </c>
      <c r="D2955" s="17" t="str">
        <f>IF(C2955=1,COUNTIF($C$1:$C2955,1),"")</f>
        <v/>
      </c>
      <c r="E2955" s="7"/>
    </row>
    <row r="2956" spans="3:5">
      <c r="C2956" s="17">
        <f t="shared" si="46"/>
        <v>0</v>
      </c>
      <c r="D2956" s="17" t="str">
        <f>IF(C2956=1,COUNTIF($C$1:$C2956,1),"")</f>
        <v/>
      </c>
      <c r="E2956" s="7"/>
    </row>
    <row r="2957" spans="3:5">
      <c r="C2957" s="17">
        <f t="shared" si="46"/>
        <v>0</v>
      </c>
      <c r="D2957" s="17" t="str">
        <f>IF(C2957=1,COUNTIF($C$1:$C2957,1),"")</f>
        <v/>
      </c>
      <c r="E2957" s="7"/>
    </row>
    <row r="2958" spans="3:5">
      <c r="C2958" s="17">
        <f t="shared" si="46"/>
        <v>0</v>
      </c>
      <c r="D2958" s="17" t="str">
        <f>IF(C2958=1,COUNTIF($C$1:$C2958,1),"")</f>
        <v/>
      </c>
      <c r="E2958" s="7"/>
    </row>
    <row r="2959" spans="3:5">
      <c r="C2959" s="17">
        <f t="shared" si="46"/>
        <v>0</v>
      </c>
      <c r="D2959" s="17" t="str">
        <f>IF(C2959=1,COUNTIF($C$1:$C2959,1),"")</f>
        <v/>
      </c>
      <c r="E2959" s="7"/>
    </row>
    <row r="2960" spans="3:5">
      <c r="C2960" s="17">
        <f t="shared" si="46"/>
        <v>0</v>
      </c>
      <c r="D2960" s="17" t="str">
        <f>IF(C2960=1,COUNTIF($C$1:$C2960,1),"")</f>
        <v/>
      </c>
      <c r="E2960" s="7"/>
    </row>
    <row r="2961" spans="3:5">
      <c r="C2961" s="17">
        <f t="shared" si="46"/>
        <v>0</v>
      </c>
      <c r="D2961" s="17" t="str">
        <f>IF(C2961=1,COUNTIF($C$1:$C2961,1),"")</f>
        <v/>
      </c>
      <c r="E2961" s="7"/>
    </row>
    <row r="2962" spans="3:5">
      <c r="C2962" s="17">
        <f t="shared" si="46"/>
        <v>0</v>
      </c>
      <c r="D2962" s="17" t="str">
        <f>IF(C2962=1,COUNTIF($C$1:$C2962,1),"")</f>
        <v/>
      </c>
      <c r="E2962" s="7"/>
    </row>
    <row r="2963" spans="3:5">
      <c r="C2963" s="17">
        <f t="shared" si="46"/>
        <v>0</v>
      </c>
      <c r="D2963" s="17" t="str">
        <f>IF(C2963=1,COUNTIF($C$1:$C2963,1),"")</f>
        <v/>
      </c>
      <c r="E2963" s="7"/>
    </row>
    <row r="2964" spans="3:5">
      <c r="C2964" s="17">
        <f t="shared" si="46"/>
        <v>0</v>
      </c>
      <c r="D2964" s="17" t="str">
        <f>IF(C2964=1,COUNTIF($C$1:$C2964,1),"")</f>
        <v/>
      </c>
      <c r="E2964" s="7"/>
    </row>
    <row r="2965" spans="3:5">
      <c r="C2965" s="17">
        <f t="shared" si="46"/>
        <v>0</v>
      </c>
      <c r="D2965" s="17" t="str">
        <f>IF(C2965=1,COUNTIF($C$1:$C2965,1),"")</f>
        <v/>
      </c>
      <c r="E2965" s="7"/>
    </row>
    <row r="2966" spans="3:5">
      <c r="C2966" s="17">
        <f t="shared" si="46"/>
        <v>0</v>
      </c>
      <c r="D2966" s="17" t="str">
        <f>IF(C2966=1,COUNTIF($C$1:$C2966,1),"")</f>
        <v/>
      </c>
      <c r="E2966" s="7"/>
    </row>
    <row r="2967" spans="3:5">
      <c r="C2967" s="17">
        <f t="shared" si="46"/>
        <v>0</v>
      </c>
      <c r="D2967" s="17" t="str">
        <f>IF(C2967=1,COUNTIF($C$1:$C2967,1),"")</f>
        <v/>
      </c>
      <c r="E2967" s="7"/>
    </row>
    <row r="2968" spans="3:5">
      <c r="C2968" s="17">
        <f t="shared" si="46"/>
        <v>0</v>
      </c>
      <c r="D2968" s="17" t="str">
        <f>IF(C2968=1,COUNTIF($C$1:$C2968,1),"")</f>
        <v/>
      </c>
      <c r="E2968" s="7"/>
    </row>
    <row r="2969" spans="3:5">
      <c r="C2969" s="17">
        <f t="shared" si="46"/>
        <v>0</v>
      </c>
      <c r="D2969" s="17" t="str">
        <f>IF(C2969=1,COUNTIF($C$1:$C2969,1),"")</f>
        <v/>
      </c>
      <c r="E2969" s="7"/>
    </row>
    <row r="2970" spans="3:5">
      <c r="C2970" s="17">
        <f t="shared" si="46"/>
        <v>0</v>
      </c>
      <c r="D2970" s="17" t="str">
        <f>IF(C2970=1,COUNTIF($C$1:$C2970,1),"")</f>
        <v/>
      </c>
      <c r="E2970" s="7"/>
    </row>
    <row r="2971" spans="3:5">
      <c r="C2971" s="17">
        <f t="shared" si="46"/>
        <v>0</v>
      </c>
      <c r="D2971" s="17" t="str">
        <f>IF(C2971=1,COUNTIF($C$1:$C2971,1),"")</f>
        <v/>
      </c>
      <c r="E2971" s="7"/>
    </row>
    <row r="2972" spans="3:5">
      <c r="C2972" s="17">
        <f t="shared" si="46"/>
        <v>0</v>
      </c>
      <c r="D2972" s="17" t="str">
        <f>IF(C2972=1,COUNTIF($C$1:$C2972,1),"")</f>
        <v/>
      </c>
      <c r="E2972" s="7"/>
    </row>
    <row r="2973" spans="3:5">
      <c r="C2973" s="17">
        <f t="shared" si="46"/>
        <v>0</v>
      </c>
      <c r="D2973" s="17" t="str">
        <f>IF(C2973=1,COUNTIF($C$1:$C2973,1),"")</f>
        <v/>
      </c>
      <c r="E2973" s="7"/>
    </row>
    <row r="2974" spans="3:5">
      <c r="C2974" s="17">
        <f t="shared" si="46"/>
        <v>0</v>
      </c>
      <c r="D2974" s="17" t="str">
        <f>IF(C2974=1,COUNTIF($C$1:$C2974,1),"")</f>
        <v/>
      </c>
      <c r="E2974" s="7"/>
    </row>
    <row r="2975" spans="3:5">
      <c r="C2975" s="17">
        <f t="shared" si="46"/>
        <v>0</v>
      </c>
      <c r="D2975" s="17" t="str">
        <f>IF(C2975=1,COUNTIF($C$1:$C2975,1),"")</f>
        <v/>
      </c>
      <c r="E2975" s="7"/>
    </row>
    <row r="2976" spans="3:5">
      <c r="C2976" s="17">
        <f t="shared" si="46"/>
        <v>0</v>
      </c>
      <c r="D2976" s="17" t="str">
        <f>IF(C2976=1,COUNTIF($C$1:$C2976,1),"")</f>
        <v/>
      </c>
      <c r="E2976" s="7"/>
    </row>
    <row r="2977" spans="3:5">
      <c r="C2977" s="17">
        <f t="shared" si="46"/>
        <v>0</v>
      </c>
      <c r="D2977" s="17" t="str">
        <f>IF(C2977=1,COUNTIF($C$1:$C2977,1),"")</f>
        <v/>
      </c>
      <c r="E2977" s="7"/>
    </row>
    <row r="2978" spans="3:5">
      <c r="C2978" s="17">
        <f t="shared" si="46"/>
        <v>0</v>
      </c>
      <c r="D2978" s="17" t="str">
        <f>IF(C2978=1,COUNTIF($C$1:$C2978,1),"")</f>
        <v/>
      </c>
      <c r="E2978" s="7"/>
    </row>
    <row r="2979" spans="3:5">
      <c r="C2979" s="17">
        <f t="shared" si="46"/>
        <v>0</v>
      </c>
      <c r="D2979" s="17" t="str">
        <f>IF(C2979=1,COUNTIF($C$1:$C2979,1),"")</f>
        <v/>
      </c>
      <c r="E2979" s="7"/>
    </row>
    <row r="2980" spans="3:5">
      <c r="C2980" s="17">
        <f t="shared" si="46"/>
        <v>0</v>
      </c>
      <c r="D2980" s="17" t="str">
        <f>IF(C2980=1,COUNTIF($C$1:$C2980,1),"")</f>
        <v/>
      </c>
      <c r="E2980" s="7"/>
    </row>
    <row r="2981" spans="3:5">
      <c r="C2981" s="17">
        <f t="shared" si="46"/>
        <v>0</v>
      </c>
      <c r="D2981" s="17" t="str">
        <f>IF(C2981=1,COUNTIF($C$1:$C2981,1),"")</f>
        <v/>
      </c>
      <c r="E2981" s="7"/>
    </row>
    <row r="2982" spans="3:5">
      <c r="C2982" s="17">
        <f t="shared" si="46"/>
        <v>0</v>
      </c>
      <c r="D2982" s="17" t="str">
        <f>IF(C2982=1,COUNTIF($C$1:$C2982,1),"")</f>
        <v/>
      </c>
      <c r="E2982" s="7"/>
    </row>
    <row r="2983" spans="3:5">
      <c r="C2983" s="17">
        <f t="shared" si="46"/>
        <v>0</v>
      </c>
      <c r="D2983" s="17" t="str">
        <f>IF(C2983=1,COUNTIF($C$1:$C2983,1),"")</f>
        <v/>
      </c>
      <c r="E2983" s="7"/>
    </row>
    <row r="2984" spans="3:5">
      <c r="C2984" s="17">
        <f t="shared" si="46"/>
        <v>0</v>
      </c>
      <c r="D2984" s="17" t="str">
        <f>IF(C2984=1,COUNTIF($C$1:$C2984,1),"")</f>
        <v/>
      </c>
      <c r="E2984" s="7"/>
    </row>
    <row r="2985" spans="3:5">
      <c r="C2985" s="17">
        <f t="shared" si="46"/>
        <v>0</v>
      </c>
      <c r="D2985" s="17" t="str">
        <f>IF(C2985=1,COUNTIF($C$1:$C2985,1),"")</f>
        <v/>
      </c>
      <c r="E2985" s="7"/>
    </row>
    <row r="2986" spans="3:5">
      <c r="C2986" s="17">
        <f t="shared" si="46"/>
        <v>0</v>
      </c>
      <c r="D2986" s="17" t="str">
        <f>IF(C2986=1,COUNTIF($C$1:$C2986,1),"")</f>
        <v/>
      </c>
      <c r="E2986" s="7"/>
    </row>
    <row r="2987" spans="3:5">
      <c r="C2987" s="17">
        <f t="shared" si="46"/>
        <v>0</v>
      </c>
      <c r="D2987" s="17" t="str">
        <f>IF(C2987=1,COUNTIF($C$1:$C2987,1),"")</f>
        <v/>
      </c>
      <c r="E2987" s="7"/>
    </row>
    <row r="2988" spans="3:5">
      <c r="C2988" s="17">
        <f t="shared" si="46"/>
        <v>0</v>
      </c>
      <c r="D2988" s="17" t="str">
        <f>IF(C2988=1,COUNTIF($C$1:$C2988,1),"")</f>
        <v/>
      </c>
      <c r="E2988" s="7"/>
    </row>
    <row r="2989" spans="3:5">
      <c r="C2989" s="17">
        <f t="shared" si="46"/>
        <v>0</v>
      </c>
      <c r="D2989" s="17" t="str">
        <f>IF(C2989=1,COUNTIF($C$1:$C2989,1),"")</f>
        <v/>
      </c>
      <c r="E2989" s="7"/>
    </row>
    <row r="2990" spans="3:5">
      <c r="C2990" s="17">
        <f t="shared" si="46"/>
        <v>0</v>
      </c>
      <c r="D2990" s="17" t="str">
        <f>IF(C2990=1,COUNTIF($C$1:$C2990,1),"")</f>
        <v/>
      </c>
      <c r="E2990" s="7"/>
    </row>
    <row r="2991" spans="3:5">
      <c r="C2991" s="17">
        <f t="shared" si="46"/>
        <v>0</v>
      </c>
      <c r="D2991" s="17" t="str">
        <f>IF(C2991=1,COUNTIF($C$1:$C2991,1),"")</f>
        <v/>
      </c>
      <c r="E2991" s="7"/>
    </row>
    <row r="2992" spans="3:5">
      <c r="C2992" s="17">
        <f t="shared" si="46"/>
        <v>0</v>
      </c>
      <c r="D2992" s="17" t="str">
        <f>IF(C2992=1,COUNTIF($C$1:$C2992,1),"")</f>
        <v/>
      </c>
      <c r="E2992" s="7"/>
    </row>
    <row r="2993" spans="3:5">
      <c r="C2993" s="17">
        <f t="shared" si="46"/>
        <v>0</v>
      </c>
      <c r="D2993" s="17" t="str">
        <f>IF(C2993=1,COUNTIF($C$1:$C2993,1),"")</f>
        <v/>
      </c>
      <c r="E2993" s="7"/>
    </row>
    <row r="2994" spans="3:5">
      <c r="C2994" s="17">
        <f t="shared" si="46"/>
        <v>0</v>
      </c>
      <c r="D2994" s="17" t="str">
        <f>IF(C2994=1,COUNTIF($C$1:$C2994,1),"")</f>
        <v/>
      </c>
      <c r="E2994" s="7"/>
    </row>
    <row r="2995" spans="3:5">
      <c r="C2995" s="17">
        <f t="shared" si="46"/>
        <v>0</v>
      </c>
      <c r="D2995" s="17" t="str">
        <f>IF(C2995=1,COUNTIF($C$1:$C2995,1),"")</f>
        <v/>
      </c>
      <c r="E2995" s="7"/>
    </row>
    <row r="2996" spans="3:5">
      <c r="C2996" s="17">
        <f t="shared" si="46"/>
        <v>0</v>
      </c>
      <c r="D2996" s="17" t="str">
        <f>IF(C2996=1,COUNTIF($C$1:$C2996,1),"")</f>
        <v/>
      </c>
      <c r="E2996" s="7"/>
    </row>
    <row r="2997" spans="3:5">
      <c r="C2997" s="17">
        <f t="shared" si="46"/>
        <v>0</v>
      </c>
      <c r="D2997" s="17" t="str">
        <f>IF(C2997=1,COUNTIF($C$1:$C2997,1),"")</f>
        <v/>
      </c>
      <c r="E2997" s="7"/>
    </row>
    <row r="2998" spans="3:5">
      <c r="C2998" s="17">
        <f t="shared" si="46"/>
        <v>0</v>
      </c>
      <c r="D2998" s="17" t="str">
        <f>IF(C2998=1,COUNTIF($C$1:$C2998,1),"")</f>
        <v/>
      </c>
      <c r="E2998" s="7"/>
    </row>
    <row r="2999" spans="3:5">
      <c r="C2999" s="17">
        <f t="shared" si="46"/>
        <v>0</v>
      </c>
      <c r="D2999" s="17" t="str">
        <f>IF(C2999=1,COUNTIF($C$1:$C2999,1),"")</f>
        <v/>
      </c>
      <c r="E2999" s="7"/>
    </row>
    <row r="3000" spans="3:5">
      <c r="C3000" s="17">
        <f t="shared" si="46"/>
        <v>0</v>
      </c>
      <c r="D3000" s="17" t="str">
        <f>IF(C3000=1,COUNTIF($C$1:$C3000,1),"")</f>
        <v/>
      </c>
      <c r="E3000" s="7"/>
    </row>
    <row r="3001" spans="3:5">
      <c r="C3001" s="17">
        <f t="shared" si="46"/>
        <v>0</v>
      </c>
      <c r="D3001" s="17" t="str">
        <f>IF(C3001=1,COUNTIF($C$1:$C3001,1),"")</f>
        <v/>
      </c>
      <c r="E3001" s="7"/>
    </row>
    <row r="3002" spans="3:5">
      <c r="C3002" s="17">
        <f t="shared" si="46"/>
        <v>0</v>
      </c>
      <c r="D3002" s="17" t="str">
        <f>IF(C3002=1,COUNTIF($C$1:$C3002,1),"")</f>
        <v/>
      </c>
      <c r="E3002" s="7"/>
    </row>
    <row r="3003" spans="3:5">
      <c r="C3003" s="17">
        <f t="shared" si="46"/>
        <v>0</v>
      </c>
      <c r="D3003" s="17" t="str">
        <f>IF(C3003=1,COUNTIF($C$1:$C3003,1),"")</f>
        <v/>
      </c>
      <c r="E3003" s="7"/>
    </row>
    <row r="3004" spans="3:5">
      <c r="C3004" s="17">
        <f t="shared" si="46"/>
        <v>0</v>
      </c>
      <c r="D3004" s="17" t="str">
        <f>IF(C3004=1,COUNTIF($C$1:$C3004,1),"")</f>
        <v/>
      </c>
      <c r="E3004" s="7"/>
    </row>
    <row r="3005" spans="3:5">
      <c r="C3005" s="17">
        <f t="shared" si="46"/>
        <v>0</v>
      </c>
      <c r="D3005" s="17" t="str">
        <f>IF(C3005=1,COUNTIF($C$1:$C3005,1),"")</f>
        <v/>
      </c>
      <c r="E3005" s="7"/>
    </row>
    <row r="3006" spans="3:5">
      <c r="C3006" s="17">
        <f t="shared" si="46"/>
        <v>0</v>
      </c>
      <c r="D3006" s="17" t="str">
        <f>IF(C3006=1,COUNTIF($C$1:$C3006,1),"")</f>
        <v/>
      </c>
      <c r="E3006" s="7"/>
    </row>
    <row r="3007" spans="3:5">
      <c r="C3007" s="17">
        <f t="shared" si="46"/>
        <v>0</v>
      </c>
      <c r="D3007" s="17" t="str">
        <f>IF(C3007=1,COUNTIF($C$1:$C3007,1),"")</f>
        <v/>
      </c>
      <c r="E3007" s="7"/>
    </row>
    <row r="3008" spans="3:5">
      <c r="C3008" s="17">
        <f t="shared" si="46"/>
        <v>0</v>
      </c>
      <c r="D3008" s="17" t="str">
        <f>IF(C3008=1,COUNTIF($C$1:$C3008,1),"")</f>
        <v/>
      </c>
      <c r="E3008" s="7"/>
    </row>
    <row r="3009" spans="3:5">
      <c r="C3009" s="17">
        <f t="shared" si="46"/>
        <v>0</v>
      </c>
      <c r="D3009" s="17" t="str">
        <f>IF(C3009=1,COUNTIF($C$1:$C3009,1),"")</f>
        <v/>
      </c>
      <c r="E3009" s="7"/>
    </row>
    <row r="3010" spans="3:5">
      <c r="C3010" s="17">
        <f t="shared" ref="C3010:C3073" si="47">--ISNUMBER(SEARCH($B$1,A3010))</f>
        <v>0</v>
      </c>
      <c r="D3010" s="17" t="str">
        <f>IF(C3010=1,COUNTIF($C$1:$C3010,1),"")</f>
        <v/>
      </c>
      <c r="E3010" s="7"/>
    </row>
    <row r="3011" spans="3:5">
      <c r="C3011" s="17">
        <f t="shared" si="47"/>
        <v>0</v>
      </c>
      <c r="D3011" s="17" t="str">
        <f>IF(C3011=1,COUNTIF($C$1:$C3011,1),"")</f>
        <v/>
      </c>
      <c r="E3011" s="7"/>
    </row>
    <row r="3012" spans="3:5">
      <c r="C3012" s="17">
        <f t="shared" si="47"/>
        <v>0</v>
      </c>
      <c r="D3012" s="17" t="str">
        <f>IF(C3012=1,COUNTIF($C$1:$C3012,1),"")</f>
        <v/>
      </c>
      <c r="E3012" s="7"/>
    </row>
    <row r="3013" spans="3:5">
      <c r="C3013" s="17">
        <f t="shared" si="47"/>
        <v>0</v>
      </c>
      <c r="D3013" s="17" t="str">
        <f>IF(C3013=1,COUNTIF($C$1:$C3013,1),"")</f>
        <v/>
      </c>
      <c r="E3013" s="7"/>
    </row>
    <row r="3014" spans="3:5">
      <c r="C3014" s="17">
        <f t="shared" si="47"/>
        <v>0</v>
      </c>
      <c r="D3014" s="17" t="str">
        <f>IF(C3014=1,COUNTIF($C$1:$C3014,1),"")</f>
        <v/>
      </c>
      <c r="E3014" s="7"/>
    </row>
    <row r="3015" spans="3:5">
      <c r="C3015" s="17">
        <f t="shared" si="47"/>
        <v>0</v>
      </c>
      <c r="D3015" s="17" t="str">
        <f>IF(C3015=1,COUNTIF($C$1:$C3015,1),"")</f>
        <v/>
      </c>
      <c r="E3015" s="7"/>
    </row>
    <row r="3016" spans="3:5">
      <c r="C3016" s="17">
        <f t="shared" si="47"/>
        <v>0</v>
      </c>
      <c r="D3016" s="17" t="str">
        <f>IF(C3016=1,COUNTIF($C$1:$C3016,1),"")</f>
        <v/>
      </c>
      <c r="E3016" s="7"/>
    </row>
    <row r="3017" spans="3:5">
      <c r="C3017" s="17">
        <f t="shared" si="47"/>
        <v>0</v>
      </c>
      <c r="D3017" s="17" t="str">
        <f>IF(C3017=1,COUNTIF($C$1:$C3017,1),"")</f>
        <v/>
      </c>
      <c r="E3017" s="7"/>
    </row>
    <row r="3018" spans="3:5">
      <c r="C3018" s="17">
        <f t="shared" si="47"/>
        <v>0</v>
      </c>
      <c r="D3018" s="17" t="str">
        <f>IF(C3018=1,COUNTIF($C$1:$C3018,1),"")</f>
        <v/>
      </c>
      <c r="E3018" s="7"/>
    </row>
    <row r="3019" spans="3:5">
      <c r="C3019" s="17">
        <f t="shared" si="47"/>
        <v>0</v>
      </c>
      <c r="D3019" s="17" t="str">
        <f>IF(C3019=1,COUNTIF($C$1:$C3019,1),"")</f>
        <v/>
      </c>
      <c r="E3019" s="7"/>
    </row>
    <row r="3020" spans="3:5">
      <c r="C3020" s="17">
        <f t="shared" si="47"/>
        <v>0</v>
      </c>
      <c r="D3020" s="17" t="str">
        <f>IF(C3020=1,COUNTIF($C$1:$C3020,1),"")</f>
        <v/>
      </c>
      <c r="E3020" s="7"/>
    </row>
    <row r="3021" spans="3:5">
      <c r="C3021" s="17">
        <f t="shared" si="47"/>
        <v>0</v>
      </c>
      <c r="D3021" s="17" t="str">
        <f>IF(C3021=1,COUNTIF($C$1:$C3021,1),"")</f>
        <v/>
      </c>
      <c r="E3021" s="7"/>
    </row>
    <row r="3022" spans="3:5">
      <c r="C3022" s="17">
        <f t="shared" si="47"/>
        <v>0</v>
      </c>
      <c r="D3022" s="17" t="str">
        <f>IF(C3022=1,COUNTIF($C$1:$C3022,1),"")</f>
        <v/>
      </c>
      <c r="E3022" s="7"/>
    </row>
    <row r="3023" spans="3:5">
      <c r="C3023" s="17">
        <f t="shared" si="47"/>
        <v>0</v>
      </c>
      <c r="D3023" s="17" t="str">
        <f>IF(C3023=1,COUNTIF($C$1:$C3023,1),"")</f>
        <v/>
      </c>
      <c r="E3023" s="7"/>
    </row>
    <row r="3024" spans="3:5">
      <c r="C3024" s="17">
        <f t="shared" si="47"/>
        <v>0</v>
      </c>
      <c r="D3024" s="17" t="str">
        <f>IF(C3024=1,COUNTIF($C$1:$C3024,1),"")</f>
        <v/>
      </c>
      <c r="E3024" s="7"/>
    </row>
    <row r="3025" spans="3:5">
      <c r="C3025" s="17">
        <f t="shared" si="47"/>
        <v>0</v>
      </c>
      <c r="D3025" s="17" t="str">
        <f>IF(C3025=1,COUNTIF($C$1:$C3025,1),"")</f>
        <v/>
      </c>
      <c r="E3025" s="7"/>
    </row>
    <row r="3026" spans="3:5">
      <c r="C3026" s="17">
        <f t="shared" si="47"/>
        <v>0</v>
      </c>
      <c r="D3026" s="17" t="str">
        <f>IF(C3026=1,COUNTIF($C$1:$C3026,1),"")</f>
        <v/>
      </c>
      <c r="E3026" s="7"/>
    </row>
    <row r="3027" spans="3:5">
      <c r="C3027" s="17">
        <f t="shared" si="47"/>
        <v>0</v>
      </c>
      <c r="D3027" s="17" t="str">
        <f>IF(C3027=1,COUNTIF($C$1:$C3027,1),"")</f>
        <v/>
      </c>
      <c r="E3027" s="7"/>
    </row>
    <row r="3028" spans="3:5">
      <c r="C3028" s="17">
        <f t="shared" si="47"/>
        <v>0</v>
      </c>
      <c r="D3028" s="17" t="str">
        <f>IF(C3028=1,COUNTIF($C$1:$C3028,1),"")</f>
        <v/>
      </c>
      <c r="E3028" s="7"/>
    </row>
    <row r="3029" spans="3:5">
      <c r="C3029" s="17">
        <f t="shared" si="47"/>
        <v>0</v>
      </c>
      <c r="D3029" s="17" t="str">
        <f>IF(C3029=1,COUNTIF($C$1:$C3029,1),"")</f>
        <v/>
      </c>
      <c r="E3029" s="7"/>
    </row>
    <row r="3030" spans="3:5">
      <c r="C3030" s="17">
        <f t="shared" si="47"/>
        <v>0</v>
      </c>
      <c r="D3030" s="17" t="str">
        <f>IF(C3030=1,COUNTIF($C$1:$C3030,1),"")</f>
        <v/>
      </c>
      <c r="E3030" s="7"/>
    </row>
    <row r="3031" spans="3:5">
      <c r="C3031" s="17">
        <f t="shared" si="47"/>
        <v>0</v>
      </c>
      <c r="D3031" s="17" t="str">
        <f>IF(C3031=1,COUNTIF($C$1:$C3031,1),"")</f>
        <v/>
      </c>
      <c r="E3031" s="7"/>
    </row>
    <row r="3032" spans="3:5">
      <c r="C3032" s="17">
        <f t="shared" si="47"/>
        <v>0</v>
      </c>
      <c r="D3032" s="17" t="str">
        <f>IF(C3032=1,COUNTIF($C$1:$C3032,1),"")</f>
        <v/>
      </c>
      <c r="E3032" s="7"/>
    </row>
    <row r="3033" spans="3:5">
      <c r="C3033" s="17">
        <f t="shared" si="47"/>
        <v>0</v>
      </c>
      <c r="D3033" s="17" t="str">
        <f>IF(C3033=1,COUNTIF($C$1:$C3033,1),"")</f>
        <v/>
      </c>
      <c r="E3033" s="7"/>
    </row>
    <row r="3034" spans="3:5">
      <c r="C3034" s="17">
        <f t="shared" si="47"/>
        <v>0</v>
      </c>
      <c r="D3034" s="17" t="str">
        <f>IF(C3034=1,COUNTIF($C$1:$C3034,1),"")</f>
        <v/>
      </c>
      <c r="E3034" s="7"/>
    </row>
    <row r="3035" spans="3:5">
      <c r="C3035" s="17">
        <f t="shared" si="47"/>
        <v>0</v>
      </c>
      <c r="D3035" s="17" t="str">
        <f>IF(C3035=1,COUNTIF($C$1:$C3035,1),"")</f>
        <v/>
      </c>
      <c r="E3035" s="7"/>
    </row>
    <row r="3036" spans="3:5">
      <c r="C3036" s="17">
        <f t="shared" si="47"/>
        <v>0</v>
      </c>
      <c r="D3036" s="17" t="str">
        <f>IF(C3036=1,COUNTIF($C$1:$C3036,1),"")</f>
        <v/>
      </c>
      <c r="E3036" s="7"/>
    </row>
    <row r="3037" spans="3:5">
      <c r="C3037" s="17">
        <f t="shared" si="47"/>
        <v>0</v>
      </c>
      <c r="D3037" s="17" t="str">
        <f>IF(C3037=1,COUNTIF($C$1:$C3037,1),"")</f>
        <v/>
      </c>
      <c r="E3037" s="7"/>
    </row>
    <row r="3038" spans="3:5">
      <c r="C3038" s="17">
        <f t="shared" si="47"/>
        <v>0</v>
      </c>
      <c r="D3038" s="17" t="str">
        <f>IF(C3038=1,COUNTIF($C$1:$C3038,1),"")</f>
        <v/>
      </c>
      <c r="E3038" s="7"/>
    </row>
    <row r="3039" spans="3:5">
      <c r="C3039" s="17">
        <f t="shared" si="47"/>
        <v>0</v>
      </c>
      <c r="D3039" s="17" t="str">
        <f>IF(C3039=1,COUNTIF($C$1:$C3039,1),"")</f>
        <v/>
      </c>
      <c r="E3039" s="7"/>
    </row>
    <row r="3040" spans="3:5">
      <c r="C3040" s="17">
        <f t="shared" si="47"/>
        <v>0</v>
      </c>
      <c r="D3040" s="17" t="str">
        <f>IF(C3040=1,COUNTIF($C$1:$C3040,1),"")</f>
        <v/>
      </c>
      <c r="E3040" s="7"/>
    </row>
    <row r="3041" spans="3:5">
      <c r="C3041" s="17">
        <f t="shared" si="47"/>
        <v>0</v>
      </c>
      <c r="D3041" s="17" t="str">
        <f>IF(C3041=1,COUNTIF($C$1:$C3041,1),"")</f>
        <v/>
      </c>
      <c r="E3041" s="7"/>
    </row>
    <row r="3042" spans="3:5">
      <c r="C3042" s="17">
        <f t="shared" si="47"/>
        <v>0</v>
      </c>
      <c r="D3042" s="17" t="str">
        <f>IF(C3042=1,COUNTIF($C$1:$C3042,1),"")</f>
        <v/>
      </c>
      <c r="E3042" s="7"/>
    </row>
    <row r="3043" spans="3:5">
      <c r="C3043" s="17">
        <f t="shared" si="47"/>
        <v>0</v>
      </c>
      <c r="D3043" s="17" t="str">
        <f>IF(C3043=1,COUNTIF($C$1:$C3043,1),"")</f>
        <v/>
      </c>
      <c r="E3043" s="7"/>
    </row>
    <row r="3044" spans="3:5">
      <c r="C3044" s="17">
        <f t="shared" si="47"/>
        <v>0</v>
      </c>
      <c r="D3044" s="17" t="str">
        <f>IF(C3044=1,COUNTIF($C$1:$C3044,1),"")</f>
        <v/>
      </c>
      <c r="E3044" s="7"/>
    </row>
    <row r="3045" spans="3:5">
      <c r="C3045" s="17">
        <f t="shared" si="47"/>
        <v>0</v>
      </c>
      <c r="D3045" s="17" t="str">
        <f>IF(C3045=1,COUNTIF($C$1:$C3045,1),"")</f>
        <v/>
      </c>
      <c r="E3045" s="7"/>
    </row>
    <row r="3046" spans="3:5">
      <c r="C3046" s="17">
        <f t="shared" si="47"/>
        <v>0</v>
      </c>
      <c r="D3046" s="17" t="str">
        <f>IF(C3046=1,COUNTIF($C$1:$C3046,1),"")</f>
        <v/>
      </c>
      <c r="E3046" s="7"/>
    </row>
    <row r="3047" spans="3:5">
      <c r="C3047" s="17">
        <f t="shared" si="47"/>
        <v>0</v>
      </c>
      <c r="D3047" s="17" t="str">
        <f>IF(C3047=1,COUNTIF($C$1:$C3047,1),"")</f>
        <v/>
      </c>
      <c r="E3047" s="7"/>
    </row>
    <row r="3048" spans="3:5">
      <c r="C3048" s="17">
        <f t="shared" si="47"/>
        <v>0</v>
      </c>
      <c r="D3048" s="17" t="str">
        <f>IF(C3048=1,COUNTIF($C$1:$C3048,1),"")</f>
        <v/>
      </c>
      <c r="E3048" s="7"/>
    </row>
    <row r="3049" spans="3:5">
      <c r="C3049" s="17">
        <f t="shared" si="47"/>
        <v>0</v>
      </c>
      <c r="D3049" s="17" t="str">
        <f>IF(C3049=1,COUNTIF($C$1:$C3049,1),"")</f>
        <v/>
      </c>
      <c r="E3049" s="7"/>
    </row>
    <row r="3050" spans="3:5">
      <c r="C3050" s="17">
        <f t="shared" si="47"/>
        <v>0</v>
      </c>
      <c r="D3050" s="17" t="str">
        <f>IF(C3050=1,COUNTIF($C$1:$C3050,1),"")</f>
        <v/>
      </c>
      <c r="E3050" s="7"/>
    </row>
    <row r="3051" spans="3:5">
      <c r="C3051" s="17">
        <f t="shared" si="47"/>
        <v>0</v>
      </c>
      <c r="D3051" s="17" t="str">
        <f>IF(C3051=1,COUNTIF($C$1:$C3051,1),"")</f>
        <v/>
      </c>
      <c r="E3051" s="7"/>
    </row>
    <row r="3052" spans="3:5">
      <c r="C3052" s="17">
        <f t="shared" si="47"/>
        <v>0</v>
      </c>
      <c r="D3052" s="17" t="str">
        <f>IF(C3052=1,COUNTIF($C$1:$C3052,1),"")</f>
        <v/>
      </c>
      <c r="E3052" s="7"/>
    </row>
    <row r="3053" spans="3:5">
      <c r="C3053" s="17">
        <f t="shared" si="47"/>
        <v>0</v>
      </c>
      <c r="D3053" s="17" t="str">
        <f>IF(C3053=1,COUNTIF($C$1:$C3053,1),"")</f>
        <v/>
      </c>
      <c r="E3053" s="7"/>
    </row>
    <row r="3054" spans="3:5">
      <c r="C3054" s="17">
        <f t="shared" si="47"/>
        <v>0</v>
      </c>
      <c r="D3054" s="17" t="str">
        <f>IF(C3054=1,COUNTIF($C$1:$C3054,1),"")</f>
        <v/>
      </c>
      <c r="E3054" s="7"/>
    </row>
    <row r="3055" spans="3:5">
      <c r="C3055" s="17">
        <f t="shared" si="47"/>
        <v>0</v>
      </c>
      <c r="D3055" s="17" t="str">
        <f>IF(C3055=1,COUNTIF($C$1:$C3055,1),"")</f>
        <v/>
      </c>
      <c r="E3055" s="7"/>
    </row>
    <row r="3056" spans="3:5">
      <c r="C3056" s="17">
        <f t="shared" si="47"/>
        <v>0</v>
      </c>
      <c r="D3056" s="17" t="str">
        <f>IF(C3056=1,COUNTIF($C$1:$C3056,1),"")</f>
        <v/>
      </c>
      <c r="E3056" s="7"/>
    </row>
    <row r="3057" spans="3:5">
      <c r="C3057" s="17">
        <f t="shared" si="47"/>
        <v>0</v>
      </c>
      <c r="D3057" s="17" t="str">
        <f>IF(C3057=1,COUNTIF($C$1:$C3057,1),"")</f>
        <v/>
      </c>
      <c r="E3057" s="7"/>
    </row>
    <row r="3058" spans="3:5">
      <c r="C3058" s="17">
        <f t="shared" si="47"/>
        <v>0</v>
      </c>
      <c r="D3058" s="17" t="str">
        <f>IF(C3058=1,COUNTIF($C$1:$C3058,1),"")</f>
        <v/>
      </c>
      <c r="E3058" s="7"/>
    </row>
    <row r="3059" spans="3:5">
      <c r="C3059" s="17">
        <f t="shared" si="47"/>
        <v>0</v>
      </c>
      <c r="D3059" s="17" t="str">
        <f>IF(C3059=1,COUNTIF($C$1:$C3059,1),"")</f>
        <v/>
      </c>
      <c r="E3059" s="7"/>
    </row>
    <row r="3060" spans="3:5">
      <c r="C3060" s="17">
        <f t="shared" si="47"/>
        <v>0</v>
      </c>
      <c r="D3060" s="17" t="str">
        <f>IF(C3060=1,COUNTIF($C$1:$C3060,1),"")</f>
        <v/>
      </c>
      <c r="E3060" s="7"/>
    </row>
    <row r="3061" spans="3:5">
      <c r="C3061" s="17">
        <f t="shared" si="47"/>
        <v>0</v>
      </c>
      <c r="D3061" s="17" t="str">
        <f>IF(C3061=1,COUNTIF($C$1:$C3061,1),"")</f>
        <v/>
      </c>
      <c r="E3061" s="7"/>
    </row>
    <row r="3062" spans="3:5">
      <c r="C3062" s="17">
        <f t="shared" si="47"/>
        <v>0</v>
      </c>
      <c r="D3062" s="17" t="str">
        <f>IF(C3062=1,COUNTIF($C$1:$C3062,1),"")</f>
        <v/>
      </c>
      <c r="E3062" s="7"/>
    </row>
    <row r="3063" spans="3:5">
      <c r="C3063" s="17">
        <f t="shared" si="47"/>
        <v>0</v>
      </c>
      <c r="D3063" s="17" t="str">
        <f>IF(C3063=1,COUNTIF($C$1:$C3063,1),"")</f>
        <v/>
      </c>
      <c r="E3063" s="7"/>
    </row>
    <row r="3064" spans="3:5">
      <c r="C3064" s="17">
        <f t="shared" si="47"/>
        <v>0</v>
      </c>
      <c r="D3064" s="17" t="str">
        <f>IF(C3064=1,COUNTIF($C$1:$C3064,1),"")</f>
        <v/>
      </c>
      <c r="E3064" s="7"/>
    </row>
    <row r="3065" spans="3:5">
      <c r="C3065" s="17">
        <f t="shared" si="47"/>
        <v>0</v>
      </c>
      <c r="D3065" s="17" t="str">
        <f>IF(C3065=1,COUNTIF($C$1:$C3065,1),"")</f>
        <v/>
      </c>
      <c r="E3065" s="7"/>
    </row>
    <row r="3066" spans="3:5">
      <c r="C3066" s="17">
        <f t="shared" si="47"/>
        <v>0</v>
      </c>
      <c r="D3066" s="17" t="str">
        <f>IF(C3066=1,COUNTIF($C$1:$C3066,1),"")</f>
        <v/>
      </c>
      <c r="E3066" s="7"/>
    </row>
    <row r="3067" spans="3:5">
      <c r="C3067" s="17">
        <f t="shared" si="47"/>
        <v>0</v>
      </c>
      <c r="D3067" s="17" t="str">
        <f>IF(C3067=1,COUNTIF($C$1:$C3067,1),"")</f>
        <v/>
      </c>
      <c r="E3067" s="7"/>
    </row>
    <row r="3068" spans="3:5">
      <c r="C3068" s="17">
        <f t="shared" si="47"/>
        <v>0</v>
      </c>
      <c r="D3068" s="17" t="str">
        <f>IF(C3068=1,COUNTIF($C$1:$C3068,1),"")</f>
        <v/>
      </c>
      <c r="E3068" s="7"/>
    </row>
    <row r="3069" spans="3:5">
      <c r="C3069" s="17">
        <f t="shared" si="47"/>
        <v>0</v>
      </c>
      <c r="D3069" s="17" t="str">
        <f>IF(C3069=1,COUNTIF($C$1:$C3069,1),"")</f>
        <v/>
      </c>
      <c r="E3069" s="7"/>
    </row>
    <row r="3070" spans="3:5">
      <c r="C3070" s="17">
        <f t="shared" si="47"/>
        <v>0</v>
      </c>
      <c r="D3070" s="17" t="str">
        <f>IF(C3070=1,COUNTIF($C$1:$C3070,1),"")</f>
        <v/>
      </c>
      <c r="E3070" s="7"/>
    </row>
    <row r="3071" spans="3:5">
      <c r="C3071" s="17">
        <f t="shared" si="47"/>
        <v>0</v>
      </c>
      <c r="D3071" s="17" t="str">
        <f>IF(C3071=1,COUNTIF($C$1:$C3071,1),"")</f>
        <v/>
      </c>
      <c r="E3071" s="7"/>
    </row>
    <row r="3072" spans="3:5">
      <c r="C3072" s="17">
        <f t="shared" si="47"/>
        <v>0</v>
      </c>
      <c r="D3072" s="17" t="str">
        <f>IF(C3072=1,COUNTIF($C$1:$C3072,1),"")</f>
        <v/>
      </c>
      <c r="E3072" s="7"/>
    </row>
    <row r="3073" spans="3:5">
      <c r="C3073" s="17">
        <f t="shared" si="47"/>
        <v>0</v>
      </c>
      <c r="D3073" s="17" t="str">
        <f>IF(C3073=1,COUNTIF($C$1:$C3073,1),"")</f>
        <v/>
      </c>
      <c r="E3073" s="7"/>
    </row>
    <row r="3074" spans="3:5">
      <c r="C3074" s="17">
        <f t="shared" ref="C3074:C3137" si="48">--ISNUMBER(SEARCH($B$1,A3074))</f>
        <v>0</v>
      </c>
      <c r="D3074" s="17" t="str">
        <f>IF(C3074=1,COUNTIF($C$1:$C3074,1),"")</f>
        <v/>
      </c>
      <c r="E3074" s="7"/>
    </row>
    <row r="3075" spans="3:5">
      <c r="C3075" s="17">
        <f t="shared" si="48"/>
        <v>0</v>
      </c>
      <c r="D3075" s="17" t="str">
        <f>IF(C3075=1,COUNTIF($C$1:$C3075,1),"")</f>
        <v/>
      </c>
      <c r="E3075" s="7"/>
    </row>
    <row r="3076" spans="3:5">
      <c r="C3076" s="17">
        <f t="shared" si="48"/>
        <v>0</v>
      </c>
      <c r="D3076" s="17" t="str">
        <f>IF(C3076=1,COUNTIF($C$1:$C3076,1),"")</f>
        <v/>
      </c>
      <c r="E3076" s="7"/>
    </row>
    <row r="3077" spans="3:5">
      <c r="C3077" s="17">
        <f t="shared" si="48"/>
        <v>0</v>
      </c>
      <c r="D3077" s="17" t="str">
        <f>IF(C3077=1,COUNTIF($C$1:$C3077,1),"")</f>
        <v/>
      </c>
      <c r="E3077" s="7"/>
    </row>
    <row r="3078" spans="3:5">
      <c r="C3078" s="17">
        <f t="shared" si="48"/>
        <v>0</v>
      </c>
      <c r="D3078" s="17" t="str">
        <f>IF(C3078=1,COUNTIF($C$1:$C3078,1),"")</f>
        <v/>
      </c>
      <c r="E3078" s="7"/>
    </row>
    <row r="3079" spans="3:5">
      <c r="C3079" s="17">
        <f t="shared" si="48"/>
        <v>0</v>
      </c>
      <c r="D3079" s="17" t="str">
        <f>IF(C3079=1,COUNTIF($C$1:$C3079,1),"")</f>
        <v/>
      </c>
      <c r="E3079" s="7"/>
    </row>
    <row r="3080" spans="3:5">
      <c r="C3080" s="17">
        <f t="shared" si="48"/>
        <v>0</v>
      </c>
      <c r="D3080" s="17" t="str">
        <f>IF(C3080=1,COUNTIF($C$1:$C3080,1),"")</f>
        <v/>
      </c>
      <c r="E3080" s="7"/>
    </row>
    <row r="3081" spans="3:5">
      <c r="C3081" s="17">
        <f t="shared" si="48"/>
        <v>0</v>
      </c>
      <c r="D3081" s="17" t="str">
        <f>IF(C3081=1,COUNTIF($C$1:$C3081,1),"")</f>
        <v/>
      </c>
      <c r="E3081" s="7"/>
    </row>
    <row r="3082" spans="3:5">
      <c r="C3082" s="17">
        <f t="shared" si="48"/>
        <v>0</v>
      </c>
      <c r="D3082" s="17" t="str">
        <f>IF(C3082=1,COUNTIF($C$1:$C3082,1),"")</f>
        <v/>
      </c>
      <c r="E3082" s="7"/>
    </row>
    <row r="3083" spans="3:5">
      <c r="C3083" s="17">
        <f t="shared" si="48"/>
        <v>0</v>
      </c>
      <c r="D3083" s="17" t="str">
        <f>IF(C3083=1,COUNTIF($C$1:$C3083,1),"")</f>
        <v/>
      </c>
      <c r="E3083" s="7"/>
    </row>
    <row r="3084" spans="3:5">
      <c r="C3084" s="17">
        <f t="shared" si="48"/>
        <v>0</v>
      </c>
      <c r="D3084" s="17" t="str">
        <f>IF(C3084=1,COUNTIF($C$1:$C3084,1),"")</f>
        <v/>
      </c>
      <c r="E3084" s="7"/>
    </row>
    <row r="3085" spans="3:5">
      <c r="C3085" s="17">
        <f t="shared" si="48"/>
        <v>0</v>
      </c>
      <c r="D3085" s="17" t="str">
        <f>IF(C3085=1,COUNTIF($C$1:$C3085,1),"")</f>
        <v/>
      </c>
      <c r="E3085" s="7"/>
    </row>
    <row r="3086" spans="3:5">
      <c r="C3086" s="17">
        <f t="shared" si="48"/>
        <v>0</v>
      </c>
      <c r="D3086" s="17" t="str">
        <f>IF(C3086=1,COUNTIF($C$1:$C3086,1),"")</f>
        <v/>
      </c>
      <c r="E3086" s="7"/>
    </row>
    <row r="3087" spans="3:5">
      <c r="C3087" s="17">
        <f t="shared" si="48"/>
        <v>0</v>
      </c>
      <c r="D3087" s="17" t="str">
        <f>IF(C3087=1,COUNTIF($C$1:$C3087,1),"")</f>
        <v/>
      </c>
      <c r="E3087" s="7"/>
    </row>
    <row r="3088" spans="3:5">
      <c r="C3088" s="17">
        <f t="shared" si="48"/>
        <v>0</v>
      </c>
      <c r="D3088" s="17" t="str">
        <f>IF(C3088=1,COUNTIF($C$1:$C3088,1),"")</f>
        <v/>
      </c>
      <c r="E3088" s="7"/>
    </row>
    <row r="3089" spans="3:5">
      <c r="C3089" s="17">
        <f t="shared" si="48"/>
        <v>0</v>
      </c>
      <c r="D3089" s="17" t="str">
        <f>IF(C3089=1,COUNTIF($C$1:$C3089,1),"")</f>
        <v/>
      </c>
      <c r="E3089" s="7"/>
    </row>
    <row r="3090" spans="3:5">
      <c r="C3090" s="17">
        <f t="shared" si="48"/>
        <v>0</v>
      </c>
      <c r="D3090" s="17" t="str">
        <f>IF(C3090=1,COUNTIF($C$1:$C3090,1),"")</f>
        <v/>
      </c>
      <c r="E3090" s="7"/>
    </row>
    <row r="3091" spans="3:5">
      <c r="C3091" s="17">
        <f t="shared" si="48"/>
        <v>0</v>
      </c>
      <c r="D3091" s="17" t="str">
        <f>IF(C3091=1,COUNTIF($C$1:$C3091,1),"")</f>
        <v/>
      </c>
      <c r="E3091" s="7"/>
    </row>
    <row r="3092" spans="3:5">
      <c r="C3092" s="17">
        <f t="shared" si="48"/>
        <v>0</v>
      </c>
      <c r="D3092" s="17" t="str">
        <f>IF(C3092=1,COUNTIF($C$1:$C3092,1),"")</f>
        <v/>
      </c>
      <c r="E3092" s="7"/>
    </row>
    <row r="3093" spans="3:5">
      <c r="C3093" s="17">
        <f t="shared" si="48"/>
        <v>0</v>
      </c>
      <c r="D3093" s="17" t="str">
        <f>IF(C3093=1,COUNTIF($C$1:$C3093,1),"")</f>
        <v/>
      </c>
      <c r="E3093" s="7"/>
    </row>
    <row r="3094" spans="3:5">
      <c r="C3094" s="17">
        <f t="shared" si="48"/>
        <v>0</v>
      </c>
      <c r="D3094" s="17" t="str">
        <f>IF(C3094=1,COUNTIF($C$1:$C3094,1),"")</f>
        <v/>
      </c>
      <c r="E3094" s="7"/>
    </row>
    <row r="3095" spans="3:5">
      <c r="C3095" s="17">
        <f t="shared" si="48"/>
        <v>0</v>
      </c>
      <c r="D3095" s="17" t="str">
        <f>IF(C3095=1,COUNTIF($C$1:$C3095,1),"")</f>
        <v/>
      </c>
      <c r="E3095" s="7"/>
    </row>
    <row r="3096" spans="3:5">
      <c r="C3096" s="17">
        <f t="shared" si="48"/>
        <v>0</v>
      </c>
      <c r="D3096" s="17" t="str">
        <f>IF(C3096=1,COUNTIF($C$1:$C3096,1),"")</f>
        <v/>
      </c>
      <c r="E3096" s="7"/>
    </row>
    <row r="3097" spans="3:5">
      <c r="C3097" s="17">
        <f t="shared" si="48"/>
        <v>0</v>
      </c>
      <c r="D3097" s="17" t="str">
        <f>IF(C3097=1,COUNTIF($C$1:$C3097,1),"")</f>
        <v/>
      </c>
      <c r="E3097" s="7"/>
    </row>
    <row r="3098" spans="3:5">
      <c r="C3098" s="17">
        <f t="shared" si="48"/>
        <v>0</v>
      </c>
      <c r="D3098" s="17" t="str">
        <f>IF(C3098=1,COUNTIF($C$1:$C3098,1),"")</f>
        <v/>
      </c>
      <c r="E3098" s="7"/>
    </row>
    <row r="3099" spans="3:5">
      <c r="C3099" s="17">
        <f t="shared" si="48"/>
        <v>0</v>
      </c>
      <c r="D3099" s="17" t="str">
        <f>IF(C3099=1,COUNTIF($C$1:$C3099,1),"")</f>
        <v/>
      </c>
      <c r="E3099" s="7"/>
    </row>
    <row r="3100" spans="3:5">
      <c r="C3100" s="17">
        <f t="shared" si="48"/>
        <v>0</v>
      </c>
      <c r="D3100" s="17" t="str">
        <f>IF(C3100=1,COUNTIF($C$1:$C3100,1),"")</f>
        <v/>
      </c>
      <c r="E3100" s="7"/>
    </row>
    <row r="3101" spans="3:5">
      <c r="C3101" s="17">
        <f t="shared" si="48"/>
        <v>0</v>
      </c>
      <c r="D3101" s="17" t="str">
        <f>IF(C3101=1,COUNTIF($C$1:$C3101,1),"")</f>
        <v/>
      </c>
      <c r="E3101" s="7"/>
    </row>
    <row r="3102" spans="3:5">
      <c r="C3102" s="17">
        <f t="shared" si="48"/>
        <v>0</v>
      </c>
      <c r="D3102" s="17" t="str">
        <f>IF(C3102=1,COUNTIF($C$1:$C3102,1),"")</f>
        <v/>
      </c>
      <c r="E3102" s="7"/>
    </row>
    <row r="3103" spans="3:5">
      <c r="C3103" s="17">
        <f t="shared" si="48"/>
        <v>0</v>
      </c>
      <c r="D3103" s="17" t="str">
        <f>IF(C3103=1,COUNTIF($C$1:$C3103,1),"")</f>
        <v/>
      </c>
      <c r="E3103" s="7"/>
    </row>
    <row r="3104" spans="3:5">
      <c r="C3104" s="17">
        <f t="shared" si="48"/>
        <v>0</v>
      </c>
      <c r="D3104" s="17" t="str">
        <f>IF(C3104=1,COUNTIF($C$1:$C3104,1),"")</f>
        <v/>
      </c>
      <c r="E3104" s="7"/>
    </row>
    <row r="3105" spans="3:5">
      <c r="C3105" s="17">
        <f t="shared" si="48"/>
        <v>0</v>
      </c>
      <c r="D3105" s="17" t="str">
        <f>IF(C3105=1,COUNTIF($C$1:$C3105,1),"")</f>
        <v/>
      </c>
      <c r="E3105" s="7"/>
    </row>
    <row r="3106" spans="3:5">
      <c r="C3106" s="17">
        <f t="shared" si="48"/>
        <v>0</v>
      </c>
      <c r="D3106" s="17" t="str">
        <f>IF(C3106=1,COUNTIF($C$1:$C3106,1),"")</f>
        <v/>
      </c>
      <c r="E3106" s="7"/>
    </row>
    <row r="3107" spans="3:5">
      <c r="C3107" s="17">
        <f t="shared" si="48"/>
        <v>0</v>
      </c>
      <c r="D3107" s="17" t="str">
        <f>IF(C3107=1,COUNTIF($C$1:$C3107,1),"")</f>
        <v/>
      </c>
      <c r="E3107" s="7"/>
    </row>
    <row r="3108" spans="3:5">
      <c r="C3108" s="17">
        <f t="shared" si="48"/>
        <v>0</v>
      </c>
      <c r="D3108" s="17" t="str">
        <f>IF(C3108=1,COUNTIF($C$1:$C3108,1),"")</f>
        <v/>
      </c>
      <c r="E3108" s="7"/>
    </row>
    <row r="3109" spans="3:5">
      <c r="C3109" s="17">
        <f t="shared" si="48"/>
        <v>0</v>
      </c>
      <c r="D3109" s="17" t="str">
        <f>IF(C3109=1,COUNTIF($C$1:$C3109,1),"")</f>
        <v/>
      </c>
      <c r="E3109" s="7"/>
    </row>
    <row r="3110" spans="3:5">
      <c r="C3110" s="17">
        <f t="shared" si="48"/>
        <v>0</v>
      </c>
      <c r="D3110" s="17" t="str">
        <f>IF(C3110=1,COUNTIF($C$1:$C3110,1),"")</f>
        <v/>
      </c>
      <c r="E3110" s="7"/>
    </row>
    <row r="3111" spans="3:5">
      <c r="C3111" s="17">
        <f t="shared" si="48"/>
        <v>0</v>
      </c>
      <c r="D3111" s="17" t="str">
        <f>IF(C3111=1,COUNTIF($C$1:$C3111,1),"")</f>
        <v/>
      </c>
      <c r="E3111" s="7"/>
    </row>
    <row r="3112" spans="3:5">
      <c r="C3112" s="17">
        <f t="shared" si="48"/>
        <v>0</v>
      </c>
      <c r="D3112" s="17" t="str">
        <f>IF(C3112=1,COUNTIF($C$1:$C3112,1),"")</f>
        <v/>
      </c>
      <c r="E3112" s="7"/>
    </row>
    <row r="3113" spans="3:5">
      <c r="C3113" s="17">
        <f t="shared" si="48"/>
        <v>0</v>
      </c>
      <c r="D3113" s="17" t="str">
        <f>IF(C3113=1,COUNTIF($C$1:$C3113,1),"")</f>
        <v/>
      </c>
      <c r="E3113" s="7"/>
    </row>
    <row r="3114" spans="3:5">
      <c r="C3114" s="17">
        <f t="shared" si="48"/>
        <v>0</v>
      </c>
      <c r="D3114" s="17" t="str">
        <f>IF(C3114=1,COUNTIF($C$1:$C3114,1),"")</f>
        <v/>
      </c>
      <c r="E3114" s="7"/>
    </row>
    <row r="3115" spans="3:5">
      <c r="C3115" s="17">
        <f t="shared" si="48"/>
        <v>0</v>
      </c>
      <c r="D3115" s="17" t="str">
        <f>IF(C3115=1,COUNTIF($C$1:$C3115,1),"")</f>
        <v/>
      </c>
      <c r="E3115" s="7"/>
    </row>
    <row r="3116" spans="3:5">
      <c r="C3116" s="17">
        <f t="shared" si="48"/>
        <v>0</v>
      </c>
      <c r="D3116" s="17" t="str">
        <f>IF(C3116=1,COUNTIF($C$1:$C3116,1),"")</f>
        <v/>
      </c>
      <c r="E3116" s="7"/>
    </row>
    <row r="3117" spans="3:5">
      <c r="C3117" s="17">
        <f t="shared" si="48"/>
        <v>0</v>
      </c>
      <c r="D3117" s="17" t="str">
        <f>IF(C3117=1,COUNTIF($C$1:$C3117,1),"")</f>
        <v/>
      </c>
      <c r="E3117" s="7"/>
    </row>
    <row r="3118" spans="3:5">
      <c r="C3118" s="17">
        <f t="shared" si="48"/>
        <v>0</v>
      </c>
      <c r="D3118" s="17" t="str">
        <f>IF(C3118=1,COUNTIF($C$1:$C3118,1),"")</f>
        <v/>
      </c>
      <c r="E3118" s="7"/>
    </row>
    <row r="3119" spans="3:5">
      <c r="C3119" s="17">
        <f t="shared" si="48"/>
        <v>0</v>
      </c>
      <c r="D3119" s="17" t="str">
        <f>IF(C3119=1,COUNTIF($C$1:$C3119,1),"")</f>
        <v/>
      </c>
      <c r="E3119" s="7"/>
    </row>
    <row r="3120" spans="3:5">
      <c r="C3120" s="17">
        <f t="shared" si="48"/>
        <v>0</v>
      </c>
      <c r="D3120" s="17" t="str">
        <f>IF(C3120=1,COUNTIF($C$1:$C3120,1),"")</f>
        <v/>
      </c>
      <c r="E3120" s="7"/>
    </row>
    <row r="3121" spans="3:5">
      <c r="C3121" s="17">
        <f t="shared" si="48"/>
        <v>0</v>
      </c>
      <c r="D3121" s="17" t="str">
        <f>IF(C3121=1,COUNTIF($C$1:$C3121,1),"")</f>
        <v/>
      </c>
      <c r="E3121" s="7"/>
    </row>
    <row r="3122" spans="3:5">
      <c r="C3122" s="17">
        <f t="shared" si="48"/>
        <v>0</v>
      </c>
      <c r="D3122" s="17" t="str">
        <f>IF(C3122=1,COUNTIF($C$1:$C3122,1),"")</f>
        <v/>
      </c>
      <c r="E3122" s="7"/>
    </row>
    <row r="3123" spans="3:5">
      <c r="C3123" s="17">
        <f t="shared" si="48"/>
        <v>0</v>
      </c>
      <c r="D3123" s="17" t="str">
        <f>IF(C3123=1,COUNTIF($C$1:$C3123,1),"")</f>
        <v/>
      </c>
      <c r="E3123" s="7"/>
    </row>
    <row r="3124" spans="3:5">
      <c r="C3124" s="17">
        <f t="shared" si="48"/>
        <v>0</v>
      </c>
      <c r="D3124" s="17" t="str">
        <f>IF(C3124=1,COUNTIF($C$1:$C3124,1),"")</f>
        <v/>
      </c>
      <c r="E3124" s="7"/>
    </row>
    <row r="3125" spans="3:5">
      <c r="C3125" s="17">
        <f t="shared" si="48"/>
        <v>0</v>
      </c>
      <c r="D3125" s="17" t="str">
        <f>IF(C3125=1,COUNTIF($C$1:$C3125,1),"")</f>
        <v/>
      </c>
      <c r="E3125" s="7"/>
    </row>
    <row r="3126" spans="3:5">
      <c r="C3126" s="17">
        <f t="shared" si="48"/>
        <v>0</v>
      </c>
      <c r="D3126" s="17" t="str">
        <f>IF(C3126=1,COUNTIF($C$1:$C3126,1),"")</f>
        <v/>
      </c>
      <c r="E3126" s="7"/>
    </row>
    <row r="3127" spans="3:5">
      <c r="C3127" s="17">
        <f t="shared" si="48"/>
        <v>0</v>
      </c>
      <c r="D3127" s="17" t="str">
        <f>IF(C3127=1,COUNTIF($C$1:$C3127,1),"")</f>
        <v/>
      </c>
      <c r="E3127" s="7"/>
    </row>
    <row r="3128" spans="3:5">
      <c r="C3128" s="17">
        <f t="shared" si="48"/>
        <v>0</v>
      </c>
      <c r="D3128" s="17" t="str">
        <f>IF(C3128=1,COUNTIF($C$1:$C3128,1),"")</f>
        <v/>
      </c>
      <c r="E3128" s="7"/>
    </row>
    <row r="3129" spans="3:5">
      <c r="C3129" s="17">
        <f t="shared" si="48"/>
        <v>0</v>
      </c>
      <c r="D3129" s="17" t="str">
        <f>IF(C3129=1,COUNTIF($C$1:$C3129,1),"")</f>
        <v/>
      </c>
      <c r="E3129" s="7"/>
    </row>
    <row r="3130" spans="3:5">
      <c r="C3130" s="17">
        <f t="shared" si="48"/>
        <v>0</v>
      </c>
      <c r="D3130" s="17" t="str">
        <f>IF(C3130=1,COUNTIF($C$1:$C3130,1),"")</f>
        <v/>
      </c>
      <c r="E3130" s="7"/>
    </row>
    <row r="3131" spans="3:5">
      <c r="C3131" s="17">
        <f t="shared" si="48"/>
        <v>0</v>
      </c>
      <c r="D3131" s="17" t="str">
        <f>IF(C3131=1,COUNTIF($C$1:$C3131,1),"")</f>
        <v/>
      </c>
      <c r="E3131" s="7"/>
    </row>
    <row r="3132" spans="3:5">
      <c r="C3132" s="17">
        <f t="shared" si="48"/>
        <v>0</v>
      </c>
      <c r="D3132" s="17" t="str">
        <f>IF(C3132=1,COUNTIF($C$1:$C3132,1),"")</f>
        <v/>
      </c>
      <c r="E3132" s="7"/>
    </row>
    <row r="3133" spans="3:5">
      <c r="C3133" s="17">
        <f t="shared" si="48"/>
        <v>0</v>
      </c>
      <c r="D3133" s="17" t="str">
        <f>IF(C3133=1,COUNTIF($C$1:$C3133,1),"")</f>
        <v/>
      </c>
      <c r="E3133" s="7"/>
    </row>
    <row r="3134" spans="3:5">
      <c r="C3134" s="17">
        <f t="shared" si="48"/>
        <v>0</v>
      </c>
      <c r="D3134" s="17" t="str">
        <f>IF(C3134=1,COUNTIF($C$1:$C3134,1),"")</f>
        <v/>
      </c>
      <c r="E3134" s="7"/>
    </row>
    <row r="3135" spans="3:5">
      <c r="C3135" s="17">
        <f t="shared" si="48"/>
        <v>0</v>
      </c>
      <c r="D3135" s="17" t="str">
        <f>IF(C3135=1,COUNTIF($C$1:$C3135,1),"")</f>
        <v/>
      </c>
      <c r="E3135" s="7"/>
    </row>
    <row r="3136" spans="3:5">
      <c r="C3136" s="17">
        <f t="shared" si="48"/>
        <v>0</v>
      </c>
      <c r="D3136" s="17" t="str">
        <f>IF(C3136=1,COUNTIF($C$1:$C3136,1),"")</f>
        <v/>
      </c>
      <c r="E3136" s="7"/>
    </row>
    <row r="3137" spans="3:5">
      <c r="C3137" s="17">
        <f t="shared" si="48"/>
        <v>0</v>
      </c>
      <c r="D3137" s="17" t="str">
        <f>IF(C3137=1,COUNTIF($C$1:$C3137,1),"")</f>
        <v/>
      </c>
      <c r="E3137" s="7"/>
    </row>
    <row r="3138" spans="3:5">
      <c r="C3138" s="17">
        <f t="shared" ref="C3138:C3201" si="49">--ISNUMBER(SEARCH($B$1,A3138))</f>
        <v>0</v>
      </c>
      <c r="D3138" s="17" t="str">
        <f>IF(C3138=1,COUNTIF($C$1:$C3138,1),"")</f>
        <v/>
      </c>
      <c r="E3138" s="7"/>
    </row>
    <row r="3139" spans="3:5">
      <c r="C3139" s="17">
        <f t="shared" si="49"/>
        <v>0</v>
      </c>
      <c r="D3139" s="17" t="str">
        <f>IF(C3139=1,COUNTIF($C$1:$C3139,1),"")</f>
        <v/>
      </c>
      <c r="E3139" s="7"/>
    </row>
    <row r="3140" spans="3:5">
      <c r="C3140" s="17">
        <f t="shared" si="49"/>
        <v>0</v>
      </c>
      <c r="D3140" s="17" t="str">
        <f>IF(C3140=1,COUNTIF($C$1:$C3140,1),"")</f>
        <v/>
      </c>
      <c r="E3140" s="7"/>
    </row>
    <row r="3141" spans="3:5">
      <c r="C3141" s="17">
        <f t="shared" si="49"/>
        <v>0</v>
      </c>
      <c r="D3141" s="17" t="str">
        <f>IF(C3141=1,COUNTIF($C$1:$C3141,1),"")</f>
        <v/>
      </c>
      <c r="E3141" s="7"/>
    </row>
    <row r="3142" spans="3:5">
      <c r="C3142" s="17">
        <f t="shared" si="49"/>
        <v>0</v>
      </c>
      <c r="D3142" s="17" t="str">
        <f>IF(C3142=1,COUNTIF($C$1:$C3142,1),"")</f>
        <v/>
      </c>
      <c r="E3142" s="7"/>
    </row>
    <row r="3143" spans="3:5">
      <c r="C3143" s="17">
        <f t="shared" si="49"/>
        <v>0</v>
      </c>
      <c r="D3143" s="17" t="str">
        <f>IF(C3143=1,COUNTIF($C$1:$C3143,1),"")</f>
        <v/>
      </c>
      <c r="E3143" s="7"/>
    </row>
    <row r="3144" spans="3:5">
      <c r="C3144" s="17">
        <f t="shared" si="49"/>
        <v>0</v>
      </c>
      <c r="D3144" s="17" t="str">
        <f>IF(C3144=1,COUNTIF($C$1:$C3144,1),"")</f>
        <v/>
      </c>
      <c r="E3144" s="7"/>
    </row>
    <row r="3145" spans="3:5">
      <c r="C3145" s="17">
        <f t="shared" si="49"/>
        <v>0</v>
      </c>
      <c r="D3145" s="17" t="str">
        <f>IF(C3145=1,COUNTIF($C$1:$C3145,1),"")</f>
        <v/>
      </c>
      <c r="E3145" s="7"/>
    </row>
    <row r="3146" spans="3:5">
      <c r="C3146" s="17">
        <f t="shared" si="49"/>
        <v>0</v>
      </c>
      <c r="D3146" s="17" t="str">
        <f>IF(C3146=1,COUNTIF($C$1:$C3146,1),"")</f>
        <v/>
      </c>
      <c r="E3146" s="7"/>
    </row>
    <row r="3147" spans="3:5">
      <c r="C3147" s="17">
        <f t="shared" si="49"/>
        <v>0</v>
      </c>
      <c r="D3147" s="17" t="str">
        <f>IF(C3147=1,COUNTIF($C$1:$C3147,1),"")</f>
        <v/>
      </c>
      <c r="E3147" s="7"/>
    </row>
    <row r="3148" spans="3:5">
      <c r="C3148" s="17">
        <f t="shared" si="49"/>
        <v>0</v>
      </c>
      <c r="D3148" s="17" t="str">
        <f>IF(C3148=1,COUNTIF($C$1:$C3148,1),"")</f>
        <v/>
      </c>
      <c r="E3148" s="7"/>
    </row>
    <row r="3149" spans="3:5">
      <c r="C3149" s="17">
        <f t="shared" si="49"/>
        <v>0</v>
      </c>
      <c r="D3149" s="17" t="str">
        <f>IF(C3149=1,COUNTIF($C$1:$C3149,1),"")</f>
        <v/>
      </c>
      <c r="E3149" s="7"/>
    </row>
    <row r="3150" spans="3:5">
      <c r="C3150" s="17">
        <f t="shared" si="49"/>
        <v>0</v>
      </c>
      <c r="D3150" s="17" t="str">
        <f>IF(C3150=1,COUNTIF($C$1:$C3150,1),"")</f>
        <v/>
      </c>
      <c r="E3150" s="7"/>
    </row>
    <row r="3151" spans="3:5">
      <c r="C3151" s="17">
        <f t="shared" si="49"/>
        <v>0</v>
      </c>
      <c r="D3151" s="17" t="str">
        <f>IF(C3151=1,COUNTIF($C$1:$C3151,1),"")</f>
        <v/>
      </c>
      <c r="E3151" s="7"/>
    </row>
    <row r="3152" spans="3:5">
      <c r="C3152" s="17">
        <f t="shared" si="49"/>
        <v>0</v>
      </c>
      <c r="D3152" s="17" t="str">
        <f>IF(C3152=1,COUNTIF($C$1:$C3152,1),"")</f>
        <v/>
      </c>
      <c r="E3152" s="7"/>
    </row>
    <row r="3153" spans="3:5">
      <c r="C3153" s="17">
        <f t="shared" si="49"/>
        <v>0</v>
      </c>
      <c r="D3153" s="17" t="str">
        <f>IF(C3153=1,COUNTIF($C$1:$C3153,1),"")</f>
        <v/>
      </c>
      <c r="E3153" s="7"/>
    </row>
    <row r="3154" spans="3:5">
      <c r="C3154" s="17">
        <f t="shared" si="49"/>
        <v>0</v>
      </c>
      <c r="D3154" s="17" t="str">
        <f>IF(C3154=1,COUNTIF($C$1:$C3154,1),"")</f>
        <v/>
      </c>
      <c r="E3154" s="7"/>
    </row>
    <row r="3155" spans="3:5">
      <c r="C3155" s="17">
        <f t="shared" si="49"/>
        <v>0</v>
      </c>
      <c r="D3155" s="17" t="str">
        <f>IF(C3155=1,COUNTIF($C$1:$C3155,1),"")</f>
        <v/>
      </c>
      <c r="E3155" s="7"/>
    </row>
    <row r="3156" spans="3:5">
      <c r="C3156" s="17">
        <f t="shared" si="49"/>
        <v>0</v>
      </c>
      <c r="D3156" s="17" t="str">
        <f>IF(C3156=1,COUNTIF($C$1:$C3156,1),"")</f>
        <v/>
      </c>
      <c r="E3156" s="7"/>
    </row>
    <row r="3157" spans="3:5">
      <c r="C3157" s="17">
        <f t="shared" si="49"/>
        <v>0</v>
      </c>
      <c r="D3157" s="17" t="str">
        <f>IF(C3157=1,COUNTIF($C$1:$C3157,1),"")</f>
        <v/>
      </c>
      <c r="E3157" s="7"/>
    </row>
    <row r="3158" spans="3:5">
      <c r="C3158" s="17">
        <f t="shared" si="49"/>
        <v>0</v>
      </c>
      <c r="D3158" s="17" t="str">
        <f>IF(C3158=1,COUNTIF($C$1:$C3158,1),"")</f>
        <v/>
      </c>
      <c r="E3158" s="7"/>
    </row>
    <row r="3159" spans="3:5">
      <c r="C3159" s="17">
        <f t="shared" si="49"/>
        <v>0</v>
      </c>
      <c r="D3159" s="17" t="str">
        <f>IF(C3159=1,COUNTIF($C$1:$C3159,1),"")</f>
        <v/>
      </c>
      <c r="E3159" s="7"/>
    </row>
    <row r="3160" spans="3:5">
      <c r="C3160" s="17">
        <f t="shared" si="49"/>
        <v>0</v>
      </c>
      <c r="D3160" s="17" t="str">
        <f>IF(C3160=1,COUNTIF($C$1:$C3160,1),"")</f>
        <v/>
      </c>
      <c r="E3160" s="7"/>
    </row>
    <row r="3161" spans="3:5">
      <c r="C3161" s="17">
        <f t="shared" si="49"/>
        <v>0</v>
      </c>
      <c r="D3161" s="17" t="str">
        <f>IF(C3161=1,COUNTIF($C$1:$C3161,1),"")</f>
        <v/>
      </c>
      <c r="E3161" s="7"/>
    </row>
    <row r="3162" spans="3:5">
      <c r="C3162" s="17">
        <f t="shared" si="49"/>
        <v>0</v>
      </c>
      <c r="D3162" s="17" t="str">
        <f>IF(C3162=1,COUNTIF($C$1:$C3162,1),"")</f>
        <v/>
      </c>
      <c r="E3162" s="7"/>
    </row>
    <row r="3163" spans="3:5">
      <c r="C3163" s="17">
        <f t="shared" si="49"/>
        <v>0</v>
      </c>
      <c r="D3163" s="17" t="str">
        <f>IF(C3163=1,COUNTIF($C$1:$C3163,1),"")</f>
        <v/>
      </c>
      <c r="E3163" s="7"/>
    </row>
    <row r="3164" spans="3:5">
      <c r="C3164" s="17">
        <f t="shared" si="49"/>
        <v>0</v>
      </c>
      <c r="D3164" s="17" t="str">
        <f>IF(C3164=1,COUNTIF($C$1:$C3164,1),"")</f>
        <v/>
      </c>
      <c r="E3164" s="7"/>
    </row>
    <row r="3165" spans="3:5">
      <c r="C3165" s="17">
        <f t="shared" si="49"/>
        <v>0</v>
      </c>
      <c r="D3165" s="17" t="str">
        <f>IF(C3165=1,COUNTIF($C$1:$C3165,1),"")</f>
        <v/>
      </c>
      <c r="E3165" s="7"/>
    </row>
    <row r="3166" spans="3:5">
      <c r="C3166" s="17">
        <f t="shared" si="49"/>
        <v>0</v>
      </c>
      <c r="D3166" s="17" t="str">
        <f>IF(C3166=1,COUNTIF($C$1:$C3166,1),"")</f>
        <v/>
      </c>
      <c r="E3166" s="7"/>
    </row>
    <row r="3167" spans="3:5">
      <c r="C3167" s="17">
        <f t="shared" si="49"/>
        <v>0</v>
      </c>
      <c r="D3167" s="17" t="str">
        <f>IF(C3167=1,COUNTIF($C$1:$C3167,1),"")</f>
        <v/>
      </c>
      <c r="E3167" s="7"/>
    </row>
    <row r="3168" spans="3:5">
      <c r="C3168" s="17">
        <f t="shared" si="49"/>
        <v>0</v>
      </c>
      <c r="D3168" s="17" t="str">
        <f>IF(C3168=1,COUNTIF($C$1:$C3168,1),"")</f>
        <v/>
      </c>
      <c r="E3168" s="7"/>
    </row>
    <row r="3169" spans="3:5">
      <c r="C3169" s="17">
        <f t="shared" si="49"/>
        <v>0</v>
      </c>
      <c r="D3169" s="17" t="str">
        <f>IF(C3169=1,COUNTIF($C$1:$C3169,1),"")</f>
        <v/>
      </c>
      <c r="E3169" s="7"/>
    </row>
    <row r="3170" spans="3:5">
      <c r="C3170" s="17">
        <f t="shared" si="49"/>
        <v>0</v>
      </c>
      <c r="D3170" s="17" t="str">
        <f>IF(C3170=1,COUNTIF($C$1:$C3170,1),"")</f>
        <v/>
      </c>
      <c r="E3170" s="7"/>
    </row>
    <row r="3171" spans="3:5">
      <c r="C3171" s="17">
        <f t="shared" si="49"/>
        <v>0</v>
      </c>
      <c r="D3171" s="17" t="str">
        <f>IF(C3171=1,COUNTIF($C$1:$C3171,1),"")</f>
        <v/>
      </c>
      <c r="E3171" s="7"/>
    </row>
    <row r="3172" spans="3:5">
      <c r="C3172" s="17">
        <f t="shared" si="49"/>
        <v>0</v>
      </c>
      <c r="D3172" s="17" t="str">
        <f>IF(C3172=1,COUNTIF($C$1:$C3172,1),"")</f>
        <v/>
      </c>
      <c r="E3172" s="7"/>
    </row>
    <row r="3173" spans="3:5">
      <c r="C3173" s="17">
        <f t="shared" si="49"/>
        <v>0</v>
      </c>
      <c r="D3173" s="17" t="str">
        <f>IF(C3173=1,COUNTIF($C$1:$C3173,1),"")</f>
        <v/>
      </c>
      <c r="E3173" s="7"/>
    </row>
    <row r="3174" spans="3:5">
      <c r="C3174" s="17">
        <f t="shared" si="49"/>
        <v>0</v>
      </c>
      <c r="D3174" s="17" t="str">
        <f>IF(C3174=1,COUNTIF($C$1:$C3174,1),"")</f>
        <v/>
      </c>
      <c r="E3174" s="7"/>
    </row>
    <row r="3175" spans="3:5">
      <c r="C3175" s="17">
        <f t="shared" si="49"/>
        <v>0</v>
      </c>
      <c r="D3175" s="17" t="str">
        <f>IF(C3175=1,COUNTIF($C$1:$C3175,1),"")</f>
        <v/>
      </c>
      <c r="E3175" s="7"/>
    </row>
    <row r="3176" spans="3:5">
      <c r="C3176" s="17">
        <f t="shared" si="49"/>
        <v>0</v>
      </c>
      <c r="D3176" s="17" t="str">
        <f>IF(C3176=1,COUNTIF($C$1:$C3176,1),"")</f>
        <v/>
      </c>
      <c r="E3176" s="7"/>
    </row>
    <row r="3177" spans="3:5">
      <c r="C3177" s="17">
        <f t="shared" si="49"/>
        <v>0</v>
      </c>
      <c r="D3177" s="17" t="str">
        <f>IF(C3177=1,COUNTIF($C$1:$C3177,1),"")</f>
        <v/>
      </c>
      <c r="E3177" s="7"/>
    </row>
    <row r="3178" spans="3:5">
      <c r="C3178" s="17">
        <f t="shared" si="49"/>
        <v>0</v>
      </c>
      <c r="D3178" s="17" t="str">
        <f>IF(C3178=1,COUNTIF($C$1:$C3178,1),"")</f>
        <v/>
      </c>
      <c r="E3178" s="7"/>
    </row>
    <row r="3179" spans="3:5">
      <c r="C3179" s="17">
        <f t="shared" si="49"/>
        <v>0</v>
      </c>
      <c r="D3179" s="17" t="str">
        <f>IF(C3179=1,COUNTIF($C$1:$C3179,1),"")</f>
        <v/>
      </c>
      <c r="E3179" s="7"/>
    </row>
    <row r="3180" spans="3:5">
      <c r="C3180" s="17">
        <f t="shared" si="49"/>
        <v>0</v>
      </c>
      <c r="D3180" s="17" t="str">
        <f>IF(C3180=1,COUNTIF($C$1:$C3180,1),"")</f>
        <v/>
      </c>
      <c r="E3180" s="7"/>
    </row>
    <row r="3181" spans="3:5">
      <c r="C3181" s="17">
        <f t="shared" si="49"/>
        <v>0</v>
      </c>
      <c r="D3181" s="17" t="str">
        <f>IF(C3181=1,COUNTIF($C$1:$C3181,1),"")</f>
        <v/>
      </c>
      <c r="E3181" s="7"/>
    </row>
    <row r="3182" spans="3:5">
      <c r="C3182" s="17">
        <f t="shared" si="49"/>
        <v>0</v>
      </c>
      <c r="D3182" s="17" t="str">
        <f>IF(C3182=1,COUNTIF($C$1:$C3182,1),"")</f>
        <v/>
      </c>
      <c r="E3182" s="7"/>
    </row>
    <row r="3183" spans="3:5">
      <c r="C3183" s="17">
        <f t="shared" si="49"/>
        <v>0</v>
      </c>
      <c r="D3183" s="17" t="str">
        <f>IF(C3183=1,COUNTIF($C$1:$C3183,1),"")</f>
        <v/>
      </c>
      <c r="E3183" s="7"/>
    </row>
    <row r="3184" spans="3:5">
      <c r="C3184" s="17">
        <f t="shared" si="49"/>
        <v>0</v>
      </c>
      <c r="D3184" s="17" t="str">
        <f>IF(C3184=1,COUNTIF($C$1:$C3184,1),"")</f>
        <v/>
      </c>
      <c r="E3184" s="7"/>
    </row>
    <row r="3185" spans="3:5">
      <c r="C3185" s="17">
        <f t="shared" si="49"/>
        <v>0</v>
      </c>
      <c r="D3185" s="17" t="str">
        <f>IF(C3185=1,COUNTIF($C$1:$C3185,1),"")</f>
        <v/>
      </c>
      <c r="E3185" s="7"/>
    </row>
    <row r="3186" spans="3:5">
      <c r="C3186" s="17">
        <f t="shared" si="49"/>
        <v>0</v>
      </c>
      <c r="D3186" s="17" t="str">
        <f>IF(C3186=1,COUNTIF($C$1:$C3186,1),"")</f>
        <v/>
      </c>
      <c r="E3186" s="7"/>
    </row>
    <row r="3187" spans="3:5">
      <c r="C3187" s="17">
        <f t="shared" si="49"/>
        <v>0</v>
      </c>
      <c r="D3187" s="17" t="str">
        <f>IF(C3187=1,COUNTIF($C$1:$C3187,1),"")</f>
        <v/>
      </c>
      <c r="E3187" s="7"/>
    </row>
    <row r="3188" spans="3:5">
      <c r="C3188" s="17">
        <f t="shared" si="49"/>
        <v>0</v>
      </c>
      <c r="D3188" s="17" t="str">
        <f>IF(C3188=1,COUNTIF($C$1:$C3188,1),"")</f>
        <v/>
      </c>
      <c r="E3188" s="7"/>
    </row>
    <row r="3189" spans="3:5">
      <c r="C3189" s="17">
        <f t="shared" si="49"/>
        <v>0</v>
      </c>
      <c r="D3189" s="17" t="str">
        <f>IF(C3189=1,COUNTIF($C$1:$C3189,1),"")</f>
        <v/>
      </c>
      <c r="E3189" s="7"/>
    </row>
    <row r="3190" spans="3:5">
      <c r="C3190" s="17">
        <f t="shared" si="49"/>
        <v>0</v>
      </c>
      <c r="D3190" s="17" t="str">
        <f>IF(C3190=1,COUNTIF($C$1:$C3190,1),"")</f>
        <v/>
      </c>
      <c r="E3190" s="7"/>
    </row>
    <row r="3191" spans="3:5">
      <c r="C3191" s="17">
        <f t="shared" si="49"/>
        <v>0</v>
      </c>
      <c r="D3191" s="17" t="str">
        <f>IF(C3191=1,COUNTIF($C$1:$C3191,1),"")</f>
        <v/>
      </c>
      <c r="E3191" s="7"/>
    </row>
    <row r="3192" spans="3:5">
      <c r="C3192" s="17">
        <f t="shared" si="49"/>
        <v>0</v>
      </c>
      <c r="D3192" s="17" t="str">
        <f>IF(C3192=1,COUNTIF($C$1:$C3192,1),"")</f>
        <v/>
      </c>
      <c r="E3192" s="7"/>
    </row>
    <row r="3193" spans="3:5">
      <c r="C3193" s="17">
        <f t="shared" si="49"/>
        <v>0</v>
      </c>
      <c r="D3193" s="17" t="str">
        <f>IF(C3193=1,COUNTIF($C$1:$C3193,1),"")</f>
        <v/>
      </c>
      <c r="E3193" s="7"/>
    </row>
    <row r="3194" spans="3:5">
      <c r="C3194" s="17">
        <f t="shared" si="49"/>
        <v>0</v>
      </c>
      <c r="D3194" s="17" t="str">
        <f>IF(C3194=1,COUNTIF($C$1:$C3194,1),"")</f>
        <v/>
      </c>
      <c r="E3194" s="7"/>
    </row>
    <row r="3195" spans="3:5">
      <c r="C3195" s="17">
        <f t="shared" si="49"/>
        <v>0</v>
      </c>
      <c r="D3195" s="17" t="str">
        <f>IF(C3195=1,COUNTIF($C$1:$C3195,1),"")</f>
        <v/>
      </c>
      <c r="E3195" s="7"/>
    </row>
    <row r="3196" spans="3:5">
      <c r="C3196" s="17">
        <f t="shared" si="49"/>
        <v>0</v>
      </c>
      <c r="D3196" s="17" t="str">
        <f>IF(C3196=1,COUNTIF($C$1:$C3196,1),"")</f>
        <v/>
      </c>
      <c r="E3196" s="7"/>
    </row>
    <row r="3197" spans="3:5">
      <c r="C3197" s="17">
        <f t="shared" si="49"/>
        <v>0</v>
      </c>
      <c r="D3197" s="17" t="str">
        <f>IF(C3197=1,COUNTIF($C$1:$C3197,1),"")</f>
        <v/>
      </c>
      <c r="E3197" s="7"/>
    </row>
    <row r="3198" spans="3:5">
      <c r="C3198" s="17">
        <f t="shared" si="49"/>
        <v>0</v>
      </c>
      <c r="D3198" s="17" t="str">
        <f>IF(C3198=1,COUNTIF($C$1:$C3198,1),"")</f>
        <v/>
      </c>
      <c r="E3198" s="7"/>
    </row>
    <row r="3199" spans="3:5">
      <c r="C3199" s="17">
        <f t="shared" si="49"/>
        <v>0</v>
      </c>
      <c r="D3199" s="17" t="str">
        <f>IF(C3199=1,COUNTIF($C$1:$C3199,1),"")</f>
        <v/>
      </c>
      <c r="E3199" s="7"/>
    </row>
    <row r="3200" spans="3:5">
      <c r="C3200" s="17">
        <f t="shared" si="49"/>
        <v>0</v>
      </c>
      <c r="D3200" s="17" t="str">
        <f>IF(C3200=1,COUNTIF($C$1:$C3200,1),"")</f>
        <v/>
      </c>
      <c r="E3200" s="7"/>
    </row>
    <row r="3201" spans="3:5">
      <c r="C3201" s="17">
        <f t="shared" si="49"/>
        <v>0</v>
      </c>
      <c r="D3201" s="17" t="str">
        <f>IF(C3201=1,COUNTIF($C$1:$C3201,1),"")</f>
        <v/>
      </c>
      <c r="E3201" s="7"/>
    </row>
    <row r="3202" spans="3:5">
      <c r="C3202" s="17">
        <f t="shared" ref="C3202:C3265" si="50">--ISNUMBER(SEARCH($B$1,A3202))</f>
        <v>0</v>
      </c>
      <c r="D3202" s="17" t="str">
        <f>IF(C3202=1,COUNTIF($C$1:$C3202,1),"")</f>
        <v/>
      </c>
      <c r="E3202" s="7"/>
    </row>
    <row r="3203" spans="3:5">
      <c r="C3203" s="17">
        <f t="shared" si="50"/>
        <v>0</v>
      </c>
      <c r="D3203" s="17" t="str">
        <f>IF(C3203=1,COUNTIF($C$1:$C3203,1),"")</f>
        <v/>
      </c>
      <c r="E3203" s="7"/>
    </row>
    <row r="3204" spans="3:5">
      <c r="C3204" s="17">
        <f t="shared" si="50"/>
        <v>0</v>
      </c>
      <c r="D3204" s="17" t="str">
        <f>IF(C3204=1,COUNTIF($C$1:$C3204,1),"")</f>
        <v/>
      </c>
      <c r="E3204" s="7"/>
    </row>
    <row r="3205" spans="3:5">
      <c r="C3205" s="17">
        <f t="shared" si="50"/>
        <v>0</v>
      </c>
      <c r="D3205" s="17" t="str">
        <f>IF(C3205=1,COUNTIF($C$1:$C3205,1),"")</f>
        <v/>
      </c>
      <c r="E3205" s="7"/>
    </row>
    <row r="3206" spans="3:5">
      <c r="C3206" s="17">
        <f t="shared" si="50"/>
        <v>0</v>
      </c>
      <c r="D3206" s="17" t="str">
        <f>IF(C3206=1,COUNTIF($C$1:$C3206,1),"")</f>
        <v/>
      </c>
      <c r="E3206" s="7"/>
    </row>
    <row r="3207" spans="3:5">
      <c r="C3207" s="17">
        <f t="shared" si="50"/>
        <v>0</v>
      </c>
      <c r="D3207" s="17" t="str">
        <f>IF(C3207=1,COUNTIF($C$1:$C3207,1),"")</f>
        <v/>
      </c>
      <c r="E3207" s="7"/>
    </row>
    <row r="3208" spans="3:5">
      <c r="C3208" s="17">
        <f t="shared" si="50"/>
        <v>0</v>
      </c>
      <c r="D3208" s="17" t="str">
        <f>IF(C3208=1,COUNTIF($C$1:$C3208,1),"")</f>
        <v/>
      </c>
      <c r="E3208" s="7"/>
    </row>
    <row r="3209" spans="3:5">
      <c r="C3209" s="17">
        <f t="shared" si="50"/>
        <v>0</v>
      </c>
      <c r="D3209" s="17" t="str">
        <f>IF(C3209=1,COUNTIF($C$1:$C3209,1),"")</f>
        <v/>
      </c>
      <c r="E3209" s="7"/>
    </row>
    <row r="3210" spans="3:5">
      <c r="C3210" s="17">
        <f t="shared" si="50"/>
        <v>0</v>
      </c>
      <c r="D3210" s="17" t="str">
        <f>IF(C3210=1,COUNTIF($C$1:$C3210,1),"")</f>
        <v/>
      </c>
      <c r="E3210" s="7"/>
    </row>
    <row r="3211" spans="3:5">
      <c r="C3211" s="17">
        <f t="shared" si="50"/>
        <v>0</v>
      </c>
      <c r="D3211" s="17" t="str">
        <f>IF(C3211=1,COUNTIF($C$1:$C3211,1),"")</f>
        <v/>
      </c>
      <c r="E3211" s="7"/>
    </row>
    <row r="3212" spans="3:5">
      <c r="C3212" s="17">
        <f t="shared" si="50"/>
        <v>0</v>
      </c>
      <c r="D3212" s="17" t="str">
        <f>IF(C3212=1,COUNTIF($C$1:$C3212,1),"")</f>
        <v/>
      </c>
      <c r="E3212" s="7"/>
    </row>
    <row r="3213" spans="3:5">
      <c r="C3213" s="17">
        <f t="shared" si="50"/>
        <v>0</v>
      </c>
      <c r="D3213" s="17" t="str">
        <f>IF(C3213=1,COUNTIF($C$1:$C3213,1),"")</f>
        <v/>
      </c>
      <c r="E3213" s="7"/>
    </row>
    <row r="3214" spans="3:5">
      <c r="C3214" s="17">
        <f t="shared" si="50"/>
        <v>0</v>
      </c>
      <c r="D3214" s="17" t="str">
        <f>IF(C3214=1,COUNTIF($C$1:$C3214,1),"")</f>
        <v/>
      </c>
      <c r="E3214" s="7"/>
    </row>
    <row r="3215" spans="3:5">
      <c r="C3215" s="17">
        <f t="shared" si="50"/>
        <v>0</v>
      </c>
      <c r="D3215" s="17" t="str">
        <f>IF(C3215=1,COUNTIF($C$1:$C3215,1),"")</f>
        <v/>
      </c>
      <c r="E3215" s="7"/>
    </row>
    <row r="3216" spans="3:5">
      <c r="C3216" s="17">
        <f t="shared" si="50"/>
        <v>0</v>
      </c>
      <c r="D3216" s="17" t="str">
        <f>IF(C3216=1,COUNTIF($C$1:$C3216,1),"")</f>
        <v/>
      </c>
      <c r="E3216" s="7"/>
    </row>
    <row r="3217" spans="3:5">
      <c r="C3217" s="17">
        <f t="shared" si="50"/>
        <v>0</v>
      </c>
      <c r="D3217" s="17" t="str">
        <f>IF(C3217=1,COUNTIF($C$1:$C3217,1),"")</f>
        <v/>
      </c>
      <c r="E3217" s="7"/>
    </row>
    <row r="3218" spans="3:5">
      <c r="C3218" s="17">
        <f t="shared" si="50"/>
        <v>0</v>
      </c>
      <c r="D3218" s="17" t="str">
        <f>IF(C3218=1,COUNTIF($C$1:$C3218,1),"")</f>
        <v/>
      </c>
      <c r="E3218" s="7"/>
    </row>
    <row r="3219" spans="3:5">
      <c r="C3219" s="17">
        <f t="shared" si="50"/>
        <v>0</v>
      </c>
      <c r="D3219" s="17" t="str">
        <f>IF(C3219=1,COUNTIF($C$1:$C3219,1),"")</f>
        <v/>
      </c>
      <c r="E3219" s="7"/>
    </row>
    <row r="3220" spans="3:5">
      <c r="C3220" s="17">
        <f t="shared" si="50"/>
        <v>0</v>
      </c>
      <c r="D3220" s="17" t="str">
        <f>IF(C3220=1,COUNTIF($C$1:$C3220,1),"")</f>
        <v/>
      </c>
      <c r="E3220" s="7"/>
    </row>
    <row r="3221" spans="3:5">
      <c r="C3221" s="17">
        <f t="shared" si="50"/>
        <v>0</v>
      </c>
      <c r="D3221" s="17" t="str">
        <f>IF(C3221=1,COUNTIF($C$1:$C3221,1),"")</f>
        <v/>
      </c>
      <c r="E3221" s="7"/>
    </row>
    <row r="3222" spans="3:5">
      <c r="C3222" s="17">
        <f t="shared" si="50"/>
        <v>0</v>
      </c>
      <c r="D3222" s="17" t="str">
        <f>IF(C3222=1,COUNTIF($C$1:$C3222,1),"")</f>
        <v/>
      </c>
      <c r="E3222" s="7"/>
    </row>
    <row r="3223" spans="3:5">
      <c r="C3223" s="17">
        <f t="shared" si="50"/>
        <v>0</v>
      </c>
      <c r="D3223" s="17" t="str">
        <f>IF(C3223=1,COUNTIF($C$1:$C3223,1),"")</f>
        <v/>
      </c>
      <c r="E3223" s="7"/>
    </row>
    <row r="3224" spans="3:5">
      <c r="C3224" s="17">
        <f t="shared" si="50"/>
        <v>0</v>
      </c>
      <c r="D3224" s="17" t="str">
        <f>IF(C3224=1,COUNTIF($C$1:$C3224,1),"")</f>
        <v/>
      </c>
      <c r="E3224" s="7"/>
    </row>
    <row r="3225" spans="3:5">
      <c r="C3225" s="17">
        <f t="shared" si="50"/>
        <v>0</v>
      </c>
      <c r="D3225" s="17" t="str">
        <f>IF(C3225=1,COUNTIF($C$1:$C3225,1),"")</f>
        <v/>
      </c>
      <c r="E3225" s="7"/>
    </row>
    <row r="3226" spans="3:5">
      <c r="C3226" s="17">
        <f t="shared" si="50"/>
        <v>0</v>
      </c>
      <c r="D3226" s="17" t="str">
        <f>IF(C3226=1,COUNTIF($C$1:$C3226,1),"")</f>
        <v/>
      </c>
      <c r="E3226" s="7"/>
    </row>
    <row r="3227" spans="3:5">
      <c r="C3227" s="17">
        <f t="shared" si="50"/>
        <v>0</v>
      </c>
      <c r="D3227" s="17" t="str">
        <f>IF(C3227=1,COUNTIF($C$1:$C3227,1),"")</f>
        <v/>
      </c>
      <c r="E3227" s="7"/>
    </row>
    <row r="3228" spans="3:5">
      <c r="C3228" s="17">
        <f t="shared" si="50"/>
        <v>0</v>
      </c>
      <c r="D3228" s="17" t="str">
        <f>IF(C3228=1,COUNTIF($C$1:$C3228,1),"")</f>
        <v/>
      </c>
      <c r="E3228" s="7"/>
    </row>
    <row r="3229" spans="3:5">
      <c r="C3229" s="17">
        <f t="shared" si="50"/>
        <v>0</v>
      </c>
      <c r="D3229" s="17" t="str">
        <f>IF(C3229=1,COUNTIF($C$1:$C3229,1),"")</f>
        <v/>
      </c>
      <c r="E3229" s="7"/>
    </row>
    <row r="3230" spans="3:5">
      <c r="C3230" s="17">
        <f t="shared" si="50"/>
        <v>0</v>
      </c>
      <c r="D3230" s="17" t="str">
        <f>IF(C3230=1,COUNTIF($C$1:$C3230,1),"")</f>
        <v/>
      </c>
      <c r="E3230" s="7"/>
    </row>
    <row r="3231" spans="3:5">
      <c r="C3231" s="17">
        <f t="shared" si="50"/>
        <v>0</v>
      </c>
      <c r="D3231" s="17" t="str">
        <f>IF(C3231=1,COUNTIF($C$1:$C3231,1),"")</f>
        <v/>
      </c>
      <c r="E3231" s="7"/>
    </row>
    <row r="3232" spans="3:5">
      <c r="C3232" s="17">
        <f t="shared" si="50"/>
        <v>0</v>
      </c>
      <c r="D3232" s="17" t="str">
        <f>IF(C3232=1,COUNTIF($C$1:$C3232,1),"")</f>
        <v/>
      </c>
      <c r="E3232" s="7"/>
    </row>
    <row r="3233" spans="3:5">
      <c r="C3233" s="17">
        <f t="shared" si="50"/>
        <v>0</v>
      </c>
      <c r="D3233" s="17" t="str">
        <f>IF(C3233=1,COUNTIF($C$1:$C3233,1),"")</f>
        <v/>
      </c>
      <c r="E3233" s="7"/>
    </row>
    <row r="3234" spans="3:5">
      <c r="C3234" s="17">
        <f t="shared" si="50"/>
        <v>0</v>
      </c>
      <c r="D3234" s="17" t="str">
        <f>IF(C3234=1,COUNTIF($C$1:$C3234,1),"")</f>
        <v/>
      </c>
      <c r="E3234" s="7"/>
    </row>
    <row r="3235" spans="3:5">
      <c r="C3235" s="17">
        <f t="shared" si="50"/>
        <v>0</v>
      </c>
      <c r="D3235" s="17" t="str">
        <f>IF(C3235=1,COUNTIF($C$1:$C3235,1),"")</f>
        <v/>
      </c>
      <c r="E3235" s="7"/>
    </row>
    <row r="3236" spans="3:5">
      <c r="C3236" s="17">
        <f t="shared" si="50"/>
        <v>0</v>
      </c>
      <c r="D3236" s="17" t="str">
        <f>IF(C3236=1,COUNTIF($C$1:$C3236,1),"")</f>
        <v/>
      </c>
      <c r="E3236" s="7"/>
    </row>
    <row r="3237" spans="3:5">
      <c r="C3237" s="17">
        <f t="shared" si="50"/>
        <v>0</v>
      </c>
      <c r="D3237" s="17" t="str">
        <f>IF(C3237=1,COUNTIF($C$1:$C3237,1),"")</f>
        <v/>
      </c>
      <c r="E3237" s="7"/>
    </row>
    <row r="3238" spans="3:5">
      <c r="C3238" s="17">
        <f t="shared" si="50"/>
        <v>0</v>
      </c>
      <c r="D3238" s="17" t="str">
        <f>IF(C3238=1,COUNTIF($C$1:$C3238,1),"")</f>
        <v/>
      </c>
      <c r="E3238" s="7"/>
    </row>
    <row r="3239" spans="3:5">
      <c r="C3239" s="17">
        <f t="shared" si="50"/>
        <v>0</v>
      </c>
      <c r="D3239" s="17" t="str">
        <f>IF(C3239=1,COUNTIF($C$1:$C3239,1),"")</f>
        <v/>
      </c>
      <c r="E3239" s="7"/>
    </row>
    <row r="3240" spans="3:5">
      <c r="C3240" s="17">
        <f t="shared" si="50"/>
        <v>0</v>
      </c>
      <c r="D3240" s="17" t="str">
        <f>IF(C3240=1,COUNTIF($C$1:$C3240,1),"")</f>
        <v/>
      </c>
      <c r="E3240" s="7"/>
    </row>
    <row r="3241" spans="3:5">
      <c r="C3241" s="17">
        <f t="shared" si="50"/>
        <v>0</v>
      </c>
      <c r="D3241" s="17" t="str">
        <f>IF(C3241=1,COUNTIF($C$1:$C3241,1),"")</f>
        <v/>
      </c>
      <c r="E3241" s="7"/>
    </row>
    <row r="3242" spans="3:5">
      <c r="C3242" s="17">
        <f t="shared" si="50"/>
        <v>0</v>
      </c>
      <c r="D3242" s="17" t="str">
        <f>IF(C3242=1,COUNTIF($C$1:$C3242,1),"")</f>
        <v/>
      </c>
      <c r="E3242" s="7"/>
    </row>
    <row r="3243" spans="3:5">
      <c r="C3243" s="17">
        <f t="shared" si="50"/>
        <v>0</v>
      </c>
      <c r="D3243" s="17" t="str">
        <f>IF(C3243=1,COUNTIF($C$1:$C3243,1),"")</f>
        <v/>
      </c>
      <c r="E3243" s="7"/>
    </row>
    <row r="3244" spans="3:5">
      <c r="C3244" s="17">
        <f t="shared" si="50"/>
        <v>0</v>
      </c>
      <c r="D3244" s="17" t="str">
        <f>IF(C3244=1,COUNTIF($C$1:$C3244,1),"")</f>
        <v/>
      </c>
      <c r="E3244" s="7"/>
    </row>
    <row r="3245" spans="3:5">
      <c r="C3245" s="17">
        <f t="shared" si="50"/>
        <v>0</v>
      </c>
      <c r="D3245" s="17" t="str">
        <f>IF(C3245=1,COUNTIF($C$1:$C3245,1),"")</f>
        <v/>
      </c>
      <c r="E3245" s="7"/>
    </row>
    <row r="3246" spans="3:5">
      <c r="C3246" s="17">
        <f t="shared" si="50"/>
        <v>0</v>
      </c>
      <c r="D3246" s="17" t="str">
        <f>IF(C3246=1,COUNTIF($C$1:$C3246,1),"")</f>
        <v/>
      </c>
      <c r="E3246" s="7"/>
    </row>
    <row r="3247" spans="3:5">
      <c r="C3247" s="17">
        <f t="shared" si="50"/>
        <v>0</v>
      </c>
      <c r="D3247" s="17" t="str">
        <f>IF(C3247=1,COUNTIF($C$1:$C3247,1),"")</f>
        <v/>
      </c>
      <c r="E3247" s="7"/>
    </row>
    <row r="3248" spans="3:5">
      <c r="C3248" s="17">
        <f t="shared" si="50"/>
        <v>0</v>
      </c>
      <c r="D3248" s="17" t="str">
        <f>IF(C3248=1,COUNTIF($C$1:$C3248,1),"")</f>
        <v/>
      </c>
      <c r="E3248" s="7"/>
    </row>
    <row r="3249" spans="3:5">
      <c r="C3249" s="17">
        <f t="shared" si="50"/>
        <v>0</v>
      </c>
      <c r="D3249" s="17" t="str">
        <f>IF(C3249=1,COUNTIF($C$1:$C3249,1),"")</f>
        <v/>
      </c>
      <c r="E3249" s="7"/>
    </row>
    <row r="3250" spans="3:5">
      <c r="C3250" s="17">
        <f t="shared" si="50"/>
        <v>0</v>
      </c>
      <c r="D3250" s="17" t="str">
        <f>IF(C3250=1,COUNTIF($C$1:$C3250,1),"")</f>
        <v/>
      </c>
      <c r="E3250" s="7"/>
    </row>
    <row r="3251" spans="3:5">
      <c r="C3251" s="17">
        <f t="shared" si="50"/>
        <v>0</v>
      </c>
      <c r="D3251" s="17" t="str">
        <f>IF(C3251=1,COUNTIF($C$1:$C3251,1),"")</f>
        <v/>
      </c>
      <c r="E3251" s="7"/>
    </row>
    <row r="3252" spans="3:5">
      <c r="C3252" s="17">
        <f t="shared" si="50"/>
        <v>0</v>
      </c>
      <c r="D3252" s="17" t="str">
        <f>IF(C3252=1,COUNTIF($C$1:$C3252,1),"")</f>
        <v/>
      </c>
      <c r="E3252" s="7"/>
    </row>
    <row r="3253" spans="3:5">
      <c r="C3253" s="17">
        <f t="shared" si="50"/>
        <v>0</v>
      </c>
      <c r="D3253" s="17" t="str">
        <f>IF(C3253=1,COUNTIF($C$1:$C3253,1),"")</f>
        <v/>
      </c>
      <c r="E3253" s="7"/>
    </row>
    <row r="3254" spans="3:5">
      <c r="C3254" s="17">
        <f t="shared" si="50"/>
        <v>0</v>
      </c>
      <c r="D3254" s="17" t="str">
        <f>IF(C3254=1,COUNTIF($C$1:$C3254,1),"")</f>
        <v/>
      </c>
      <c r="E3254" s="7"/>
    </row>
    <row r="3255" spans="3:5">
      <c r="C3255" s="17">
        <f t="shared" si="50"/>
        <v>0</v>
      </c>
      <c r="D3255" s="17" t="str">
        <f>IF(C3255=1,COUNTIF($C$1:$C3255,1),"")</f>
        <v/>
      </c>
      <c r="E3255" s="7"/>
    </row>
    <row r="3256" spans="3:5">
      <c r="C3256" s="17">
        <f t="shared" si="50"/>
        <v>0</v>
      </c>
      <c r="D3256" s="17" t="str">
        <f>IF(C3256=1,COUNTIF($C$1:$C3256,1),"")</f>
        <v/>
      </c>
      <c r="E3256" s="7"/>
    </row>
    <row r="3257" spans="3:5">
      <c r="C3257" s="17">
        <f t="shared" si="50"/>
        <v>0</v>
      </c>
      <c r="D3257" s="17" t="str">
        <f>IF(C3257=1,COUNTIF($C$1:$C3257,1),"")</f>
        <v/>
      </c>
      <c r="E3257" s="7"/>
    </row>
    <row r="3258" spans="3:5">
      <c r="C3258" s="17">
        <f t="shared" si="50"/>
        <v>0</v>
      </c>
      <c r="D3258" s="17" t="str">
        <f>IF(C3258=1,COUNTIF($C$1:$C3258,1),"")</f>
        <v/>
      </c>
      <c r="E3258" s="7"/>
    </row>
    <row r="3259" spans="3:5">
      <c r="C3259" s="17">
        <f t="shared" si="50"/>
        <v>0</v>
      </c>
      <c r="D3259" s="17" t="str">
        <f>IF(C3259=1,COUNTIF($C$1:$C3259,1),"")</f>
        <v/>
      </c>
      <c r="E3259" s="7"/>
    </row>
    <row r="3260" spans="3:5">
      <c r="C3260" s="17">
        <f t="shared" si="50"/>
        <v>0</v>
      </c>
      <c r="D3260" s="17" t="str">
        <f>IF(C3260=1,COUNTIF($C$1:$C3260,1),"")</f>
        <v/>
      </c>
      <c r="E3260" s="7"/>
    </row>
    <row r="3261" spans="3:5">
      <c r="C3261" s="17">
        <f t="shared" si="50"/>
        <v>0</v>
      </c>
      <c r="D3261" s="17" t="str">
        <f>IF(C3261=1,COUNTIF($C$1:$C3261,1),"")</f>
        <v/>
      </c>
      <c r="E3261" s="7"/>
    </row>
    <row r="3262" spans="3:5">
      <c r="C3262" s="17">
        <f t="shared" si="50"/>
        <v>0</v>
      </c>
      <c r="D3262" s="17" t="str">
        <f>IF(C3262=1,COUNTIF($C$1:$C3262,1),"")</f>
        <v/>
      </c>
      <c r="E3262" s="7"/>
    </row>
    <row r="3263" spans="3:5">
      <c r="C3263" s="17">
        <f t="shared" si="50"/>
        <v>0</v>
      </c>
      <c r="D3263" s="17" t="str">
        <f>IF(C3263=1,COUNTIF($C$1:$C3263,1),"")</f>
        <v/>
      </c>
      <c r="E3263" s="7"/>
    </row>
    <row r="3264" spans="3:5">
      <c r="C3264" s="17">
        <f t="shared" si="50"/>
        <v>0</v>
      </c>
      <c r="D3264" s="17" t="str">
        <f>IF(C3264=1,COUNTIF($C$1:$C3264,1),"")</f>
        <v/>
      </c>
      <c r="E3264" s="7"/>
    </row>
    <row r="3265" spans="3:5">
      <c r="C3265" s="17">
        <f t="shared" si="50"/>
        <v>0</v>
      </c>
      <c r="D3265" s="17" t="str">
        <f>IF(C3265=1,COUNTIF($C$1:$C3265,1),"")</f>
        <v/>
      </c>
      <c r="E3265" s="7"/>
    </row>
    <row r="3266" spans="3:5">
      <c r="C3266" s="17">
        <f t="shared" ref="C3266:C3329" si="51">--ISNUMBER(SEARCH($B$1,A3266))</f>
        <v>0</v>
      </c>
      <c r="D3266" s="17" t="str">
        <f>IF(C3266=1,COUNTIF($C$1:$C3266,1),"")</f>
        <v/>
      </c>
      <c r="E3266" s="7"/>
    </row>
    <row r="3267" spans="3:5">
      <c r="C3267" s="17">
        <f t="shared" si="51"/>
        <v>0</v>
      </c>
      <c r="D3267" s="17" t="str">
        <f>IF(C3267=1,COUNTIF($C$1:$C3267,1),"")</f>
        <v/>
      </c>
      <c r="E3267" s="7"/>
    </row>
    <row r="3268" spans="3:5">
      <c r="C3268" s="17">
        <f t="shared" si="51"/>
        <v>0</v>
      </c>
      <c r="D3268" s="17" t="str">
        <f>IF(C3268=1,COUNTIF($C$1:$C3268,1),"")</f>
        <v/>
      </c>
      <c r="E3268" s="7"/>
    </row>
    <row r="3269" spans="3:5">
      <c r="C3269" s="17">
        <f t="shared" si="51"/>
        <v>0</v>
      </c>
      <c r="D3269" s="17" t="str">
        <f>IF(C3269=1,COUNTIF($C$1:$C3269,1),"")</f>
        <v/>
      </c>
      <c r="E3269" s="7"/>
    </row>
    <row r="3270" spans="3:5">
      <c r="C3270" s="17">
        <f t="shared" si="51"/>
        <v>0</v>
      </c>
      <c r="D3270" s="17" t="str">
        <f>IF(C3270=1,COUNTIF($C$1:$C3270,1),"")</f>
        <v/>
      </c>
      <c r="E3270" s="7"/>
    </row>
    <row r="3271" spans="3:5">
      <c r="C3271" s="17">
        <f t="shared" si="51"/>
        <v>0</v>
      </c>
      <c r="D3271" s="17" t="str">
        <f>IF(C3271=1,COUNTIF($C$1:$C3271,1),"")</f>
        <v/>
      </c>
      <c r="E3271" s="7"/>
    </row>
    <row r="3272" spans="3:5">
      <c r="C3272" s="17">
        <f t="shared" si="51"/>
        <v>0</v>
      </c>
      <c r="D3272" s="17" t="str">
        <f>IF(C3272=1,COUNTIF($C$1:$C3272,1),"")</f>
        <v/>
      </c>
      <c r="E3272" s="7"/>
    </row>
    <row r="3273" spans="3:5">
      <c r="C3273" s="17">
        <f t="shared" si="51"/>
        <v>0</v>
      </c>
      <c r="D3273" s="17" t="str">
        <f>IF(C3273=1,COUNTIF($C$1:$C3273,1),"")</f>
        <v/>
      </c>
      <c r="E3273" s="7"/>
    </row>
    <row r="3274" spans="3:5">
      <c r="C3274" s="17">
        <f t="shared" si="51"/>
        <v>0</v>
      </c>
      <c r="D3274" s="17" t="str">
        <f>IF(C3274=1,COUNTIF($C$1:$C3274,1),"")</f>
        <v/>
      </c>
      <c r="E3274" s="7"/>
    </row>
    <row r="3275" spans="3:5">
      <c r="C3275" s="17">
        <f t="shared" si="51"/>
        <v>0</v>
      </c>
      <c r="D3275" s="17" t="str">
        <f>IF(C3275=1,COUNTIF($C$1:$C3275,1),"")</f>
        <v/>
      </c>
      <c r="E3275" s="7"/>
    </row>
    <row r="3276" spans="3:5">
      <c r="C3276" s="17">
        <f t="shared" si="51"/>
        <v>0</v>
      </c>
      <c r="D3276" s="17" t="str">
        <f>IF(C3276=1,COUNTIF($C$1:$C3276,1),"")</f>
        <v/>
      </c>
      <c r="E3276" s="7"/>
    </row>
    <row r="3277" spans="3:5">
      <c r="C3277" s="17">
        <f t="shared" si="51"/>
        <v>0</v>
      </c>
      <c r="D3277" s="17" t="str">
        <f>IF(C3277=1,COUNTIF($C$1:$C3277,1),"")</f>
        <v/>
      </c>
      <c r="E3277" s="7"/>
    </row>
    <row r="3278" spans="3:5">
      <c r="C3278" s="17">
        <f t="shared" si="51"/>
        <v>0</v>
      </c>
      <c r="D3278" s="17" t="str">
        <f>IF(C3278=1,COUNTIF($C$1:$C3278,1),"")</f>
        <v/>
      </c>
      <c r="E3278" s="7"/>
    </row>
    <row r="3279" spans="3:5">
      <c r="C3279" s="17">
        <f t="shared" si="51"/>
        <v>0</v>
      </c>
      <c r="D3279" s="17" t="str">
        <f>IF(C3279=1,COUNTIF($C$1:$C3279,1),"")</f>
        <v/>
      </c>
      <c r="E3279" s="7"/>
    </row>
    <row r="3280" spans="3:5">
      <c r="C3280" s="17">
        <f t="shared" si="51"/>
        <v>0</v>
      </c>
      <c r="D3280" s="17" t="str">
        <f>IF(C3280=1,COUNTIF($C$1:$C3280,1),"")</f>
        <v/>
      </c>
      <c r="E3280" s="7"/>
    </row>
    <row r="3281" spans="3:5">
      <c r="C3281" s="17">
        <f t="shared" si="51"/>
        <v>0</v>
      </c>
      <c r="D3281" s="17" t="str">
        <f>IF(C3281=1,COUNTIF($C$1:$C3281,1),"")</f>
        <v/>
      </c>
      <c r="E3281" s="7"/>
    </row>
    <row r="3282" spans="3:5">
      <c r="C3282" s="17">
        <f t="shared" si="51"/>
        <v>0</v>
      </c>
      <c r="D3282" s="17" t="str">
        <f>IF(C3282=1,COUNTIF($C$1:$C3282,1),"")</f>
        <v/>
      </c>
      <c r="E3282" s="7"/>
    </row>
    <row r="3283" spans="3:5">
      <c r="C3283" s="17">
        <f t="shared" si="51"/>
        <v>0</v>
      </c>
      <c r="D3283" s="17" t="str">
        <f>IF(C3283=1,COUNTIF($C$1:$C3283,1),"")</f>
        <v/>
      </c>
      <c r="E3283" s="7"/>
    </row>
    <row r="3284" spans="3:5">
      <c r="C3284" s="17">
        <f t="shared" si="51"/>
        <v>0</v>
      </c>
      <c r="D3284" s="17" t="str">
        <f>IF(C3284=1,COUNTIF($C$1:$C3284,1),"")</f>
        <v/>
      </c>
      <c r="E3284" s="7"/>
    </row>
    <row r="3285" spans="3:5">
      <c r="C3285" s="17">
        <f t="shared" si="51"/>
        <v>0</v>
      </c>
      <c r="D3285" s="17" t="str">
        <f>IF(C3285=1,COUNTIF($C$1:$C3285,1),"")</f>
        <v/>
      </c>
      <c r="E3285" s="7"/>
    </row>
    <row r="3286" spans="3:5">
      <c r="C3286" s="17">
        <f t="shared" si="51"/>
        <v>0</v>
      </c>
      <c r="D3286" s="17" t="str">
        <f>IF(C3286=1,COUNTIF($C$1:$C3286,1),"")</f>
        <v/>
      </c>
      <c r="E3286" s="7"/>
    </row>
    <row r="3287" spans="3:5">
      <c r="C3287" s="17">
        <f t="shared" si="51"/>
        <v>0</v>
      </c>
      <c r="D3287" s="17" t="str">
        <f>IF(C3287=1,COUNTIF($C$1:$C3287,1),"")</f>
        <v/>
      </c>
      <c r="E3287" s="7"/>
    </row>
    <row r="3288" spans="3:5">
      <c r="C3288" s="17">
        <f t="shared" si="51"/>
        <v>0</v>
      </c>
      <c r="D3288" s="17" t="str">
        <f>IF(C3288=1,COUNTIF($C$1:$C3288,1),"")</f>
        <v/>
      </c>
      <c r="E3288" s="7"/>
    </row>
    <row r="3289" spans="3:5">
      <c r="C3289" s="17">
        <f t="shared" si="51"/>
        <v>0</v>
      </c>
      <c r="D3289" s="17" t="str">
        <f>IF(C3289=1,COUNTIF($C$1:$C3289,1),"")</f>
        <v/>
      </c>
      <c r="E3289" s="7"/>
    </row>
    <row r="3290" spans="3:5">
      <c r="C3290" s="17">
        <f t="shared" si="51"/>
        <v>0</v>
      </c>
      <c r="D3290" s="17" t="str">
        <f>IF(C3290=1,COUNTIF($C$1:$C3290,1),"")</f>
        <v/>
      </c>
      <c r="E3290" s="7"/>
    </row>
    <row r="3291" spans="3:5">
      <c r="C3291" s="17">
        <f t="shared" si="51"/>
        <v>0</v>
      </c>
      <c r="D3291" s="17" t="str">
        <f>IF(C3291=1,COUNTIF($C$1:$C3291,1),"")</f>
        <v/>
      </c>
      <c r="E3291" s="7"/>
    </row>
    <row r="3292" spans="3:5">
      <c r="C3292" s="17">
        <f t="shared" si="51"/>
        <v>0</v>
      </c>
      <c r="D3292" s="17" t="str">
        <f>IF(C3292=1,COUNTIF($C$1:$C3292,1),"")</f>
        <v/>
      </c>
      <c r="E3292" s="7"/>
    </row>
    <row r="3293" spans="3:5">
      <c r="C3293" s="17">
        <f t="shared" si="51"/>
        <v>0</v>
      </c>
      <c r="D3293" s="17" t="str">
        <f>IF(C3293=1,COUNTIF($C$1:$C3293,1),"")</f>
        <v/>
      </c>
      <c r="E3293" s="7"/>
    </row>
    <row r="3294" spans="3:5">
      <c r="C3294" s="17">
        <f t="shared" si="51"/>
        <v>0</v>
      </c>
      <c r="D3294" s="17" t="str">
        <f>IF(C3294=1,COUNTIF($C$1:$C3294,1),"")</f>
        <v/>
      </c>
      <c r="E3294" s="7"/>
    </row>
    <row r="3295" spans="3:5">
      <c r="C3295" s="17">
        <f t="shared" si="51"/>
        <v>0</v>
      </c>
      <c r="D3295" s="17" t="str">
        <f>IF(C3295=1,COUNTIF($C$1:$C3295,1),"")</f>
        <v/>
      </c>
      <c r="E3295" s="7"/>
    </row>
    <row r="3296" spans="3:5">
      <c r="C3296" s="17">
        <f t="shared" si="51"/>
        <v>0</v>
      </c>
      <c r="D3296" s="17" t="str">
        <f>IF(C3296=1,COUNTIF($C$1:$C3296,1),"")</f>
        <v/>
      </c>
      <c r="E3296" s="7"/>
    </row>
    <row r="3297" spans="3:5">
      <c r="C3297" s="17">
        <f t="shared" si="51"/>
        <v>0</v>
      </c>
      <c r="D3297" s="17" t="str">
        <f>IF(C3297=1,COUNTIF($C$1:$C3297,1),"")</f>
        <v/>
      </c>
      <c r="E3297" s="7"/>
    </row>
    <row r="3298" spans="3:5">
      <c r="C3298" s="17">
        <f t="shared" si="51"/>
        <v>0</v>
      </c>
      <c r="D3298" s="17" t="str">
        <f>IF(C3298=1,COUNTIF($C$1:$C3298,1),"")</f>
        <v/>
      </c>
      <c r="E3298" s="7"/>
    </row>
    <row r="3299" spans="3:5">
      <c r="C3299" s="17">
        <f t="shared" si="51"/>
        <v>0</v>
      </c>
      <c r="D3299" s="17" t="str">
        <f>IF(C3299=1,COUNTIF($C$1:$C3299,1),"")</f>
        <v/>
      </c>
      <c r="E3299" s="7"/>
    </row>
    <row r="3300" spans="3:5">
      <c r="C3300" s="17">
        <f t="shared" si="51"/>
        <v>0</v>
      </c>
      <c r="D3300" s="17" t="str">
        <f>IF(C3300=1,COUNTIF($C$1:$C3300,1),"")</f>
        <v/>
      </c>
      <c r="E3300" s="7"/>
    </row>
    <row r="3301" spans="3:5">
      <c r="C3301" s="17">
        <f t="shared" si="51"/>
        <v>0</v>
      </c>
      <c r="D3301" s="17" t="str">
        <f>IF(C3301=1,COUNTIF($C$1:$C3301,1),"")</f>
        <v/>
      </c>
      <c r="E3301" s="7"/>
    </row>
    <row r="3302" spans="3:5">
      <c r="C3302" s="17">
        <f t="shared" si="51"/>
        <v>0</v>
      </c>
      <c r="D3302" s="17" t="str">
        <f>IF(C3302=1,COUNTIF($C$1:$C3302,1),"")</f>
        <v/>
      </c>
      <c r="E3302" s="7"/>
    </row>
    <row r="3303" spans="3:5">
      <c r="C3303" s="17">
        <f t="shared" si="51"/>
        <v>0</v>
      </c>
      <c r="D3303" s="17" t="str">
        <f>IF(C3303=1,COUNTIF($C$1:$C3303,1),"")</f>
        <v/>
      </c>
      <c r="E3303" s="7"/>
    </row>
    <row r="3304" spans="3:5">
      <c r="C3304" s="17">
        <f t="shared" si="51"/>
        <v>0</v>
      </c>
      <c r="D3304" s="17" t="str">
        <f>IF(C3304=1,COUNTIF($C$1:$C3304,1),"")</f>
        <v/>
      </c>
      <c r="E3304" s="7"/>
    </row>
    <row r="3305" spans="3:5">
      <c r="C3305" s="17">
        <f t="shared" si="51"/>
        <v>0</v>
      </c>
      <c r="D3305" s="17" t="str">
        <f>IF(C3305=1,COUNTIF($C$1:$C3305,1),"")</f>
        <v/>
      </c>
      <c r="E3305" s="7"/>
    </row>
    <row r="3306" spans="3:5">
      <c r="C3306" s="17">
        <f t="shared" si="51"/>
        <v>0</v>
      </c>
      <c r="D3306" s="17" t="str">
        <f>IF(C3306=1,COUNTIF($C$1:$C3306,1),"")</f>
        <v/>
      </c>
      <c r="E3306" s="7"/>
    </row>
    <row r="3307" spans="3:5">
      <c r="C3307" s="17">
        <f t="shared" si="51"/>
        <v>0</v>
      </c>
      <c r="D3307" s="17" t="str">
        <f>IF(C3307=1,COUNTIF($C$1:$C3307,1),"")</f>
        <v/>
      </c>
      <c r="E3307" s="7"/>
    </row>
    <row r="3308" spans="3:5">
      <c r="C3308" s="17">
        <f t="shared" si="51"/>
        <v>0</v>
      </c>
      <c r="D3308" s="17" t="str">
        <f>IF(C3308=1,COUNTIF($C$1:$C3308,1),"")</f>
        <v/>
      </c>
      <c r="E3308" s="7"/>
    </row>
    <row r="3309" spans="3:5">
      <c r="C3309" s="17">
        <f t="shared" si="51"/>
        <v>0</v>
      </c>
      <c r="D3309" s="17" t="str">
        <f>IF(C3309=1,COUNTIF($C$1:$C3309,1),"")</f>
        <v/>
      </c>
      <c r="E3309" s="7"/>
    </row>
    <row r="3310" spans="3:5">
      <c r="C3310" s="17">
        <f t="shared" si="51"/>
        <v>0</v>
      </c>
      <c r="D3310" s="17" t="str">
        <f>IF(C3310=1,COUNTIF($C$1:$C3310,1),"")</f>
        <v/>
      </c>
      <c r="E3310" s="7"/>
    </row>
    <row r="3311" spans="3:5">
      <c r="C3311" s="17">
        <f t="shared" si="51"/>
        <v>0</v>
      </c>
      <c r="D3311" s="17" t="str">
        <f>IF(C3311=1,COUNTIF($C$1:$C3311,1),"")</f>
        <v/>
      </c>
      <c r="E3311" s="7"/>
    </row>
    <row r="3312" spans="3:5">
      <c r="C3312" s="17">
        <f t="shared" si="51"/>
        <v>0</v>
      </c>
      <c r="D3312" s="17" t="str">
        <f>IF(C3312=1,COUNTIF($C$1:$C3312,1),"")</f>
        <v/>
      </c>
      <c r="E3312" s="7"/>
    </row>
    <row r="3313" spans="3:5">
      <c r="C3313" s="17">
        <f t="shared" si="51"/>
        <v>0</v>
      </c>
      <c r="D3313" s="17" t="str">
        <f>IF(C3313=1,COUNTIF($C$1:$C3313,1),"")</f>
        <v/>
      </c>
      <c r="E3313" s="7"/>
    </row>
    <row r="3314" spans="3:5">
      <c r="C3314" s="17">
        <f t="shared" si="51"/>
        <v>0</v>
      </c>
      <c r="D3314" s="17" t="str">
        <f>IF(C3314=1,COUNTIF($C$1:$C3314,1),"")</f>
        <v/>
      </c>
      <c r="E3314" s="7"/>
    </row>
    <row r="3315" spans="3:5">
      <c r="C3315" s="17">
        <f t="shared" si="51"/>
        <v>0</v>
      </c>
      <c r="D3315" s="17" t="str">
        <f>IF(C3315=1,COUNTIF($C$1:$C3315,1),"")</f>
        <v/>
      </c>
      <c r="E3315" s="7"/>
    </row>
    <row r="3316" spans="3:5">
      <c r="C3316" s="17">
        <f t="shared" si="51"/>
        <v>0</v>
      </c>
      <c r="D3316" s="17" t="str">
        <f>IF(C3316=1,COUNTIF($C$1:$C3316,1),"")</f>
        <v/>
      </c>
      <c r="E3316" s="7"/>
    </row>
    <row r="3317" spans="3:5">
      <c r="C3317" s="17">
        <f t="shared" si="51"/>
        <v>0</v>
      </c>
      <c r="D3317" s="17" t="str">
        <f>IF(C3317=1,COUNTIF($C$1:$C3317,1),"")</f>
        <v/>
      </c>
      <c r="E3317" s="7"/>
    </row>
    <row r="3318" spans="3:5">
      <c r="C3318" s="17">
        <f t="shared" si="51"/>
        <v>0</v>
      </c>
      <c r="D3318" s="17" t="str">
        <f>IF(C3318=1,COUNTIF($C$1:$C3318,1),"")</f>
        <v/>
      </c>
      <c r="E3318" s="7"/>
    </row>
    <row r="3319" spans="3:5">
      <c r="C3319" s="17">
        <f t="shared" si="51"/>
        <v>0</v>
      </c>
      <c r="D3319" s="17" t="str">
        <f>IF(C3319=1,COUNTIF($C$1:$C3319,1),"")</f>
        <v/>
      </c>
      <c r="E3319" s="7"/>
    </row>
    <row r="3320" spans="3:5">
      <c r="C3320" s="17">
        <f t="shared" si="51"/>
        <v>0</v>
      </c>
      <c r="D3320" s="17" t="str">
        <f>IF(C3320=1,COUNTIF($C$1:$C3320,1),"")</f>
        <v/>
      </c>
      <c r="E3320" s="7"/>
    </row>
    <row r="3321" spans="3:5">
      <c r="C3321" s="17">
        <f t="shared" si="51"/>
        <v>0</v>
      </c>
      <c r="D3321" s="17" t="str">
        <f>IF(C3321=1,COUNTIF($C$1:$C3321,1),"")</f>
        <v/>
      </c>
      <c r="E3321" s="7"/>
    </row>
    <row r="3322" spans="3:5">
      <c r="C3322" s="17">
        <f t="shared" si="51"/>
        <v>0</v>
      </c>
      <c r="D3322" s="17" t="str">
        <f>IF(C3322=1,COUNTIF($C$1:$C3322,1),"")</f>
        <v/>
      </c>
      <c r="E3322" s="7"/>
    </row>
    <row r="3323" spans="3:5">
      <c r="C3323" s="17">
        <f t="shared" si="51"/>
        <v>0</v>
      </c>
      <c r="D3323" s="17" t="str">
        <f>IF(C3323=1,COUNTIF($C$1:$C3323,1),"")</f>
        <v/>
      </c>
      <c r="E3323" s="7"/>
    </row>
    <row r="3324" spans="3:5">
      <c r="C3324" s="17">
        <f t="shared" si="51"/>
        <v>0</v>
      </c>
      <c r="D3324" s="17" t="str">
        <f>IF(C3324=1,COUNTIF($C$1:$C3324,1),"")</f>
        <v/>
      </c>
      <c r="E3324" s="7"/>
    </row>
    <row r="3325" spans="3:5">
      <c r="C3325" s="17">
        <f t="shared" si="51"/>
        <v>0</v>
      </c>
      <c r="D3325" s="17" t="str">
        <f>IF(C3325=1,COUNTIF($C$1:$C3325,1),"")</f>
        <v/>
      </c>
      <c r="E3325" s="7"/>
    </row>
    <row r="3326" spans="3:5">
      <c r="C3326" s="17">
        <f t="shared" si="51"/>
        <v>0</v>
      </c>
      <c r="D3326" s="17" t="str">
        <f>IF(C3326=1,COUNTIF($C$1:$C3326,1),"")</f>
        <v/>
      </c>
      <c r="E3326" s="7"/>
    </row>
    <row r="3327" spans="3:5">
      <c r="C3327" s="17">
        <f t="shared" si="51"/>
        <v>0</v>
      </c>
      <c r="D3327" s="17" t="str">
        <f>IF(C3327=1,COUNTIF($C$1:$C3327,1),"")</f>
        <v/>
      </c>
      <c r="E3327" s="7"/>
    </row>
    <row r="3328" spans="3:5">
      <c r="C3328" s="17">
        <f t="shared" si="51"/>
        <v>0</v>
      </c>
      <c r="D3328" s="17" t="str">
        <f>IF(C3328=1,COUNTIF($C$1:$C3328,1),"")</f>
        <v/>
      </c>
      <c r="E3328" s="7"/>
    </row>
    <row r="3329" spans="3:5">
      <c r="C3329" s="17">
        <f t="shared" si="51"/>
        <v>0</v>
      </c>
      <c r="D3329" s="17" t="str">
        <f>IF(C3329=1,COUNTIF($C$1:$C3329,1),"")</f>
        <v/>
      </c>
      <c r="E3329" s="7"/>
    </row>
    <row r="3330" spans="3:5">
      <c r="C3330" s="17">
        <f t="shared" ref="C3330:C3393" si="52">--ISNUMBER(SEARCH($B$1,A3330))</f>
        <v>0</v>
      </c>
      <c r="D3330" s="17" t="str">
        <f>IF(C3330=1,COUNTIF($C$1:$C3330,1),"")</f>
        <v/>
      </c>
      <c r="E3330" s="7"/>
    </row>
    <row r="3331" spans="3:5">
      <c r="C3331" s="17">
        <f t="shared" si="52"/>
        <v>0</v>
      </c>
      <c r="D3331" s="17" t="str">
        <f>IF(C3331=1,COUNTIF($C$1:$C3331,1),"")</f>
        <v/>
      </c>
      <c r="E3331" s="7"/>
    </row>
    <row r="3332" spans="3:5">
      <c r="C3332" s="17">
        <f t="shared" si="52"/>
        <v>0</v>
      </c>
      <c r="D3332" s="17" t="str">
        <f>IF(C3332=1,COUNTIF($C$1:$C3332,1),"")</f>
        <v/>
      </c>
      <c r="E3332" s="7"/>
    </row>
    <row r="3333" spans="3:5">
      <c r="C3333" s="17">
        <f t="shared" si="52"/>
        <v>0</v>
      </c>
      <c r="D3333" s="17" t="str">
        <f>IF(C3333=1,COUNTIF($C$1:$C3333,1),"")</f>
        <v/>
      </c>
      <c r="E3333" s="7"/>
    </row>
    <row r="3334" spans="3:5">
      <c r="C3334" s="17">
        <f t="shared" si="52"/>
        <v>0</v>
      </c>
      <c r="D3334" s="17" t="str">
        <f>IF(C3334=1,COUNTIF($C$1:$C3334,1),"")</f>
        <v/>
      </c>
      <c r="E3334" s="7"/>
    </row>
    <row r="3335" spans="3:5">
      <c r="C3335" s="17">
        <f t="shared" si="52"/>
        <v>0</v>
      </c>
      <c r="D3335" s="17" t="str">
        <f>IF(C3335=1,COUNTIF($C$1:$C3335,1),"")</f>
        <v/>
      </c>
      <c r="E3335" s="7"/>
    </row>
    <row r="3336" spans="3:5">
      <c r="C3336" s="17">
        <f t="shared" si="52"/>
        <v>0</v>
      </c>
      <c r="D3336" s="17" t="str">
        <f>IF(C3336=1,COUNTIF($C$1:$C3336,1),"")</f>
        <v/>
      </c>
      <c r="E3336" s="7"/>
    </row>
    <row r="3337" spans="3:5">
      <c r="C3337" s="17">
        <f t="shared" si="52"/>
        <v>0</v>
      </c>
      <c r="D3337" s="17" t="str">
        <f>IF(C3337=1,COUNTIF($C$1:$C3337,1),"")</f>
        <v/>
      </c>
      <c r="E3337" s="7"/>
    </row>
    <row r="3338" spans="3:5">
      <c r="C3338" s="17">
        <f t="shared" si="52"/>
        <v>0</v>
      </c>
      <c r="D3338" s="17" t="str">
        <f>IF(C3338=1,COUNTIF($C$1:$C3338,1),"")</f>
        <v/>
      </c>
      <c r="E3338" s="7"/>
    </row>
    <row r="3339" spans="3:5">
      <c r="C3339" s="17">
        <f t="shared" si="52"/>
        <v>0</v>
      </c>
      <c r="D3339" s="17" t="str">
        <f>IF(C3339=1,COUNTIF($C$1:$C3339,1),"")</f>
        <v/>
      </c>
      <c r="E3339" s="7"/>
    </row>
    <row r="3340" spans="3:5">
      <c r="C3340" s="17">
        <f t="shared" si="52"/>
        <v>0</v>
      </c>
      <c r="D3340" s="17" t="str">
        <f>IF(C3340=1,COUNTIF($C$1:$C3340,1),"")</f>
        <v/>
      </c>
      <c r="E3340" s="7"/>
    </row>
    <row r="3341" spans="3:5">
      <c r="C3341" s="17">
        <f t="shared" si="52"/>
        <v>0</v>
      </c>
      <c r="D3341" s="17" t="str">
        <f>IF(C3341=1,COUNTIF($C$1:$C3341,1),"")</f>
        <v/>
      </c>
      <c r="E3341" s="7"/>
    </row>
    <row r="3342" spans="3:5">
      <c r="C3342" s="17">
        <f t="shared" si="52"/>
        <v>0</v>
      </c>
      <c r="D3342" s="17" t="str">
        <f>IF(C3342=1,COUNTIF($C$1:$C3342,1),"")</f>
        <v/>
      </c>
      <c r="E3342" s="7"/>
    </row>
    <row r="3343" spans="3:5">
      <c r="C3343" s="17">
        <f t="shared" si="52"/>
        <v>0</v>
      </c>
      <c r="D3343" s="17" t="str">
        <f>IF(C3343=1,COUNTIF($C$1:$C3343,1),"")</f>
        <v/>
      </c>
      <c r="E3343" s="7"/>
    </row>
    <row r="3344" spans="3:5">
      <c r="C3344" s="17">
        <f t="shared" si="52"/>
        <v>0</v>
      </c>
      <c r="D3344" s="17" t="str">
        <f>IF(C3344=1,COUNTIF($C$1:$C3344,1),"")</f>
        <v/>
      </c>
      <c r="E3344" s="7"/>
    </row>
    <row r="3345" spans="3:5">
      <c r="C3345" s="17">
        <f t="shared" si="52"/>
        <v>0</v>
      </c>
      <c r="D3345" s="17" t="str">
        <f>IF(C3345=1,COUNTIF($C$1:$C3345,1),"")</f>
        <v/>
      </c>
      <c r="E3345" s="7"/>
    </row>
    <row r="3346" spans="3:5">
      <c r="C3346" s="17">
        <f t="shared" si="52"/>
        <v>0</v>
      </c>
      <c r="D3346" s="17" t="str">
        <f>IF(C3346=1,COUNTIF($C$1:$C3346,1),"")</f>
        <v/>
      </c>
      <c r="E3346" s="7"/>
    </row>
    <row r="3347" spans="3:5">
      <c r="C3347" s="17">
        <f t="shared" si="52"/>
        <v>0</v>
      </c>
      <c r="D3347" s="17" t="str">
        <f>IF(C3347=1,COUNTIF($C$1:$C3347,1),"")</f>
        <v/>
      </c>
      <c r="E3347" s="7"/>
    </row>
    <row r="3348" spans="3:5">
      <c r="C3348" s="17">
        <f t="shared" si="52"/>
        <v>0</v>
      </c>
      <c r="D3348" s="17" t="str">
        <f>IF(C3348=1,COUNTIF($C$1:$C3348,1),"")</f>
        <v/>
      </c>
      <c r="E3348" s="7"/>
    </row>
    <row r="3349" spans="3:5">
      <c r="C3349" s="17">
        <f t="shared" si="52"/>
        <v>0</v>
      </c>
      <c r="D3349" s="17" t="str">
        <f>IF(C3349=1,COUNTIF($C$1:$C3349,1),"")</f>
        <v/>
      </c>
      <c r="E3349" s="7"/>
    </row>
    <row r="3350" spans="3:5">
      <c r="C3350" s="17">
        <f t="shared" si="52"/>
        <v>0</v>
      </c>
      <c r="D3350" s="17" t="str">
        <f>IF(C3350=1,COUNTIF($C$1:$C3350,1),"")</f>
        <v/>
      </c>
      <c r="E3350" s="7"/>
    </row>
    <row r="3351" spans="3:5">
      <c r="C3351" s="17">
        <f t="shared" si="52"/>
        <v>0</v>
      </c>
      <c r="D3351" s="17" t="str">
        <f>IF(C3351=1,COUNTIF($C$1:$C3351,1),"")</f>
        <v/>
      </c>
      <c r="E3351" s="7"/>
    </row>
    <row r="3352" spans="3:5">
      <c r="C3352" s="17">
        <f t="shared" si="52"/>
        <v>0</v>
      </c>
      <c r="D3352" s="17" t="str">
        <f>IF(C3352=1,COUNTIF($C$1:$C3352,1),"")</f>
        <v/>
      </c>
      <c r="E3352" s="7"/>
    </row>
    <row r="3353" spans="3:5">
      <c r="C3353" s="17">
        <f t="shared" si="52"/>
        <v>0</v>
      </c>
      <c r="D3353" s="17" t="str">
        <f>IF(C3353=1,COUNTIF($C$1:$C3353,1),"")</f>
        <v/>
      </c>
      <c r="E3353" s="7"/>
    </row>
    <row r="3354" spans="3:5">
      <c r="C3354" s="17">
        <f t="shared" si="52"/>
        <v>0</v>
      </c>
      <c r="D3354" s="17" t="str">
        <f>IF(C3354=1,COUNTIF($C$1:$C3354,1),"")</f>
        <v/>
      </c>
      <c r="E3354" s="7"/>
    </row>
    <row r="3355" spans="3:5">
      <c r="C3355" s="17">
        <f t="shared" si="52"/>
        <v>0</v>
      </c>
      <c r="D3355" s="17" t="str">
        <f>IF(C3355=1,COUNTIF($C$1:$C3355,1),"")</f>
        <v/>
      </c>
      <c r="E3355" s="7"/>
    </row>
    <row r="3356" spans="3:5">
      <c r="C3356" s="17">
        <f t="shared" si="52"/>
        <v>0</v>
      </c>
      <c r="D3356" s="17" t="str">
        <f>IF(C3356=1,COUNTIF($C$1:$C3356,1),"")</f>
        <v/>
      </c>
      <c r="E3356" s="7"/>
    </row>
    <row r="3357" spans="3:5">
      <c r="C3357" s="17">
        <f t="shared" si="52"/>
        <v>0</v>
      </c>
      <c r="D3357" s="17" t="str">
        <f>IF(C3357=1,COUNTIF($C$1:$C3357,1),"")</f>
        <v/>
      </c>
      <c r="E3357" s="7"/>
    </row>
    <row r="3358" spans="3:5">
      <c r="C3358" s="17">
        <f t="shared" si="52"/>
        <v>0</v>
      </c>
      <c r="D3358" s="17" t="str">
        <f>IF(C3358=1,COUNTIF($C$1:$C3358,1),"")</f>
        <v/>
      </c>
      <c r="E3358" s="7"/>
    </row>
    <row r="3359" spans="3:5">
      <c r="C3359" s="17">
        <f t="shared" si="52"/>
        <v>0</v>
      </c>
      <c r="D3359" s="17" t="str">
        <f>IF(C3359=1,COUNTIF($C$1:$C3359,1),"")</f>
        <v/>
      </c>
      <c r="E3359" s="7"/>
    </row>
    <row r="3360" spans="3:5">
      <c r="C3360" s="17">
        <f t="shared" si="52"/>
        <v>0</v>
      </c>
      <c r="D3360" s="17" t="str">
        <f>IF(C3360=1,COUNTIF($C$1:$C3360,1),"")</f>
        <v/>
      </c>
      <c r="E3360" s="7"/>
    </row>
    <row r="3361" spans="3:5">
      <c r="C3361" s="17">
        <f t="shared" si="52"/>
        <v>0</v>
      </c>
      <c r="D3361" s="17" t="str">
        <f>IF(C3361=1,COUNTIF($C$1:$C3361,1),"")</f>
        <v/>
      </c>
      <c r="E3361" s="7"/>
    </row>
    <row r="3362" spans="3:5">
      <c r="C3362" s="17">
        <f t="shared" si="52"/>
        <v>0</v>
      </c>
      <c r="D3362" s="17" t="str">
        <f>IF(C3362=1,COUNTIF($C$1:$C3362,1),"")</f>
        <v/>
      </c>
      <c r="E3362" s="7"/>
    </row>
    <row r="3363" spans="3:5">
      <c r="C3363" s="17">
        <f t="shared" si="52"/>
        <v>0</v>
      </c>
      <c r="D3363" s="17" t="str">
        <f>IF(C3363=1,COUNTIF($C$1:$C3363,1),"")</f>
        <v/>
      </c>
      <c r="E3363" s="7"/>
    </row>
    <row r="3364" spans="3:5">
      <c r="C3364" s="17">
        <f t="shared" si="52"/>
        <v>0</v>
      </c>
      <c r="D3364" s="17" t="str">
        <f>IF(C3364=1,COUNTIF($C$1:$C3364,1),"")</f>
        <v/>
      </c>
      <c r="E3364" s="7"/>
    </row>
    <row r="3365" spans="3:5">
      <c r="C3365" s="17">
        <f t="shared" si="52"/>
        <v>0</v>
      </c>
      <c r="D3365" s="17" t="str">
        <f>IF(C3365=1,COUNTIF($C$1:$C3365,1),"")</f>
        <v/>
      </c>
      <c r="E3365" s="7"/>
    </row>
    <row r="3366" spans="3:5">
      <c r="C3366" s="17">
        <f t="shared" si="52"/>
        <v>0</v>
      </c>
      <c r="D3366" s="17" t="str">
        <f>IF(C3366=1,COUNTIF($C$1:$C3366,1),"")</f>
        <v/>
      </c>
      <c r="E3366" s="7"/>
    </row>
    <row r="3367" spans="3:5">
      <c r="C3367" s="17">
        <f t="shared" si="52"/>
        <v>0</v>
      </c>
      <c r="D3367" s="17" t="str">
        <f>IF(C3367=1,COUNTIF($C$1:$C3367,1),"")</f>
        <v/>
      </c>
      <c r="E3367" s="7"/>
    </row>
    <row r="3368" spans="3:5">
      <c r="C3368" s="17">
        <f t="shared" si="52"/>
        <v>0</v>
      </c>
      <c r="D3368" s="17" t="str">
        <f>IF(C3368=1,COUNTIF($C$1:$C3368,1),"")</f>
        <v/>
      </c>
      <c r="E3368" s="7"/>
    </row>
    <row r="3369" spans="3:5">
      <c r="C3369" s="17">
        <f t="shared" si="52"/>
        <v>0</v>
      </c>
      <c r="D3369" s="17" t="str">
        <f>IF(C3369=1,COUNTIF($C$1:$C3369,1),"")</f>
        <v/>
      </c>
      <c r="E3369" s="7"/>
    </row>
    <row r="3370" spans="3:5">
      <c r="C3370" s="17">
        <f t="shared" si="52"/>
        <v>0</v>
      </c>
      <c r="D3370" s="17" t="str">
        <f>IF(C3370=1,COUNTIF($C$1:$C3370,1),"")</f>
        <v/>
      </c>
      <c r="E3370" s="7"/>
    </row>
    <row r="3371" spans="3:5">
      <c r="C3371" s="17">
        <f t="shared" si="52"/>
        <v>0</v>
      </c>
      <c r="D3371" s="17" t="str">
        <f>IF(C3371=1,COUNTIF($C$1:$C3371,1),"")</f>
        <v/>
      </c>
      <c r="E3371" s="7"/>
    </row>
    <row r="3372" spans="3:5">
      <c r="C3372" s="17">
        <f t="shared" si="52"/>
        <v>0</v>
      </c>
      <c r="D3372" s="17" t="str">
        <f>IF(C3372=1,COUNTIF($C$1:$C3372,1),"")</f>
        <v/>
      </c>
      <c r="E3372" s="7"/>
    </row>
    <row r="3373" spans="3:5">
      <c r="C3373" s="17">
        <f t="shared" si="52"/>
        <v>0</v>
      </c>
      <c r="D3373" s="17" t="str">
        <f>IF(C3373=1,COUNTIF($C$1:$C3373,1),"")</f>
        <v/>
      </c>
      <c r="E3373" s="7"/>
    </row>
    <row r="3374" spans="3:5">
      <c r="C3374" s="17">
        <f t="shared" si="52"/>
        <v>0</v>
      </c>
      <c r="D3374" s="17" t="str">
        <f>IF(C3374=1,COUNTIF($C$1:$C3374,1),"")</f>
        <v/>
      </c>
      <c r="E3374" s="7"/>
    </row>
    <row r="3375" spans="3:5">
      <c r="C3375" s="17">
        <f t="shared" si="52"/>
        <v>0</v>
      </c>
      <c r="D3375" s="17" t="str">
        <f>IF(C3375=1,COUNTIF($C$1:$C3375,1),"")</f>
        <v/>
      </c>
      <c r="E3375" s="7"/>
    </row>
    <row r="3376" spans="3:5">
      <c r="C3376" s="17">
        <f t="shared" si="52"/>
        <v>0</v>
      </c>
      <c r="D3376" s="17" t="str">
        <f>IF(C3376=1,COUNTIF($C$1:$C3376,1),"")</f>
        <v/>
      </c>
      <c r="E3376" s="7"/>
    </row>
    <row r="3377" spans="3:5">
      <c r="C3377" s="17">
        <f t="shared" si="52"/>
        <v>0</v>
      </c>
      <c r="D3377" s="17" t="str">
        <f>IF(C3377=1,COUNTIF($C$1:$C3377,1),"")</f>
        <v/>
      </c>
      <c r="E3377" s="7"/>
    </row>
    <row r="3378" spans="3:5">
      <c r="C3378" s="17">
        <f t="shared" si="52"/>
        <v>0</v>
      </c>
      <c r="D3378" s="17" t="str">
        <f>IF(C3378=1,COUNTIF($C$1:$C3378,1),"")</f>
        <v/>
      </c>
      <c r="E3378" s="7"/>
    </row>
    <row r="3379" spans="3:5">
      <c r="C3379" s="17">
        <f t="shared" si="52"/>
        <v>0</v>
      </c>
      <c r="D3379" s="17" t="str">
        <f>IF(C3379=1,COUNTIF($C$1:$C3379,1),"")</f>
        <v/>
      </c>
      <c r="E3379" s="7"/>
    </row>
    <row r="3380" spans="3:5">
      <c r="C3380" s="17">
        <f t="shared" si="52"/>
        <v>0</v>
      </c>
      <c r="D3380" s="17" t="str">
        <f>IF(C3380=1,COUNTIF($C$1:$C3380,1),"")</f>
        <v/>
      </c>
      <c r="E3380" s="7"/>
    </row>
    <row r="3381" spans="3:5">
      <c r="C3381" s="17">
        <f t="shared" si="52"/>
        <v>0</v>
      </c>
      <c r="D3381" s="17" t="str">
        <f>IF(C3381=1,COUNTIF($C$1:$C3381,1),"")</f>
        <v/>
      </c>
      <c r="E3381" s="7"/>
    </row>
    <row r="3382" spans="3:5">
      <c r="C3382" s="17">
        <f t="shared" si="52"/>
        <v>0</v>
      </c>
      <c r="D3382" s="17" t="str">
        <f>IF(C3382=1,COUNTIF($C$1:$C3382,1),"")</f>
        <v/>
      </c>
      <c r="E3382" s="7"/>
    </row>
    <row r="3383" spans="3:5">
      <c r="C3383" s="17">
        <f t="shared" si="52"/>
        <v>0</v>
      </c>
      <c r="D3383" s="17" t="str">
        <f>IF(C3383=1,COUNTIF($C$1:$C3383,1),"")</f>
        <v/>
      </c>
      <c r="E3383" s="7"/>
    </row>
    <row r="3384" spans="3:5">
      <c r="C3384" s="17">
        <f t="shared" si="52"/>
        <v>0</v>
      </c>
      <c r="D3384" s="17" t="str">
        <f>IF(C3384=1,COUNTIF($C$1:$C3384,1),"")</f>
        <v/>
      </c>
      <c r="E3384" s="7"/>
    </row>
    <row r="3385" spans="3:5">
      <c r="C3385" s="17">
        <f t="shared" si="52"/>
        <v>0</v>
      </c>
      <c r="D3385" s="17" t="str">
        <f>IF(C3385=1,COUNTIF($C$1:$C3385,1),"")</f>
        <v/>
      </c>
      <c r="E3385" s="7"/>
    </row>
    <row r="3386" spans="3:5">
      <c r="C3386" s="17">
        <f t="shared" si="52"/>
        <v>0</v>
      </c>
      <c r="D3386" s="17" t="str">
        <f>IF(C3386=1,COUNTIF($C$1:$C3386,1),"")</f>
        <v/>
      </c>
      <c r="E3386" s="7"/>
    </row>
    <row r="3387" spans="3:5">
      <c r="C3387" s="17">
        <f t="shared" si="52"/>
        <v>0</v>
      </c>
      <c r="D3387" s="17" t="str">
        <f>IF(C3387=1,COUNTIF($C$1:$C3387,1),"")</f>
        <v/>
      </c>
      <c r="E3387" s="7"/>
    </row>
    <row r="3388" spans="3:5">
      <c r="C3388" s="17">
        <f t="shared" si="52"/>
        <v>0</v>
      </c>
      <c r="D3388" s="17" t="str">
        <f>IF(C3388=1,COUNTIF($C$1:$C3388,1),"")</f>
        <v/>
      </c>
      <c r="E3388" s="7"/>
    </row>
    <row r="3389" spans="3:5">
      <c r="C3389" s="17">
        <f t="shared" si="52"/>
        <v>0</v>
      </c>
      <c r="D3389" s="17" t="str">
        <f>IF(C3389=1,COUNTIF($C$1:$C3389,1),"")</f>
        <v/>
      </c>
      <c r="E3389" s="7"/>
    </row>
    <row r="3390" spans="3:5">
      <c r="C3390" s="17">
        <f t="shared" si="52"/>
        <v>0</v>
      </c>
      <c r="D3390" s="17" t="str">
        <f>IF(C3390=1,COUNTIF($C$1:$C3390,1),"")</f>
        <v/>
      </c>
      <c r="E3390" s="7"/>
    </row>
    <row r="3391" spans="3:5">
      <c r="C3391" s="17">
        <f t="shared" si="52"/>
        <v>0</v>
      </c>
      <c r="D3391" s="17" t="str">
        <f>IF(C3391=1,COUNTIF($C$1:$C3391,1),"")</f>
        <v/>
      </c>
      <c r="E3391" s="7"/>
    </row>
    <row r="3392" spans="3:5">
      <c r="C3392" s="17">
        <f t="shared" si="52"/>
        <v>0</v>
      </c>
      <c r="D3392" s="17" t="str">
        <f>IF(C3392=1,COUNTIF($C$1:$C3392,1),"")</f>
        <v/>
      </c>
      <c r="E3392" s="7"/>
    </row>
    <row r="3393" spans="3:5">
      <c r="C3393" s="17">
        <f t="shared" si="52"/>
        <v>0</v>
      </c>
      <c r="D3393" s="17" t="str">
        <f>IF(C3393=1,COUNTIF($C$1:$C3393,1),"")</f>
        <v/>
      </c>
      <c r="E3393" s="7"/>
    </row>
    <row r="3394" spans="3:5">
      <c r="C3394" s="17">
        <f t="shared" ref="C3394:C3457" si="53">--ISNUMBER(SEARCH($B$1,A3394))</f>
        <v>0</v>
      </c>
      <c r="D3394" s="17" t="str">
        <f>IF(C3394=1,COUNTIF($C$1:$C3394,1),"")</f>
        <v/>
      </c>
      <c r="E3394" s="7"/>
    </row>
    <row r="3395" spans="3:5">
      <c r="C3395" s="17">
        <f t="shared" si="53"/>
        <v>0</v>
      </c>
      <c r="D3395" s="17" t="str">
        <f>IF(C3395=1,COUNTIF($C$1:$C3395,1),"")</f>
        <v/>
      </c>
      <c r="E3395" s="7"/>
    </row>
    <row r="3396" spans="3:5">
      <c r="C3396" s="17">
        <f t="shared" si="53"/>
        <v>0</v>
      </c>
      <c r="D3396" s="17" t="str">
        <f>IF(C3396=1,COUNTIF($C$1:$C3396,1),"")</f>
        <v/>
      </c>
      <c r="E3396" s="7"/>
    </row>
    <row r="3397" spans="3:5">
      <c r="C3397" s="17">
        <f t="shared" si="53"/>
        <v>0</v>
      </c>
      <c r="D3397" s="17" t="str">
        <f>IF(C3397=1,COUNTIF($C$1:$C3397,1),"")</f>
        <v/>
      </c>
      <c r="E3397" s="7"/>
    </row>
    <row r="3398" spans="3:5">
      <c r="C3398" s="17">
        <f t="shared" si="53"/>
        <v>0</v>
      </c>
      <c r="D3398" s="17" t="str">
        <f>IF(C3398=1,COUNTIF($C$1:$C3398,1),"")</f>
        <v/>
      </c>
      <c r="E3398" s="7"/>
    </row>
    <row r="3399" spans="3:5">
      <c r="C3399" s="17">
        <f t="shared" si="53"/>
        <v>0</v>
      </c>
      <c r="D3399" s="17" t="str">
        <f>IF(C3399=1,COUNTIF($C$1:$C3399,1),"")</f>
        <v/>
      </c>
      <c r="E3399" s="7"/>
    </row>
    <row r="3400" spans="3:5">
      <c r="C3400" s="17">
        <f t="shared" si="53"/>
        <v>0</v>
      </c>
      <c r="D3400" s="17" t="str">
        <f>IF(C3400=1,COUNTIF($C$1:$C3400,1),"")</f>
        <v/>
      </c>
      <c r="E3400" s="7"/>
    </row>
    <row r="3401" spans="3:5">
      <c r="C3401" s="17">
        <f t="shared" si="53"/>
        <v>0</v>
      </c>
      <c r="D3401" s="17" t="str">
        <f>IF(C3401=1,COUNTIF($C$1:$C3401,1),"")</f>
        <v/>
      </c>
      <c r="E3401" s="7"/>
    </row>
    <row r="3402" spans="3:5">
      <c r="C3402" s="17">
        <f t="shared" si="53"/>
        <v>0</v>
      </c>
      <c r="D3402" s="17" t="str">
        <f>IF(C3402=1,COUNTIF($C$1:$C3402,1),"")</f>
        <v/>
      </c>
      <c r="E3402" s="7"/>
    </row>
    <row r="3403" spans="3:5">
      <c r="C3403" s="17">
        <f t="shared" si="53"/>
        <v>0</v>
      </c>
      <c r="D3403" s="17" t="str">
        <f>IF(C3403=1,COUNTIF($C$1:$C3403,1),"")</f>
        <v/>
      </c>
      <c r="E3403" s="7"/>
    </row>
    <row r="3404" spans="3:5">
      <c r="C3404" s="17">
        <f t="shared" si="53"/>
        <v>0</v>
      </c>
      <c r="D3404" s="17" t="str">
        <f>IF(C3404=1,COUNTIF($C$1:$C3404,1),"")</f>
        <v/>
      </c>
      <c r="E3404" s="7"/>
    </row>
    <row r="3405" spans="3:5">
      <c r="C3405" s="17">
        <f t="shared" si="53"/>
        <v>0</v>
      </c>
      <c r="D3405" s="17" t="str">
        <f>IF(C3405=1,COUNTIF($C$1:$C3405,1),"")</f>
        <v/>
      </c>
      <c r="E3405" s="7"/>
    </row>
    <row r="3406" spans="3:5">
      <c r="C3406" s="17">
        <f t="shared" si="53"/>
        <v>0</v>
      </c>
      <c r="D3406" s="17" t="str">
        <f>IF(C3406=1,COUNTIF($C$1:$C3406,1),"")</f>
        <v/>
      </c>
      <c r="E3406" s="7"/>
    </row>
    <row r="3407" spans="3:5">
      <c r="C3407" s="17">
        <f t="shared" si="53"/>
        <v>0</v>
      </c>
      <c r="D3407" s="17" t="str">
        <f>IF(C3407=1,COUNTIF($C$1:$C3407,1),"")</f>
        <v/>
      </c>
      <c r="E3407" s="7"/>
    </row>
    <row r="3408" spans="3:5">
      <c r="C3408" s="17">
        <f t="shared" si="53"/>
        <v>0</v>
      </c>
      <c r="D3408" s="17" t="str">
        <f>IF(C3408=1,COUNTIF($C$1:$C3408,1),"")</f>
        <v/>
      </c>
      <c r="E3408" s="7"/>
    </row>
    <row r="3409" spans="3:5">
      <c r="C3409" s="17">
        <f t="shared" si="53"/>
        <v>0</v>
      </c>
      <c r="D3409" s="17" t="str">
        <f>IF(C3409=1,COUNTIF($C$1:$C3409,1),"")</f>
        <v/>
      </c>
      <c r="E3409" s="7"/>
    </row>
    <row r="3410" spans="3:5">
      <c r="C3410" s="17">
        <f t="shared" si="53"/>
        <v>0</v>
      </c>
      <c r="D3410" s="17" t="str">
        <f>IF(C3410=1,COUNTIF($C$1:$C3410,1),"")</f>
        <v/>
      </c>
      <c r="E3410" s="7"/>
    </row>
    <row r="3411" spans="3:5">
      <c r="C3411" s="17">
        <f t="shared" si="53"/>
        <v>0</v>
      </c>
      <c r="D3411" s="17" t="str">
        <f>IF(C3411=1,COUNTIF($C$1:$C3411,1),"")</f>
        <v/>
      </c>
      <c r="E3411" s="7"/>
    </row>
    <row r="3412" spans="3:5">
      <c r="C3412" s="17">
        <f t="shared" si="53"/>
        <v>0</v>
      </c>
      <c r="D3412" s="17" t="str">
        <f>IF(C3412=1,COUNTIF($C$1:$C3412,1),"")</f>
        <v/>
      </c>
      <c r="E3412" s="7"/>
    </row>
    <row r="3413" spans="3:5">
      <c r="C3413" s="17">
        <f t="shared" si="53"/>
        <v>0</v>
      </c>
      <c r="D3413" s="17" t="str">
        <f>IF(C3413=1,COUNTIF($C$1:$C3413,1),"")</f>
        <v/>
      </c>
      <c r="E3413" s="7"/>
    </row>
    <row r="3414" spans="3:5">
      <c r="C3414" s="17">
        <f t="shared" si="53"/>
        <v>0</v>
      </c>
      <c r="D3414" s="17" t="str">
        <f>IF(C3414=1,COUNTIF($C$1:$C3414,1),"")</f>
        <v/>
      </c>
      <c r="E3414" s="7"/>
    </row>
    <row r="3415" spans="3:5">
      <c r="C3415" s="17">
        <f t="shared" si="53"/>
        <v>0</v>
      </c>
      <c r="D3415" s="17" t="str">
        <f>IF(C3415=1,COUNTIF($C$1:$C3415,1),"")</f>
        <v/>
      </c>
      <c r="E3415" s="7"/>
    </row>
    <row r="3416" spans="3:5">
      <c r="C3416" s="17">
        <f t="shared" si="53"/>
        <v>0</v>
      </c>
      <c r="D3416" s="17" t="str">
        <f>IF(C3416=1,COUNTIF($C$1:$C3416,1),"")</f>
        <v/>
      </c>
      <c r="E3416" s="7"/>
    </row>
    <row r="3417" spans="3:5">
      <c r="C3417" s="17">
        <f t="shared" si="53"/>
        <v>0</v>
      </c>
      <c r="D3417" s="17" t="str">
        <f>IF(C3417=1,COUNTIF($C$1:$C3417,1),"")</f>
        <v/>
      </c>
      <c r="E3417" s="7"/>
    </row>
    <row r="3418" spans="3:5">
      <c r="C3418" s="17">
        <f t="shared" si="53"/>
        <v>0</v>
      </c>
      <c r="D3418" s="17" t="str">
        <f>IF(C3418=1,COUNTIF($C$1:$C3418,1),"")</f>
        <v/>
      </c>
      <c r="E3418" s="7"/>
    </row>
    <row r="3419" spans="3:5">
      <c r="C3419" s="17">
        <f t="shared" si="53"/>
        <v>0</v>
      </c>
      <c r="D3419" s="17" t="str">
        <f>IF(C3419=1,COUNTIF($C$1:$C3419,1),"")</f>
        <v/>
      </c>
      <c r="E3419" s="7"/>
    </row>
    <row r="3420" spans="3:5">
      <c r="C3420" s="17">
        <f t="shared" si="53"/>
        <v>0</v>
      </c>
      <c r="D3420" s="17" t="str">
        <f>IF(C3420=1,COUNTIF($C$1:$C3420,1),"")</f>
        <v/>
      </c>
      <c r="E3420" s="7"/>
    </row>
    <row r="3421" spans="3:5">
      <c r="C3421" s="17">
        <f t="shared" si="53"/>
        <v>0</v>
      </c>
      <c r="D3421" s="17" t="str">
        <f>IF(C3421=1,COUNTIF($C$1:$C3421,1),"")</f>
        <v/>
      </c>
      <c r="E3421" s="7"/>
    </row>
    <row r="3422" spans="3:5">
      <c r="C3422" s="17">
        <f t="shared" si="53"/>
        <v>0</v>
      </c>
      <c r="D3422" s="17" t="str">
        <f>IF(C3422=1,COUNTIF($C$1:$C3422,1),"")</f>
        <v/>
      </c>
      <c r="E3422" s="7"/>
    </row>
    <row r="3423" spans="3:5">
      <c r="C3423" s="17">
        <f t="shared" si="53"/>
        <v>0</v>
      </c>
      <c r="D3423" s="17" t="str">
        <f>IF(C3423=1,COUNTIF($C$1:$C3423,1),"")</f>
        <v/>
      </c>
      <c r="E3423" s="7"/>
    </row>
    <row r="3424" spans="3:5">
      <c r="C3424" s="17">
        <f t="shared" si="53"/>
        <v>0</v>
      </c>
      <c r="D3424" s="17" t="str">
        <f>IF(C3424=1,COUNTIF($C$1:$C3424,1),"")</f>
        <v/>
      </c>
      <c r="E3424" s="7"/>
    </row>
    <row r="3425" spans="3:5">
      <c r="C3425" s="17">
        <f t="shared" si="53"/>
        <v>0</v>
      </c>
      <c r="D3425" s="17" t="str">
        <f>IF(C3425=1,COUNTIF($C$1:$C3425,1),"")</f>
        <v/>
      </c>
      <c r="E3425" s="7"/>
    </row>
    <row r="3426" spans="3:5">
      <c r="C3426" s="17">
        <f t="shared" si="53"/>
        <v>0</v>
      </c>
      <c r="D3426" s="17" t="str">
        <f>IF(C3426=1,COUNTIF($C$1:$C3426,1),"")</f>
        <v/>
      </c>
      <c r="E3426" s="7"/>
    </row>
    <row r="3427" spans="3:5">
      <c r="C3427" s="17">
        <f t="shared" si="53"/>
        <v>0</v>
      </c>
      <c r="D3427" s="17" t="str">
        <f>IF(C3427=1,COUNTIF($C$1:$C3427,1),"")</f>
        <v/>
      </c>
      <c r="E3427" s="7"/>
    </row>
    <row r="3428" spans="3:5">
      <c r="C3428" s="17">
        <f t="shared" si="53"/>
        <v>0</v>
      </c>
      <c r="D3428" s="17" t="str">
        <f>IF(C3428=1,COUNTIF($C$1:$C3428,1),"")</f>
        <v/>
      </c>
      <c r="E3428" s="7"/>
    </row>
    <row r="3429" spans="3:5">
      <c r="C3429" s="17">
        <f t="shared" si="53"/>
        <v>0</v>
      </c>
      <c r="D3429" s="17" t="str">
        <f>IF(C3429=1,COUNTIF($C$1:$C3429,1),"")</f>
        <v/>
      </c>
      <c r="E3429" s="7"/>
    </row>
    <row r="3430" spans="3:5">
      <c r="C3430" s="17">
        <f t="shared" si="53"/>
        <v>0</v>
      </c>
      <c r="D3430" s="17" t="str">
        <f>IF(C3430=1,COUNTIF($C$1:$C3430,1),"")</f>
        <v/>
      </c>
      <c r="E3430" s="7"/>
    </row>
    <row r="3431" spans="3:5">
      <c r="C3431" s="17">
        <f t="shared" si="53"/>
        <v>0</v>
      </c>
      <c r="D3431" s="17" t="str">
        <f>IF(C3431=1,COUNTIF($C$1:$C3431,1),"")</f>
        <v/>
      </c>
      <c r="E3431" s="7"/>
    </row>
    <row r="3432" spans="3:5">
      <c r="C3432" s="17">
        <f t="shared" si="53"/>
        <v>0</v>
      </c>
      <c r="D3432" s="17" t="str">
        <f>IF(C3432=1,COUNTIF($C$1:$C3432,1),"")</f>
        <v/>
      </c>
      <c r="E3432" s="7"/>
    </row>
    <row r="3433" spans="3:5">
      <c r="C3433" s="17">
        <f t="shared" si="53"/>
        <v>0</v>
      </c>
      <c r="D3433" s="17" t="str">
        <f>IF(C3433=1,COUNTIF($C$1:$C3433,1),"")</f>
        <v/>
      </c>
      <c r="E3433" s="7"/>
    </row>
    <row r="3434" spans="3:5">
      <c r="C3434" s="17">
        <f t="shared" si="53"/>
        <v>0</v>
      </c>
      <c r="D3434" s="17" t="str">
        <f>IF(C3434=1,COUNTIF($C$1:$C3434,1),"")</f>
        <v/>
      </c>
      <c r="E3434" s="7"/>
    </row>
    <row r="3435" spans="3:5">
      <c r="C3435" s="17">
        <f t="shared" si="53"/>
        <v>0</v>
      </c>
      <c r="D3435" s="17" t="str">
        <f>IF(C3435=1,COUNTIF($C$1:$C3435,1),"")</f>
        <v/>
      </c>
      <c r="E3435" s="7"/>
    </row>
    <row r="3436" spans="3:5">
      <c r="C3436" s="17">
        <f t="shared" si="53"/>
        <v>0</v>
      </c>
      <c r="D3436" s="17" t="str">
        <f>IF(C3436=1,COUNTIF($C$1:$C3436,1),"")</f>
        <v/>
      </c>
      <c r="E3436" s="7"/>
    </row>
    <row r="3437" spans="3:5">
      <c r="C3437" s="17">
        <f t="shared" si="53"/>
        <v>0</v>
      </c>
      <c r="D3437" s="17" t="str">
        <f>IF(C3437=1,COUNTIF($C$1:$C3437,1),"")</f>
        <v/>
      </c>
      <c r="E3437" s="7"/>
    </row>
    <row r="3438" spans="3:5">
      <c r="C3438" s="17">
        <f t="shared" si="53"/>
        <v>0</v>
      </c>
      <c r="D3438" s="17" t="str">
        <f>IF(C3438=1,COUNTIF($C$1:$C3438,1),"")</f>
        <v/>
      </c>
      <c r="E3438" s="7"/>
    </row>
    <row r="3439" spans="3:5">
      <c r="C3439" s="17">
        <f t="shared" si="53"/>
        <v>0</v>
      </c>
      <c r="D3439" s="17" t="str">
        <f>IF(C3439=1,COUNTIF($C$1:$C3439,1),"")</f>
        <v/>
      </c>
      <c r="E3439" s="7"/>
    </row>
    <row r="3440" spans="3:5">
      <c r="C3440" s="17">
        <f t="shared" si="53"/>
        <v>0</v>
      </c>
      <c r="D3440" s="17" t="str">
        <f>IF(C3440=1,COUNTIF($C$1:$C3440,1),"")</f>
        <v/>
      </c>
      <c r="E3440" s="7"/>
    </row>
    <row r="3441" spans="3:5">
      <c r="C3441" s="17">
        <f t="shared" si="53"/>
        <v>0</v>
      </c>
      <c r="D3441" s="17" t="str">
        <f>IF(C3441=1,COUNTIF($C$1:$C3441,1),"")</f>
        <v/>
      </c>
      <c r="E3441" s="7"/>
    </row>
    <row r="3442" spans="3:5">
      <c r="C3442" s="17">
        <f t="shared" si="53"/>
        <v>0</v>
      </c>
      <c r="D3442" s="17" t="str">
        <f>IF(C3442=1,COUNTIF($C$1:$C3442,1),"")</f>
        <v/>
      </c>
      <c r="E3442" s="7"/>
    </row>
    <row r="3443" spans="3:5">
      <c r="C3443" s="17">
        <f t="shared" si="53"/>
        <v>0</v>
      </c>
      <c r="D3443" s="17" t="str">
        <f>IF(C3443=1,COUNTIF($C$1:$C3443,1),"")</f>
        <v/>
      </c>
      <c r="E3443" s="7"/>
    </row>
    <row r="3444" spans="3:5">
      <c r="C3444" s="17">
        <f t="shared" si="53"/>
        <v>0</v>
      </c>
      <c r="D3444" s="17" t="str">
        <f>IF(C3444=1,COUNTIF($C$1:$C3444,1),"")</f>
        <v/>
      </c>
      <c r="E3444" s="7"/>
    </row>
    <row r="3445" spans="3:5">
      <c r="C3445" s="17">
        <f t="shared" si="53"/>
        <v>0</v>
      </c>
      <c r="D3445" s="17" t="str">
        <f>IF(C3445=1,COUNTIF($C$1:$C3445,1),"")</f>
        <v/>
      </c>
      <c r="E3445" s="7"/>
    </row>
    <row r="3446" spans="3:5">
      <c r="C3446" s="17">
        <f t="shared" si="53"/>
        <v>0</v>
      </c>
      <c r="D3446" s="17" t="str">
        <f>IF(C3446=1,COUNTIF($C$1:$C3446,1),"")</f>
        <v/>
      </c>
      <c r="E3446" s="7"/>
    </row>
    <row r="3447" spans="3:5">
      <c r="C3447" s="17">
        <f t="shared" si="53"/>
        <v>0</v>
      </c>
      <c r="D3447" s="17" t="str">
        <f>IF(C3447=1,COUNTIF($C$1:$C3447,1),"")</f>
        <v/>
      </c>
      <c r="E3447" s="7"/>
    </row>
    <row r="3448" spans="3:5">
      <c r="C3448" s="17">
        <f t="shared" si="53"/>
        <v>0</v>
      </c>
      <c r="D3448" s="17" t="str">
        <f>IF(C3448=1,COUNTIF($C$1:$C3448,1),"")</f>
        <v/>
      </c>
      <c r="E3448" s="7"/>
    </row>
    <row r="3449" spans="3:5">
      <c r="C3449" s="17">
        <f t="shared" si="53"/>
        <v>0</v>
      </c>
      <c r="D3449" s="17" t="str">
        <f>IF(C3449=1,COUNTIF($C$1:$C3449,1),"")</f>
        <v/>
      </c>
      <c r="E3449" s="7"/>
    </row>
    <row r="3450" spans="3:5">
      <c r="C3450" s="17">
        <f t="shared" si="53"/>
        <v>0</v>
      </c>
      <c r="D3450" s="17" t="str">
        <f>IF(C3450=1,COUNTIF($C$1:$C3450,1),"")</f>
        <v/>
      </c>
      <c r="E3450" s="7"/>
    </row>
    <row r="3451" spans="3:5">
      <c r="C3451" s="17">
        <f t="shared" si="53"/>
        <v>0</v>
      </c>
      <c r="D3451" s="17" t="str">
        <f>IF(C3451=1,COUNTIF($C$1:$C3451,1),"")</f>
        <v/>
      </c>
      <c r="E3451" s="7"/>
    </row>
    <row r="3452" spans="3:5">
      <c r="C3452" s="17">
        <f t="shared" si="53"/>
        <v>0</v>
      </c>
      <c r="D3452" s="17" t="str">
        <f>IF(C3452=1,COUNTIF($C$1:$C3452,1),"")</f>
        <v/>
      </c>
      <c r="E3452" s="7"/>
    </row>
    <row r="3453" spans="3:5">
      <c r="C3453" s="17">
        <f t="shared" si="53"/>
        <v>0</v>
      </c>
      <c r="D3453" s="17" t="str">
        <f>IF(C3453=1,COUNTIF($C$1:$C3453,1),"")</f>
        <v/>
      </c>
      <c r="E3453" s="7"/>
    </row>
    <row r="3454" spans="3:5">
      <c r="C3454" s="17">
        <f t="shared" si="53"/>
        <v>0</v>
      </c>
      <c r="D3454" s="17" t="str">
        <f>IF(C3454=1,COUNTIF($C$1:$C3454,1),"")</f>
        <v/>
      </c>
      <c r="E3454" s="7"/>
    </row>
    <row r="3455" spans="3:5">
      <c r="C3455" s="17">
        <f t="shared" si="53"/>
        <v>0</v>
      </c>
      <c r="D3455" s="17" t="str">
        <f>IF(C3455=1,COUNTIF($C$1:$C3455,1),"")</f>
        <v/>
      </c>
      <c r="E3455" s="7"/>
    </row>
    <row r="3456" spans="3:5">
      <c r="C3456" s="17">
        <f t="shared" si="53"/>
        <v>0</v>
      </c>
      <c r="D3456" s="17" t="str">
        <f>IF(C3456=1,COUNTIF($C$1:$C3456,1),"")</f>
        <v/>
      </c>
      <c r="E3456" s="7"/>
    </row>
    <row r="3457" spans="3:5">
      <c r="C3457" s="17">
        <f t="shared" si="53"/>
        <v>0</v>
      </c>
      <c r="D3457" s="17" t="str">
        <f>IF(C3457=1,COUNTIF($C$1:$C3457,1),"")</f>
        <v/>
      </c>
      <c r="E3457" s="7"/>
    </row>
    <row r="3458" spans="3:5">
      <c r="C3458" s="17">
        <f t="shared" ref="C3458:C3521" si="54">--ISNUMBER(SEARCH($B$1,A3458))</f>
        <v>0</v>
      </c>
      <c r="D3458" s="17" t="str">
        <f>IF(C3458=1,COUNTIF($C$1:$C3458,1),"")</f>
        <v/>
      </c>
      <c r="E3458" s="7"/>
    </row>
    <row r="3459" spans="3:5">
      <c r="C3459" s="17">
        <f t="shared" si="54"/>
        <v>0</v>
      </c>
      <c r="D3459" s="17" t="str">
        <f>IF(C3459=1,COUNTIF($C$1:$C3459,1),"")</f>
        <v/>
      </c>
      <c r="E3459" s="7"/>
    </row>
    <row r="3460" spans="3:5">
      <c r="C3460" s="17">
        <f t="shared" si="54"/>
        <v>0</v>
      </c>
      <c r="D3460" s="17" t="str">
        <f>IF(C3460=1,COUNTIF($C$1:$C3460,1),"")</f>
        <v/>
      </c>
      <c r="E3460" s="7"/>
    </row>
    <row r="3461" spans="3:5">
      <c r="C3461" s="17">
        <f t="shared" si="54"/>
        <v>0</v>
      </c>
      <c r="D3461" s="17" t="str">
        <f>IF(C3461=1,COUNTIF($C$1:$C3461,1),"")</f>
        <v/>
      </c>
      <c r="E3461" s="7"/>
    </row>
    <row r="3462" spans="3:5">
      <c r="C3462" s="17">
        <f t="shared" si="54"/>
        <v>0</v>
      </c>
      <c r="D3462" s="17" t="str">
        <f>IF(C3462=1,COUNTIF($C$1:$C3462,1),"")</f>
        <v/>
      </c>
      <c r="E3462" s="7"/>
    </row>
    <row r="3463" spans="3:5">
      <c r="C3463" s="17">
        <f t="shared" si="54"/>
        <v>0</v>
      </c>
      <c r="D3463" s="17" t="str">
        <f>IF(C3463=1,COUNTIF($C$1:$C3463,1),"")</f>
        <v/>
      </c>
      <c r="E3463" s="7"/>
    </row>
    <row r="3464" spans="3:5">
      <c r="C3464" s="17">
        <f t="shared" si="54"/>
        <v>0</v>
      </c>
      <c r="D3464" s="17" t="str">
        <f>IF(C3464=1,COUNTIF($C$1:$C3464,1),"")</f>
        <v/>
      </c>
      <c r="E3464" s="7"/>
    </row>
    <row r="3465" spans="3:5">
      <c r="C3465" s="17">
        <f t="shared" si="54"/>
        <v>0</v>
      </c>
      <c r="D3465" s="17" t="str">
        <f>IF(C3465=1,COUNTIF($C$1:$C3465,1),"")</f>
        <v/>
      </c>
      <c r="E3465" s="7"/>
    </row>
    <row r="3466" spans="3:5">
      <c r="C3466" s="17">
        <f t="shared" si="54"/>
        <v>0</v>
      </c>
      <c r="D3466" s="17" t="str">
        <f>IF(C3466=1,COUNTIF($C$1:$C3466,1),"")</f>
        <v/>
      </c>
      <c r="E3466" s="7"/>
    </row>
    <row r="3467" spans="3:5">
      <c r="C3467" s="17">
        <f t="shared" si="54"/>
        <v>0</v>
      </c>
      <c r="D3467" s="17" t="str">
        <f>IF(C3467=1,COUNTIF($C$1:$C3467,1),"")</f>
        <v/>
      </c>
      <c r="E3467" s="7"/>
    </row>
    <row r="3468" spans="3:5">
      <c r="C3468" s="17">
        <f t="shared" si="54"/>
        <v>0</v>
      </c>
      <c r="D3468" s="17" t="str">
        <f>IF(C3468=1,COUNTIF($C$1:$C3468,1),"")</f>
        <v/>
      </c>
      <c r="E3468" s="7"/>
    </row>
    <row r="3469" spans="3:5">
      <c r="C3469" s="17">
        <f t="shared" si="54"/>
        <v>0</v>
      </c>
      <c r="D3469" s="17" t="str">
        <f>IF(C3469=1,COUNTIF($C$1:$C3469,1),"")</f>
        <v/>
      </c>
      <c r="E3469" s="7"/>
    </row>
    <row r="3470" spans="3:5">
      <c r="C3470" s="17">
        <f t="shared" si="54"/>
        <v>0</v>
      </c>
      <c r="D3470" s="17" t="str">
        <f>IF(C3470=1,COUNTIF($C$1:$C3470,1),"")</f>
        <v/>
      </c>
      <c r="E3470" s="7"/>
    </row>
    <row r="3471" spans="3:5">
      <c r="C3471" s="17">
        <f t="shared" si="54"/>
        <v>0</v>
      </c>
      <c r="D3471" s="17" t="str">
        <f>IF(C3471=1,COUNTIF($C$1:$C3471,1),"")</f>
        <v/>
      </c>
      <c r="E3471" s="7"/>
    </row>
    <row r="3472" spans="3:5">
      <c r="C3472" s="17">
        <f t="shared" si="54"/>
        <v>0</v>
      </c>
      <c r="D3472" s="17" t="str">
        <f>IF(C3472=1,COUNTIF($C$1:$C3472,1),"")</f>
        <v/>
      </c>
      <c r="E3472" s="7"/>
    </row>
    <row r="3473" spans="3:5">
      <c r="C3473" s="17">
        <f t="shared" si="54"/>
        <v>0</v>
      </c>
      <c r="D3473" s="17" t="str">
        <f>IF(C3473=1,COUNTIF($C$1:$C3473,1),"")</f>
        <v/>
      </c>
      <c r="E3473" s="7"/>
    </row>
    <row r="3474" spans="3:5">
      <c r="C3474" s="17">
        <f t="shared" si="54"/>
        <v>0</v>
      </c>
      <c r="D3474" s="17" t="str">
        <f>IF(C3474=1,COUNTIF($C$1:$C3474,1),"")</f>
        <v/>
      </c>
      <c r="E3474" s="7"/>
    </row>
    <row r="3475" spans="3:5">
      <c r="C3475" s="17">
        <f t="shared" si="54"/>
        <v>0</v>
      </c>
      <c r="D3475" s="17" t="str">
        <f>IF(C3475=1,COUNTIF($C$1:$C3475,1),"")</f>
        <v/>
      </c>
      <c r="E3475" s="7"/>
    </row>
    <row r="3476" spans="3:5">
      <c r="C3476" s="17">
        <f t="shared" si="54"/>
        <v>0</v>
      </c>
      <c r="D3476" s="17" t="str">
        <f>IF(C3476=1,COUNTIF($C$1:$C3476,1),"")</f>
        <v/>
      </c>
      <c r="E3476" s="7"/>
    </row>
    <row r="3477" spans="3:5">
      <c r="C3477" s="17">
        <f t="shared" si="54"/>
        <v>0</v>
      </c>
      <c r="D3477" s="17" t="str">
        <f>IF(C3477=1,COUNTIF($C$1:$C3477,1),"")</f>
        <v/>
      </c>
      <c r="E3477" s="7"/>
    </row>
    <row r="3478" spans="3:5">
      <c r="C3478" s="17">
        <f t="shared" si="54"/>
        <v>0</v>
      </c>
      <c r="D3478" s="17" t="str">
        <f>IF(C3478=1,COUNTIF($C$1:$C3478,1),"")</f>
        <v/>
      </c>
      <c r="E3478" s="7"/>
    </row>
    <row r="3479" spans="3:5">
      <c r="C3479" s="17">
        <f t="shared" si="54"/>
        <v>0</v>
      </c>
      <c r="D3479" s="17" t="str">
        <f>IF(C3479=1,COUNTIF($C$1:$C3479,1),"")</f>
        <v/>
      </c>
      <c r="E3479" s="7"/>
    </row>
    <row r="3480" spans="3:5">
      <c r="C3480" s="17">
        <f t="shared" si="54"/>
        <v>0</v>
      </c>
      <c r="D3480" s="17" t="str">
        <f>IF(C3480=1,COUNTIF($C$1:$C3480,1),"")</f>
        <v/>
      </c>
      <c r="E3480" s="7"/>
    </row>
    <row r="3481" spans="3:5">
      <c r="C3481" s="17">
        <f t="shared" si="54"/>
        <v>0</v>
      </c>
      <c r="D3481" s="17" t="str">
        <f>IF(C3481=1,COUNTIF($C$1:$C3481,1),"")</f>
        <v/>
      </c>
      <c r="E3481" s="7"/>
    </row>
    <row r="3482" spans="3:5">
      <c r="C3482" s="17">
        <f t="shared" si="54"/>
        <v>0</v>
      </c>
      <c r="D3482" s="17" t="str">
        <f>IF(C3482=1,COUNTIF($C$1:$C3482,1),"")</f>
        <v/>
      </c>
      <c r="E3482" s="7"/>
    </row>
    <row r="3483" spans="3:5">
      <c r="C3483" s="17">
        <f t="shared" si="54"/>
        <v>0</v>
      </c>
      <c r="D3483" s="17" t="str">
        <f>IF(C3483=1,COUNTIF($C$1:$C3483,1),"")</f>
        <v/>
      </c>
      <c r="E3483" s="7"/>
    </row>
    <row r="3484" spans="3:5">
      <c r="C3484" s="17">
        <f t="shared" si="54"/>
        <v>0</v>
      </c>
      <c r="D3484" s="17" t="str">
        <f>IF(C3484=1,COUNTIF($C$1:$C3484,1),"")</f>
        <v/>
      </c>
      <c r="E3484" s="7"/>
    </row>
    <row r="3485" spans="3:5">
      <c r="C3485" s="17">
        <f t="shared" si="54"/>
        <v>0</v>
      </c>
      <c r="D3485" s="17" t="str">
        <f>IF(C3485=1,COUNTIF($C$1:$C3485,1),"")</f>
        <v/>
      </c>
      <c r="E3485" s="7"/>
    </row>
    <row r="3486" spans="3:5">
      <c r="C3486" s="17">
        <f t="shared" si="54"/>
        <v>0</v>
      </c>
      <c r="D3486" s="17" t="str">
        <f>IF(C3486=1,COUNTIF($C$1:$C3486,1),"")</f>
        <v/>
      </c>
      <c r="E3486" s="7"/>
    </row>
    <row r="3487" spans="3:5">
      <c r="C3487" s="17">
        <f t="shared" si="54"/>
        <v>0</v>
      </c>
      <c r="D3487" s="17" t="str">
        <f>IF(C3487=1,COUNTIF($C$1:$C3487,1),"")</f>
        <v/>
      </c>
      <c r="E3487" s="7"/>
    </row>
    <row r="3488" spans="3:5">
      <c r="C3488" s="17">
        <f t="shared" si="54"/>
        <v>0</v>
      </c>
      <c r="D3488" s="17" t="str">
        <f>IF(C3488=1,COUNTIF($C$1:$C3488,1),"")</f>
        <v/>
      </c>
      <c r="E3488" s="7"/>
    </row>
    <row r="3489" spans="3:5">
      <c r="C3489" s="17">
        <f t="shared" si="54"/>
        <v>0</v>
      </c>
      <c r="D3489" s="17" t="str">
        <f>IF(C3489=1,COUNTIF($C$1:$C3489,1),"")</f>
        <v/>
      </c>
      <c r="E3489" s="7"/>
    </row>
    <row r="3490" spans="3:5">
      <c r="C3490" s="17">
        <f t="shared" si="54"/>
        <v>0</v>
      </c>
      <c r="D3490" s="17" t="str">
        <f>IF(C3490=1,COUNTIF($C$1:$C3490,1),"")</f>
        <v/>
      </c>
      <c r="E3490" s="7"/>
    </row>
    <row r="3491" spans="3:5">
      <c r="C3491" s="17">
        <f t="shared" si="54"/>
        <v>0</v>
      </c>
      <c r="D3491" s="17" t="str">
        <f>IF(C3491=1,COUNTIF($C$1:$C3491,1),"")</f>
        <v/>
      </c>
      <c r="E3491" s="7"/>
    </row>
    <row r="3492" spans="3:5">
      <c r="C3492" s="17">
        <f t="shared" si="54"/>
        <v>0</v>
      </c>
      <c r="D3492" s="17" t="str">
        <f>IF(C3492=1,COUNTIF($C$1:$C3492,1),"")</f>
        <v/>
      </c>
      <c r="E3492" s="7"/>
    </row>
    <row r="3493" spans="3:5">
      <c r="C3493" s="17">
        <f t="shared" si="54"/>
        <v>0</v>
      </c>
      <c r="D3493" s="17" t="str">
        <f>IF(C3493=1,COUNTIF($C$1:$C3493,1),"")</f>
        <v/>
      </c>
      <c r="E3493" s="7"/>
    </row>
    <row r="3494" spans="3:5">
      <c r="C3494" s="17">
        <f t="shared" si="54"/>
        <v>0</v>
      </c>
      <c r="D3494" s="17" t="str">
        <f>IF(C3494=1,COUNTIF($C$1:$C3494,1),"")</f>
        <v/>
      </c>
      <c r="E3494" s="7"/>
    </row>
    <row r="3495" spans="3:5">
      <c r="C3495" s="17">
        <f t="shared" si="54"/>
        <v>0</v>
      </c>
      <c r="D3495" s="17" t="str">
        <f>IF(C3495=1,COUNTIF($C$1:$C3495,1),"")</f>
        <v/>
      </c>
      <c r="E3495" s="7"/>
    </row>
    <row r="3496" spans="3:5">
      <c r="C3496" s="17">
        <f t="shared" si="54"/>
        <v>0</v>
      </c>
      <c r="D3496" s="17" t="str">
        <f>IF(C3496=1,COUNTIF($C$1:$C3496,1),"")</f>
        <v/>
      </c>
      <c r="E3496" s="7"/>
    </row>
    <row r="3497" spans="3:5">
      <c r="C3497" s="17">
        <f t="shared" si="54"/>
        <v>0</v>
      </c>
      <c r="D3497" s="17" t="str">
        <f>IF(C3497=1,COUNTIF($C$1:$C3497,1),"")</f>
        <v/>
      </c>
      <c r="E3497" s="7"/>
    </row>
    <row r="3498" spans="3:5">
      <c r="C3498" s="17">
        <f t="shared" si="54"/>
        <v>0</v>
      </c>
      <c r="D3498" s="17" t="str">
        <f>IF(C3498=1,COUNTIF($C$1:$C3498,1),"")</f>
        <v/>
      </c>
      <c r="E3498" s="7"/>
    </row>
    <row r="3499" spans="3:5">
      <c r="C3499" s="17">
        <f t="shared" si="54"/>
        <v>0</v>
      </c>
      <c r="D3499" s="17" t="str">
        <f>IF(C3499=1,COUNTIF($C$1:$C3499,1),"")</f>
        <v/>
      </c>
      <c r="E3499" s="7"/>
    </row>
    <row r="3500" spans="3:5">
      <c r="C3500" s="17">
        <f t="shared" si="54"/>
        <v>0</v>
      </c>
      <c r="D3500" s="17" t="str">
        <f>IF(C3500=1,COUNTIF($C$1:$C3500,1),"")</f>
        <v/>
      </c>
      <c r="E3500" s="7"/>
    </row>
    <row r="3501" spans="3:5">
      <c r="C3501" s="17">
        <f t="shared" si="54"/>
        <v>0</v>
      </c>
      <c r="D3501" s="17" t="str">
        <f>IF(C3501=1,COUNTIF($C$1:$C3501,1),"")</f>
        <v/>
      </c>
      <c r="E3501" s="7"/>
    </row>
    <row r="3502" spans="3:5">
      <c r="C3502" s="17">
        <f t="shared" si="54"/>
        <v>0</v>
      </c>
      <c r="D3502" s="17" t="str">
        <f>IF(C3502=1,COUNTIF($C$1:$C3502,1),"")</f>
        <v/>
      </c>
      <c r="E3502" s="7"/>
    </row>
    <row r="3503" spans="3:5">
      <c r="C3503" s="17">
        <f t="shared" si="54"/>
        <v>0</v>
      </c>
      <c r="D3503" s="17" t="str">
        <f>IF(C3503=1,COUNTIF($C$1:$C3503,1),"")</f>
        <v/>
      </c>
      <c r="E3503" s="7"/>
    </row>
    <row r="3504" spans="3:5">
      <c r="C3504" s="17">
        <f t="shared" si="54"/>
        <v>0</v>
      </c>
      <c r="D3504" s="17" t="str">
        <f>IF(C3504=1,COUNTIF($C$1:$C3504,1),"")</f>
        <v/>
      </c>
      <c r="E3504" s="7"/>
    </row>
    <row r="3505" spans="3:5">
      <c r="C3505" s="17">
        <f t="shared" si="54"/>
        <v>0</v>
      </c>
      <c r="D3505" s="17" t="str">
        <f>IF(C3505=1,COUNTIF($C$1:$C3505,1),"")</f>
        <v/>
      </c>
      <c r="E3505" s="7"/>
    </row>
    <row r="3506" spans="3:5">
      <c r="C3506" s="17">
        <f t="shared" si="54"/>
        <v>0</v>
      </c>
      <c r="D3506" s="17" t="str">
        <f>IF(C3506=1,COUNTIF($C$1:$C3506,1),"")</f>
        <v/>
      </c>
      <c r="E3506" s="7"/>
    </row>
    <row r="3507" spans="3:5">
      <c r="C3507" s="17">
        <f t="shared" si="54"/>
        <v>0</v>
      </c>
      <c r="D3507" s="17" t="str">
        <f>IF(C3507=1,COUNTIF($C$1:$C3507,1),"")</f>
        <v/>
      </c>
      <c r="E3507" s="7"/>
    </row>
    <row r="3508" spans="3:5">
      <c r="C3508" s="17">
        <f t="shared" si="54"/>
        <v>0</v>
      </c>
      <c r="D3508" s="17" t="str">
        <f>IF(C3508=1,COUNTIF($C$1:$C3508,1),"")</f>
        <v/>
      </c>
      <c r="E3508" s="7"/>
    </row>
    <row r="3509" spans="3:5">
      <c r="C3509" s="17">
        <f t="shared" si="54"/>
        <v>0</v>
      </c>
      <c r="D3509" s="17" t="str">
        <f>IF(C3509=1,COUNTIF($C$1:$C3509,1),"")</f>
        <v/>
      </c>
      <c r="E3509" s="7"/>
    </row>
    <row r="3510" spans="3:5">
      <c r="C3510" s="17">
        <f t="shared" si="54"/>
        <v>0</v>
      </c>
      <c r="D3510" s="17" t="str">
        <f>IF(C3510=1,COUNTIF($C$1:$C3510,1),"")</f>
        <v/>
      </c>
      <c r="E3510" s="7"/>
    </row>
    <row r="3511" spans="3:5">
      <c r="C3511" s="17">
        <f t="shared" si="54"/>
        <v>0</v>
      </c>
      <c r="D3511" s="17" t="str">
        <f>IF(C3511=1,COUNTIF($C$1:$C3511,1),"")</f>
        <v/>
      </c>
      <c r="E3511" s="7"/>
    </row>
    <row r="3512" spans="3:5">
      <c r="C3512" s="17">
        <f t="shared" si="54"/>
        <v>0</v>
      </c>
      <c r="D3512" s="17" t="str">
        <f>IF(C3512=1,COUNTIF($C$1:$C3512,1),"")</f>
        <v/>
      </c>
      <c r="E3512" s="7"/>
    </row>
    <row r="3513" spans="3:5">
      <c r="C3513" s="17">
        <f t="shared" si="54"/>
        <v>0</v>
      </c>
      <c r="D3513" s="17" t="str">
        <f>IF(C3513=1,COUNTIF($C$1:$C3513,1),"")</f>
        <v/>
      </c>
      <c r="E3513" s="7"/>
    </row>
    <row r="3514" spans="3:5">
      <c r="C3514" s="17">
        <f t="shared" si="54"/>
        <v>0</v>
      </c>
      <c r="D3514" s="17" t="str">
        <f>IF(C3514=1,COUNTIF($C$1:$C3514,1),"")</f>
        <v/>
      </c>
      <c r="E3514" s="7"/>
    </row>
    <row r="3515" spans="3:5">
      <c r="C3515" s="17">
        <f t="shared" si="54"/>
        <v>0</v>
      </c>
      <c r="D3515" s="17" t="str">
        <f>IF(C3515=1,COUNTIF($C$1:$C3515,1),"")</f>
        <v/>
      </c>
      <c r="E3515" s="7"/>
    </row>
    <row r="3516" spans="3:5">
      <c r="C3516" s="17">
        <f t="shared" si="54"/>
        <v>0</v>
      </c>
      <c r="D3516" s="17" t="str">
        <f>IF(C3516=1,COUNTIF($C$1:$C3516,1),"")</f>
        <v/>
      </c>
      <c r="E3516" s="7"/>
    </row>
    <row r="3517" spans="3:5">
      <c r="C3517" s="17">
        <f t="shared" si="54"/>
        <v>0</v>
      </c>
      <c r="D3517" s="17" t="str">
        <f>IF(C3517=1,COUNTIF($C$1:$C3517,1),"")</f>
        <v/>
      </c>
      <c r="E3517" s="7"/>
    </row>
    <row r="3518" spans="3:5">
      <c r="C3518" s="17">
        <f t="shared" si="54"/>
        <v>0</v>
      </c>
      <c r="D3518" s="17" t="str">
        <f>IF(C3518=1,COUNTIF($C$1:$C3518,1),"")</f>
        <v/>
      </c>
      <c r="E3518" s="7"/>
    </row>
    <row r="3519" spans="3:5">
      <c r="C3519" s="17">
        <f t="shared" si="54"/>
        <v>0</v>
      </c>
      <c r="D3519" s="17" t="str">
        <f>IF(C3519=1,COUNTIF($C$1:$C3519,1),"")</f>
        <v/>
      </c>
      <c r="E3519" s="7"/>
    </row>
    <row r="3520" spans="3:5">
      <c r="C3520" s="17">
        <f t="shared" si="54"/>
        <v>0</v>
      </c>
      <c r="D3520" s="17" t="str">
        <f>IF(C3520=1,COUNTIF($C$1:$C3520,1),"")</f>
        <v/>
      </c>
      <c r="E3520" s="7"/>
    </row>
    <row r="3521" spans="3:5">
      <c r="C3521" s="17">
        <f t="shared" si="54"/>
        <v>0</v>
      </c>
      <c r="D3521" s="17" t="str">
        <f>IF(C3521=1,COUNTIF($C$1:$C3521,1),"")</f>
        <v/>
      </c>
      <c r="E3521" s="7"/>
    </row>
    <row r="3522" spans="3:5">
      <c r="C3522" s="17">
        <f t="shared" ref="C3522:C3585" si="55">--ISNUMBER(SEARCH($B$1,A3522))</f>
        <v>0</v>
      </c>
      <c r="D3522" s="17" t="str">
        <f>IF(C3522=1,COUNTIF($C$1:$C3522,1),"")</f>
        <v/>
      </c>
      <c r="E3522" s="7"/>
    </row>
    <row r="3523" spans="3:5">
      <c r="C3523" s="17">
        <f t="shared" si="55"/>
        <v>0</v>
      </c>
      <c r="D3523" s="17" t="str">
        <f>IF(C3523=1,COUNTIF($C$1:$C3523,1),"")</f>
        <v/>
      </c>
      <c r="E3523" s="7"/>
    </row>
    <row r="3524" spans="3:5">
      <c r="C3524" s="17">
        <f t="shared" si="55"/>
        <v>0</v>
      </c>
      <c r="D3524" s="17" t="str">
        <f>IF(C3524=1,COUNTIF($C$1:$C3524,1),"")</f>
        <v/>
      </c>
      <c r="E3524" s="7"/>
    </row>
    <row r="3525" spans="3:5">
      <c r="C3525" s="17">
        <f t="shared" si="55"/>
        <v>0</v>
      </c>
      <c r="D3525" s="17" t="str">
        <f>IF(C3525=1,COUNTIF($C$1:$C3525,1),"")</f>
        <v/>
      </c>
      <c r="E3525" s="7"/>
    </row>
    <row r="3526" spans="3:5">
      <c r="C3526" s="17">
        <f t="shared" si="55"/>
        <v>0</v>
      </c>
      <c r="D3526" s="17" t="str">
        <f>IF(C3526=1,COUNTIF($C$1:$C3526,1),"")</f>
        <v/>
      </c>
      <c r="E3526" s="7"/>
    </row>
    <row r="3527" spans="3:5">
      <c r="C3527" s="17">
        <f t="shared" si="55"/>
        <v>0</v>
      </c>
      <c r="D3527" s="17" t="str">
        <f>IF(C3527=1,COUNTIF($C$1:$C3527,1),"")</f>
        <v/>
      </c>
      <c r="E3527" s="7"/>
    </row>
    <row r="3528" spans="3:5">
      <c r="C3528" s="17">
        <f t="shared" si="55"/>
        <v>0</v>
      </c>
      <c r="D3528" s="17" t="str">
        <f>IF(C3528=1,COUNTIF($C$1:$C3528,1),"")</f>
        <v/>
      </c>
      <c r="E3528" s="7"/>
    </row>
    <row r="3529" spans="3:5">
      <c r="C3529" s="17">
        <f t="shared" si="55"/>
        <v>0</v>
      </c>
      <c r="D3529" s="17" t="str">
        <f>IF(C3529=1,COUNTIF($C$1:$C3529,1),"")</f>
        <v/>
      </c>
      <c r="E3529" s="7"/>
    </row>
    <row r="3530" spans="3:5">
      <c r="C3530" s="17">
        <f t="shared" si="55"/>
        <v>0</v>
      </c>
      <c r="D3530" s="17" t="str">
        <f>IF(C3530=1,COUNTIF($C$1:$C3530,1),"")</f>
        <v/>
      </c>
      <c r="E3530" s="7"/>
    </row>
    <row r="3531" spans="3:5">
      <c r="C3531" s="17">
        <f t="shared" si="55"/>
        <v>0</v>
      </c>
      <c r="D3531" s="17" t="str">
        <f>IF(C3531=1,COUNTIF($C$1:$C3531,1),"")</f>
        <v/>
      </c>
      <c r="E3531" s="7"/>
    </row>
    <row r="3532" spans="3:5">
      <c r="C3532" s="17">
        <f t="shared" si="55"/>
        <v>0</v>
      </c>
      <c r="D3532" s="17" t="str">
        <f>IF(C3532=1,COUNTIF($C$1:$C3532,1),"")</f>
        <v/>
      </c>
      <c r="E3532" s="7"/>
    </row>
    <row r="3533" spans="3:5">
      <c r="C3533" s="17">
        <f t="shared" si="55"/>
        <v>0</v>
      </c>
      <c r="D3533" s="17" t="str">
        <f>IF(C3533=1,COUNTIF($C$1:$C3533,1),"")</f>
        <v/>
      </c>
      <c r="E3533" s="7"/>
    </row>
    <row r="3534" spans="3:5">
      <c r="C3534" s="17">
        <f t="shared" si="55"/>
        <v>0</v>
      </c>
      <c r="D3534" s="17" t="str">
        <f>IF(C3534=1,COUNTIF($C$1:$C3534,1),"")</f>
        <v/>
      </c>
      <c r="E3534" s="7"/>
    </row>
    <row r="3535" spans="3:5">
      <c r="C3535" s="17">
        <f t="shared" si="55"/>
        <v>0</v>
      </c>
      <c r="D3535" s="17" t="str">
        <f>IF(C3535=1,COUNTIF($C$1:$C3535,1),"")</f>
        <v/>
      </c>
      <c r="E3535" s="7"/>
    </row>
    <row r="3536" spans="3:5">
      <c r="C3536" s="17">
        <f t="shared" si="55"/>
        <v>0</v>
      </c>
      <c r="D3536" s="17" t="str">
        <f>IF(C3536=1,COUNTIF($C$1:$C3536,1),"")</f>
        <v/>
      </c>
      <c r="E3536" s="7"/>
    </row>
    <row r="3537" spans="3:5">
      <c r="C3537" s="17">
        <f t="shared" si="55"/>
        <v>0</v>
      </c>
      <c r="D3537" s="17" t="str">
        <f>IF(C3537=1,COUNTIF($C$1:$C3537,1),"")</f>
        <v/>
      </c>
      <c r="E3537" s="7"/>
    </row>
    <row r="3538" spans="3:5">
      <c r="C3538" s="17">
        <f t="shared" si="55"/>
        <v>0</v>
      </c>
      <c r="D3538" s="17" t="str">
        <f>IF(C3538=1,COUNTIF($C$1:$C3538,1),"")</f>
        <v/>
      </c>
      <c r="E3538" s="7"/>
    </row>
    <row r="3539" spans="3:5">
      <c r="C3539" s="17">
        <f t="shared" si="55"/>
        <v>0</v>
      </c>
      <c r="D3539" s="17" t="str">
        <f>IF(C3539=1,COUNTIF($C$1:$C3539,1),"")</f>
        <v/>
      </c>
      <c r="E3539" s="7"/>
    </row>
    <row r="3540" spans="3:5">
      <c r="C3540" s="17">
        <f t="shared" si="55"/>
        <v>0</v>
      </c>
      <c r="D3540" s="17" t="str">
        <f>IF(C3540=1,COUNTIF($C$1:$C3540,1),"")</f>
        <v/>
      </c>
      <c r="E3540" s="7"/>
    </row>
    <row r="3541" spans="3:5">
      <c r="C3541" s="17">
        <f t="shared" si="55"/>
        <v>0</v>
      </c>
      <c r="D3541" s="17" t="str">
        <f>IF(C3541=1,COUNTIF($C$1:$C3541,1),"")</f>
        <v/>
      </c>
      <c r="E3541" s="7"/>
    </row>
    <row r="3542" spans="3:5">
      <c r="C3542" s="17">
        <f t="shared" si="55"/>
        <v>0</v>
      </c>
      <c r="D3542" s="17" t="str">
        <f>IF(C3542=1,COUNTIF($C$1:$C3542,1),"")</f>
        <v/>
      </c>
      <c r="E3542" s="7"/>
    </row>
    <row r="3543" spans="3:5">
      <c r="C3543" s="17">
        <f t="shared" si="55"/>
        <v>0</v>
      </c>
      <c r="D3543" s="17" t="str">
        <f>IF(C3543=1,COUNTIF($C$1:$C3543,1),"")</f>
        <v/>
      </c>
      <c r="E3543" s="7"/>
    </row>
    <row r="3544" spans="3:5">
      <c r="C3544" s="17">
        <f t="shared" si="55"/>
        <v>0</v>
      </c>
      <c r="D3544" s="17" t="str">
        <f>IF(C3544=1,COUNTIF($C$1:$C3544,1),"")</f>
        <v/>
      </c>
      <c r="E3544" s="7"/>
    </row>
    <row r="3545" spans="3:5">
      <c r="C3545" s="17">
        <f t="shared" si="55"/>
        <v>0</v>
      </c>
      <c r="D3545" s="17" t="str">
        <f>IF(C3545=1,COUNTIF($C$1:$C3545,1),"")</f>
        <v/>
      </c>
      <c r="E3545" s="7"/>
    </row>
    <row r="3546" spans="3:5">
      <c r="C3546" s="17">
        <f t="shared" si="55"/>
        <v>0</v>
      </c>
      <c r="D3546" s="17" t="str">
        <f>IF(C3546=1,COUNTIF($C$1:$C3546,1),"")</f>
        <v/>
      </c>
      <c r="E3546" s="7"/>
    </row>
    <row r="3547" spans="3:5">
      <c r="C3547" s="17">
        <f t="shared" si="55"/>
        <v>0</v>
      </c>
      <c r="D3547" s="17" t="str">
        <f>IF(C3547=1,COUNTIF($C$1:$C3547,1),"")</f>
        <v/>
      </c>
      <c r="E3547" s="7"/>
    </row>
    <row r="3548" spans="3:5">
      <c r="C3548" s="17">
        <f t="shared" si="55"/>
        <v>0</v>
      </c>
      <c r="D3548" s="17" t="str">
        <f>IF(C3548=1,COUNTIF($C$1:$C3548,1),"")</f>
        <v/>
      </c>
      <c r="E3548" s="7"/>
    </row>
    <row r="3549" spans="3:5">
      <c r="C3549" s="17">
        <f t="shared" si="55"/>
        <v>0</v>
      </c>
      <c r="D3549" s="17" t="str">
        <f>IF(C3549=1,COUNTIF($C$1:$C3549,1),"")</f>
        <v/>
      </c>
      <c r="E3549" s="7"/>
    </row>
    <row r="3550" spans="3:5">
      <c r="C3550" s="17">
        <f t="shared" si="55"/>
        <v>0</v>
      </c>
      <c r="D3550" s="17" t="str">
        <f>IF(C3550=1,COUNTIF($C$1:$C3550,1),"")</f>
        <v/>
      </c>
      <c r="E3550" s="7"/>
    </row>
    <row r="3551" spans="3:5">
      <c r="C3551" s="17">
        <f t="shared" si="55"/>
        <v>0</v>
      </c>
      <c r="D3551" s="17" t="str">
        <f>IF(C3551=1,COUNTIF($C$1:$C3551,1),"")</f>
        <v/>
      </c>
      <c r="E3551" s="7"/>
    </row>
    <row r="3552" spans="3:5">
      <c r="C3552" s="17">
        <f t="shared" si="55"/>
        <v>0</v>
      </c>
      <c r="D3552" s="17" t="str">
        <f>IF(C3552=1,COUNTIF($C$1:$C3552,1),"")</f>
        <v/>
      </c>
      <c r="E3552" s="7"/>
    </row>
    <row r="3553" spans="3:5">
      <c r="C3553" s="17">
        <f t="shared" si="55"/>
        <v>0</v>
      </c>
      <c r="D3553" s="17" t="str">
        <f>IF(C3553=1,COUNTIF($C$1:$C3553,1),"")</f>
        <v/>
      </c>
      <c r="E3553" s="7"/>
    </row>
    <row r="3554" spans="3:5">
      <c r="C3554" s="17">
        <f t="shared" si="55"/>
        <v>0</v>
      </c>
      <c r="D3554" s="17" t="str">
        <f>IF(C3554=1,COUNTIF($C$1:$C3554,1),"")</f>
        <v/>
      </c>
      <c r="E3554" s="7"/>
    </row>
    <row r="3555" spans="3:5">
      <c r="C3555" s="17">
        <f t="shared" si="55"/>
        <v>0</v>
      </c>
      <c r="D3555" s="17" t="str">
        <f>IF(C3555=1,COUNTIF($C$1:$C3555,1),"")</f>
        <v/>
      </c>
      <c r="E3555" s="7"/>
    </row>
    <row r="3556" spans="3:5">
      <c r="C3556" s="17">
        <f t="shared" si="55"/>
        <v>0</v>
      </c>
      <c r="D3556" s="17" t="str">
        <f>IF(C3556=1,COUNTIF($C$1:$C3556,1),"")</f>
        <v/>
      </c>
      <c r="E3556" s="7"/>
    </row>
    <row r="3557" spans="3:5">
      <c r="C3557" s="17">
        <f t="shared" si="55"/>
        <v>0</v>
      </c>
      <c r="D3557" s="17" t="str">
        <f>IF(C3557=1,COUNTIF($C$1:$C3557,1),"")</f>
        <v/>
      </c>
      <c r="E3557" s="7"/>
    </row>
    <row r="3558" spans="3:5">
      <c r="C3558" s="17">
        <f t="shared" si="55"/>
        <v>0</v>
      </c>
      <c r="D3558" s="17" t="str">
        <f>IF(C3558=1,COUNTIF($C$1:$C3558,1),"")</f>
        <v/>
      </c>
      <c r="E3558" s="7"/>
    </row>
    <row r="3559" spans="3:5">
      <c r="C3559" s="17">
        <f t="shared" si="55"/>
        <v>0</v>
      </c>
      <c r="D3559" s="17" t="str">
        <f>IF(C3559=1,COUNTIF($C$1:$C3559,1),"")</f>
        <v/>
      </c>
      <c r="E3559" s="7"/>
    </row>
    <row r="3560" spans="3:5">
      <c r="C3560" s="17">
        <f t="shared" si="55"/>
        <v>0</v>
      </c>
      <c r="D3560" s="17" t="str">
        <f>IF(C3560=1,COUNTIF($C$1:$C3560,1),"")</f>
        <v/>
      </c>
      <c r="E3560" s="7"/>
    </row>
    <row r="3561" spans="3:5">
      <c r="C3561" s="17">
        <f t="shared" si="55"/>
        <v>0</v>
      </c>
      <c r="D3561" s="17" t="str">
        <f>IF(C3561=1,COUNTIF($C$1:$C3561,1),"")</f>
        <v/>
      </c>
      <c r="E3561" s="7"/>
    </row>
    <row r="3562" spans="3:5">
      <c r="C3562" s="17">
        <f t="shared" si="55"/>
        <v>0</v>
      </c>
      <c r="D3562" s="17" t="str">
        <f>IF(C3562=1,COUNTIF($C$1:$C3562,1),"")</f>
        <v/>
      </c>
      <c r="E3562" s="7"/>
    </row>
    <row r="3563" spans="3:5">
      <c r="C3563" s="17">
        <f t="shared" si="55"/>
        <v>0</v>
      </c>
      <c r="D3563" s="17" t="str">
        <f>IF(C3563=1,COUNTIF($C$1:$C3563,1),"")</f>
        <v/>
      </c>
      <c r="E3563" s="7"/>
    </row>
    <row r="3564" spans="3:5">
      <c r="C3564" s="17">
        <f t="shared" si="55"/>
        <v>0</v>
      </c>
      <c r="D3564" s="17" t="str">
        <f>IF(C3564=1,COUNTIF($C$1:$C3564,1),"")</f>
        <v/>
      </c>
      <c r="E3564" s="7"/>
    </row>
    <row r="3565" spans="3:5">
      <c r="C3565" s="17">
        <f t="shared" si="55"/>
        <v>0</v>
      </c>
      <c r="D3565" s="17" t="str">
        <f>IF(C3565=1,COUNTIF($C$1:$C3565,1),"")</f>
        <v/>
      </c>
      <c r="E3565" s="7"/>
    </row>
    <row r="3566" spans="3:5">
      <c r="C3566" s="17">
        <f t="shared" si="55"/>
        <v>0</v>
      </c>
      <c r="D3566" s="17" t="str">
        <f>IF(C3566=1,COUNTIF($C$1:$C3566,1),"")</f>
        <v/>
      </c>
      <c r="E3566" s="7"/>
    </row>
    <row r="3567" spans="3:5">
      <c r="C3567" s="17">
        <f t="shared" si="55"/>
        <v>0</v>
      </c>
      <c r="D3567" s="17" t="str">
        <f>IF(C3567=1,COUNTIF($C$1:$C3567,1),"")</f>
        <v/>
      </c>
      <c r="E3567" s="7"/>
    </row>
    <row r="3568" spans="3:5">
      <c r="C3568" s="17">
        <f t="shared" si="55"/>
        <v>0</v>
      </c>
      <c r="D3568" s="17" t="str">
        <f>IF(C3568=1,COUNTIF($C$1:$C3568,1),"")</f>
        <v/>
      </c>
      <c r="E3568" s="7"/>
    </row>
    <row r="3569" spans="3:5">
      <c r="C3569" s="17">
        <f t="shared" si="55"/>
        <v>0</v>
      </c>
      <c r="D3569" s="17" t="str">
        <f>IF(C3569=1,COUNTIF($C$1:$C3569,1),"")</f>
        <v/>
      </c>
      <c r="E3569" s="7"/>
    </row>
    <row r="3570" spans="3:5">
      <c r="C3570" s="17">
        <f t="shared" si="55"/>
        <v>0</v>
      </c>
      <c r="D3570" s="17" t="str">
        <f>IF(C3570=1,COUNTIF($C$1:$C3570,1),"")</f>
        <v/>
      </c>
      <c r="E3570" s="7"/>
    </row>
    <row r="3571" spans="3:5">
      <c r="C3571" s="17">
        <f t="shared" si="55"/>
        <v>0</v>
      </c>
      <c r="D3571" s="17" t="str">
        <f>IF(C3571=1,COUNTIF($C$1:$C3571,1),"")</f>
        <v/>
      </c>
      <c r="E3571" s="7"/>
    </row>
    <row r="3572" spans="3:5">
      <c r="C3572" s="17">
        <f t="shared" si="55"/>
        <v>0</v>
      </c>
      <c r="D3572" s="17" t="str">
        <f>IF(C3572=1,COUNTIF($C$1:$C3572,1),"")</f>
        <v/>
      </c>
      <c r="E3572" s="7"/>
    </row>
    <row r="3573" spans="3:5">
      <c r="C3573" s="17">
        <f t="shared" si="55"/>
        <v>0</v>
      </c>
      <c r="D3573" s="17" t="str">
        <f>IF(C3573=1,COUNTIF($C$1:$C3573,1),"")</f>
        <v/>
      </c>
      <c r="E3573" s="7"/>
    </row>
    <row r="3574" spans="3:5">
      <c r="C3574" s="17">
        <f t="shared" si="55"/>
        <v>0</v>
      </c>
      <c r="D3574" s="17" t="str">
        <f>IF(C3574=1,COUNTIF($C$1:$C3574,1),"")</f>
        <v/>
      </c>
      <c r="E3574" s="7"/>
    </row>
    <row r="3575" spans="3:5">
      <c r="C3575" s="17">
        <f t="shared" si="55"/>
        <v>0</v>
      </c>
      <c r="D3575" s="17" t="str">
        <f>IF(C3575=1,COUNTIF($C$1:$C3575,1),"")</f>
        <v/>
      </c>
      <c r="E3575" s="7"/>
    </row>
    <row r="3576" spans="3:5">
      <c r="C3576" s="17">
        <f t="shared" si="55"/>
        <v>0</v>
      </c>
      <c r="D3576" s="17" t="str">
        <f>IF(C3576=1,COUNTIF($C$1:$C3576,1),"")</f>
        <v/>
      </c>
      <c r="E3576" s="7"/>
    </row>
    <row r="3577" spans="3:5">
      <c r="C3577" s="17">
        <f t="shared" si="55"/>
        <v>0</v>
      </c>
      <c r="D3577" s="17" t="str">
        <f>IF(C3577=1,COUNTIF($C$1:$C3577,1),"")</f>
        <v/>
      </c>
      <c r="E3577" s="7"/>
    </row>
    <row r="3578" spans="3:5">
      <c r="C3578" s="17">
        <f t="shared" si="55"/>
        <v>0</v>
      </c>
      <c r="D3578" s="17" t="str">
        <f>IF(C3578=1,COUNTIF($C$1:$C3578,1),"")</f>
        <v/>
      </c>
      <c r="E3578" s="7"/>
    </row>
    <row r="3579" spans="3:5">
      <c r="C3579" s="17">
        <f t="shared" si="55"/>
        <v>0</v>
      </c>
      <c r="D3579" s="17" t="str">
        <f>IF(C3579=1,COUNTIF($C$1:$C3579,1),"")</f>
        <v/>
      </c>
      <c r="E3579" s="7"/>
    </row>
    <row r="3580" spans="3:5">
      <c r="C3580" s="17">
        <f t="shared" si="55"/>
        <v>0</v>
      </c>
      <c r="D3580" s="17" t="str">
        <f>IF(C3580=1,COUNTIF($C$1:$C3580,1),"")</f>
        <v/>
      </c>
      <c r="E3580" s="7"/>
    </row>
    <row r="3581" spans="3:5">
      <c r="C3581" s="17">
        <f t="shared" si="55"/>
        <v>0</v>
      </c>
      <c r="D3581" s="17" t="str">
        <f>IF(C3581=1,COUNTIF($C$1:$C3581,1),"")</f>
        <v/>
      </c>
      <c r="E3581" s="7"/>
    </row>
    <row r="3582" spans="3:5">
      <c r="C3582" s="17">
        <f t="shared" si="55"/>
        <v>0</v>
      </c>
      <c r="D3582" s="17" t="str">
        <f>IF(C3582=1,COUNTIF($C$1:$C3582,1),"")</f>
        <v/>
      </c>
      <c r="E3582" s="7"/>
    </row>
    <row r="3583" spans="3:5">
      <c r="C3583" s="17">
        <f t="shared" si="55"/>
        <v>0</v>
      </c>
      <c r="D3583" s="17" t="str">
        <f>IF(C3583=1,COUNTIF($C$1:$C3583,1),"")</f>
        <v/>
      </c>
      <c r="E3583" s="7"/>
    </row>
    <row r="3584" spans="3:5">
      <c r="C3584" s="17">
        <f t="shared" si="55"/>
        <v>0</v>
      </c>
      <c r="D3584" s="17" t="str">
        <f>IF(C3584=1,COUNTIF($C$1:$C3584,1),"")</f>
        <v/>
      </c>
      <c r="E3584" s="7"/>
    </row>
    <row r="3585" spans="3:5">
      <c r="C3585" s="17">
        <f t="shared" si="55"/>
        <v>0</v>
      </c>
      <c r="D3585" s="17" t="str">
        <f>IF(C3585=1,COUNTIF($C$1:$C3585,1),"")</f>
        <v/>
      </c>
      <c r="E3585" s="7"/>
    </row>
    <row r="3586" spans="3:5">
      <c r="C3586" s="17">
        <f t="shared" ref="C3586:C3649" si="56">--ISNUMBER(SEARCH($B$1,A3586))</f>
        <v>0</v>
      </c>
      <c r="D3586" s="17" t="str">
        <f>IF(C3586=1,COUNTIF($C$1:$C3586,1),"")</f>
        <v/>
      </c>
      <c r="E3586" s="7"/>
    </row>
    <row r="3587" spans="3:5">
      <c r="C3587" s="17">
        <f t="shared" si="56"/>
        <v>0</v>
      </c>
      <c r="D3587" s="17" t="str">
        <f>IF(C3587=1,COUNTIF($C$1:$C3587,1),"")</f>
        <v/>
      </c>
      <c r="E3587" s="7"/>
    </row>
    <row r="3588" spans="3:5">
      <c r="C3588" s="17">
        <f t="shared" si="56"/>
        <v>0</v>
      </c>
      <c r="D3588" s="17" t="str">
        <f>IF(C3588=1,COUNTIF($C$1:$C3588,1),"")</f>
        <v/>
      </c>
      <c r="E3588" s="7"/>
    </row>
    <row r="3589" spans="3:5">
      <c r="C3589" s="17">
        <f t="shared" si="56"/>
        <v>0</v>
      </c>
      <c r="D3589" s="17" t="str">
        <f>IF(C3589=1,COUNTIF($C$1:$C3589,1),"")</f>
        <v/>
      </c>
      <c r="E3589" s="7"/>
    </row>
    <row r="3590" spans="3:5">
      <c r="C3590" s="17">
        <f t="shared" si="56"/>
        <v>0</v>
      </c>
      <c r="D3590" s="17" t="str">
        <f>IF(C3590=1,COUNTIF($C$1:$C3590,1),"")</f>
        <v/>
      </c>
      <c r="E3590" s="7"/>
    </row>
    <row r="3591" spans="3:5">
      <c r="C3591" s="17">
        <f t="shared" si="56"/>
        <v>0</v>
      </c>
      <c r="D3591" s="17" t="str">
        <f>IF(C3591=1,COUNTIF($C$1:$C3591,1),"")</f>
        <v/>
      </c>
      <c r="E3591" s="7"/>
    </row>
    <row r="3592" spans="3:5">
      <c r="C3592" s="17">
        <f t="shared" si="56"/>
        <v>0</v>
      </c>
      <c r="D3592" s="17" t="str">
        <f>IF(C3592=1,COUNTIF($C$1:$C3592,1),"")</f>
        <v/>
      </c>
      <c r="E3592" s="7"/>
    </row>
    <row r="3593" spans="3:5">
      <c r="C3593" s="17">
        <f t="shared" si="56"/>
        <v>0</v>
      </c>
      <c r="D3593" s="17" t="str">
        <f>IF(C3593=1,COUNTIF($C$1:$C3593,1),"")</f>
        <v/>
      </c>
      <c r="E3593" s="7"/>
    </row>
    <row r="3594" spans="3:5">
      <c r="C3594" s="17">
        <f t="shared" si="56"/>
        <v>0</v>
      </c>
      <c r="D3594" s="17" t="str">
        <f>IF(C3594=1,COUNTIF($C$1:$C3594,1),"")</f>
        <v/>
      </c>
      <c r="E3594" s="7"/>
    </row>
    <row r="3595" spans="3:5">
      <c r="C3595" s="17">
        <f t="shared" si="56"/>
        <v>0</v>
      </c>
      <c r="D3595" s="17" t="str">
        <f>IF(C3595=1,COUNTIF($C$1:$C3595,1),"")</f>
        <v/>
      </c>
      <c r="E3595" s="7"/>
    </row>
    <row r="3596" spans="3:5">
      <c r="C3596" s="17">
        <f t="shared" si="56"/>
        <v>0</v>
      </c>
      <c r="D3596" s="17" t="str">
        <f>IF(C3596=1,COUNTIF($C$1:$C3596,1),"")</f>
        <v/>
      </c>
      <c r="E3596" s="7"/>
    </row>
    <row r="3597" spans="3:5">
      <c r="C3597" s="17">
        <f t="shared" si="56"/>
        <v>0</v>
      </c>
      <c r="D3597" s="17" t="str">
        <f>IF(C3597=1,COUNTIF($C$1:$C3597,1),"")</f>
        <v/>
      </c>
      <c r="E3597" s="7"/>
    </row>
    <row r="3598" spans="3:5">
      <c r="C3598" s="17">
        <f t="shared" si="56"/>
        <v>0</v>
      </c>
      <c r="D3598" s="17" t="str">
        <f>IF(C3598=1,COUNTIF($C$1:$C3598,1),"")</f>
        <v/>
      </c>
      <c r="E3598" s="7"/>
    </row>
    <row r="3599" spans="3:5">
      <c r="C3599" s="17">
        <f t="shared" si="56"/>
        <v>0</v>
      </c>
      <c r="D3599" s="17" t="str">
        <f>IF(C3599=1,COUNTIF($C$1:$C3599,1),"")</f>
        <v/>
      </c>
      <c r="E3599" s="7"/>
    </row>
    <row r="3600" spans="3:5">
      <c r="C3600" s="17">
        <f t="shared" si="56"/>
        <v>0</v>
      </c>
      <c r="D3600" s="17" t="str">
        <f>IF(C3600=1,COUNTIF($C$1:$C3600,1),"")</f>
        <v/>
      </c>
      <c r="E3600" s="7"/>
    </row>
    <row r="3601" spans="3:5">
      <c r="C3601" s="17">
        <f t="shared" si="56"/>
        <v>0</v>
      </c>
      <c r="D3601" s="17" t="str">
        <f>IF(C3601=1,COUNTIF($C$1:$C3601,1),"")</f>
        <v/>
      </c>
      <c r="E3601" s="7"/>
    </row>
    <row r="3602" spans="3:5">
      <c r="C3602" s="17">
        <f t="shared" si="56"/>
        <v>0</v>
      </c>
      <c r="D3602" s="17" t="str">
        <f>IF(C3602=1,COUNTIF($C$1:$C3602,1),"")</f>
        <v/>
      </c>
      <c r="E3602" s="7"/>
    </row>
    <row r="3603" spans="3:5">
      <c r="C3603" s="17">
        <f t="shared" si="56"/>
        <v>0</v>
      </c>
      <c r="D3603" s="17" t="str">
        <f>IF(C3603=1,COUNTIF($C$1:$C3603,1),"")</f>
        <v/>
      </c>
      <c r="E3603" s="7"/>
    </row>
    <row r="3604" spans="3:5">
      <c r="C3604" s="17">
        <f t="shared" si="56"/>
        <v>0</v>
      </c>
      <c r="D3604" s="17" t="str">
        <f>IF(C3604=1,COUNTIF($C$1:$C3604,1),"")</f>
        <v/>
      </c>
      <c r="E3604" s="7"/>
    </row>
    <row r="3605" spans="3:5">
      <c r="C3605" s="17">
        <f t="shared" si="56"/>
        <v>0</v>
      </c>
      <c r="D3605" s="17" t="str">
        <f>IF(C3605=1,COUNTIF($C$1:$C3605,1),"")</f>
        <v/>
      </c>
      <c r="E3605" s="7"/>
    </row>
    <row r="3606" spans="3:5">
      <c r="C3606" s="17">
        <f t="shared" si="56"/>
        <v>0</v>
      </c>
      <c r="D3606" s="17" t="str">
        <f>IF(C3606=1,COUNTIF($C$1:$C3606,1),"")</f>
        <v/>
      </c>
      <c r="E3606" s="7"/>
    </row>
    <row r="3607" spans="3:5">
      <c r="C3607" s="17">
        <f t="shared" si="56"/>
        <v>0</v>
      </c>
      <c r="D3607" s="17" t="str">
        <f>IF(C3607=1,COUNTIF($C$1:$C3607,1),"")</f>
        <v/>
      </c>
      <c r="E3607" s="7"/>
    </row>
    <row r="3608" spans="3:5">
      <c r="C3608" s="17">
        <f t="shared" si="56"/>
        <v>0</v>
      </c>
      <c r="D3608" s="17" t="str">
        <f>IF(C3608=1,COUNTIF($C$1:$C3608,1),"")</f>
        <v/>
      </c>
      <c r="E3608" s="7"/>
    </row>
    <row r="3609" spans="3:5">
      <c r="C3609" s="17">
        <f t="shared" si="56"/>
        <v>0</v>
      </c>
      <c r="D3609" s="17" t="str">
        <f>IF(C3609=1,COUNTIF($C$1:$C3609,1),"")</f>
        <v/>
      </c>
      <c r="E3609" s="7"/>
    </row>
    <row r="3610" spans="3:5">
      <c r="C3610" s="17">
        <f t="shared" si="56"/>
        <v>0</v>
      </c>
      <c r="D3610" s="17" t="str">
        <f>IF(C3610=1,COUNTIF($C$1:$C3610,1),"")</f>
        <v/>
      </c>
      <c r="E3610" s="7"/>
    </row>
    <row r="3611" spans="3:5">
      <c r="C3611" s="17">
        <f t="shared" si="56"/>
        <v>0</v>
      </c>
      <c r="D3611" s="17" t="str">
        <f>IF(C3611=1,COUNTIF($C$1:$C3611,1),"")</f>
        <v/>
      </c>
      <c r="E3611" s="7"/>
    </row>
    <row r="3612" spans="3:5">
      <c r="C3612" s="17">
        <f t="shared" si="56"/>
        <v>0</v>
      </c>
      <c r="D3612" s="17" t="str">
        <f>IF(C3612=1,COUNTIF($C$1:$C3612,1),"")</f>
        <v/>
      </c>
      <c r="E3612" s="7"/>
    </row>
    <row r="3613" spans="3:5">
      <c r="C3613" s="17">
        <f t="shared" si="56"/>
        <v>0</v>
      </c>
      <c r="D3613" s="17" t="str">
        <f>IF(C3613=1,COUNTIF($C$1:$C3613,1),"")</f>
        <v/>
      </c>
      <c r="E3613" s="7"/>
    </row>
    <row r="3614" spans="3:5">
      <c r="C3614" s="17">
        <f t="shared" si="56"/>
        <v>0</v>
      </c>
      <c r="D3614" s="17" t="str">
        <f>IF(C3614=1,COUNTIF($C$1:$C3614,1),"")</f>
        <v/>
      </c>
      <c r="E3614" s="7"/>
    </row>
    <row r="3615" spans="3:5">
      <c r="C3615" s="17">
        <f t="shared" si="56"/>
        <v>0</v>
      </c>
      <c r="D3615" s="17" t="str">
        <f>IF(C3615=1,COUNTIF($C$1:$C3615,1),"")</f>
        <v/>
      </c>
      <c r="E3615" s="7"/>
    </row>
    <row r="3616" spans="3:5">
      <c r="C3616" s="17">
        <f t="shared" si="56"/>
        <v>0</v>
      </c>
      <c r="D3616" s="17" t="str">
        <f>IF(C3616=1,COUNTIF($C$1:$C3616,1),"")</f>
        <v/>
      </c>
      <c r="E3616" s="7"/>
    </row>
    <row r="3617" spans="3:5">
      <c r="C3617" s="17">
        <f t="shared" si="56"/>
        <v>0</v>
      </c>
      <c r="D3617" s="17" t="str">
        <f>IF(C3617=1,COUNTIF($C$1:$C3617,1),"")</f>
        <v/>
      </c>
      <c r="E3617" s="7"/>
    </row>
    <row r="3618" spans="3:5">
      <c r="C3618" s="17">
        <f t="shared" si="56"/>
        <v>0</v>
      </c>
      <c r="D3618" s="17" t="str">
        <f>IF(C3618=1,COUNTIF($C$1:$C3618,1),"")</f>
        <v/>
      </c>
      <c r="E3618" s="7"/>
    </row>
    <row r="3619" spans="3:5">
      <c r="C3619" s="17">
        <f t="shared" si="56"/>
        <v>0</v>
      </c>
      <c r="D3619" s="17" t="str">
        <f>IF(C3619=1,COUNTIF($C$1:$C3619,1),"")</f>
        <v/>
      </c>
      <c r="E3619" s="7"/>
    </row>
    <row r="3620" spans="3:5">
      <c r="C3620" s="17">
        <f t="shared" si="56"/>
        <v>0</v>
      </c>
      <c r="D3620" s="17" t="str">
        <f>IF(C3620=1,COUNTIF($C$1:$C3620,1),"")</f>
        <v/>
      </c>
      <c r="E3620" s="7"/>
    </row>
    <row r="3621" spans="3:5">
      <c r="C3621" s="17">
        <f t="shared" si="56"/>
        <v>0</v>
      </c>
      <c r="D3621" s="17" t="str">
        <f>IF(C3621=1,COUNTIF($C$1:$C3621,1),"")</f>
        <v/>
      </c>
      <c r="E3621" s="7"/>
    </row>
    <row r="3622" spans="3:5">
      <c r="C3622" s="17">
        <f t="shared" si="56"/>
        <v>0</v>
      </c>
      <c r="D3622" s="17" t="str">
        <f>IF(C3622=1,COUNTIF($C$1:$C3622,1),"")</f>
        <v/>
      </c>
      <c r="E3622" s="7"/>
    </row>
    <row r="3623" spans="3:5">
      <c r="C3623" s="17">
        <f t="shared" si="56"/>
        <v>0</v>
      </c>
      <c r="D3623" s="17" t="str">
        <f>IF(C3623=1,COUNTIF($C$1:$C3623,1),"")</f>
        <v/>
      </c>
      <c r="E3623" s="7"/>
    </row>
    <row r="3624" spans="3:5">
      <c r="C3624" s="17">
        <f t="shared" si="56"/>
        <v>0</v>
      </c>
      <c r="D3624" s="17" t="str">
        <f>IF(C3624=1,COUNTIF($C$1:$C3624,1),"")</f>
        <v/>
      </c>
      <c r="E3624" s="7"/>
    </row>
    <row r="3625" spans="3:5">
      <c r="C3625" s="17">
        <f t="shared" si="56"/>
        <v>0</v>
      </c>
      <c r="D3625" s="17" t="str">
        <f>IF(C3625=1,COUNTIF($C$1:$C3625,1),"")</f>
        <v/>
      </c>
      <c r="E3625" s="7"/>
    </row>
    <row r="3626" spans="3:5">
      <c r="C3626" s="17">
        <f t="shared" si="56"/>
        <v>0</v>
      </c>
      <c r="D3626" s="17" t="str">
        <f>IF(C3626=1,COUNTIF($C$1:$C3626,1),"")</f>
        <v/>
      </c>
      <c r="E3626" s="7"/>
    </row>
    <row r="3627" spans="3:5">
      <c r="C3627" s="17">
        <f t="shared" si="56"/>
        <v>0</v>
      </c>
      <c r="D3627" s="17" t="str">
        <f>IF(C3627=1,COUNTIF($C$1:$C3627,1),"")</f>
        <v/>
      </c>
      <c r="E3627" s="7"/>
    </row>
    <row r="3628" spans="3:5">
      <c r="C3628" s="17">
        <f t="shared" si="56"/>
        <v>0</v>
      </c>
      <c r="D3628" s="17" t="str">
        <f>IF(C3628=1,COUNTIF($C$1:$C3628,1),"")</f>
        <v/>
      </c>
      <c r="E3628" s="7"/>
    </row>
    <row r="3629" spans="3:5">
      <c r="C3629" s="17">
        <f t="shared" si="56"/>
        <v>0</v>
      </c>
      <c r="D3629" s="17" t="str">
        <f>IF(C3629=1,COUNTIF($C$1:$C3629,1),"")</f>
        <v/>
      </c>
      <c r="E3629" s="7"/>
    </row>
    <row r="3630" spans="3:5">
      <c r="C3630" s="17">
        <f t="shared" si="56"/>
        <v>0</v>
      </c>
      <c r="D3630" s="17" t="str">
        <f>IF(C3630=1,COUNTIF($C$1:$C3630,1),"")</f>
        <v/>
      </c>
      <c r="E3630" s="7"/>
    </row>
    <row r="3631" spans="3:5">
      <c r="C3631" s="17">
        <f t="shared" si="56"/>
        <v>0</v>
      </c>
      <c r="D3631" s="17" t="str">
        <f>IF(C3631=1,COUNTIF($C$1:$C3631,1),"")</f>
        <v/>
      </c>
      <c r="E3631" s="7"/>
    </row>
    <row r="3632" spans="3:5">
      <c r="C3632" s="17">
        <f t="shared" si="56"/>
        <v>0</v>
      </c>
      <c r="D3632" s="17" t="str">
        <f>IF(C3632=1,COUNTIF($C$1:$C3632,1),"")</f>
        <v/>
      </c>
      <c r="E3632" s="7"/>
    </row>
    <row r="3633" spans="3:5">
      <c r="C3633" s="17">
        <f t="shared" si="56"/>
        <v>0</v>
      </c>
      <c r="D3633" s="17" t="str">
        <f>IF(C3633=1,COUNTIF($C$1:$C3633,1),"")</f>
        <v/>
      </c>
      <c r="E3633" s="7"/>
    </row>
    <row r="3634" spans="3:5">
      <c r="C3634" s="17">
        <f t="shared" si="56"/>
        <v>0</v>
      </c>
      <c r="D3634" s="17" t="str">
        <f>IF(C3634=1,COUNTIF($C$1:$C3634,1),"")</f>
        <v/>
      </c>
      <c r="E3634" s="7"/>
    </row>
    <row r="3635" spans="3:5">
      <c r="C3635" s="17">
        <f t="shared" si="56"/>
        <v>0</v>
      </c>
      <c r="D3635" s="17" t="str">
        <f>IF(C3635=1,COUNTIF($C$1:$C3635,1),"")</f>
        <v/>
      </c>
      <c r="E3635" s="7"/>
    </row>
    <row r="3636" spans="3:5">
      <c r="C3636" s="17">
        <f t="shared" si="56"/>
        <v>0</v>
      </c>
      <c r="D3636" s="17" t="str">
        <f>IF(C3636=1,COUNTIF($C$1:$C3636,1),"")</f>
        <v/>
      </c>
      <c r="E3636" s="7"/>
    </row>
    <row r="3637" spans="3:5">
      <c r="C3637" s="17">
        <f t="shared" si="56"/>
        <v>0</v>
      </c>
      <c r="D3637" s="17" t="str">
        <f>IF(C3637=1,COUNTIF($C$1:$C3637,1),"")</f>
        <v/>
      </c>
      <c r="E3637" s="7"/>
    </row>
    <row r="3638" spans="3:5">
      <c r="C3638" s="17">
        <f t="shared" si="56"/>
        <v>0</v>
      </c>
      <c r="D3638" s="17" t="str">
        <f>IF(C3638=1,COUNTIF($C$1:$C3638,1),"")</f>
        <v/>
      </c>
      <c r="E3638" s="7"/>
    </row>
    <row r="3639" spans="3:5">
      <c r="C3639" s="17">
        <f t="shared" si="56"/>
        <v>0</v>
      </c>
      <c r="D3639" s="17" t="str">
        <f>IF(C3639=1,COUNTIF($C$1:$C3639,1),"")</f>
        <v/>
      </c>
      <c r="E3639" s="7"/>
    </row>
    <row r="3640" spans="3:5">
      <c r="C3640" s="17">
        <f t="shared" si="56"/>
        <v>0</v>
      </c>
      <c r="D3640" s="17" t="str">
        <f>IF(C3640=1,COUNTIF($C$1:$C3640,1),"")</f>
        <v/>
      </c>
      <c r="E3640" s="7"/>
    </row>
    <row r="3641" spans="3:5">
      <c r="C3641" s="17">
        <f t="shared" si="56"/>
        <v>0</v>
      </c>
      <c r="D3641" s="17" t="str">
        <f>IF(C3641=1,COUNTIF($C$1:$C3641,1),"")</f>
        <v/>
      </c>
      <c r="E3641" s="7"/>
    </row>
    <row r="3642" spans="3:5">
      <c r="C3642" s="17">
        <f t="shared" si="56"/>
        <v>0</v>
      </c>
      <c r="D3642" s="17" t="str">
        <f>IF(C3642=1,COUNTIF($C$1:$C3642,1),"")</f>
        <v/>
      </c>
      <c r="E3642" s="7"/>
    </row>
    <row r="3643" spans="3:5">
      <c r="C3643" s="17">
        <f t="shared" si="56"/>
        <v>0</v>
      </c>
      <c r="D3643" s="17" t="str">
        <f>IF(C3643=1,COUNTIF($C$1:$C3643,1),"")</f>
        <v/>
      </c>
      <c r="E3643" s="7"/>
    </row>
    <row r="3644" spans="3:5">
      <c r="C3644" s="17">
        <f t="shared" si="56"/>
        <v>0</v>
      </c>
      <c r="D3644" s="17" t="str">
        <f>IF(C3644=1,COUNTIF($C$1:$C3644,1),"")</f>
        <v/>
      </c>
      <c r="E3644" s="7"/>
    </row>
    <row r="3645" spans="3:5">
      <c r="C3645" s="17">
        <f t="shared" si="56"/>
        <v>0</v>
      </c>
      <c r="D3645" s="17" t="str">
        <f>IF(C3645=1,COUNTIF($C$1:$C3645,1),"")</f>
        <v/>
      </c>
      <c r="E3645" s="7"/>
    </row>
    <row r="3646" spans="3:5">
      <c r="C3646" s="17">
        <f t="shared" si="56"/>
        <v>0</v>
      </c>
      <c r="D3646" s="17" t="str">
        <f>IF(C3646=1,COUNTIF($C$1:$C3646,1),"")</f>
        <v/>
      </c>
      <c r="E3646" s="7"/>
    </row>
    <row r="3647" spans="3:5">
      <c r="C3647" s="17">
        <f t="shared" si="56"/>
        <v>0</v>
      </c>
      <c r="D3647" s="17" t="str">
        <f>IF(C3647=1,COUNTIF($C$1:$C3647,1),"")</f>
        <v/>
      </c>
      <c r="E3647" s="7"/>
    </row>
    <row r="3648" spans="3:5">
      <c r="C3648" s="17">
        <f t="shared" si="56"/>
        <v>0</v>
      </c>
      <c r="D3648" s="17" t="str">
        <f>IF(C3648=1,COUNTIF($C$1:$C3648,1),"")</f>
        <v/>
      </c>
      <c r="E3648" s="7"/>
    </row>
    <row r="3649" spans="3:5">
      <c r="C3649" s="17">
        <f t="shared" si="56"/>
        <v>0</v>
      </c>
      <c r="D3649" s="17" t="str">
        <f>IF(C3649=1,COUNTIF($C$1:$C3649,1),"")</f>
        <v/>
      </c>
      <c r="E3649" s="7"/>
    </row>
    <row r="3650" spans="3:5">
      <c r="C3650" s="17">
        <f t="shared" ref="C3650:C3713" si="57">--ISNUMBER(SEARCH($B$1,A3650))</f>
        <v>0</v>
      </c>
      <c r="D3650" s="17" t="str">
        <f>IF(C3650=1,COUNTIF($C$1:$C3650,1),"")</f>
        <v/>
      </c>
      <c r="E3650" s="7"/>
    </row>
    <row r="3651" spans="3:5">
      <c r="C3651" s="17">
        <f t="shared" si="57"/>
        <v>0</v>
      </c>
      <c r="D3651" s="17" t="str">
        <f>IF(C3651=1,COUNTIF($C$1:$C3651,1),"")</f>
        <v/>
      </c>
      <c r="E3651" s="7"/>
    </row>
    <row r="3652" spans="3:5">
      <c r="C3652" s="17">
        <f t="shared" si="57"/>
        <v>0</v>
      </c>
      <c r="D3652" s="17" t="str">
        <f>IF(C3652=1,COUNTIF($C$1:$C3652,1),"")</f>
        <v/>
      </c>
      <c r="E3652" s="7"/>
    </row>
    <row r="3653" spans="3:5">
      <c r="C3653" s="17">
        <f t="shared" si="57"/>
        <v>0</v>
      </c>
      <c r="D3653" s="17" t="str">
        <f>IF(C3653=1,COUNTIF($C$1:$C3653,1),"")</f>
        <v/>
      </c>
      <c r="E3653" s="7"/>
    </row>
    <row r="3654" spans="3:5">
      <c r="C3654" s="17">
        <f t="shared" si="57"/>
        <v>0</v>
      </c>
      <c r="D3654" s="17" t="str">
        <f>IF(C3654=1,COUNTIF($C$1:$C3654,1),"")</f>
        <v/>
      </c>
      <c r="E3654" s="7"/>
    </row>
    <row r="3655" spans="3:5">
      <c r="C3655" s="17">
        <f t="shared" si="57"/>
        <v>0</v>
      </c>
      <c r="D3655" s="17" t="str">
        <f>IF(C3655=1,COUNTIF($C$1:$C3655,1),"")</f>
        <v/>
      </c>
      <c r="E3655" s="7"/>
    </row>
    <row r="3656" spans="3:5">
      <c r="C3656" s="17">
        <f t="shared" si="57"/>
        <v>0</v>
      </c>
      <c r="D3656" s="17" t="str">
        <f>IF(C3656=1,COUNTIF($C$1:$C3656,1),"")</f>
        <v/>
      </c>
      <c r="E3656" s="7"/>
    </row>
    <row r="3657" spans="3:5">
      <c r="C3657" s="17">
        <f t="shared" si="57"/>
        <v>0</v>
      </c>
      <c r="D3657" s="17" t="str">
        <f>IF(C3657=1,COUNTIF($C$1:$C3657,1),"")</f>
        <v/>
      </c>
      <c r="E3657" s="7"/>
    </row>
    <row r="3658" spans="3:5">
      <c r="C3658" s="17">
        <f t="shared" si="57"/>
        <v>0</v>
      </c>
      <c r="D3658" s="17" t="str">
        <f>IF(C3658=1,COUNTIF($C$1:$C3658,1),"")</f>
        <v/>
      </c>
      <c r="E3658" s="7"/>
    </row>
    <row r="3659" spans="3:5">
      <c r="C3659" s="17">
        <f t="shared" si="57"/>
        <v>0</v>
      </c>
      <c r="D3659" s="17" t="str">
        <f>IF(C3659=1,COUNTIF($C$1:$C3659,1),"")</f>
        <v/>
      </c>
      <c r="E3659" s="7"/>
    </row>
    <row r="3660" spans="3:5">
      <c r="C3660" s="17">
        <f t="shared" si="57"/>
        <v>0</v>
      </c>
      <c r="D3660" s="17" t="str">
        <f>IF(C3660=1,COUNTIF($C$1:$C3660,1),"")</f>
        <v/>
      </c>
      <c r="E3660" s="7"/>
    </row>
    <row r="3661" spans="3:5">
      <c r="C3661" s="17">
        <f t="shared" si="57"/>
        <v>0</v>
      </c>
      <c r="D3661" s="17" t="str">
        <f>IF(C3661=1,COUNTIF($C$1:$C3661,1),"")</f>
        <v/>
      </c>
      <c r="E3661" s="7"/>
    </row>
    <row r="3662" spans="3:5">
      <c r="C3662" s="17">
        <f t="shared" si="57"/>
        <v>0</v>
      </c>
      <c r="D3662" s="17" t="str">
        <f>IF(C3662=1,COUNTIF($C$1:$C3662,1),"")</f>
        <v/>
      </c>
      <c r="E3662" s="7"/>
    </row>
    <row r="3663" spans="3:5">
      <c r="C3663" s="17">
        <f t="shared" si="57"/>
        <v>0</v>
      </c>
      <c r="D3663" s="17" t="str">
        <f>IF(C3663=1,COUNTIF($C$1:$C3663,1),"")</f>
        <v/>
      </c>
      <c r="E3663" s="7"/>
    </row>
    <row r="3664" spans="3:5">
      <c r="C3664" s="17">
        <f t="shared" si="57"/>
        <v>0</v>
      </c>
      <c r="D3664" s="17" t="str">
        <f>IF(C3664=1,COUNTIF($C$1:$C3664,1),"")</f>
        <v/>
      </c>
      <c r="E3664" s="7"/>
    </row>
    <row r="3665" spans="3:5">
      <c r="C3665" s="17">
        <f t="shared" si="57"/>
        <v>0</v>
      </c>
      <c r="D3665" s="17" t="str">
        <f>IF(C3665=1,COUNTIF($C$1:$C3665,1),"")</f>
        <v/>
      </c>
      <c r="E3665" s="7"/>
    </row>
    <row r="3666" spans="3:5">
      <c r="C3666" s="17">
        <f t="shared" si="57"/>
        <v>0</v>
      </c>
      <c r="D3666" s="17" t="str">
        <f>IF(C3666=1,COUNTIF($C$1:$C3666,1),"")</f>
        <v/>
      </c>
      <c r="E3666" s="7"/>
    </row>
    <row r="3667" spans="3:5">
      <c r="C3667" s="17">
        <f t="shared" si="57"/>
        <v>0</v>
      </c>
      <c r="D3667" s="17" t="str">
        <f>IF(C3667=1,COUNTIF($C$1:$C3667,1),"")</f>
        <v/>
      </c>
      <c r="E3667" s="7"/>
    </row>
    <row r="3668" spans="3:5">
      <c r="C3668" s="17">
        <f t="shared" si="57"/>
        <v>0</v>
      </c>
      <c r="D3668" s="17" t="str">
        <f>IF(C3668=1,COUNTIF($C$1:$C3668,1),"")</f>
        <v/>
      </c>
      <c r="E3668" s="7"/>
    </row>
    <row r="3669" spans="3:5">
      <c r="C3669" s="17">
        <f t="shared" si="57"/>
        <v>0</v>
      </c>
      <c r="D3669" s="17" t="str">
        <f>IF(C3669=1,COUNTIF($C$1:$C3669,1),"")</f>
        <v/>
      </c>
      <c r="E3669" s="7"/>
    </row>
    <row r="3670" spans="3:5">
      <c r="C3670" s="17">
        <f t="shared" si="57"/>
        <v>0</v>
      </c>
      <c r="D3670" s="17" t="str">
        <f>IF(C3670=1,COUNTIF($C$1:$C3670,1),"")</f>
        <v/>
      </c>
      <c r="E3670" s="7"/>
    </row>
    <row r="3671" spans="3:5">
      <c r="C3671" s="17">
        <f t="shared" si="57"/>
        <v>0</v>
      </c>
      <c r="D3671" s="17" t="str">
        <f>IF(C3671=1,COUNTIF($C$1:$C3671,1),"")</f>
        <v/>
      </c>
      <c r="E3671" s="7"/>
    </row>
    <row r="3672" spans="3:5">
      <c r="C3672" s="17">
        <f t="shared" si="57"/>
        <v>0</v>
      </c>
      <c r="D3672" s="17" t="str">
        <f>IF(C3672=1,COUNTIF($C$1:$C3672,1),"")</f>
        <v/>
      </c>
      <c r="E3672" s="7"/>
    </row>
    <row r="3673" spans="3:5">
      <c r="C3673" s="17">
        <f t="shared" si="57"/>
        <v>0</v>
      </c>
      <c r="D3673" s="17" t="str">
        <f>IF(C3673=1,COUNTIF($C$1:$C3673,1),"")</f>
        <v/>
      </c>
      <c r="E3673" s="7"/>
    </row>
    <row r="3674" spans="3:5">
      <c r="C3674" s="17">
        <f t="shared" si="57"/>
        <v>0</v>
      </c>
      <c r="D3674" s="17" t="str">
        <f>IF(C3674=1,COUNTIF($C$1:$C3674,1),"")</f>
        <v/>
      </c>
      <c r="E3674" s="7"/>
    </row>
    <row r="3675" spans="3:5">
      <c r="C3675" s="17">
        <f t="shared" si="57"/>
        <v>0</v>
      </c>
      <c r="D3675" s="17" t="str">
        <f>IF(C3675=1,COUNTIF($C$1:$C3675,1),"")</f>
        <v/>
      </c>
      <c r="E3675" s="7"/>
    </row>
    <row r="3676" spans="3:5">
      <c r="C3676" s="17">
        <f t="shared" si="57"/>
        <v>0</v>
      </c>
      <c r="D3676" s="17" t="str">
        <f>IF(C3676=1,COUNTIF($C$1:$C3676,1),"")</f>
        <v/>
      </c>
      <c r="E3676" s="7"/>
    </row>
    <row r="3677" spans="3:5">
      <c r="C3677" s="17">
        <f t="shared" si="57"/>
        <v>0</v>
      </c>
      <c r="D3677" s="17" t="str">
        <f>IF(C3677=1,COUNTIF($C$1:$C3677,1),"")</f>
        <v/>
      </c>
      <c r="E3677" s="7"/>
    </row>
    <row r="3678" spans="3:5">
      <c r="C3678" s="17">
        <f t="shared" si="57"/>
        <v>0</v>
      </c>
      <c r="D3678" s="17" t="str">
        <f>IF(C3678=1,COUNTIF($C$1:$C3678,1),"")</f>
        <v/>
      </c>
      <c r="E3678" s="7"/>
    </row>
    <row r="3679" spans="3:5">
      <c r="C3679" s="17">
        <f t="shared" si="57"/>
        <v>0</v>
      </c>
      <c r="D3679" s="17" t="str">
        <f>IF(C3679=1,COUNTIF($C$1:$C3679,1),"")</f>
        <v/>
      </c>
      <c r="E3679" s="7"/>
    </row>
    <row r="3680" spans="3:5">
      <c r="C3680" s="17">
        <f t="shared" si="57"/>
        <v>0</v>
      </c>
      <c r="D3680" s="17" t="str">
        <f>IF(C3680=1,COUNTIF($C$1:$C3680,1),"")</f>
        <v/>
      </c>
      <c r="E3680" s="7"/>
    </row>
    <row r="3681" spans="3:5">
      <c r="C3681" s="17">
        <f t="shared" si="57"/>
        <v>0</v>
      </c>
      <c r="D3681" s="17" t="str">
        <f>IF(C3681=1,COUNTIF($C$1:$C3681,1),"")</f>
        <v/>
      </c>
      <c r="E3681" s="7"/>
    </row>
    <row r="3682" spans="3:5">
      <c r="C3682" s="17">
        <f t="shared" si="57"/>
        <v>0</v>
      </c>
      <c r="D3682" s="17" t="str">
        <f>IF(C3682=1,COUNTIF($C$1:$C3682,1),"")</f>
        <v/>
      </c>
      <c r="E3682" s="7"/>
    </row>
    <row r="3683" spans="3:5">
      <c r="C3683" s="17">
        <f t="shared" si="57"/>
        <v>0</v>
      </c>
      <c r="D3683" s="17" t="str">
        <f>IF(C3683=1,COUNTIF($C$1:$C3683,1),"")</f>
        <v/>
      </c>
      <c r="E3683" s="7"/>
    </row>
    <row r="3684" spans="3:5">
      <c r="C3684" s="17">
        <f t="shared" si="57"/>
        <v>0</v>
      </c>
      <c r="D3684" s="17" t="str">
        <f>IF(C3684=1,COUNTIF($C$1:$C3684,1),"")</f>
        <v/>
      </c>
      <c r="E3684" s="7"/>
    </row>
    <row r="3685" spans="3:5">
      <c r="C3685" s="17">
        <f t="shared" si="57"/>
        <v>0</v>
      </c>
      <c r="D3685" s="17" t="str">
        <f>IF(C3685=1,COUNTIF($C$1:$C3685,1),"")</f>
        <v/>
      </c>
      <c r="E3685" s="7"/>
    </row>
    <row r="3686" spans="3:5">
      <c r="C3686" s="17">
        <f t="shared" si="57"/>
        <v>0</v>
      </c>
      <c r="D3686" s="17" t="str">
        <f>IF(C3686=1,COUNTIF($C$1:$C3686,1),"")</f>
        <v/>
      </c>
      <c r="E3686" s="7"/>
    </row>
    <row r="3687" spans="3:5">
      <c r="C3687" s="17">
        <f t="shared" si="57"/>
        <v>0</v>
      </c>
      <c r="D3687" s="17" t="str">
        <f>IF(C3687=1,COUNTIF($C$1:$C3687,1),"")</f>
        <v/>
      </c>
      <c r="E3687" s="7"/>
    </row>
    <row r="3688" spans="3:5">
      <c r="C3688" s="17">
        <f t="shared" si="57"/>
        <v>0</v>
      </c>
      <c r="D3688" s="17" t="str">
        <f>IF(C3688=1,COUNTIF($C$1:$C3688,1),"")</f>
        <v/>
      </c>
      <c r="E3688" s="7"/>
    </row>
    <row r="3689" spans="3:5">
      <c r="C3689" s="17">
        <f t="shared" si="57"/>
        <v>0</v>
      </c>
      <c r="D3689" s="17" t="str">
        <f>IF(C3689=1,COUNTIF($C$1:$C3689,1),"")</f>
        <v/>
      </c>
      <c r="E3689" s="7"/>
    </row>
    <row r="3690" spans="3:5">
      <c r="C3690" s="17">
        <f t="shared" si="57"/>
        <v>0</v>
      </c>
      <c r="D3690" s="17" t="str">
        <f>IF(C3690=1,COUNTIF($C$1:$C3690,1),"")</f>
        <v/>
      </c>
      <c r="E3690" s="7"/>
    </row>
    <row r="3691" spans="3:5">
      <c r="C3691" s="17">
        <f t="shared" si="57"/>
        <v>0</v>
      </c>
      <c r="D3691" s="17" t="str">
        <f>IF(C3691=1,COUNTIF($C$1:$C3691,1),"")</f>
        <v/>
      </c>
      <c r="E3691" s="7"/>
    </row>
    <row r="3692" spans="3:5">
      <c r="C3692" s="17">
        <f t="shared" si="57"/>
        <v>0</v>
      </c>
      <c r="D3692" s="17" t="str">
        <f>IF(C3692=1,COUNTIF($C$1:$C3692,1),"")</f>
        <v/>
      </c>
      <c r="E3692" s="7"/>
    </row>
    <row r="3693" spans="3:5">
      <c r="C3693" s="17">
        <f t="shared" si="57"/>
        <v>0</v>
      </c>
      <c r="D3693" s="17" t="str">
        <f>IF(C3693=1,COUNTIF($C$1:$C3693,1),"")</f>
        <v/>
      </c>
      <c r="E3693" s="7"/>
    </row>
    <row r="3694" spans="3:5">
      <c r="C3694" s="17">
        <f t="shared" si="57"/>
        <v>0</v>
      </c>
      <c r="D3694" s="17" t="str">
        <f>IF(C3694=1,COUNTIF($C$1:$C3694,1),"")</f>
        <v/>
      </c>
      <c r="E3694" s="7"/>
    </row>
    <row r="3695" spans="3:5">
      <c r="C3695" s="17">
        <f t="shared" si="57"/>
        <v>0</v>
      </c>
      <c r="D3695" s="17" t="str">
        <f>IF(C3695=1,COUNTIF($C$1:$C3695,1),"")</f>
        <v/>
      </c>
      <c r="E3695" s="7"/>
    </row>
    <row r="3696" spans="3:5">
      <c r="C3696" s="17">
        <f t="shared" si="57"/>
        <v>0</v>
      </c>
      <c r="D3696" s="17" t="str">
        <f>IF(C3696=1,COUNTIF($C$1:$C3696,1),"")</f>
        <v/>
      </c>
      <c r="E3696" s="7"/>
    </row>
    <row r="3697" spans="3:5">
      <c r="C3697" s="17">
        <f t="shared" si="57"/>
        <v>0</v>
      </c>
      <c r="D3697" s="17" t="str">
        <f>IF(C3697=1,COUNTIF($C$1:$C3697,1),"")</f>
        <v/>
      </c>
      <c r="E3697" s="7"/>
    </row>
    <row r="3698" spans="3:5">
      <c r="C3698" s="17">
        <f t="shared" si="57"/>
        <v>0</v>
      </c>
      <c r="D3698" s="17" t="str">
        <f>IF(C3698=1,COUNTIF($C$1:$C3698,1),"")</f>
        <v/>
      </c>
      <c r="E3698" s="7"/>
    </row>
    <row r="3699" spans="3:5">
      <c r="C3699" s="17">
        <f t="shared" si="57"/>
        <v>0</v>
      </c>
      <c r="D3699" s="17" t="str">
        <f>IF(C3699=1,COUNTIF($C$1:$C3699,1),"")</f>
        <v/>
      </c>
      <c r="E3699" s="7"/>
    </row>
    <row r="3700" spans="3:5">
      <c r="C3700" s="17">
        <f t="shared" si="57"/>
        <v>0</v>
      </c>
      <c r="D3700" s="17" t="str">
        <f>IF(C3700=1,COUNTIF($C$1:$C3700,1),"")</f>
        <v/>
      </c>
      <c r="E3700" s="7"/>
    </row>
    <row r="3701" spans="3:5">
      <c r="C3701" s="17">
        <f t="shared" si="57"/>
        <v>0</v>
      </c>
      <c r="D3701" s="17" t="str">
        <f>IF(C3701=1,COUNTIF($C$1:$C3701,1),"")</f>
        <v/>
      </c>
      <c r="E3701" s="7"/>
    </row>
    <row r="3702" spans="3:5">
      <c r="C3702" s="17">
        <f t="shared" si="57"/>
        <v>0</v>
      </c>
      <c r="D3702" s="17" t="str">
        <f>IF(C3702=1,COUNTIF($C$1:$C3702,1),"")</f>
        <v/>
      </c>
      <c r="E3702" s="7"/>
    </row>
    <row r="3703" spans="3:5">
      <c r="C3703" s="17">
        <f t="shared" si="57"/>
        <v>0</v>
      </c>
      <c r="D3703" s="17" t="str">
        <f>IF(C3703=1,COUNTIF($C$1:$C3703,1),"")</f>
        <v/>
      </c>
      <c r="E3703" s="7"/>
    </row>
    <row r="3704" spans="3:5">
      <c r="C3704" s="17">
        <f t="shared" si="57"/>
        <v>0</v>
      </c>
      <c r="D3704" s="17" t="str">
        <f>IF(C3704=1,COUNTIF($C$1:$C3704,1),"")</f>
        <v/>
      </c>
      <c r="E3704" s="7"/>
    </row>
    <row r="3705" spans="3:5">
      <c r="C3705" s="17">
        <f t="shared" si="57"/>
        <v>0</v>
      </c>
      <c r="D3705" s="17" t="str">
        <f>IF(C3705=1,COUNTIF($C$1:$C3705,1),"")</f>
        <v/>
      </c>
      <c r="E3705" s="7"/>
    </row>
    <row r="3706" spans="3:5">
      <c r="C3706" s="17">
        <f t="shared" si="57"/>
        <v>0</v>
      </c>
      <c r="D3706" s="17" t="str">
        <f>IF(C3706=1,COUNTIF($C$1:$C3706,1),"")</f>
        <v/>
      </c>
      <c r="E3706" s="7"/>
    </row>
    <row r="3707" spans="3:5">
      <c r="C3707" s="17">
        <f t="shared" si="57"/>
        <v>0</v>
      </c>
      <c r="D3707" s="17" t="str">
        <f>IF(C3707=1,COUNTIF($C$1:$C3707,1),"")</f>
        <v/>
      </c>
      <c r="E3707" s="7"/>
    </row>
    <row r="3708" spans="3:5">
      <c r="C3708" s="17">
        <f t="shared" si="57"/>
        <v>0</v>
      </c>
      <c r="D3708" s="17" t="str">
        <f>IF(C3708=1,COUNTIF($C$1:$C3708,1),"")</f>
        <v/>
      </c>
      <c r="E3708" s="7"/>
    </row>
    <row r="3709" spans="3:5">
      <c r="C3709" s="17">
        <f t="shared" si="57"/>
        <v>0</v>
      </c>
      <c r="D3709" s="17" t="str">
        <f>IF(C3709=1,COUNTIF($C$1:$C3709,1),"")</f>
        <v/>
      </c>
      <c r="E3709" s="7"/>
    </row>
    <row r="3710" spans="3:5">
      <c r="C3710" s="17">
        <f t="shared" si="57"/>
        <v>0</v>
      </c>
      <c r="D3710" s="17" t="str">
        <f>IF(C3710=1,COUNTIF($C$1:$C3710,1),"")</f>
        <v/>
      </c>
      <c r="E3710" s="7"/>
    </row>
    <row r="3711" spans="3:5">
      <c r="C3711" s="17">
        <f t="shared" si="57"/>
        <v>0</v>
      </c>
      <c r="D3711" s="17" t="str">
        <f>IF(C3711=1,COUNTIF($C$1:$C3711,1),"")</f>
        <v/>
      </c>
      <c r="E3711" s="7"/>
    </row>
    <row r="3712" spans="3:5">
      <c r="C3712" s="17">
        <f t="shared" si="57"/>
        <v>0</v>
      </c>
      <c r="D3712" s="17" t="str">
        <f>IF(C3712=1,COUNTIF($C$1:$C3712,1),"")</f>
        <v/>
      </c>
      <c r="E3712" s="7"/>
    </row>
    <row r="3713" spans="3:5">
      <c r="C3713" s="17">
        <f t="shared" si="57"/>
        <v>0</v>
      </c>
      <c r="D3713" s="17" t="str">
        <f>IF(C3713=1,COUNTIF($C$1:$C3713,1),"")</f>
        <v/>
      </c>
      <c r="E3713" s="7"/>
    </row>
    <row r="3714" spans="3:5">
      <c r="C3714" s="17">
        <f t="shared" ref="C3714:C3777" si="58">--ISNUMBER(SEARCH($B$1,A3714))</f>
        <v>0</v>
      </c>
      <c r="D3714" s="17" t="str">
        <f>IF(C3714=1,COUNTIF($C$1:$C3714,1),"")</f>
        <v/>
      </c>
      <c r="E3714" s="7"/>
    </row>
    <row r="3715" spans="3:5">
      <c r="C3715" s="17">
        <f t="shared" si="58"/>
        <v>0</v>
      </c>
      <c r="D3715" s="17" t="str">
        <f>IF(C3715=1,COUNTIF($C$1:$C3715,1),"")</f>
        <v/>
      </c>
      <c r="E3715" s="7"/>
    </row>
    <row r="3716" spans="3:5">
      <c r="C3716" s="17">
        <f t="shared" si="58"/>
        <v>0</v>
      </c>
      <c r="D3716" s="17" t="str">
        <f>IF(C3716=1,COUNTIF($C$1:$C3716,1),"")</f>
        <v/>
      </c>
      <c r="E3716" s="7"/>
    </row>
    <row r="3717" spans="3:5">
      <c r="C3717" s="17">
        <f t="shared" si="58"/>
        <v>0</v>
      </c>
      <c r="D3717" s="17" t="str">
        <f>IF(C3717=1,COUNTIF($C$1:$C3717,1),"")</f>
        <v/>
      </c>
      <c r="E3717" s="7"/>
    </row>
    <row r="3718" spans="3:5">
      <c r="C3718" s="17">
        <f t="shared" si="58"/>
        <v>0</v>
      </c>
      <c r="D3718" s="17" t="str">
        <f>IF(C3718=1,COUNTIF($C$1:$C3718,1),"")</f>
        <v/>
      </c>
      <c r="E3718" s="7"/>
    </row>
    <row r="3719" spans="3:5">
      <c r="C3719" s="17">
        <f t="shared" si="58"/>
        <v>0</v>
      </c>
      <c r="D3719" s="17" t="str">
        <f>IF(C3719=1,COUNTIF($C$1:$C3719,1),"")</f>
        <v/>
      </c>
      <c r="E3719" s="7"/>
    </row>
    <row r="3720" spans="3:5">
      <c r="C3720" s="17">
        <f t="shared" si="58"/>
        <v>0</v>
      </c>
      <c r="D3720" s="17" t="str">
        <f>IF(C3720=1,COUNTIF($C$1:$C3720,1),"")</f>
        <v/>
      </c>
      <c r="E3720" s="7"/>
    </row>
    <row r="3721" spans="3:5">
      <c r="C3721" s="17">
        <f t="shared" si="58"/>
        <v>0</v>
      </c>
      <c r="D3721" s="17" t="str">
        <f>IF(C3721=1,COUNTIF($C$1:$C3721,1),"")</f>
        <v/>
      </c>
      <c r="E3721" s="7"/>
    </row>
    <row r="3722" spans="3:5">
      <c r="C3722" s="17">
        <f t="shared" si="58"/>
        <v>0</v>
      </c>
      <c r="D3722" s="17" t="str">
        <f>IF(C3722=1,COUNTIF($C$1:$C3722,1),"")</f>
        <v/>
      </c>
      <c r="E3722" s="7"/>
    </row>
    <row r="3723" spans="3:5">
      <c r="C3723" s="17">
        <f t="shared" si="58"/>
        <v>0</v>
      </c>
      <c r="D3723" s="17" t="str">
        <f>IF(C3723=1,COUNTIF($C$1:$C3723,1),"")</f>
        <v/>
      </c>
      <c r="E3723" s="7"/>
    </row>
    <row r="3724" spans="3:5">
      <c r="C3724" s="17">
        <f t="shared" si="58"/>
        <v>0</v>
      </c>
      <c r="D3724" s="17" t="str">
        <f>IF(C3724=1,COUNTIF($C$1:$C3724,1),"")</f>
        <v/>
      </c>
      <c r="E3724" s="7"/>
    </row>
    <row r="3725" spans="3:5">
      <c r="C3725" s="17">
        <f t="shared" si="58"/>
        <v>0</v>
      </c>
      <c r="D3725" s="17" t="str">
        <f>IF(C3725=1,COUNTIF($C$1:$C3725,1),"")</f>
        <v/>
      </c>
      <c r="E3725" s="7"/>
    </row>
    <row r="3726" spans="3:5">
      <c r="C3726" s="17">
        <f t="shared" si="58"/>
        <v>0</v>
      </c>
      <c r="D3726" s="17" t="str">
        <f>IF(C3726=1,COUNTIF($C$1:$C3726,1),"")</f>
        <v/>
      </c>
      <c r="E3726" s="7"/>
    </row>
    <row r="3727" spans="3:5">
      <c r="C3727" s="17">
        <f t="shared" si="58"/>
        <v>0</v>
      </c>
      <c r="D3727" s="17" t="str">
        <f>IF(C3727=1,COUNTIF($C$1:$C3727,1),"")</f>
        <v/>
      </c>
      <c r="E3727" s="7"/>
    </row>
    <row r="3728" spans="3:5">
      <c r="C3728" s="17">
        <f t="shared" si="58"/>
        <v>0</v>
      </c>
      <c r="D3728" s="17" t="str">
        <f>IF(C3728=1,COUNTIF($C$1:$C3728,1),"")</f>
        <v/>
      </c>
      <c r="E3728" s="7"/>
    </row>
    <row r="3729" spans="3:5">
      <c r="C3729" s="17">
        <f t="shared" si="58"/>
        <v>0</v>
      </c>
      <c r="D3729" s="17" t="str">
        <f>IF(C3729=1,COUNTIF($C$1:$C3729,1),"")</f>
        <v/>
      </c>
      <c r="E3729" s="7"/>
    </row>
    <row r="3730" spans="3:5">
      <c r="C3730" s="17">
        <f t="shared" si="58"/>
        <v>0</v>
      </c>
      <c r="D3730" s="17" t="str">
        <f>IF(C3730=1,COUNTIF($C$1:$C3730,1),"")</f>
        <v/>
      </c>
      <c r="E3730" s="7"/>
    </row>
    <row r="3731" spans="3:5">
      <c r="C3731" s="17">
        <f t="shared" si="58"/>
        <v>0</v>
      </c>
      <c r="D3731" s="17" t="str">
        <f>IF(C3731=1,COUNTIF($C$1:$C3731,1),"")</f>
        <v/>
      </c>
      <c r="E3731" s="7"/>
    </row>
    <row r="3732" spans="3:5">
      <c r="C3732" s="17">
        <f t="shared" si="58"/>
        <v>0</v>
      </c>
      <c r="D3732" s="17" t="str">
        <f>IF(C3732=1,COUNTIF($C$1:$C3732,1),"")</f>
        <v/>
      </c>
      <c r="E3732" s="7"/>
    </row>
    <row r="3733" spans="3:5">
      <c r="C3733" s="17">
        <f t="shared" si="58"/>
        <v>0</v>
      </c>
      <c r="D3733" s="17" t="str">
        <f>IF(C3733=1,COUNTIF($C$1:$C3733,1),"")</f>
        <v/>
      </c>
      <c r="E3733" s="7"/>
    </row>
    <row r="3734" spans="3:5">
      <c r="C3734" s="17">
        <f t="shared" si="58"/>
        <v>0</v>
      </c>
      <c r="D3734" s="17" t="str">
        <f>IF(C3734=1,COUNTIF($C$1:$C3734,1),"")</f>
        <v/>
      </c>
      <c r="E3734" s="7"/>
    </row>
    <row r="3735" spans="3:5">
      <c r="C3735" s="17">
        <f t="shared" si="58"/>
        <v>0</v>
      </c>
      <c r="D3735" s="17" t="str">
        <f>IF(C3735=1,COUNTIF($C$1:$C3735,1),"")</f>
        <v/>
      </c>
      <c r="E3735" s="7"/>
    </row>
    <row r="3736" spans="3:5">
      <c r="C3736" s="17">
        <f t="shared" si="58"/>
        <v>0</v>
      </c>
      <c r="D3736" s="17" t="str">
        <f>IF(C3736=1,COUNTIF($C$1:$C3736,1),"")</f>
        <v/>
      </c>
      <c r="E3736" s="7"/>
    </row>
    <row r="3737" spans="3:5">
      <c r="C3737" s="17">
        <f t="shared" si="58"/>
        <v>0</v>
      </c>
      <c r="D3737" s="17" t="str">
        <f>IF(C3737=1,COUNTIF($C$1:$C3737,1),"")</f>
        <v/>
      </c>
      <c r="E3737" s="7"/>
    </row>
    <row r="3738" spans="3:5">
      <c r="C3738" s="17">
        <f t="shared" si="58"/>
        <v>0</v>
      </c>
      <c r="D3738" s="17" t="str">
        <f>IF(C3738=1,COUNTIF($C$1:$C3738,1),"")</f>
        <v/>
      </c>
      <c r="E3738" s="7"/>
    </row>
    <row r="3739" spans="3:5">
      <c r="C3739" s="17">
        <f t="shared" si="58"/>
        <v>0</v>
      </c>
      <c r="D3739" s="17" t="str">
        <f>IF(C3739=1,COUNTIF($C$1:$C3739,1),"")</f>
        <v/>
      </c>
      <c r="E3739" s="7"/>
    </row>
    <row r="3740" spans="3:5">
      <c r="C3740" s="17">
        <f t="shared" si="58"/>
        <v>0</v>
      </c>
      <c r="D3740" s="17" t="str">
        <f>IF(C3740=1,COUNTIF($C$1:$C3740,1),"")</f>
        <v/>
      </c>
      <c r="E3740" s="7"/>
    </row>
    <row r="3741" spans="3:5">
      <c r="C3741" s="17">
        <f t="shared" si="58"/>
        <v>0</v>
      </c>
      <c r="D3741" s="17" t="str">
        <f>IF(C3741=1,COUNTIF($C$1:$C3741,1),"")</f>
        <v/>
      </c>
      <c r="E3741" s="7"/>
    </row>
    <row r="3742" spans="3:5">
      <c r="C3742" s="17">
        <f t="shared" si="58"/>
        <v>0</v>
      </c>
      <c r="D3742" s="17" t="str">
        <f>IF(C3742=1,COUNTIF($C$1:$C3742,1),"")</f>
        <v/>
      </c>
      <c r="E3742" s="7"/>
    </row>
    <row r="3743" spans="3:5">
      <c r="C3743" s="17">
        <f t="shared" si="58"/>
        <v>0</v>
      </c>
      <c r="D3743" s="17" t="str">
        <f>IF(C3743=1,COUNTIF($C$1:$C3743,1),"")</f>
        <v/>
      </c>
      <c r="E3743" s="7"/>
    </row>
    <row r="3744" spans="3:5">
      <c r="C3744" s="17">
        <f t="shared" si="58"/>
        <v>0</v>
      </c>
      <c r="D3744" s="17" t="str">
        <f>IF(C3744=1,COUNTIF($C$1:$C3744,1),"")</f>
        <v/>
      </c>
      <c r="E3744" s="7"/>
    </row>
    <row r="3745" spans="3:5">
      <c r="C3745" s="17">
        <f t="shared" si="58"/>
        <v>0</v>
      </c>
      <c r="D3745" s="17" t="str">
        <f>IF(C3745=1,COUNTIF($C$1:$C3745,1),"")</f>
        <v/>
      </c>
      <c r="E3745" s="7"/>
    </row>
    <row r="3746" spans="3:5">
      <c r="C3746" s="17">
        <f t="shared" si="58"/>
        <v>0</v>
      </c>
      <c r="D3746" s="17" t="str">
        <f>IF(C3746=1,COUNTIF($C$1:$C3746,1),"")</f>
        <v/>
      </c>
      <c r="E3746" s="7"/>
    </row>
    <row r="3747" spans="3:5">
      <c r="C3747" s="17">
        <f t="shared" si="58"/>
        <v>0</v>
      </c>
      <c r="D3747" s="17" t="str">
        <f>IF(C3747=1,COUNTIF($C$1:$C3747,1),"")</f>
        <v/>
      </c>
      <c r="E3747" s="7"/>
    </row>
    <row r="3748" spans="3:5">
      <c r="C3748" s="17">
        <f t="shared" si="58"/>
        <v>0</v>
      </c>
      <c r="D3748" s="17" t="str">
        <f>IF(C3748=1,COUNTIF($C$1:$C3748,1),"")</f>
        <v/>
      </c>
      <c r="E3748" s="7"/>
    </row>
    <row r="3749" spans="3:5">
      <c r="C3749" s="17">
        <f t="shared" si="58"/>
        <v>0</v>
      </c>
      <c r="D3749" s="17" t="str">
        <f>IF(C3749=1,COUNTIF($C$1:$C3749,1),"")</f>
        <v/>
      </c>
      <c r="E3749" s="7"/>
    </row>
    <row r="3750" spans="3:5">
      <c r="C3750" s="17">
        <f t="shared" si="58"/>
        <v>0</v>
      </c>
      <c r="D3750" s="17" t="str">
        <f>IF(C3750=1,COUNTIF($C$1:$C3750,1),"")</f>
        <v/>
      </c>
      <c r="E3750" s="7"/>
    </row>
    <row r="3751" spans="3:5">
      <c r="C3751" s="17">
        <f t="shared" si="58"/>
        <v>0</v>
      </c>
      <c r="D3751" s="17" t="str">
        <f>IF(C3751=1,COUNTIF($C$1:$C3751,1),"")</f>
        <v/>
      </c>
      <c r="E3751" s="7"/>
    </row>
    <row r="3752" spans="3:5">
      <c r="C3752" s="17">
        <f t="shared" si="58"/>
        <v>0</v>
      </c>
      <c r="D3752" s="17" t="str">
        <f>IF(C3752=1,COUNTIF($C$1:$C3752,1),"")</f>
        <v/>
      </c>
      <c r="E3752" s="7"/>
    </row>
    <row r="3753" spans="3:5">
      <c r="C3753" s="17">
        <f t="shared" si="58"/>
        <v>0</v>
      </c>
      <c r="D3753" s="17" t="str">
        <f>IF(C3753=1,COUNTIF($C$1:$C3753,1),"")</f>
        <v/>
      </c>
      <c r="E3753" s="7"/>
    </row>
    <row r="3754" spans="3:5">
      <c r="C3754" s="17">
        <f t="shared" si="58"/>
        <v>0</v>
      </c>
      <c r="D3754" s="17" t="str">
        <f>IF(C3754=1,COUNTIF($C$1:$C3754,1),"")</f>
        <v/>
      </c>
      <c r="E3754" s="7"/>
    </row>
    <row r="3755" spans="3:5">
      <c r="C3755" s="17">
        <f t="shared" si="58"/>
        <v>0</v>
      </c>
      <c r="D3755" s="17" t="str">
        <f>IF(C3755=1,COUNTIF($C$1:$C3755,1),"")</f>
        <v/>
      </c>
      <c r="E3755" s="7"/>
    </row>
    <row r="3756" spans="3:5">
      <c r="C3756" s="17">
        <f t="shared" si="58"/>
        <v>0</v>
      </c>
      <c r="D3756" s="17" t="str">
        <f>IF(C3756=1,COUNTIF($C$1:$C3756,1),"")</f>
        <v/>
      </c>
      <c r="E3756" s="7"/>
    </row>
    <row r="3757" spans="3:5">
      <c r="C3757" s="17">
        <f t="shared" si="58"/>
        <v>0</v>
      </c>
      <c r="D3757" s="17" t="str">
        <f>IF(C3757=1,COUNTIF($C$1:$C3757,1),"")</f>
        <v/>
      </c>
      <c r="E3757" s="7"/>
    </row>
    <row r="3758" spans="3:5">
      <c r="C3758" s="17">
        <f t="shared" si="58"/>
        <v>0</v>
      </c>
      <c r="D3758" s="17" t="str">
        <f>IF(C3758=1,COUNTIF($C$1:$C3758,1),"")</f>
        <v/>
      </c>
      <c r="E3758" s="7"/>
    </row>
    <row r="3759" spans="3:5">
      <c r="C3759" s="17">
        <f t="shared" si="58"/>
        <v>0</v>
      </c>
      <c r="D3759" s="17" t="str">
        <f>IF(C3759=1,COUNTIF($C$1:$C3759,1),"")</f>
        <v/>
      </c>
      <c r="E3759" s="7"/>
    </row>
    <row r="3760" spans="3:5">
      <c r="C3760" s="17">
        <f t="shared" si="58"/>
        <v>0</v>
      </c>
      <c r="D3760" s="17" t="str">
        <f>IF(C3760=1,COUNTIF($C$1:$C3760,1),"")</f>
        <v/>
      </c>
      <c r="E3760" s="7"/>
    </row>
    <row r="3761" spans="3:5">
      <c r="C3761" s="17">
        <f t="shared" si="58"/>
        <v>0</v>
      </c>
      <c r="D3761" s="17" t="str">
        <f>IF(C3761=1,COUNTIF($C$1:$C3761,1),"")</f>
        <v/>
      </c>
      <c r="E3761" s="7"/>
    </row>
    <row r="3762" spans="3:5">
      <c r="C3762" s="17">
        <f t="shared" si="58"/>
        <v>0</v>
      </c>
      <c r="D3762" s="17" t="str">
        <f>IF(C3762=1,COUNTIF($C$1:$C3762,1),"")</f>
        <v/>
      </c>
      <c r="E3762" s="7"/>
    </row>
    <row r="3763" spans="3:5">
      <c r="C3763" s="17">
        <f t="shared" si="58"/>
        <v>0</v>
      </c>
      <c r="D3763" s="17" t="str">
        <f>IF(C3763=1,COUNTIF($C$1:$C3763,1),"")</f>
        <v/>
      </c>
      <c r="E3763" s="7"/>
    </row>
    <row r="3764" spans="3:5">
      <c r="C3764" s="17">
        <f t="shared" si="58"/>
        <v>0</v>
      </c>
      <c r="D3764" s="17" t="str">
        <f>IF(C3764=1,COUNTIF($C$1:$C3764,1),"")</f>
        <v/>
      </c>
      <c r="E3764" s="7"/>
    </row>
    <row r="3765" spans="3:5">
      <c r="C3765" s="17">
        <f t="shared" si="58"/>
        <v>0</v>
      </c>
      <c r="D3765" s="17" t="str">
        <f>IF(C3765=1,COUNTIF($C$1:$C3765,1),"")</f>
        <v/>
      </c>
      <c r="E3765" s="7"/>
    </row>
    <row r="3766" spans="3:5">
      <c r="C3766" s="17">
        <f t="shared" si="58"/>
        <v>0</v>
      </c>
      <c r="D3766" s="17" t="str">
        <f>IF(C3766=1,COUNTIF($C$1:$C3766,1),"")</f>
        <v/>
      </c>
      <c r="E3766" s="7"/>
    </row>
    <row r="3767" spans="3:5">
      <c r="C3767" s="17">
        <f t="shared" si="58"/>
        <v>0</v>
      </c>
      <c r="D3767" s="17" t="str">
        <f>IF(C3767=1,COUNTIF($C$1:$C3767,1),"")</f>
        <v/>
      </c>
      <c r="E3767" s="7"/>
    </row>
    <row r="3768" spans="3:5">
      <c r="C3768" s="17">
        <f t="shared" si="58"/>
        <v>0</v>
      </c>
      <c r="D3768" s="17" t="str">
        <f>IF(C3768=1,COUNTIF($C$1:$C3768,1),"")</f>
        <v/>
      </c>
      <c r="E3768" s="7"/>
    </row>
    <row r="3769" spans="3:5">
      <c r="C3769" s="17">
        <f t="shared" si="58"/>
        <v>0</v>
      </c>
      <c r="D3769" s="17" t="str">
        <f>IF(C3769=1,COUNTIF($C$1:$C3769,1),"")</f>
        <v/>
      </c>
      <c r="E3769" s="7"/>
    </row>
    <row r="3770" spans="3:5">
      <c r="C3770" s="17">
        <f t="shared" si="58"/>
        <v>0</v>
      </c>
      <c r="D3770" s="17" t="str">
        <f>IF(C3770=1,COUNTIF($C$1:$C3770,1),"")</f>
        <v/>
      </c>
      <c r="E3770" s="7"/>
    </row>
    <row r="3771" spans="3:5">
      <c r="C3771" s="17">
        <f t="shared" si="58"/>
        <v>0</v>
      </c>
      <c r="D3771" s="17" t="str">
        <f>IF(C3771=1,COUNTIF($C$1:$C3771,1),"")</f>
        <v/>
      </c>
      <c r="E3771" s="7"/>
    </row>
    <row r="3772" spans="3:5">
      <c r="C3772" s="17">
        <f t="shared" si="58"/>
        <v>0</v>
      </c>
      <c r="D3772" s="17" t="str">
        <f>IF(C3772=1,COUNTIF($C$1:$C3772,1),"")</f>
        <v/>
      </c>
      <c r="E3772" s="7"/>
    </row>
    <row r="3773" spans="3:5">
      <c r="C3773" s="17">
        <f t="shared" si="58"/>
        <v>0</v>
      </c>
      <c r="D3773" s="17" t="str">
        <f>IF(C3773=1,COUNTIF($C$1:$C3773,1),"")</f>
        <v/>
      </c>
      <c r="E3773" s="7"/>
    </row>
    <row r="3774" spans="3:5">
      <c r="C3774" s="17">
        <f t="shared" si="58"/>
        <v>0</v>
      </c>
      <c r="D3774" s="17" t="str">
        <f>IF(C3774=1,COUNTIF($C$1:$C3774,1),"")</f>
        <v/>
      </c>
      <c r="E3774" s="7"/>
    </row>
    <row r="3775" spans="3:5">
      <c r="C3775" s="17">
        <f t="shared" si="58"/>
        <v>0</v>
      </c>
      <c r="D3775" s="17" t="str">
        <f>IF(C3775=1,COUNTIF($C$1:$C3775,1),"")</f>
        <v/>
      </c>
      <c r="E3775" s="7"/>
    </row>
    <row r="3776" spans="3:5">
      <c r="C3776" s="17">
        <f t="shared" si="58"/>
        <v>0</v>
      </c>
      <c r="D3776" s="17" t="str">
        <f>IF(C3776=1,COUNTIF($C$1:$C3776,1),"")</f>
        <v/>
      </c>
      <c r="E3776" s="7"/>
    </row>
    <row r="3777" spans="3:5">
      <c r="C3777" s="17">
        <f t="shared" si="58"/>
        <v>0</v>
      </c>
      <c r="D3777" s="17" t="str">
        <f>IF(C3777=1,COUNTIF($C$1:$C3777,1),"")</f>
        <v/>
      </c>
      <c r="E3777" s="7"/>
    </row>
    <row r="3778" spans="3:5">
      <c r="C3778" s="17">
        <f t="shared" ref="C3778:C3841" si="59">--ISNUMBER(SEARCH($B$1,A3778))</f>
        <v>0</v>
      </c>
      <c r="D3778" s="17" t="str">
        <f>IF(C3778=1,COUNTIF($C$1:$C3778,1),"")</f>
        <v/>
      </c>
      <c r="E3778" s="7"/>
    </row>
    <row r="3779" spans="3:5">
      <c r="C3779" s="17">
        <f t="shared" si="59"/>
        <v>0</v>
      </c>
      <c r="D3779" s="17" t="str">
        <f>IF(C3779=1,COUNTIF($C$1:$C3779,1),"")</f>
        <v/>
      </c>
      <c r="E3779" s="7"/>
    </row>
    <row r="3780" spans="3:5">
      <c r="C3780" s="17">
        <f t="shared" si="59"/>
        <v>0</v>
      </c>
      <c r="D3780" s="17" t="str">
        <f>IF(C3780=1,COUNTIF($C$1:$C3780,1),"")</f>
        <v/>
      </c>
      <c r="E3780" s="7"/>
    </row>
    <row r="3781" spans="3:5">
      <c r="C3781" s="17">
        <f t="shared" si="59"/>
        <v>0</v>
      </c>
      <c r="D3781" s="17" t="str">
        <f>IF(C3781=1,COUNTIF($C$1:$C3781,1),"")</f>
        <v/>
      </c>
      <c r="E3781" s="7"/>
    </row>
    <row r="3782" spans="3:5">
      <c r="C3782" s="17">
        <f t="shared" si="59"/>
        <v>0</v>
      </c>
      <c r="D3782" s="17" t="str">
        <f>IF(C3782=1,COUNTIF($C$1:$C3782,1),"")</f>
        <v/>
      </c>
      <c r="E3782" s="7"/>
    </row>
    <row r="3783" spans="3:5">
      <c r="C3783" s="17">
        <f t="shared" si="59"/>
        <v>0</v>
      </c>
      <c r="D3783" s="17" t="str">
        <f>IF(C3783=1,COUNTIF($C$1:$C3783,1),"")</f>
        <v/>
      </c>
      <c r="E3783" s="7"/>
    </row>
    <row r="3784" spans="3:5">
      <c r="C3784" s="17">
        <f t="shared" si="59"/>
        <v>0</v>
      </c>
      <c r="D3784" s="17" t="str">
        <f>IF(C3784=1,COUNTIF($C$1:$C3784,1),"")</f>
        <v/>
      </c>
      <c r="E3784" s="7"/>
    </row>
    <row r="3785" spans="3:5">
      <c r="C3785" s="17">
        <f t="shared" si="59"/>
        <v>0</v>
      </c>
      <c r="D3785" s="17" t="str">
        <f>IF(C3785=1,COUNTIF($C$1:$C3785,1),"")</f>
        <v/>
      </c>
      <c r="E3785" s="7"/>
    </row>
    <row r="3786" spans="3:5">
      <c r="C3786" s="17">
        <f t="shared" si="59"/>
        <v>0</v>
      </c>
      <c r="D3786" s="17" t="str">
        <f>IF(C3786=1,COUNTIF($C$1:$C3786,1),"")</f>
        <v/>
      </c>
      <c r="E3786" s="7"/>
    </row>
    <row r="3787" spans="3:5">
      <c r="C3787" s="17">
        <f t="shared" si="59"/>
        <v>0</v>
      </c>
      <c r="D3787" s="17" t="str">
        <f>IF(C3787=1,COUNTIF($C$1:$C3787,1),"")</f>
        <v/>
      </c>
      <c r="E3787" s="7"/>
    </row>
    <row r="3788" spans="3:5">
      <c r="C3788" s="17">
        <f t="shared" si="59"/>
        <v>0</v>
      </c>
      <c r="D3788" s="17" t="str">
        <f>IF(C3788=1,COUNTIF($C$1:$C3788,1),"")</f>
        <v/>
      </c>
      <c r="E3788" s="7"/>
    </row>
    <row r="3789" spans="3:5">
      <c r="C3789" s="17">
        <f t="shared" si="59"/>
        <v>0</v>
      </c>
      <c r="D3789" s="17" t="str">
        <f>IF(C3789=1,COUNTIF($C$1:$C3789,1),"")</f>
        <v/>
      </c>
      <c r="E3789" s="7"/>
    </row>
    <row r="3790" spans="3:5">
      <c r="C3790" s="17">
        <f t="shared" si="59"/>
        <v>0</v>
      </c>
      <c r="D3790" s="17" t="str">
        <f>IF(C3790=1,COUNTIF($C$1:$C3790,1),"")</f>
        <v/>
      </c>
      <c r="E3790" s="7"/>
    </row>
    <row r="3791" spans="3:5">
      <c r="C3791" s="17">
        <f t="shared" si="59"/>
        <v>0</v>
      </c>
      <c r="D3791" s="17" t="str">
        <f>IF(C3791=1,COUNTIF($C$1:$C3791,1),"")</f>
        <v/>
      </c>
      <c r="E3791" s="7"/>
    </row>
    <row r="3792" spans="3:5">
      <c r="C3792" s="17">
        <f t="shared" si="59"/>
        <v>0</v>
      </c>
      <c r="D3792" s="17" t="str">
        <f>IF(C3792=1,COUNTIF($C$1:$C3792,1),"")</f>
        <v/>
      </c>
      <c r="E3792" s="7"/>
    </row>
    <row r="3793" spans="3:5">
      <c r="C3793" s="17">
        <f t="shared" si="59"/>
        <v>0</v>
      </c>
      <c r="D3793" s="17" t="str">
        <f>IF(C3793=1,COUNTIF($C$1:$C3793,1),"")</f>
        <v/>
      </c>
      <c r="E3793" s="7"/>
    </row>
    <row r="3794" spans="3:5">
      <c r="C3794" s="17">
        <f t="shared" si="59"/>
        <v>0</v>
      </c>
      <c r="D3794" s="17" t="str">
        <f>IF(C3794=1,COUNTIF($C$1:$C3794,1),"")</f>
        <v/>
      </c>
      <c r="E3794" s="7"/>
    </row>
    <row r="3795" spans="3:5">
      <c r="C3795" s="17">
        <f t="shared" si="59"/>
        <v>0</v>
      </c>
      <c r="D3795" s="17" t="str">
        <f>IF(C3795=1,COUNTIF($C$1:$C3795,1),"")</f>
        <v/>
      </c>
      <c r="E3795" s="7"/>
    </row>
    <row r="3796" spans="3:5">
      <c r="C3796" s="17">
        <f t="shared" si="59"/>
        <v>0</v>
      </c>
      <c r="D3796" s="17" t="str">
        <f>IF(C3796=1,COUNTIF($C$1:$C3796,1),"")</f>
        <v/>
      </c>
      <c r="E3796" s="7"/>
    </row>
    <row r="3797" spans="3:5">
      <c r="C3797" s="17">
        <f t="shared" si="59"/>
        <v>0</v>
      </c>
      <c r="D3797" s="17" t="str">
        <f>IF(C3797=1,COUNTIF($C$1:$C3797,1),"")</f>
        <v/>
      </c>
      <c r="E3797" s="7"/>
    </row>
    <row r="3798" spans="3:5">
      <c r="C3798" s="17">
        <f t="shared" si="59"/>
        <v>0</v>
      </c>
      <c r="D3798" s="17" t="str">
        <f>IF(C3798=1,COUNTIF($C$1:$C3798,1),"")</f>
        <v/>
      </c>
      <c r="E3798" s="7"/>
    </row>
    <row r="3799" spans="3:5">
      <c r="C3799" s="17">
        <f t="shared" si="59"/>
        <v>0</v>
      </c>
      <c r="D3799" s="17" t="str">
        <f>IF(C3799=1,COUNTIF($C$1:$C3799,1),"")</f>
        <v/>
      </c>
      <c r="E3799" s="7"/>
    </row>
    <row r="3800" spans="3:5">
      <c r="C3800" s="17">
        <f t="shared" si="59"/>
        <v>0</v>
      </c>
      <c r="D3800" s="17" t="str">
        <f>IF(C3800=1,COUNTIF($C$1:$C3800,1),"")</f>
        <v/>
      </c>
      <c r="E3800" s="7"/>
    </row>
    <row r="3801" spans="3:5">
      <c r="C3801" s="17">
        <f t="shared" si="59"/>
        <v>0</v>
      </c>
      <c r="D3801" s="17" t="str">
        <f>IF(C3801=1,COUNTIF($C$1:$C3801,1),"")</f>
        <v/>
      </c>
      <c r="E3801" s="7"/>
    </row>
    <row r="3802" spans="3:5">
      <c r="C3802" s="17">
        <f t="shared" si="59"/>
        <v>0</v>
      </c>
      <c r="D3802" s="17" t="str">
        <f>IF(C3802=1,COUNTIF($C$1:$C3802,1),"")</f>
        <v/>
      </c>
      <c r="E3802" s="7"/>
    </row>
    <row r="3803" spans="3:5">
      <c r="C3803" s="17">
        <f t="shared" si="59"/>
        <v>0</v>
      </c>
      <c r="D3803" s="17" t="str">
        <f>IF(C3803=1,COUNTIF($C$1:$C3803,1),"")</f>
        <v/>
      </c>
      <c r="E3803" s="7"/>
    </row>
    <row r="3804" spans="3:5">
      <c r="C3804" s="17">
        <f t="shared" si="59"/>
        <v>0</v>
      </c>
      <c r="D3804" s="17" t="str">
        <f>IF(C3804=1,COUNTIF($C$1:$C3804,1),"")</f>
        <v/>
      </c>
      <c r="E3804" s="7"/>
    </row>
    <row r="3805" spans="3:5">
      <c r="C3805" s="17">
        <f t="shared" si="59"/>
        <v>0</v>
      </c>
      <c r="D3805" s="17" t="str">
        <f>IF(C3805=1,COUNTIF($C$1:$C3805,1),"")</f>
        <v/>
      </c>
      <c r="E3805" s="7"/>
    </row>
    <row r="3806" spans="3:5">
      <c r="C3806" s="17">
        <f t="shared" si="59"/>
        <v>0</v>
      </c>
      <c r="D3806" s="17" t="str">
        <f>IF(C3806=1,COUNTIF($C$1:$C3806,1),"")</f>
        <v/>
      </c>
      <c r="E3806" s="7"/>
    </row>
    <row r="3807" spans="3:5">
      <c r="C3807" s="17">
        <f t="shared" si="59"/>
        <v>0</v>
      </c>
      <c r="D3807" s="17" t="str">
        <f>IF(C3807=1,COUNTIF($C$1:$C3807,1),"")</f>
        <v/>
      </c>
      <c r="E3807" s="7"/>
    </row>
    <row r="3808" spans="3:5">
      <c r="C3808" s="17">
        <f t="shared" si="59"/>
        <v>0</v>
      </c>
      <c r="D3808" s="17" t="str">
        <f>IF(C3808=1,COUNTIF($C$1:$C3808,1),"")</f>
        <v/>
      </c>
      <c r="E3808" s="7"/>
    </row>
    <row r="3809" spans="3:5">
      <c r="C3809" s="17">
        <f t="shared" si="59"/>
        <v>0</v>
      </c>
      <c r="D3809" s="17" t="str">
        <f>IF(C3809=1,COUNTIF($C$1:$C3809,1),"")</f>
        <v/>
      </c>
      <c r="E3809" s="7"/>
    </row>
    <row r="3810" spans="3:5">
      <c r="C3810" s="17">
        <f t="shared" si="59"/>
        <v>0</v>
      </c>
      <c r="D3810" s="17" t="str">
        <f>IF(C3810=1,COUNTIF($C$1:$C3810,1),"")</f>
        <v/>
      </c>
      <c r="E3810" s="7"/>
    </row>
    <row r="3811" spans="3:5">
      <c r="C3811" s="17">
        <f t="shared" si="59"/>
        <v>0</v>
      </c>
      <c r="D3811" s="17" t="str">
        <f>IF(C3811=1,COUNTIF($C$1:$C3811,1),"")</f>
        <v/>
      </c>
      <c r="E3811" s="7"/>
    </row>
    <row r="3812" spans="3:5">
      <c r="C3812" s="17">
        <f t="shared" si="59"/>
        <v>0</v>
      </c>
      <c r="D3812" s="17" t="str">
        <f>IF(C3812=1,COUNTIF($C$1:$C3812,1),"")</f>
        <v/>
      </c>
      <c r="E3812" s="7"/>
    </row>
    <row r="3813" spans="3:5">
      <c r="C3813" s="17">
        <f t="shared" si="59"/>
        <v>0</v>
      </c>
      <c r="D3813" s="17" t="str">
        <f>IF(C3813=1,COUNTIF($C$1:$C3813,1),"")</f>
        <v/>
      </c>
      <c r="E3813" s="7"/>
    </row>
    <row r="3814" spans="3:5">
      <c r="C3814" s="17">
        <f t="shared" si="59"/>
        <v>0</v>
      </c>
      <c r="D3814" s="17" t="str">
        <f>IF(C3814=1,COUNTIF($C$1:$C3814,1),"")</f>
        <v/>
      </c>
      <c r="E3814" s="7"/>
    </row>
    <row r="3815" spans="3:5">
      <c r="C3815" s="17">
        <f t="shared" si="59"/>
        <v>0</v>
      </c>
      <c r="D3815" s="17" t="str">
        <f>IF(C3815=1,COUNTIF($C$1:$C3815,1),"")</f>
        <v/>
      </c>
      <c r="E3815" s="7"/>
    </row>
    <row r="3816" spans="3:5">
      <c r="C3816" s="17">
        <f t="shared" si="59"/>
        <v>0</v>
      </c>
      <c r="D3816" s="17" t="str">
        <f>IF(C3816=1,COUNTIF($C$1:$C3816,1),"")</f>
        <v/>
      </c>
      <c r="E3816" s="7"/>
    </row>
    <row r="3817" spans="3:5">
      <c r="C3817" s="17">
        <f t="shared" si="59"/>
        <v>0</v>
      </c>
      <c r="D3817" s="17" t="str">
        <f>IF(C3817=1,COUNTIF($C$1:$C3817,1),"")</f>
        <v/>
      </c>
      <c r="E3817" s="7"/>
    </row>
    <row r="3818" spans="3:5">
      <c r="C3818" s="17">
        <f t="shared" si="59"/>
        <v>0</v>
      </c>
      <c r="D3818" s="17" t="str">
        <f>IF(C3818=1,COUNTIF($C$1:$C3818,1),"")</f>
        <v/>
      </c>
      <c r="E3818" s="7"/>
    </row>
    <row r="3819" spans="3:5">
      <c r="C3819" s="17">
        <f t="shared" si="59"/>
        <v>0</v>
      </c>
      <c r="D3819" s="17" t="str">
        <f>IF(C3819=1,COUNTIF($C$1:$C3819,1),"")</f>
        <v/>
      </c>
      <c r="E3819" s="7"/>
    </row>
    <row r="3820" spans="3:5">
      <c r="C3820" s="17">
        <f t="shared" si="59"/>
        <v>0</v>
      </c>
      <c r="D3820" s="17" t="str">
        <f>IF(C3820=1,COUNTIF($C$1:$C3820,1),"")</f>
        <v/>
      </c>
      <c r="E3820" s="7"/>
    </row>
    <row r="3821" spans="3:5">
      <c r="C3821" s="17">
        <f t="shared" si="59"/>
        <v>0</v>
      </c>
      <c r="D3821" s="17" t="str">
        <f>IF(C3821=1,COUNTIF($C$1:$C3821,1),"")</f>
        <v/>
      </c>
      <c r="E3821" s="7"/>
    </row>
    <row r="3822" spans="3:5">
      <c r="C3822" s="17">
        <f t="shared" si="59"/>
        <v>0</v>
      </c>
      <c r="D3822" s="17" t="str">
        <f>IF(C3822=1,COUNTIF($C$1:$C3822,1),"")</f>
        <v/>
      </c>
      <c r="E3822" s="7"/>
    </row>
    <row r="3823" spans="3:5">
      <c r="C3823" s="17">
        <f t="shared" si="59"/>
        <v>0</v>
      </c>
      <c r="D3823" s="17" t="str">
        <f>IF(C3823=1,COUNTIF($C$1:$C3823,1),"")</f>
        <v/>
      </c>
      <c r="E3823" s="7"/>
    </row>
    <row r="3824" spans="3:5">
      <c r="C3824" s="17">
        <f t="shared" si="59"/>
        <v>0</v>
      </c>
      <c r="D3824" s="17" t="str">
        <f>IF(C3824=1,COUNTIF($C$1:$C3824,1),"")</f>
        <v/>
      </c>
      <c r="E3824" s="7"/>
    </row>
    <row r="3825" spans="3:5">
      <c r="C3825" s="17">
        <f t="shared" si="59"/>
        <v>0</v>
      </c>
      <c r="D3825" s="17" t="str">
        <f>IF(C3825=1,COUNTIF($C$1:$C3825,1),"")</f>
        <v/>
      </c>
      <c r="E3825" s="7"/>
    </row>
    <row r="3826" spans="3:5">
      <c r="C3826" s="17">
        <f t="shared" si="59"/>
        <v>0</v>
      </c>
      <c r="D3826" s="17" t="str">
        <f>IF(C3826=1,COUNTIF($C$1:$C3826,1),"")</f>
        <v/>
      </c>
      <c r="E3826" s="7"/>
    </row>
    <row r="3827" spans="3:5">
      <c r="C3827" s="17">
        <f t="shared" si="59"/>
        <v>0</v>
      </c>
      <c r="D3827" s="17" t="str">
        <f>IF(C3827=1,COUNTIF($C$1:$C3827,1),"")</f>
        <v/>
      </c>
      <c r="E3827" s="7"/>
    </row>
    <row r="3828" spans="3:5">
      <c r="C3828" s="17">
        <f t="shared" si="59"/>
        <v>0</v>
      </c>
      <c r="D3828" s="17" t="str">
        <f>IF(C3828=1,COUNTIF($C$1:$C3828,1),"")</f>
        <v/>
      </c>
      <c r="E3828" s="7"/>
    </row>
    <row r="3829" spans="3:5">
      <c r="C3829" s="17">
        <f t="shared" si="59"/>
        <v>0</v>
      </c>
      <c r="D3829" s="17" t="str">
        <f>IF(C3829=1,COUNTIF($C$1:$C3829,1),"")</f>
        <v/>
      </c>
      <c r="E3829" s="7"/>
    </row>
    <row r="3830" spans="3:5">
      <c r="C3830" s="17">
        <f t="shared" si="59"/>
        <v>0</v>
      </c>
      <c r="D3830" s="17" t="str">
        <f>IF(C3830=1,COUNTIF($C$1:$C3830,1),"")</f>
        <v/>
      </c>
      <c r="E3830" s="7"/>
    </row>
    <row r="3831" spans="3:5">
      <c r="C3831" s="17">
        <f t="shared" si="59"/>
        <v>0</v>
      </c>
      <c r="D3831" s="17" t="str">
        <f>IF(C3831=1,COUNTIF($C$1:$C3831,1),"")</f>
        <v/>
      </c>
      <c r="E3831" s="7"/>
    </row>
    <row r="3832" spans="3:5">
      <c r="C3832" s="17">
        <f t="shared" si="59"/>
        <v>0</v>
      </c>
      <c r="D3832" s="17" t="str">
        <f>IF(C3832=1,COUNTIF($C$1:$C3832,1),"")</f>
        <v/>
      </c>
      <c r="E3832" s="7"/>
    </row>
    <row r="3833" spans="3:5">
      <c r="C3833" s="17">
        <f t="shared" si="59"/>
        <v>0</v>
      </c>
      <c r="D3833" s="17" t="str">
        <f>IF(C3833=1,COUNTIF($C$1:$C3833,1),"")</f>
        <v/>
      </c>
      <c r="E3833" s="7"/>
    </row>
    <row r="3834" spans="3:5">
      <c r="C3834" s="17">
        <f t="shared" si="59"/>
        <v>0</v>
      </c>
      <c r="D3834" s="17" t="str">
        <f>IF(C3834=1,COUNTIF($C$1:$C3834,1),"")</f>
        <v/>
      </c>
      <c r="E3834" s="7"/>
    </row>
    <row r="3835" spans="3:5">
      <c r="C3835" s="17">
        <f t="shared" si="59"/>
        <v>0</v>
      </c>
      <c r="D3835" s="17" t="str">
        <f>IF(C3835=1,COUNTIF($C$1:$C3835,1),"")</f>
        <v/>
      </c>
      <c r="E3835" s="7"/>
    </row>
    <row r="3836" spans="3:5">
      <c r="C3836" s="17">
        <f t="shared" si="59"/>
        <v>0</v>
      </c>
      <c r="D3836" s="17" t="str">
        <f>IF(C3836=1,COUNTIF($C$1:$C3836,1),"")</f>
        <v/>
      </c>
      <c r="E3836" s="7"/>
    </row>
    <row r="3837" spans="3:5">
      <c r="C3837" s="17">
        <f t="shared" si="59"/>
        <v>0</v>
      </c>
      <c r="D3837" s="17" t="str">
        <f>IF(C3837=1,COUNTIF($C$1:$C3837,1),"")</f>
        <v/>
      </c>
      <c r="E3837" s="7"/>
    </row>
    <row r="3838" spans="3:5">
      <c r="C3838" s="17">
        <f t="shared" si="59"/>
        <v>0</v>
      </c>
      <c r="D3838" s="17" t="str">
        <f>IF(C3838=1,COUNTIF($C$1:$C3838,1),"")</f>
        <v/>
      </c>
      <c r="E3838" s="7"/>
    </row>
    <row r="3839" spans="3:5">
      <c r="C3839" s="17">
        <f t="shared" si="59"/>
        <v>0</v>
      </c>
      <c r="D3839" s="17" t="str">
        <f>IF(C3839=1,COUNTIF($C$1:$C3839,1),"")</f>
        <v/>
      </c>
      <c r="E3839" s="7"/>
    </row>
    <row r="3840" spans="3:5">
      <c r="C3840" s="17">
        <f t="shared" si="59"/>
        <v>0</v>
      </c>
      <c r="D3840" s="17" t="str">
        <f>IF(C3840=1,COUNTIF($C$1:$C3840,1),"")</f>
        <v/>
      </c>
      <c r="E3840" s="7"/>
    </row>
    <row r="3841" spans="3:5">
      <c r="C3841" s="17">
        <f t="shared" si="59"/>
        <v>0</v>
      </c>
      <c r="D3841" s="17" t="str">
        <f>IF(C3841=1,COUNTIF($C$1:$C3841,1),"")</f>
        <v/>
      </c>
      <c r="E3841" s="7"/>
    </row>
    <row r="3842" spans="3:5">
      <c r="C3842" s="17">
        <f t="shared" ref="C3842:C3905" si="60">--ISNUMBER(SEARCH($B$1,A3842))</f>
        <v>0</v>
      </c>
      <c r="D3842" s="17" t="str">
        <f>IF(C3842=1,COUNTIF($C$1:$C3842,1),"")</f>
        <v/>
      </c>
      <c r="E3842" s="7"/>
    </row>
    <row r="3843" spans="3:5">
      <c r="C3843" s="17">
        <f t="shared" si="60"/>
        <v>0</v>
      </c>
      <c r="D3843" s="17" t="str">
        <f>IF(C3843=1,COUNTIF($C$1:$C3843,1),"")</f>
        <v/>
      </c>
      <c r="E3843" s="7"/>
    </row>
    <row r="3844" spans="3:5">
      <c r="C3844" s="17">
        <f t="shared" si="60"/>
        <v>0</v>
      </c>
      <c r="D3844" s="17" t="str">
        <f>IF(C3844=1,COUNTIF($C$1:$C3844,1),"")</f>
        <v/>
      </c>
      <c r="E3844" s="7"/>
    </row>
    <row r="3845" spans="3:5">
      <c r="C3845" s="17">
        <f t="shared" si="60"/>
        <v>0</v>
      </c>
      <c r="D3845" s="17" t="str">
        <f>IF(C3845=1,COUNTIF($C$1:$C3845,1),"")</f>
        <v/>
      </c>
      <c r="E3845" s="7"/>
    </row>
    <row r="3846" spans="3:5">
      <c r="C3846" s="17">
        <f t="shared" si="60"/>
        <v>0</v>
      </c>
      <c r="D3846" s="17" t="str">
        <f>IF(C3846=1,COUNTIF($C$1:$C3846,1),"")</f>
        <v/>
      </c>
      <c r="E3846" s="7"/>
    </row>
    <row r="3847" spans="3:5">
      <c r="C3847" s="17">
        <f t="shared" si="60"/>
        <v>0</v>
      </c>
      <c r="D3847" s="17" t="str">
        <f>IF(C3847=1,COUNTIF($C$1:$C3847,1),"")</f>
        <v/>
      </c>
      <c r="E3847" s="7"/>
    </row>
    <row r="3848" spans="3:5">
      <c r="C3848" s="17">
        <f t="shared" si="60"/>
        <v>0</v>
      </c>
      <c r="D3848" s="17" t="str">
        <f>IF(C3848=1,COUNTIF($C$1:$C3848,1),"")</f>
        <v/>
      </c>
      <c r="E3848" s="7"/>
    </row>
    <row r="3849" spans="3:5">
      <c r="C3849" s="17">
        <f t="shared" si="60"/>
        <v>0</v>
      </c>
      <c r="D3849" s="17" t="str">
        <f>IF(C3849=1,COUNTIF($C$1:$C3849,1),"")</f>
        <v/>
      </c>
      <c r="E3849" s="7"/>
    </row>
    <row r="3850" spans="3:5">
      <c r="C3850" s="17">
        <f t="shared" si="60"/>
        <v>0</v>
      </c>
      <c r="D3850" s="17" t="str">
        <f>IF(C3850=1,COUNTIF($C$1:$C3850,1),"")</f>
        <v/>
      </c>
      <c r="E3850" s="7"/>
    </row>
    <row r="3851" spans="3:5">
      <c r="C3851" s="17">
        <f t="shared" si="60"/>
        <v>0</v>
      </c>
      <c r="D3851" s="17" t="str">
        <f>IF(C3851=1,COUNTIF($C$1:$C3851,1),"")</f>
        <v/>
      </c>
      <c r="E3851" s="7"/>
    </row>
    <row r="3852" spans="3:5">
      <c r="C3852" s="17">
        <f t="shared" si="60"/>
        <v>0</v>
      </c>
      <c r="D3852" s="17" t="str">
        <f>IF(C3852=1,COUNTIF($C$1:$C3852,1),"")</f>
        <v/>
      </c>
      <c r="E3852" s="7"/>
    </row>
    <row r="3853" spans="3:5">
      <c r="C3853" s="17">
        <f t="shared" si="60"/>
        <v>0</v>
      </c>
      <c r="D3853" s="17" t="str">
        <f>IF(C3853=1,COUNTIF($C$1:$C3853,1),"")</f>
        <v/>
      </c>
      <c r="E3853" s="7"/>
    </row>
    <row r="3854" spans="3:5">
      <c r="C3854" s="17">
        <f t="shared" si="60"/>
        <v>0</v>
      </c>
      <c r="D3854" s="17" t="str">
        <f>IF(C3854=1,COUNTIF($C$1:$C3854,1),"")</f>
        <v/>
      </c>
      <c r="E3854" s="7"/>
    </row>
    <row r="3855" spans="3:5">
      <c r="C3855" s="17">
        <f t="shared" si="60"/>
        <v>0</v>
      </c>
      <c r="D3855" s="17" t="str">
        <f>IF(C3855=1,COUNTIF($C$1:$C3855,1),"")</f>
        <v/>
      </c>
      <c r="E3855" s="7"/>
    </row>
    <row r="3856" spans="3:5">
      <c r="C3856" s="17">
        <f t="shared" si="60"/>
        <v>0</v>
      </c>
      <c r="D3856" s="17" t="str">
        <f>IF(C3856=1,COUNTIF($C$1:$C3856,1),"")</f>
        <v/>
      </c>
      <c r="E3856" s="7"/>
    </row>
    <row r="3857" spans="3:5">
      <c r="C3857" s="17">
        <f t="shared" si="60"/>
        <v>0</v>
      </c>
      <c r="D3857" s="17" t="str">
        <f>IF(C3857=1,COUNTIF($C$1:$C3857,1),"")</f>
        <v/>
      </c>
      <c r="E3857" s="7"/>
    </row>
    <row r="3858" spans="3:5">
      <c r="C3858" s="17">
        <f t="shared" si="60"/>
        <v>0</v>
      </c>
      <c r="D3858" s="17" t="str">
        <f>IF(C3858=1,COUNTIF($C$1:$C3858,1),"")</f>
        <v/>
      </c>
      <c r="E3858" s="7"/>
    </row>
    <row r="3859" spans="3:5">
      <c r="C3859" s="17">
        <f t="shared" si="60"/>
        <v>0</v>
      </c>
      <c r="D3859" s="17" t="str">
        <f>IF(C3859=1,COUNTIF($C$1:$C3859,1),"")</f>
        <v/>
      </c>
      <c r="E3859" s="7"/>
    </row>
    <row r="3860" spans="3:5">
      <c r="C3860" s="17">
        <f t="shared" si="60"/>
        <v>0</v>
      </c>
      <c r="D3860" s="17" t="str">
        <f>IF(C3860=1,COUNTIF($C$1:$C3860,1),"")</f>
        <v/>
      </c>
      <c r="E3860" s="7"/>
    </row>
    <row r="3861" spans="3:5">
      <c r="C3861" s="17">
        <f t="shared" si="60"/>
        <v>0</v>
      </c>
      <c r="D3861" s="17" t="str">
        <f>IF(C3861=1,COUNTIF($C$1:$C3861,1),"")</f>
        <v/>
      </c>
      <c r="E3861" s="7"/>
    </row>
    <row r="3862" spans="3:5">
      <c r="C3862" s="17">
        <f t="shared" si="60"/>
        <v>0</v>
      </c>
      <c r="D3862" s="17" t="str">
        <f>IF(C3862=1,COUNTIF($C$1:$C3862,1),"")</f>
        <v/>
      </c>
      <c r="E3862" s="7"/>
    </row>
    <row r="3863" spans="3:5">
      <c r="C3863" s="17">
        <f t="shared" si="60"/>
        <v>0</v>
      </c>
      <c r="D3863" s="17" t="str">
        <f>IF(C3863=1,COUNTIF($C$1:$C3863,1),"")</f>
        <v/>
      </c>
      <c r="E3863" s="7"/>
    </row>
    <row r="3864" spans="3:5">
      <c r="C3864" s="17">
        <f t="shared" si="60"/>
        <v>0</v>
      </c>
      <c r="D3864" s="17" t="str">
        <f>IF(C3864=1,COUNTIF($C$1:$C3864,1),"")</f>
        <v/>
      </c>
      <c r="E3864" s="7"/>
    </row>
    <row r="3865" spans="3:5">
      <c r="C3865" s="17">
        <f t="shared" si="60"/>
        <v>0</v>
      </c>
      <c r="D3865" s="17" t="str">
        <f>IF(C3865=1,COUNTIF($C$1:$C3865,1),"")</f>
        <v/>
      </c>
      <c r="E3865" s="7"/>
    </row>
    <row r="3866" spans="3:5">
      <c r="C3866" s="17">
        <f t="shared" si="60"/>
        <v>0</v>
      </c>
      <c r="D3866" s="17" t="str">
        <f>IF(C3866=1,COUNTIF($C$1:$C3866,1),"")</f>
        <v/>
      </c>
      <c r="E3866" s="7"/>
    </row>
    <row r="3867" spans="3:5">
      <c r="C3867" s="17">
        <f t="shared" si="60"/>
        <v>0</v>
      </c>
      <c r="D3867" s="17" t="str">
        <f>IF(C3867=1,COUNTIF($C$1:$C3867,1),"")</f>
        <v/>
      </c>
      <c r="E3867" s="7"/>
    </row>
    <row r="3868" spans="3:5">
      <c r="C3868" s="17">
        <f t="shared" si="60"/>
        <v>0</v>
      </c>
      <c r="D3868" s="17" t="str">
        <f>IF(C3868=1,COUNTIF($C$1:$C3868,1),"")</f>
        <v/>
      </c>
      <c r="E3868" s="7"/>
    </row>
    <row r="3869" spans="3:5">
      <c r="C3869" s="17">
        <f t="shared" si="60"/>
        <v>0</v>
      </c>
      <c r="D3869" s="17" t="str">
        <f>IF(C3869=1,COUNTIF($C$1:$C3869,1),"")</f>
        <v/>
      </c>
      <c r="E3869" s="7"/>
    </row>
    <row r="3870" spans="3:5">
      <c r="C3870" s="17">
        <f t="shared" si="60"/>
        <v>0</v>
      </c>
      <c r="D3870" s="17" t="str">
        <f>IF(C3870=1,COUNTIF($C$1:$C3870,1),"")</f>
        <v/>
      </c>
      <c r="E3870" s="7"/>
    </row>
    <row r="3871" spans="3:5">
      <c r="C3871" s="17">
        <f t="shared" si="60"/>
        <v>0</v>
      </c>
      <c r="D3871" s="17" t="str">
        <f>IF(C3871=1,COUNTIF($C$1:$C3871,1),"")</f>
        <v/>
      </c>
      <c r="E3871" s="7"/>
    </row>
    <row r="3872" spans="3:5">
      <c r="C3872" s="17">
        <f t="shared" si="60"/>
        <v>0</v>
      </c>
      <c r="D3872" s="17" t="str">
        <f>IF(C3872=1,COUNTIF($C$1:$C3872,1),"")</f>
        <v/>
      </c>
      <c r="E3872" s="7"/>
    </row>
    <row r="3873" spans="3:5">
      <c r="C3873" s="17">
        <f t="shared" si="60"/>
        <v>0</v>
      </c>
      <c r="D3873" s="17" t="str">
        <f>IF(C3873=1,COUNTIF($C$1:$C3873,1),"")</f>
        <v/>
      </c>
      <c r="E3873" s="7"/>
    </row>
    <row r="3874" spans="3:5">
      <c r="C3874" s="17">
        <f t="shared" si="60"/>
        <v>0</v>
      </c>
      <c r="D3874" s="17" t="str">
        <f>IF(C3874=1,COUNTIF($C$1:$C3874,1),"")</f>
        <v/>
      </c>
      <c r="E3874" s="7"/>
    </row>
    <row r="3875" spans="3:5">
      <c r="C3875" s="17">
        <f t="shared" si="60"/>
        <v>0</v>
      </c>
      <c r="D3875" s="17" t="str">
        <f>IF(C3875=1,COUNTIF($C$1:$C3875,1),"")</f>
        <v/>
      </c>
      <c r="E3875" s="7"/>
    </row>
    <row r="3876" spans="3:5">
      <c r="C3876" s="17">
        <f t="shared" si="60"/>
        <v>0</v>
      </c>
      <c r="D3876" s="17" t="str">
        <f>IF(C3876=1,COUNTIF($C$1:$C3876,1),"")</f>
        <v/>
      </c>
      <c r="E3876" s="7"/>
    </row>
    <row r="3877" spans="3:5">
      <c r="C3877" s="17">
        <f t="shared" si="60"/>
        <v>0</v>
      </c>
      <c r="D3877" s="17" t="str">
        <f>IF(C3877=1,COUNTIF($C$1:$C3877,1),"")</f>
        <v/>
      </c>
      <c r="E3877" s="7"/>
    </row>
    <row r="3878" spans="3:5">
      <c r="C3878" s="17">
        <f t="shared" si="60"/>
        <v>0</v>
      </c>
      <c r="D3878" s="17" t="str">
        <f>IF(C3878=1,COUNTIF($C$1:$C3878,1),"")</f>
        <v/>
      </c>
      <c r="E3878" s="7"/>
    </row>
    <row r="3879" spans="3:5">
      <c r="C3879" s="17">
        <f t="shared" si="60"/>
        <v>0</v>
      </c>
      <c r="D3879" s="17" t="str">
        <f>IF(C3879=1,COUNTIF($C$1:$C3879,1),"")</f>
        <v/>
      </c>
      <c r="E3879" s="7"/>
    </row>
    <row r="3880" spans="3:5">
      <c r="C3880" s="17">
        <f t="shared" si="60"/>
        <v>0</v>
      </c>
      <c r="D3880" s="17" t="str">
        <f>IF(C3880=1,COUNTIF($C$1:$C3880,1),"")</f>
        <v/>
      </c>
      <c r="E3880" s="7"/>
    </row>
    <row r="3881" spans="3:5">
      <c r="C3881" s="17">
        <f t="shared" si="60"/>
        <v>0</v>
      </c>
      <c r="D3881" s="17" t="str">
        <f>IF(C3881=1,COUNTIF($C$1:$C3881,1),"")</f>
        <v/>
      </c>
      <c r="E3881" s="7"/>
    </row>
    <row r="3882" spans="3:5">
      <c r="C3882" s="17">
        <f t="shared" si="60"/>
        <v>0</v>
      </c>
      <c r="D3882" s="17" t="str">
        <f>IF(C3882=1,COUNTIF($C$1:$C3882,1),"")</f>
        <v/>
      </c>
      <c r="E3882" s="7"/>
    </row>
    <row r="3883" spans="3:5">
      <c r="C3883" s="17">
        <f t="shared" si="60"/>
        <v>0</v>
      </c>
      <c r="D3883" s="17" t="str">
        <f>IF(C3883=1,COUNTIF($C$1:$C3883,1),"")</f>
        <v/>
      </c>
      <c r="E3883" s="7"/>
    </row>
    <row r="3884" spans="3:5">
      <c r="C3884" s="17">
        <f t="shared" si="60"/>
        <v>0</v>
      </c>
      <c r="D3884" s="17" t="str">
        <f>IF(C3884=1,COUNTIF($C$1:$C3884,1),"")</f>
        <v/>
      </c>
      <c r="E3884" s="7"/>
    </row>
    <row r="3885" spans="3:5">
      <c r="C3885" s="17">
        <f t="shared" si="60"/>
        <v>0</v>
      </c>
      <c r="D3885" s="17" t="str">
        <f>IF(C3885=1,COUNTIF($C$1:$C3885,1),"")</f>
        <v/>
      </c>
      <c r="E3885" s="7"/>
    </row>
    <row r="3886" spans="3:5">
      <c r="C3886" s="17">
        <f t="shared" si="60"/>
        <v>0</v>
      </c>
      <c r="D3886" s="17" t="str">
        <f>IF(C3886=1,COUNTIF($C$1:$C3886,1),"")</f>
        <v/>
      </c>
      <c r="E3886" s="7"/>
    </row>
    <row r="3887" spans="3:5">
      <c r="C3887" s="17">
        <f t="shared" si="60"/>
        <v>0</v>
      </c>
      <c r="D3887" s="17" t="str">
        <f>IF(C3887=1,COUNTIF($C$1:$C3887,1),"")</f>
        <v/>
      </c>
      <c r="E3887" s="7"/>
    </row>
    <row r="3888" spans="3:5">
      <c r="C3888" s="17">
        <f t="shared" si="60"/>
        <v>0</v>
      </c>
      <c r="D3888" s="17" t="str">
        <f>IF(C3888=1,COUNTIF($C$1:$C3888,1),"")</f>
        <v/>
      </c>
      <c r="E3888" s="7"/>
    </row>
    <row r="3889" spans="3:5">
      <c r="C3889" s="17">
        <f t="shared" si="60"/>
        <v>0</v>
      </c>
      <c r="D3889" s="17" t="str">
        <f>IF(C3889=1,COUNTIF($C$1:$C3889,1),"")</f>
        <v/>
      </c>
      <c r="E3889" s="7"/>
    </row>
    <row r="3890" spans="3:5">
      <c r="C3890" s="17">
        <f t="shared" si="60"/>
        <v>0</v>
      </c>
      <c r="D3890" s="17" t="str">
        <f>IF(C3890=1,COUNTIF($C$1:$C3890,1),"")</f>
        <v/>
      </c>
      <c r="E3890" s="7"/>
    </row>
    <row r="3891" spans="3:5">
      <c r="C3891" s="17">
        <f t="shared" si="60"/>
        <v>0</v>
      </c>
      <c r="D3891" s="17" t="str">
        <f>IF(C3891=1,COUNTIF($C$1:$C3891,1),"")</f>
        <v/>
      </c>
      <c r="E3891" s="7"/>
    </row>
    <row r="3892" spans="3:5">
      <c r="C3892" s="17">
        <f t="shared" si="60"/>
        <v>0</v>
      </c>
      <c r="D3892" s="17" t="str">
        <f>IF(C3892=1,COUNTIF($C$1:$C3892,1),"")</f>
        <v/>
      </c>
      <c r="E3892" s="7"/>
    </row>
    <row r="3893" spans="3:5">
      <c r="C3893" s="17">
        <f t="shared" si="60"/>
        <v>0</v>
      </c>
      <c r="D3893" s="17" t="str">
        <f>IF(C3893=1,COUNTIF($C$1:$C3893,1),"")</f>
        <v/>
      </c>
      <c r="E3893" s="7"/>
    </row>
    <row r="3894" spans="3:5">
      <c r="C3894" s="17">
        <f t="shared" si="60"/>
        <v>0</v>
      </c>
      <c r="D3894" s="17" t="str">
        <f>IF(C3894=1,COUNTIF($C$1:$C3894,1),"")</f>
        <v/>
      </c>
      <c r="E3894" s="7"/>
    </row>
    <row r="3895" spans="3:5">
      <c r="C3895" s="17">
        <f t="shared" si="60"/>
        <v>0</v>
      </c>
      <c r="D3895" s="17" t="str">
        <f>IF(C3895=1,COUNTIF($C$1:$C3895,1),"")</f>
        <v/>
      </c>
      <c r="E3895" s="7"/>
    </row>
    <row r="3896" spans="3:5">
      <c r="C3896" s="17">
        <f t="shared" si="60"/>
        <v>0</v>
      </c>
      <c r="D3896" s="17" t="str">
        <f>IF(C3896=1,COUNTIF($C$1:$C3896,1),"")</f>
        <v/>
      </c>
      <c r="E3896" s="7"/>
    </row>
    <row r="3897" spans="3:5">
      <c r="C3897" s="17">
        <f t="shared" si="60"/>
        <v>0</v>
      </c>
      <c r="D3897" s="17" t="str">
        <f>IF(C3897=1,COUNTIF($C$1:$C3897,1),"")</f>
        <v/>
      </c>
      <c r="E3897" s="7"/>
    </row>
    <row r="3898" spans="3:5">
      <c r="C3898" s="17">
        <f t="shared" si="60"/>
        <v>0</v>
      </c>
      <c r="D3898" s="17" t="str">
        <f>IF(C3898=1,COUNTIF($C$1:$C3898,1),"")</f>
        <v/>
      </c>
      <c r="E3898" s="7"/>
    </row>
    <row r="3899" spans="3:5">
      <c r="C3899" s="17">
        <f t="shared" si="60"/>
        <v>0</v>
      </c>
      <c r="D3899" s="17" t="str">
        <f>IF(C3899=1,COUNTIF($C$1:$C3899,1),"")</f>
        <v/>
      </c>
      <c r="E3899" s="7"/>
    </row>
    <row r="3900" spans="3:5">
      <c r="C3900" s="17">
        <f t="shared" si="60"/>
        <v>0</v>
      </c>
      <c r="D3900" s="17" t="str">
        <f>IF(C3900=1,COUNTIF($C$1:$C3900,1),"")</f>
        <v/>
      </c>
      <c r="E3900" s="7"/>
    </row>
    <row r="3901" spans="3:5">
      <c r="C3901" s="17">
        <f t="shared" si="60"/>
        <v>0</v>
      </c>
      <c r="D3901" s="17" t="str">
        <f>IF(C3901=1,COUNTIF($C$1:$C3901,1),"")</f>
        <v/>
      </c>
      <c r="E3901" s="7"/>
    </row>
    <row r="3902" spans="3:5">
      <c r="C3902" s="17">
        <f t="shared" si="60"/>
        <v>0</v>
      </c>
      <c r="D3902" s="17" t="str">
        <f>IF(C3902=1,COUNTIF($C$1:$C3902,1),"")</f>
        <v/>
      </c>
      <c r="E3902" s="7"/>
    </row>
    <row r="3903" spans="3:5">
      <c r="C3903" s="17">
        <f t="shared" si="60"/>
        <v>0</v>
      </c>
      <c r="D3903" s="17" t="str">
        <f>IF(C3903=1,COUNTIF($C$1:$C3903,1),"")</f>
        <v/>
      </c>
      <c r="E3903" s="7"/>
    </row>
    <row r="3904" spans="3:5">
      <c r="C3904" s="17">
        <f t="shared" si="60"/>
        <v>0</v>
      </c>
      <c r="D3904" s="17" t="str">
        <f>IF(C3904=1,COUNTIF($C$1:$C3904,1),"")</f>
        <v/>
      </c>
      <c r="E3904" s="7"/>
    </row>
    <row r="3905" spans="3:5">
      <c r="C3905" s="17">
        <f t="shared" si="60"/>
        <v>0</v>
      </c>
      <c r="D3905" s="17" t="str">
        <f>IF(C3905=1,COUNTIF($C$1:$C3905,1),"")</f>
        <v/>
      </c>
      <c r="E3905" s="7"/>
    </row>
    <row r="3906" spans="3:5">
      <c r="C3906" s="17">
        <f t="shared" ref="C3906:C3969" si="61">--ISNUMBER(SEARCH($B$1,A3906))</f>
        <v>0</v>
      </c>
      <c r="D3906" s="17" t="str">
        <f>IF(C3906=1,COUNTIF($C$1:$C3906,1),"")</f>
        <v/>
      </c>
      <c r="E3906" s="7"/>
    </row>
    <row r="3907" spans="3:5">
      <c r="C3907" s="17">
        <f t="shared" si="61"/>
        <v>0</v>
      </c>
      <c r="D3907" s="17" t="str">
        <f>IF(C3907=1,COUNTIF($C$1:$C3907,1),"")</f>
        <v/>
      </c>
      <c r="E3907" s="7"/>
    </row>
    <row r="3908" spans="3:5">
      <c r="C3908" s="17">
        <f t="shared" si="61"/>
        <v>0</v>
      </c>
      <c r="D3908" s="17" t="str">
        <f>IF(C3908=1,COUNTIF($C$1:$C3908,1),"")</f>
        <v/>
      </c>
      <c r="E3908" s="7"/>
    </row>
    <row r="3909" spans="3:5">
      <c r="C3909" s="17">
        <f t="shared" si="61"/>
        <v>0</v>
      </c>
      <c r="D3909" s="17" t="str">
        <f>IF(C3909=1,COUNTIF($C$1:$C3909,1),"")</f>
        <v/>
      </c>
      <c r="E3909" s="7"/>
    </row>
    <row r="3910" spans="3:5">
      <c r="C3910" s="17">
        <f t="shared" si="61"/>
        <v>0</v>
      </c>
      <c r="D3910" s="17" t="str">
        <f>IF(C3910=1,COUNTIF($C$1:$C3910,1),"")</f>
        <v/>
      </c>
      <c r="E3910" s="7"/>
    </row>
    <row r="3911" spans="3:5">
      <c r="C3911" s="17">
        <f t="shared" si="61"/>
        <v>0</v>
      </c>
      <c r="D3911" s="17" t="str">
        <f>IF(C3911=1,COUNTIF($C$1:$C3911,1),"")</f>
        <v/>
      </c>
      <c r="E3911" s="7"/>
    </row>
    <row r="3912" spans="3:5">
      <c r="C3912" s="17">
        <f t="shared" si="61"/>
        <v>0</v>
      </c>
      <c r="D3912" s="17" t="str">
        <f>IF(C3912=1,COUNTIF($C$1:$C3912,1),"")</f>
        <v/>
      </c>
      <c r="E3912" s="7"/>
    </row>
    <row r="3913" spans="3:5">
      <c r="C3913" s="17">
        <f t="shared" si="61"/>
        <v>0</v>
      </c>
      <c r="D3913" s="17" t="str">
        <f>IF(C3913=1,COUNTIF($C$1:$C3913,1),"")</f>
        <v/>
      </c>
      <c r="E3913" s="7"/>
    </row>
    <row r="3914" spans="3:5">
      <c r="C3914" s="17">
        <f t="shared" si="61"/>
        <v>0</v>
      </c>
      <c r="D3914" s="17" t="str">
        <f>IF(C3914=1,COUNTIF($C$1:$C3914,1),"")</f>
        <v/>
      </c>
      <c r="E3914" s="7"/>
    </row>
    <row r="3915" spans="3:5">
      <c r="C3915" s="17">
        <f t="shared" si="61"/>
        <v>0</v>
      </c>
      <c r="D3915" s="17" t="str">
        <f>IF(C3915=1,COUNTIF($C$1:$C3915,1),"")</f>
        <v/>
      </c>
      <c r="E3915" s="7"/>
    </row>
    <row r="3916" spans="3:5">
      <c r="C3916" s="17">
        <f t="shared" si="61"/>
        <v>0</v>
      </c>
      <c r="D3916" s="17" t="str">
        <f>IF(C3916=1,COUNTIF($C$1:$C3916,1),"")</f>
        <v/>
      </c>
      <c r="E3916" s="7"/>
    </row>
    <row r="3917" spans="3:5">
      <c r="C3917" s="17">
        <f t="shared" si="61"/>
        <v>0</v>
      </c>
      <c r="D3917" s="17" t="str">
        <f>IF(C3917=1,COUNTIF($C$1:$C3917,1),"")</f>
        <v/>
      </c>
      <c r="E3917" s="7"/>
    </row>
    <row r="3918" spans="3:5">
      <c r="C3918" s="17">
        <f t="shared" si="61"/>
        <v>0</v>
      </c>
      <c r="D3918" s="17" t="str">
        <f>IF(C3918=1,COUNTIF($C$1:$C3918,1),"")</f>
        <v/>
      </c>
      <c r="E3918" s="7"/>
    </row>
    <row r="3919" spans="3:5">
      <c r="C3919" s="17">
        <f t="shared" si="61"/>
        <v>0</v>
      </c>
      <c r="D3919" s="17" t="str">
        <f>IF(C3919=1,COUNTIF($C$1:$C3919,1),"")</f>
        <v/>
      </c>
      <c r="E3919" s="7"/>
    </row>
    <row r="3920" spans="3:5">
      <c r="C3920" s="17">
        <f t="shared" si="61"/>
        <v>0</v>
      </c>
      <c r="D3920" s="17" t="str">
        <f>IF(C3920=1,COUNTIF($C$1:$C3920,1),"")</f>
        <v/>
      </c>
      <c r="E3920" s="7"/>
    </row>
    <row r="3921" spans="3:5">
      <c r="C3921" s="17">
        <f t="shared" si="61"/>
        <v>0</v>
      </c>
      <c r="D3921" s="17" t="str">
        <f>IF(C3921=1,COUNTIF($C$1:$C3921,1),"")</f>
        <v/>
      </c>
      <c r="E3921" s="7"/>
    </row>
    <row r="3922" spans="3:5">
      <c r="C3922" s="17">
        <f t="shared" si="61"/>
        <v>0</v>
      </c>
      <c r="D3922" s="17" t="str">
        <f>IF(C3922=1,COUNTIF($C$1:$C3922,1),"")</f>
        <v/>
      </c>
      <c r="E3922" s="7"/>
    </row>
    <row r="3923" spans="3:5">
      <c r="C3923" s="17">
        <f t="shared" si="61"/>
        <v>0</v>
      </c>
      <c r="D3923" s="17" t="str">
        <f>IF(C3923=1,COUNTIF($C$1:$C3923,1),"")</f>
        <v/>
      </c>
      <c r="E3923" s="7"/>
    </row>
    <row r="3924" spans="3:5">
      <c r="C3924" s="17">
        <f t="shared" si="61"/>
        <v>0</v>
      </c>
      <c r="D3924" s="17" t="str">
        <f>IF(C3924=1,COUNTIF($C$1:$C3924,1),"")</f>
        <v/>
      </c>
      <c r="E3924" s="7"/>
    </row>
    <row r="3925" spans="3:5">
      <c r="C3925" s="17">
        <f t="shared" si="61"/>
        <v>0</v>
      </c>
      <c r="D3925" s="17" t="str">
        <f>IF(C3925=1,COUNTIF($C$1:$C3925,1),"")</f>
        <v/>
      </c>
      <c r="E3925" s="7"/>
    </row>
    <row r="3926" spans="3:5">
      <c r="C3926" s="17">
        <f t="shared" si="61"/>
        <v>0</v>
      </c>
      <c r="D3926" s="17" t="str">
        <f>IF(C3926=1,COUNTIF($C$1:$C3926,1),"")</f>
        <v/>
      </c>
      <c r="E3926" s="7"/>
    </row>
    <row r="3927" spans="3:5">
      <c r="C3927" s="17">
        <f t="shared" si="61"/>
        <v>0</v>
      </c>
      <c r="D3927" s="17" t="str">
        <f>IF(C3927=1,COUNTIF($C$1:$C3927,1),"")</f>
        <v/>
      </c>
      <c r="E3927" s="7"/>
    </row>
    <row r="3928" spans="3:5">
      <c r="C3928" s="17">
        <f t="shared" si="61"/>
        <v>0</v>
      </c>
      <c r="D3928" s="17" t="str">
        <f>IF(C3928=1,COUNTIF($C$1:$C3928,1),"")</f>
        <v/>
      </c>
      <c r="E3928" s="7"/>
    </row>
    <row r="3929" spans="3:5">
      <c r="C3929" s="17">
        <f t="shared" si="61"/>
        <v>0</v>
      </c>
      <c r="D3929" s="17" t="str">
        <f>IF(C3929=1,COUNTIF($C$1:$C3929,1),"")</f>
        <v/>
      </c>
      <c r="E3929" s="7"/>
    </row>
    <row r="3930" spans="3:5">
      <c r="C3930" s="17">
        <f t="shared" si="61"/>
        <v>0</v>
      </c>
      <c r="D3930" s="17" t="str">
        <f>IF(C3930=1,COUNTIF($C$1:$C3930,1),"")</f>
        <v/>
      </c>
      <c r="E3930" s="7"/>
    </row>
    <row r="3931" spans="3:5">
      <c r="C3931" s="17">
        <f t="shared" si="61"/>
        <v>0</v>
      </c>
      <c r="D3931" s="17" t="str">
        <f>IF(C3931=1,COUNTIF($C$1:$C3931,1),"")</f>
        <v/>
      </c>
      <c r="E3931" s="7"/>
    </row>
    <row r="3932" spans="3:5">
      <c r="C3932" s="17">
        <f t="shared" si="61"/>
        <v>0</v>
      </c>
      <c r="D3932" s="17" t="str">
        <f>IF(C3932=1,COUNTIF($C$1:$C3932,1),"")</f>
        <v/>
      </c>
      <c r="E3932" s="7"/>
    </row>
    <row r="3933" spans="3:5">
      <c r="C3933" s="17">
        <f t="shared" si="61"/>
        <v>0</v>
      </c>
      <c r="D3933" s="17" t="str">
        <f>IF(C3933=1,COUNTIF($C$1:$C3933,1),"")</f>
        <v/>
      </c>
      <c r="E3933" s="7"/>
    </row>
    <row r="3934" spans="3:5">
      <c r="C3934" s="17">
        <f t="shared" si="61"/>
        <v>0</v>
      </c>
      <c r="D3934" s="17" t="str">
        <f>IF(C3934=1,COUNTIF($C$1:$C3934,1),"")</f>
        <v/>
      </c>
      <c r="E3934" s="7"/>
    </row>
    <row r="3935" spans="3:5">
      <c r="C3935" s="17">
        <f t="shared" si="61"/>
        <v>0</v>
      </c>
      <c r="D3935" s="17" t="str">
        <f>IF(C3935=1,COUNTIF($C$1:$C3935,1),"")</f>
        <v/>
      </c>
      <c r="E3935" s="7"/>
    </row>
    <row r="3936" spans="3:5">
      <c r="C3936" s="17">
        <f t="shared" si="61"/>
        <v>0</v>
      </c>
      <c r="D3936" s="17" t="str">
        <f>IF(C3936=1,COUNTIF($C$1:$C3936,1),"")</f>
        <v/>
      </c>
      <c r="E3936" s="7"/>
    </row>
    <row r="3937" spans="3:5">
      <c r="C3937" s="17">
        <f t="shared" si="61"/>
        <v>0</v>
      </c>
      <c r="D3937" s="17" t="str">
        <f>IF(C3937=1,COUNTIF($C$1:$C3937,1),"")</f>
        <v/>
      </c>
      <c r="E3937" s="7"/>
    </row>
    <row r="3938" spans="3:5">
      <c r="C3938" s="17">
        <f t="shared" si="61"/>
        <v>0</v>
      </c>
      <c r="D3938" s="17" t="str">
        <f>IF(C3938=1,COUNTIF($C$1:$C3938,1),"")</f>
        <v/>
      </c>
      <c r="E3938" s="7"/>
    </row>
    <row r="3939" spans="3:5">
      <c r="C3939" s="17">
        <f t="shared" si="61"/>
        <v>0</v>
      </c>
      <c r="D3939" s="17" t="str">
        <f>IF(C3939=1,COUNTIF($C$1:$C3939,1),"")</f>
        <v/>
      </c>
      <c r="E3939" s="7"/>
    </row>
    <row r="3940" spans="3:5">
      <c r="C3940" s="17">
        <f t="shared" si="61"/>
        <v>0</v>
      </c>
      <c r="D3940" s="17" t="str">
        <f>IF(C3940=1,COUNTIF($C$1:$C3940,1),"")</f>
        <v/>
      </c>
      <c r="E3940" s="7"/>
    </row>
    <row r="3941" spans="3:5">
      <c r="C3941" s="17">
        <f t="shared" si="61"/>
        <v>0</v>
      </c>
      <c r="D3941" s="17" t="str">
        <f>IF(C3941=1,COUNTIF($C$1:$C3941,1),"")</f>
        <v/>
      </c>
      <c r="E3941" s="7"/>
    </row>
    <row r="3942" spans="3:5">
      <c r="C3942" s="17">
        <f t="shared" si="61"/>
        <v>0</v>
      </c>
      <c r="D3942" s="17" t="str">
        <f>IF(C3942=1,COUNTIF($C$1:$C3942,1),"")</f>
        <v/>
      </c>
      <c r="E3942" s="7"/>
    </row>
    <row r="3943" spans="3:5">
      <c r="C3943" s="17">
        <f t="shared" si="61"/>
        <v>0</v>
      </c>
      <c r="D3943" s="17" t="str">
        <f>IF(C3943=1,COUNTIF($C$1:$C3943,1),"")</f>
        <v/>
      </c>
      <c r="E3943" s="7"/>
    </row>
    <row r="3944" spans="3:5">
      <c r="C3944" s="17">
        <f t="shared" si="61"/>
        <v>0</v>
      </c>
      <c r="D3944" s="17" t="str">
        <f>IF(C3944=1,COUNTIF($C$1:$C3944,1),"")</f>
        <v/>
      </c>
      <c r="E3944" s="7"/>
    </row>
    <row r="3945" spans="3:5">
      <c r="C3945" s="17">
        <f t="shared" si="61"/>
        <v>0</v>
      </c>
      <c r="D3945" s="17" t="str">
        <f>IF(C3945=1,COUNTIF($C$1:$C3945,1),"")</f>
        <v/>
      </c>
      <c r="E3945" s="7"/>
    </row>
    <row r="3946" spans="3:5">
      <c r="C3946" s="17">
        <f t="shared" si="61"/>
        <v>0</v>
      </c>
      <c r="D3946" s="17" t="str">
        <f>IF(C3946=1,COUNTIF($C$1:$C3946,1),"")</f>
        <v/>
      </c>
      <c r="E3946" s="7"/>
    </row>
    <row r="3947" spans="3:5">
      <c r="C3947" s="17">
        <f t="shared" si="61"/>
        <v>0</v>
      </c>
      <c r="D3947" s="17" t="str">
        <f>IF(C3947=1,COUNTIF($C$1:$C3947,1),"")</f>
        <v/>
      </c>
      <c r="E3947" s="7"/>
    </row>
    <row r="3948" spans="3:5">
      <c r="C3948" s="17">
        <f t="shared" si="61"/>
        <v>0</v>
      </c>
      <c r="D3948" s="17" t="str">
        <f>IF(C3948=1,COUNTIF($C$1:$C3948,1),"")</f>
        <v/>
      </c>
      <c r="E3948" s="7"/>
    </row>
    <row r="3949" spans="3:5">
      <c r="C3949" s="17">
        <f t="shared" si="61"/>
        <v>0</v>
      </c>
      <c r="D3949" s="17" t="str">
        <f>IF(C3949=1,COUNTIF($C$1:$C3949,1),"")</f>
        <v/>
      </c>
      <c r="E3949" s="7"/>
    </row>
    <row r="3950" spans="3:5">
      <c r="C3950" s="17">
        <f t="shared" si="61"/>
        <v>0</v>
      </c>
      <c r="D3950" s="17" t="str">
        <f>IF(C3950=1,COUNTIF($C$1:$C3950,1),"")</f>
        <v/>
      </c>
      <c r="E3950" s="7"/>
    </row>
    <row r="3951" spans="3:5">
      <c r="C3951" s="17">
        <f t="shared" si="61"/>
        <v>0</v>
      </c>
      <c r="D3951" s="17" t="str">
        <f>IF(C3951=1,COUNTIF($C$1:$C3951,1),"")</f>
        <v/>
      </c>
      <c r="E3951" s="7"/>
    </row>
    <row r="3952" spans="3:5">
      <c r="C3952" s="17">
        <f t="shared" si="61"/>
        <v>0</v>
      </c>
      <c r="D3952" s="17" t="str">
        <f>IF(C3952=1,COUNTIF($C$1:$C3952,1),"")</f>
        <v/>
      </c>
      <c r="E3952" s="7"/>
    </row>
    <row r="3953" spans="3:5">
      <c r="C3953" s="17">
        <f t="shared" si="61"/>
        <v>0</v>
      </c>
      <c r="D3953" s="17" t="str">
        <f>IF(C3953=1,COUNTIF($C$1:$C3953,1),"")</f>
        <v/>
      </c>
      <c r="E3953" s="7"/>
    </row>
    <row r="3954" spans="3:5">
      <c r="C3954" s="17">
        <f t="shared" si="61"/>
        <v>0</v>
      </c>
      <c r="D3954" s="17" t="str">
        <f>IF(C3954=1,COUNTIF($C$1:$C3954,1),"")</f>
        <v/>
      </c>
      <c r="E3954" s="7"/>
    </row>
    <row r="3955" spans="3:5">
      <c r="C3955" s="17">
        <f t="shared" si="61"/>
        <v>0</v>
      </c>
      <c r="D3955" s="17" t="str">
        <f>IF(C3955=1,COUNTIF($C$1:$C3955,1),"")</f>
        <v/>
      </c>
      <c r="E3955" s="7"/>
    </row>
    <row r="3956" spans="3:5">
      <c r="C3956" s="17">
        <f t="shared" si="61"/>
        <v>0</v>
      </c>
      <c r="D3956" s="17" t="str">
        <f>IF(C3956=1,COUNTIF($C$1:$C3956,1),"")</f>
        <v/>
      </c>
      <c r="E3956" s="7"/>
    </row>
    <row r="3957" spans="3:5">
      <c r="C3957" s="17">
        <f t="shared" si="61"/>
        <v>0</v>
      </c>
      <c r="D3957" s="17" t="str">
        <f>IF(C3957=1,COUNTIF($C$1:$C3957,1),"")</f>
        <v/>
      </c>
      <c r="E3957" s="7"/>
    </row>
    <row r="3958" spans="3:5">
      <c r="C3958" s="17">
        <f t="shared" si="61"/>
        <v>0</v>
      </c>
      <c r="D3958" s="17" t="str">
        <f>IF(C3958=1,COUNTIF($C$1:$C3958,1),"")</f>
        <v/>
      </c>
      <c r="E3958" s="7"/>
    </row>
    <row r="3959" spans="3:5">
      <c r="C3959" s="17">
        <f t="shared" si="61"/>
        <v>0</v>
      </c>
      <c r="D3959" s="17" t="str">
        <f>IF(C3959=1,COUNTIF($C$1:$C3959,1),"")</f>
        <v/>
      </c>
      <c r="E3959" s="7"/>
    </row>
    <row r="3960" spans="3:5">
      <c r="C3960" s="17">
        <f t="shared" si="61"/>
        <v>0</v>
      </c>
      <c r="D3960" s="17" t="str">
        <f>IF(C3960=1,COUNTIF($C$1:$C3960,1),"")</f>
        <v/>
      </c>
      <c r="E3960" s="7"/>
    </row>
    <row r="3961" spans="3:5">
      <c r="C3961" s="17">
        <f t="shared" si="61"/>
        <v>0</v>
      </c>
      <c r="D3961" s="17" t="str">
        <f>IF(C3961=1,COUNTIF($C$1:$C3961,1),"")</f>
        <v/>
      </c>
      <c r="E3961" s="7"/>
    </row>
    <row r="3962" spans="3:5">
      <c r="C3962" s="17">
        <f t="shared" si="61"/>
        <v>0</v>
      </c>
      <c r="D3962" s="17" t="str">
        <f>IF(C3962=1,COUNTIF($C$1:$C3962,1),"")</f>
        <v/>
      </c>
      <c r="E3962" s="7"/>
    </row>
    <row r="3963" spans="3:5">
      <c r="C3963" s="17">
        <f t="shared" si="61"/>
        <v>0</v>
      </c>
      <c r="D3963" s="17" t="str">
        <f>IF(C3963=1,COUNTIF($C$1:$C3963,1),"")</f>
        <v/>
      </c>
      <c r="E3963" s="7"/>
    </row>
    <row r="3964" spans="3:5">
      <c r="C3964" s="17">
        <f t="shared" si="61"/>
        <v>0</v>
      </c>
      <c r="D3964" s="17" t="str">
        <f>IF(C3964=1,COUNTIF($C$1:$C3964,1),"")</f>
        <v/>
      </c>
      <c r="E3964" s="7"/>
    </row>
    <row r="3965" spans="3:5">
      <c r="C3965" s="17">
        <f t="shared" si="61"/>
        <v>0</v>
      </c>
      <c r="D3965" s="17" t="str">
        <f>IF(C3965=1,COUNTIF($C$1:$C3965,1),"")</f>
        <v/>
      </c>
      <c r="E3965" s="7"/>
    </row>
    <row r="3966" spans="3:5">
      <c r="C3966" s="17">
        <f t="shared" si="61"/>
        <v>0</v>
      </c>
      <c r="D3966" s="17" t="str">
        <f>IF(C3966=1,COUNTIF($C$1:$C3966,1),"")</f>
        <v/>
      </c>
      <c r="E3966" s="7"/>
    </row>
    <row r="3967" spans="3:5">
      <c r="C3967" s="17">
        <f t="shared" si="61"/>
        <v>0</v>
      </c>
      <c r="D3967" s="17" t="str">
        <f>IF(C3967=1,COUNTIF($C$1:$C3967,1),"")</f>
        <v/>
      </c>
      <c r="E3967" s="7"/>
    </row>
    <row r="3968" spans="3:5">
      <c r="C3968" s="17">
        <f t="shared" si="61"/>
        <v>0</v>
      </c>
      <c r="D3968" s="17" t="str">
        <f>IF(C3968=1,COUNTIF($C$1:$C3968,1),"")</f>
        <v/>
      </c>
      <c r="E3968" s="7"/>
    </row>
    <row r="3969" spans="3:5">
      <c r="C3969" s="17">
        <f t="shared" si="61"/>
        <v>0</v>
      </c>
      <c r="D3969" s="17" t="str">
        <f>IF(C3969=1,COUNTIF($C$1:$C3969,1),"")</f>
        <v/>
      </c>
      <c r="E3969" s="7"/>
    </row>
    <row r="3970" spans="3:5">
      <c r="C3970" s="17">
        <f t="shared" ref="C3970:C4033" si="62">--ISNUMBER(SEARCH($B$1,A3970))</f>
        <v>0</v>
      </c>
      <c r="D3970" s="17" t="str">
        <f>IF(C3970=1,COUNTIF($C$1:$C3970,1),"")</f>
        <v/>
      </c>
      <c r="E3970" s="7"/>
    </row>
    <row r="3971" spans="3:5">
      <c r="C3971" s="17">
        <f t="shared" si="62"/>
        <v>0</v>
      </c>
      <c r="D3971" s="17" t="str">
        <f>IF(C3971=1,COUNTIF($C$1:$C3971,1),"")</f>
        <v/>
      </c>
      <c r="E3971" s="7"/>
    </row>
    <row r="3972" spans="3:5">
      <c r="C3972" s="17">
        <f t="shared" si="62"/>
        <v>0</v>
      </c>
      <c r="D3972" s="17" t="str">
        <f>IF(C3972=1,COUNTIF($C$1:$C3972,1),"")</f>
        <v/>
      </c>
      <c r="E3972" s="7"/>
    </row>
    <row r="3973" spans="3:5">
      <c r="C3973" s="17">
        <f t="shared" si="62"/>
        <v>0</v>
      </c>
      <c r="D3973" s="17" t="str">
        <f>IF(C3973=1,COUNTIF($C$1:$C3973,1),"")</f>
        <v/>
      </c>
      <c r="E3973" s="7"/>
    </row>
    <row r="3974" spans="3:5">
      <c r="C3974" s="17">
        <f t="shared" si="62"/>
        <v>0</v>
      </c>
      <c r="D3974" s="17" t="str">
        <f>IF(C3974=1,COUNTIF($C$1:$C3974,1),"")</f>
        <v/>
      </c>
      <c r="E3974" s="7"/>
    </row>
    <row r="3975" spans="3:5">
      <c r="C3975" s="17">
        <f t="shared" si="62"/>
        <v>0</v>
      </c>
      <c r="D3975" s="17" t="str">
        <f>IF(C3975=1,COUNTIF($C$1:$C3975,1),"")</f>
        <v/>
      </c>
      <c r="E3975" s="7"/>
    </row>
    <row r="3976" spans="3:5">
      <c r="C3976" s="17">
        <f t="shared" si="62"/>
        <v>0</v>
      </c>
      <c r="D3976" s="17" t="str">
        <f>IF(C3976=1,COUNTIF($C$1:$C3976,1),"")</f>
        <v/>
      </c>
      <c r="E3976" s="7"/>
    </row>
    <row r="3977" spans="3:5">
      <c r="C3977" s="17">
        <f t="shared" si="62"/>
        <v>0</v>
      </c>
      <c r="D3977" s="17" t="str">
        <f>IF(C3977=1,COUNTIF($C$1:$C3977,1),"")</f>
        <v/>
      </c>
      <c r="E3977" s="7"/>
    </row>
    <row r="3978" spans="3:5">
      <c r="C3978" s="17">
        <f t="shared" si="62"/>
        <v>0</v>
      </c>
      <c r="D3978" s="17" t="str">
        <f>IF(C3978=1,COUNTIF($C$1:$C3978,1),"")</f>
        <v/>
      </c>
      <c r="E3978" s="7"/>
    </row>
    <row r="3979" spans="3:5">
      <c r="C3979" s="17">
        <f t="shared" si="62"/>
        <v>0</v>
      </c>
      <c r="D3979" s="17" t="str">
        <f>IF(C3979=1,COUNTIF($C$1:$C3979,1),"")</f>
        <v/>
      </c>
      <c r="E3979" s="7"/>
    </row>
    <row r="3980" spans="3:5">
      <c r="C3980" s="17">
        <f t="shared" si="62"/>
        <v>0</v>
      </c>
      <c r="D3980" s="17" t="str">
        <f>IF(C3980=1,COUNTIF($C$1:$C3980,1),"")</f>
        <v/>
      </c>
      <c r="E3980" s="7"/>
    </row>
    <row r="3981" spans="3:5">
      <c r="C3981" s="17">
        <f t="shared" si="62"/>
        <v>0</v>
      </c>
      <c r="D3981" s="17" t="str">
        <f>IF(C3981=1,COUNTIF($C$1:$C3981,1),"")</f>
        <v/>
      </c>
      <c r="E3981" s="7"/>
    </row>
    <row r="3982" spans="3:5">
      <c r="C3982" s="17">
        <f t="shared" si="62"/>
        <v>0</v>
      </c>
      <c r="D3982" s="17" t="str">
        <f>IF(C3982=1,COUNTIF($C$1:$C3982,1),"")</f>
        <v/>
      </c>
      <c r="E3982" s="7"/>
    </row>
    <row r="3983" spans="3:5">
      <c r="C3983" s="17">
        <f t="shared" si="62"/>
        <v>0</v>
      </c>
      <c r="D3983" s="17" t="str">
        <f>IF(C3983=1,COUNTIF($C$1:$C3983,1),"")</f>
        <v/>
      </c>
      <c r="E3983" s="7"/>
    </row>
    <row r="3984" spans="3:5">
      <c r="C3984" s="17">
        <f t="shared" si="62"/>
        <v>0</v>
      </c>
      <c r="D3984" s="17" t="str">
        <f>IF(C3984=1,COUNTIF($C$1:$C3984,1),"")</f>
        <v/>
      </c>
      <c r="E3984" s="7"/>
    </row>
    <row r="3985" spans="3:5">
      <c r="C3985" s="17">
        <f t="shared" si="62"/>
        <v>0</v>
      </c>
      <c r="D3985" s="17" t="str">
        <f>IF(C3985=1,COUNTIF($C$1:$C3985,1),"")</f>
        <v/>
      </c>
      <c r="E3985" s="7"/>
    </row>
    <row r="3986" spans="3:5">
      <c r="C3986" s="17">
        <f t="shared" si="62"/>
        <v>0</v>
      </c>
      <c r="D3986" s="17" t="str">
        <f>IF(C3986=1,COUNTIF($C$1:$C3986,1),"")</f>
        <v/>
      </c>
      <c r="E3986" s="7"/>
    </row>
    <row r="3987" spans="3:5">
      <c r="C3987" s="17">
        <f t="shared" si="62"/>
        <v>0</v>
      </c>
      <c r="D3987" s="17" t="str">
        <f>IF(C3987=1,COUNTIF($C$1:$C3987,1),"")</f>
        <v/>
      </c>
      <c r="E3987" s="7"/>
    </row>
    <row r="3988" spans="3:5">
      <c r="C3988" s="17">
        <f t="shared" si="62"/>
        <v>0</v>
      </c>
      <c r="D3988" s="17" t="str">
        <f>IF(C3988=1,COUNTIF($C$1:$C3988,1),"")</f>
        <v/>
      </c>
      <c r="E3988" s="7"/>
    </row>
    <row r="3989" spans="3:5">
      <c r="C3989" s="17">
        <f t="shared" si="62"/>
        <v>0</v>
      </c>
      <c r="D3989" s="17" t="str">
        <f>IF(C3989=1,COUNTIF($C$1:$C3989,1),"")</f>
        <v/>
      </c>
      <c r="E3989" s="7"/>
    </row>
    <row r="3990" spans="3:5">
      <c r="C3990" s="17">
        <f t="shared" si="62"/>
        <v>0</v>
      </c>
      <c r="D3990" s="17" t="str">
        <f>IF(C3990=1,COUNTIF($C$1:$C3990,1),"")</f>
        <v/>
      </c>
      <c r="E3990" s="7"/>
    </row>
    <row r="3991" spans="3:5">
      <c r="C3991" s="17">
        <f t="shared" si="62"/>
        <v>0</v>
      </c>
      <c r="D3991" s="17" t="str">
        <f>IF(C3991=1,COUNTIF($C$1:$C3991,1),"")</f>
        <v/>
      </c>
      <c r="E3991" s="7"/>
    </row>
    <row r="3992" spans="3:5">
      <c r="C3992" s="17">
        <f t="shared" si="62"/>
        <v>0</v>
      </c>
      <c r="D3992" s="17" t="str">
        <f>IF(C3992=1,COUNTIF($C$1:$C3992,1),"")</f>
        <v/>
      </c>
      <c r="E3992" s="7"/>
    </row>
    <row r="3993" spans="3:5">
      <c r="C3993" s="17">
        <f t="shared" si="62"/>
        <v>0</v>
      </c>
      <c r="D3993" s="17" t="str">
        <f>IF(C3993=1,COUNTIF($C$1:$C3993,1),"")</f>
        <v/>
      </c>
      <c r="E3993" s="7"/>
    </row>
    <row r="3994" spans="3:5">
      <c r="C3994" s="17">
        <f t="shared" si="62"/>
        <v>0</v>
      </c>
      <c r="D3994" s="17" t="str">
        <f>IF(C3994=1,COUNTIF($C$1:$C3994,1),"")</f>
        <v/>
      </c>
      <c r="E3994" s="7"/>
    </row>
    <row r="3995" spans="3:5">
      <c r="C3995" s="17">
        <f t="shared" si="62"/>
        <v>0</v>
      </c>
      <c r="D3995" s="17" t="str">
        <f>IF(C3995=1,COUNTIF($C$1:$C3995,1),"")</f>
        <v/>
      </c>
      <c r="E3995" s="7"/>
    </row>
    <row r="3996" spans="3:5">
      <c r="C3996" s="17">
        <f t="shared" si="62"/>
        <v>0</v>
      </c>
      <c r="D3996" s="17" t="str">
        <f>IF(C3996=1,COUNTIF($C$1:$C3996,1),"")</f>
        <v/>
      </c>
      <c r="E3996" s="7"/>
    </row>
    <row r="3997" spans="3:5">
      <c r="C3997" s="17">
        <f t="shared" si="62"/>
        <v>0</v>
      </c>
      <c r="D3997" s="17" t="str">
        <f>IF(C3997=1,COUNTIF($C$1:$C3997,1),"")</f>
        <v/>
      </c>
      <c r="E3997" s="7"/>
    </row>
    <row r="3998" spans="3:5">
      <c r="C3998" s="17">
        <f t="shared" si="62"/>
        <v>0</v>
      </c>
      <c r="D3998" s="17" t="str">
        <f>IF(C3998=1,COUNTIF($C$1:$C3998,1),"")</f>
        <v/>
      </c>
      <c r="E3998" s="7"/>
    </row>
    <row r="3999" spans="3:5">
      <c r="C3999" s="17">
        <f t="shared" si="62"/>
        <v>0</v>
      </c>
      <c r="D3999" s="17" t="str">
        <f>IF(C3999=1,COUNTIF($C$1:$C3999,1),"")</f>
        <v/>
      </c>
      <c r="E3999" s="7"/>
    </row>
    <row r="4000" spans="3:5">
      <c r="C4000" s="17">
        <f t="shared" si="62"/>
        <v>0</v>
      </c>
      <c r="D4000" s="17" t="str">
        <f>IF(C4000=1,COUNTIF($C$1:$C4000,1),"")</f>
        <v/>
      </c>
      <c r="E4000" s="7"/>
    </row>
    <row r="4001" spans="3:5">
      <c r="C4001" s="17">
        <f t="shared" si="62"/>
        <v>0</v>
      </c>
      <c r="D4001" s="17" t="str">
        <f>IF(C4001=1,COUNTIF($C$1:$C4001,1),"")</f>
        <v/>
      </c>
      <c r="E4001" s="7"/>
    </row>
    <row r="4002" spans="3:5">
      <c r="C4002" s="17">
        <f t="shared" si="62"/>
        <v>0</v>
      </c>
      <c r="D4002" s="17" t="str">
        <f>IF(C4002=1,COUNTIF($C$1:$C4002,1),"")</f>
        <v/>
      </c>
      <c r="E4002" s="7"/>
    </row>
    <row r="4003" spans="3:5">
      <c r="C4003" s="17">
        <f t="shared" si="62"/>
        <v>0</v>
      </c>
      <c r="D4003" s="17" t="str">
        <f>IF(C4003=1,COUNTIF($C$1:$C4003,1),"")</f>
        <v/>
      </c>
      <c r="E4003" s="7"/>
    </row>
    <row r="4004" spans="3:5">
      <c r="C4004" s="17">
        <f t="shared" si="62"/>
        <v>0</v>
      </c>
      <c r="D4004" s="17" t="str">
        <f>IF(C4004=1,COUNTIF($C$1:$C4004,1),"")</f>
        <v/>
      </c>
      <c r="E4004" s="7"/>
    </row>
    <row r="4005" spans="3:5">
      <c r="C4005" s="17">
        <f t="shared" si="62"/>
        <v>0</v>
      </c>
      <c r="D4005" s="17" t="str">
        <f>IF(C4005=1,COUNTIF($C$1:$C4005,1),"")</f>
        <v/>
      </c>
      <c r="E4005" s="7"/>
    </row>
    <row r="4006" spans="3:5">
      <c r="C4006" s="17">
        <f t="shared" si="62"/>
        <v>0</v>
      </c>
      <c r="D4006" s="17" t="str">
        <f>IF(C4006=1,COUNTIF($C$1:$C4006,1),"")</f>
        <v/>
      </c>
      <c r="E4006" s="7"/>
    </row>
    <row r="4007" spans="3:5">
      <c r="C4007" s="17">
        <f t="shared" si="62"/>
        <v>0</v>
      </c>
      <c r="D4007" s="17" t="str">
        <f>IF(C4007=1,COUNTIF($C$1:$C4007,1),"")</f>
        <v/>
      </c>
      <c r="E4007" s="7"/>
    </row>
    <row r="4008" spans="3:5">
      <c r="C4008" s="17">
        <f t="shared" si="62"/>
        <v>0</v>
      </c>
      <c r="D4008" s="17" t="str">
        <f>IF(C4008=1,COUNTIF($C$1:$C4008,1),"")</f>
        <v/>
      </c>
      <c r="E4008" s="7"/>
    </row>
    <row r="4009" spans="3:5">
      <c r="C4009" s="17">
        <f t="shared" si="62"/>
        <v>0</v>
      </c>
      <c r="D4009" s="17" t="str">
        <f>IF(C4009=1,COUNTIF($C$1:$C4009,1),"")</f>
        <v/>
      </c>
      <c r="E4009" s="7"/>
    </row>
    <row r="4010" spans="3:5">
      <c r="C4010" s="17">
        <f t="shared" si="62"/>
        <v>0</v>
      </c>
      <c r="D4010" s="17" t="str">
        <f>IF(C4010=1,COUNTIF($C$1:$C4010,1),"")</f>
        <v/>
      </c>
      <c r="E4010" s="7"/>
    </row>
    <row r="4011" spans="3:5">
      <c r="C4011" s="17">
        <f t="shared" si="62"/>
        <v>0</v>
      </c>
      <c r="D4011" s="17" t="str">
        <f>IF(C4011=1,COUNTIF($C$1:$C4011,1),"")</f>
        <v/>
      </c>
      <c r="E4011" s="7"/>
    </row>
    <row r="4012" spans="3:5">
      <c r="C4012" s="17">
        <f t="shared" si="62"/>
        <v>0</v>
      </c>
      <c r="D4012" s="17" t="str">
        <f>IF(C4012=1,COUNTIF($C$1:$C4012,1),"")</f>
        <v/>
      </c>
      <c r="E4012" s="7"/>
    </row>
    <row r="4013" spans="3:5">
      <c r="C4013" s="17">
        <f t="shared" si="62"/>
        <v>0</v>
      </c>
      <c r="D4013" s="17" t="str">
        <f>IF(C4013=1,COUNTIF($C$1:$C4013,1),"")</f>
        <v/>
      </c>
      <c r="E4013" s="7"/>
    </row>
    <row r="4014" spans="3:5">
      <c r="C4014" s="17">
        <f t="shared" si="62"/>
        <v>0</v>
      </c>
      <c r="D4014" s="17" t="str">
        <f>IF(C4014=1,COUNTIF($C$1:$C4014,1),"")</f>
        <v/>
      </c>
      <c r="E4014" s="7"/>
    </row>
    <row r="4015" spans="3:5">
      <c r="C4015" s="17">
        <f t="shared" si="62"/>
        <v>0</v>
      </c>
      <c r="D4015" s="17" t="str">
        <f>IF(C4015=1,COUNTIF($C$1:$C4015,1),"")</f>
        <v/>
      </c>
      <c r="E4015" s="7"/>
    </row>
    <row r="4016" spans="3:5">
      <c r="C4016" s="17">
        <f t="shared" si="62"/>
        <v>0</v>
      </c>
      <c r="D4016" s="17" t="str">
        <f>IF(C4016=1,COUNTIF($C$1:$C4016,1),"")</f>
        <v/>
      </c>
      <c r="E4016" s="7"/>
    </row>
    <row r="4017" spans="3:5">
      <c r="C4017" s="17">
        <f t="shared" si="62"/>
        <v>0</v>
      </c>
      <c r="D4017" s="17" t="str">
        <f>IF(C4017=1,COUNTIF($C$1:$C4017,1),"")</f>
        <v/>
      </c>
      <c r="E4017" s="7"/>
    </row>
    <row r="4018" spans="3:5">
      <c r="C4018" s="17">
        <f t="shared" si="62"/>
        <v>0</v>
      </c>
      <c r="D4018" s="17" t="str">
        <f>IF(C4018=1,COUNTIF($C$1:$C4018,1),"")</f>
        <v/>
      </c>
      <c r="E4018" s="7"/>
    </row>
    <row r="4019" spans="3:5">
      <c r="C4019" s="17">
        <f t="shared" si="62"/>
        <v>0</v>
      </c>
      <c r="D4019" s="17" t="str">
        <f>IF(C4019=1,COUNTIF($C$1:$C4019,1),"")</f>
        <v/>
      </c>
      <c r="E4019" s="7"/>
    </row>
    <row r="4020" spans="3:5">
      <c r="C4020" s="17">
        <f t="shared" si="62"/>
        <v>0</v>
      </c>
      <c r="D4020" s="17" t="str">
        <f>IF(C4020=1,COUNTIF($C$1:$C4020,1),"")</f>
        <v/>
      </c>
      <c r="E4020" s="7"/>
    </row>
    <row r="4021" spans="3:5">
      <c r="C4021" s="17">
        <f t="shared" si="62"/>
        <v>0</v>
      </c>
      <c r="D4021" s="17" t="str">
        <f>IF(C4021=1,COUNTIF($C$1:$C4021,1),"")</f>
        <v/>
      </c>
      <c r="E4021" s="7"/>
    </row>
    <row r="4022" spans="3:5">
      <c r="C4022" s="17">
        <f t="shared" si="62"/>
        <v>0</v>
      </c>
      <c r="D4022" s="17" t="str">
        <f>IF(C4022=1,COUNTIF($C$1:$C4022,1),"")</f>
        <v/>
      </c>
      <c r="E4022" s="7"/>
    </row>
    <row r="4023" spans="3:5">
      <c r="C4023" s="17">
        <f t="shared" si="62"/>
        <v>0</v>
      </c>
      <c r="D4023" s="17" t="str">
        <f>IF(C4023=1,COUNTIF($C$1:$C4023,1),"")</f>
        <v/>
      </c>
      <c r="E4023" s="7"/>
    </row>
    <row r="4024" spans="3:5">
      <c r="C4024" s="17">
        <f t="shared" si="62"/>
        <v>0</v>
      </c>
      <c r="D4024" s="17" t="str">
        <f>IF(C4024=1,COUNTIF($C$1:$C4024,1),"")</f>
        <v/>
      </c>
      <c r="E4024" s="7"/>
    </row>
    <row r="4025" spans="3:5">
      <c r="C4025" s="17">
        <f t="shared" si="62"/>
        <v>0</v>
      </c>
      <c r="D4025" s="17" t="str">
        <f>IF(C4025=1,COUNTIF($C$1:$C4025,1),"")</f>
        <v/>
      </c>
      <c r="E4025" s="7"/>
    </row>
    <row r="4026" spans="3:5">
      <c r="C4026" s="17">
        <f t="shared" si="62"/>
        <v>0</v>
      </c>
      <c r="D4026" s="17" t="str">
        <f>IF(C4026=1,COUNTIF($C$1:$C4026,1),"")</f>
        <v/>
      </c>
      <c r="E4026" s="7"/>
    </row>
    <row r="4027" spans="3:5">
      <c r="C4027" s="17">
        <f t="shared" si="62"/>
        <v>0</v>
      </c>
      <c r="D4027" s="17" t="str">
        <f>IF(C4027=1,COUNTIF($C$1:$C4027,1),"")</f>
        <v/>
      </c>
      <c r="E4027" s="7"/>
    </row>
    <row r="4028" spans="3:5">
      <c r="C4028" s="17">
        <f t="shared" si="62"/>
        <v>0</v>
      </c>
      <c r="D4028" s="17" t="str">
        <f>IF(C4028=1,COUNTIF($C$1:$C4028,1),"")</f>
        <v/>
      </c>
      <c r="E4028" s="7"/>
    </row>
    <row r="4029" spans="3:5">
      <c r="C4029" s="17">
        <f t="shared" si="62"/>
        <v>0</v>
      </c>
      <c r="D4029" s="17" t="str">
        <f>IF(C4029=1,COUNTIF($C$1:$C4029,1),"")</f>
        <v/>
      </c>
      <c r="E4029" s="7"/>
    </row>
    <row r="4030" spans="3:5">
      <c r="C4030" s="17">
        <f t="shared" si="62"/>
        <v>0</v>
      </c>
      <c r="D4030" s="17" t="str">
        <f>IF(C4030=1,COUNTIF($C$1:$C4030,1),"")</f>
        <v/>
      </c>
      <c r="E4030" s="7"/>
    </row>
    <row r="4031" spans="3:5">
      <c r="C4031" s="17">
        <f t="shared" si="62"/>
        <v>0</v>
      </c>
      <c r="D4031" s="17" t="str">
        <f>IF(C4031=1,COUNTIF($C$1:$C4031,1),"")</f>
        <v/>
      </c>
      <c r="E4031" s="7"/>
    </row>
    <row r="4032" spans="3:5">
      <c r="C4032" s="17">
        <f t="shared" si="62"/>
        <v>0</v>
      </c>
      <c r="D4032" s="17" t="str">
        <f>IF(C4032=1,COUNTIF($C$1:$C4032,1),"")</f>
        <v/>
      </c>
      <c r="E4032" s="7"/>
    </row>
    <row r="4033" spans="3:5">
      <c r="C4033" s="17">
        <f t="shared" si="62"/>
        <v>0</v>
      </c>
      <c r="D4033" s="17" t="str">
        <f>IF(C4033=1,COUNTIF($C$1:$C4033,1),"")</f>
        <v/>
      </c>
      <c r="E4033" s="7"/>
    </row>
    <row r="4034" spans="3:5">
      <c r="C4034" s="17">
        <f t="shared" ref="C4034:C4097" si="63">--ISNUMBER(SEARCH($B$1,A4034))</f>
        <v>0</v>
      </c>
      <c r="D4034" s="17" t="str">
        <f>IF(C4034=1,COUNTIF($C$1:$C4034,1),"")</f>
        <v/>
      </c>
      <c r="E4034" s="7"/>
    </row>
    <row r="4035" spans="3:5">
      <c r="C4035" s="17">
        <f t="shared" si="63"/>
        <v>0</v>
      </c>
      <c r="D4035" s="17" t="str">
        <f>IF(C4035=1,COUNTIF($C$1:$C4035,1),"")</f>
        <v/>
      </c>
      <c r="E4035" s="7"/>
    </row>
    <row r="4036" spans="3:5">
      <c r="C4036" s="17">
        <f t="shared" si="63"/>
        <v>0</v>
      </c>
      <c r="D4036" s="17" t="str">
        <f>IF(C4036=1,COUNTIF($C$1:$C4036,1),"")</f>
        <v/>
      </c>
      <c r="E4036" s="7"/>
    </row>
    <row r="4037" spans="3:5">
      <c r="C4037" s="17">
        <f t="shared" si="63"/>
        <v>0</v>
      </c>
      <c r="D4037" s="17" t="str">
        <f>IF(C4037=1,COUNTIF($C$1:$C4037,1),"")</f>
        <v/>
      </c>
      <c r="E4037" s="7"/>
    </row>
    <row r="4038" spans="3:5">
      <c r="C4038" s="17">
        <f t="shared" si="63"/>
        <v>0</v>
      </c>
      <c r="D4038" s="17" t="str">
        <f>IF(C4038=1,COUNTIF($C$1:$C4038,1),"")</f>
        <v/>
      </c>
      <c r="E4038" s="7"/>
    </row>
    <row r="4039" spans="3:5">
      <c r="C4039" s="17">
        <f t="shared" si="63"/>
        <v>0</v>
      </c>
      <c r="D4039" s="17" t="str">
        <f>IF(C4039=1,COUNTIF($C$1:$C4039,1),"")</f>
        <v/>
      </c>
      <c r="E4039" s="7"/>
    </row>
    <row r="4040" spans="3:5">
      <c r="C4040" s="17">
        <f t="shared" si="63"/>
        <v>0</v>
      </c>
      <c r="D4040" s="17" t="str">
        <f>IF(C4040=1,COUNTIF($C$1:$C4040,1),"")</f>
        <v/>
      </c>
      <c r="E4040" s="7"/>
    </row>
    <row r="4041" spans="3:5">
      <c r="C4041" s="17">
        <f t="shared" si="63"/>
        <v>0</v>
      </c>
      <c r="D4041" s="17" t="str">
        <f>IF(C4041=1,COUNTIF($C$1:$C4041,1),"")</f>
        <v/>
      </c>
      <c r="E4041" s="7"/>
    </row>
    <row r="4042" spans="3:5">
      <c r="C4042" s="17">
        <f t="shared" si="63"/>
        <v>0</v>
      </c>
      <c r="D4042" s="17" t="str">
        <f>IF(C4042=1,COUNTIF($C$1:$C4042,1),"")</f>
        <v/>
      </c>
      <c r="E4042" s="7"/>
    </row>
    <row r="4043" spans="3:5">
      <c r="C4043" s="17">
        <f t="shared" si="63"/>
        <v>0</v>
      </c>
      <c r="D4043" s="17" t="str">
        <f>IF(C4043=1,COUNTIF($C$1:$C4043,1),"")</f>
        <v/>
      </c>
      <c r="E4043" s="7"/>
    </row>
    <row r="4044" spans="3:5">
      <c r="C4044" s="17">
        <f t="shared" si="63"/>
        <v>0</v>
      </c>
      <c r="D4044" s="17" t="str">
        <f>IF(C4044=1,COUNTIF($C$1:$C4044,1),"")</f>
        <v/>
      </c>
      <c r="E4044" s="7"/>
    </row>
    <row r="4045" spans="3:5">
      <c r="C4045" s="17">
        <f t="shared" si="63"/>
        <v>0</v>
      </c>
      <c r="D4045" s="17" t="str">
        <f>IF(C4045=1,COUNTIF($C$1:$C4045,1),"")</f>
        <v/>
      </c>
      <c r="E4045" s="7"/>
    </row>
    <row r="4046" spans="3:5">
      <c r="C4046" s="17">
        <f t="shared" si="63"/>
        <v>0</v>
      </c>
      <c r="D4046" s="17" t="str">
        <f>IF(C4046=1,COUNTIF($C$1:$C4046,1),"")</f>
        <v/>
      </c>
      <c r="E4046" s="7"/>
    </row>
    <row r="4047" spans="3:5">
      <c r="C4047" s="17">
        <f t="shared" si="63"/>
        <v>0</v>
      </c>
      <c r="D4047" s="17" t="str">
        <f>IF(C4047=1,COUNTIF($C$1:$C4047,1),"")</f>
        <v/>
      </c>
      <c r="E4047" s="7"/>
    </row>
    <row r="4048" spans="3:5">
      <c r="C4048" s="17">
        <f t="shared" si="63"/>
        <v>0</v>
      </c>
      <c r="D4048" s="17" t="str">
        <f>IF(C4048=1,COUNTIF($C$1:$C4048,1),"")</f>
        <v/>
      </c>
      <c r="E4048" s="7"/>
    </row>
    <row r="4049" spans="3:5">
      <c r="C4049" s="17">
        <f t="shared" si="63"/>
        <v>0</v>
      </c>
      <c r="D4049" s="17" t="str">
        <f>IF(C4049=1,COUNTIF($C$1:$C4049,1),"")</f>
        <v/>
      </c>
      <c r="E4049" s="7"/>
    </row>
    <row r="4050" spans="3:5">
      <c r="C4050" s="17">
        <f t="shared" si="63"/>
        <v>0</v>
      </c>
      <c r="D4050" s="17" t="str">
        <f>IF(C4050=1,COUNTIF($C$1:$C4050,1),"")</f>
        <v/>
      </c>
      <c r="E4050" s="7"/>
    </row>
    <row r="4051" spans="3:5">
      <c r="C4051" s="17">
        <f t="shared" si="63"/>
        <v>0</v>
      </c>
      <c r="D4051" s="17" t="str">
        <f>IF(C4051=1,COUNTIF($C$1:$C4051,1),"")</f>
        <v/>
      </c>
      <c r="E4051" s="7"/>
    </row>
    <row r="4052" spans="3:5">
      <c r="C4052" s="17">
        <f t="shared" si="63"/>
        <v>0</v>
      </c>
      <c r="D4052" s="17" t="str">
        <f>IF(C4052=1,COUNTIF($C$1:$C4052,1),"")</f>
        <v/>
      </c>
      <c r="E4052" s="7"/>
    </row>
    <row r="4053" spans="3:5">
      <c r="C4053" s="17">
        <f t="shared" si="63"/>
        <v>0</v>
      </c>
      <c r="D4053" s="17" t="str">
        <f>IF(C4053=1,COUNTIF($C$1:$C4053,1),"")</f>
        <v/>
      </c>
      <c r="E4053" s="7"/>
    </row>
    <row r="4054" spans="3:5">
      <c r="C4054" s="17">
        <f t="shared" si="63"/>
        <v>0</v>
      </c>
      <c r="D4054" s="17" t="str">
        <f>IF(C4054=1,COUNTIF($C$1:$C4054,1),"")</f>
        <v/>
      </c>
      <c r="E4054" s="7"/>
    </row>
    <row r="4055" spans="3:5">
      <c r="C4055" s="17">
        <f t="shared" si="63"/>
        <v>0</v>
      </c>
      <c r="D4055" s="17" t="str">
        <f>IF(C4055=1,COUNTIF($C$1:$C4055,1),"")</f>
        <v/>
      </c>
      <c r="E4055" s="7"/>
    </row>
    <row r="4056" spans="3:5">
      <c r="C4056" s="17">
        <f t="shared" si="63"/>
        <v>0</v>
      </c>
      <c r="D4056" s="17" t="str">
        <f>IF(C4056=1,COUNTIF($C$1:$C4056,1),"")</f>
        <v/>
      </c>
      <c r="E4056" s="7"/>
    </row>
    <row r="4057" spans="3:5">
      <c r="C4057" s="17">
        <f t="shared" si="63"/>
        <v>0</v>
      </c>
      <c r="D4057" s="17" t="str">
        <f>IF(C4057=1,COUNTIF($C$1:$C4057,1),"")</f>
        <v/>
      </c>
      <c r="E4057" s="7"/>
    </row>
    <row r="4058" spans="3:5">
      <c r="C4058" s="17">
        <f t="shared" si="63"/>
        <v>0</v>
      </c>
      <c r="D4058" s="17" t="str">
        <f>IF(C4058=1,COUNTIF($C$1:$C4058,1),"")</f>
        <v/>
      </c>
      <c r="E4058" s="7"/>
    </row>
    <row r="4059" spans="3:5">
      <c r="C4059" s="17">
        <f t="shared" si="63"/>
        <v>0</v>
      </c>
      <c r="D4059" s="17" t="str">
        <f>IF(C4059=1,COUNTIF($C$1:$C4059,1),"")</f>
        <v/>
      </c>
      <c r="E4059" s="7"/>
    </row>
    <row r="4060" spans="3:5">
      <c r="C4060" s="17">
        <f t="shared" si="63"/>
        <v>0</v>
      </c>
      <c r="D4060" s="17" t="str">
        <f>IF(C4060=1,COUNTIF($C$1:$C4060,1),"")</f>
        <v/>
      </c>
      <c r="E4060" s="7"/>
    </row>
    <row r="4061" spans="3:5">
      <c r="C4061" s="17">
        <f t="shared" si="63"/>
        <v>0</v>
      </c>
      <c r="D4061" s="17" t="str">
        <f>IF(C4061=1,COUNTIF($C$1:$C4061,1),"")</f>
        <v/>
      </c>
      <c r="E4061" s="7"/>
    </row>
    <row r="4062" spans="3:5">
      <c r="C4062" s="17">
        <f t="shared" si="63"/>
        <v>0</v>
      </c>
      <c r="D4062" s="17" t="str">
        <f>IF(C4062=1,COUNTIF($C$1:$C4062,1),"")</f>
        <v/>
      </c>
      <c r="E4062" s="7"/>
    </row>
    <row r="4063" spans="3:5">
      <c r="C4063" s="17">
        <f t="shared" si="63"/>
        <v>0</v>
      </c>
      <c r="D4063" s="17" t="str">
        <f>IF(C4063=1,COUNTIF($C$1:$C4063,1),"")</f>
        <v/>
      </c>
      <c r="E4063" s="7"/>
    </row>
    <row r="4064" spans="3:5">
      <c r="C4064" s="17">
        <f t="shared" si="63"/>
        <v>0</v>
      </c>
      <c r="D4064" s="17" t="str">
        <f>IF(C4064=1,COUNTIF($C$1:$C4064,1),"")</f>
        <v/>
      </c>
      <c r="E4064" s="7"/>
    </row>
    <row r="4065" spans="3:5">
      <c r="C4065" s="17">
        <f t="shared" si="63"/>
        <v>0</v>
      </c>
      <c r="D4065" s="17" t="str">
        <f>IF(C4065=1,COUNTIF($C$1:$C4065,1),"")</f>
        <v/>
      </c>
      <c r="E4065" s="7"/>
    </row>
    <row r="4066" spans="3:5">
      <c r="C4066" s="17">
        <f t="shared" si="63"/>
        <v>0</v>
      </c>
      <c r="D4066" s="17" t="str">
        <f>IF(C4066=1,COUNTIF($C$1:$C4066,1),"")</f>
        <v/>
      </c>
      <c r="E4066" s="7"/>
    </row>
    <row r="4067" spans="3:5">
      <c r="C4067" s="17">
        <f t="shared" si="63"/>
        <v>0</v>
      </c>
      <c r="D4067" s="17" t="str">
        <f>IF(C4067=1,COUNTIF($C$1:$C4067,1),"")</f>
        <v/>
      </c>
      <c r="E4067" s="7"/>
    </row>
    <row r="4068" spans="3:5">
      <c r="C4068" s="17">
        <f t="shared" si="63"/>
        <v>0</v>
      </c>
      <c r="D4068" s="17" t="str">
        <f>IF(C4068=1,COUNTIF($C$1:$C4068,1),"")</f>
        <v/>
      </c>
      <c r="E4068" s="7"/>
    </row>
    <row r="4069" spans="3:5">
      <c r="C4069" s="17">
        <f t="shared" si="63"/>
        <v>0</v>
      </c>
      <c r="D4069" s="17" t="str">
        <f>IF(C4069=1,COUNTIF($C$1:$C4069,1),"")</f>
        <v/>
      </c>
      <c r="E4069" s="7"/>
    </row>
    <row r="4070" spans="3:5">
      <c r="C4070" s="17">
        <f t="shared" si="63"/>
        <v>0</v>
      </c>
      <c r="D4070" s="17" t="str">
        <f>IF(C4070=1,COUNTIF($C$1:$C4070,1),"")</f>
        <v/>
      </c>
      <c r="E4070" s="7"/>
    </row>
    <row r="4071" spans="3:5">
      <c r="C4071" s="17">
        <f t="shared" si="63"/>
        <v>0</v>
      </c>
      <c r="D4071" s="17" t="str">
        <f>IF(C4071=1,COUNTIF($C$1:$C4071,1),"")</f>
        <v/>
      </c>
      <c r="E4071" s="7"/>
    </row>
    <row r="4072" spans="3:5">
      <c r="C4072" s="17">
        <f t="shared" si="63"/>
        <v>0</v>
      </c>
      <c r="D4072" s="17" t="str">
        <f>IF(C4072=1,COUNTIF($C$1:$C4072,1),"")</f>
        <v/>
      </c>
      <c r="E4072" s="7"/>
    </row>
    <row r="4073" spans="3:5">
      <c r="C4073" s="17">
        <f t="shared" si="63"/>
        <v>0</v>
      </c>
      <c r="D4073" s="17" t="str">
        <f>IF(C4073=1,COUNTIF($C$1:$C4073,1),"")</f>
        <v/>
      </c>
      <c r="E4073" s="7"/>
    </row>
    <row r="4074" spans="3:5">
      <c r="C4074" s="17">
        <f t="shared" si="63"/>
        <v>0</v>
      </c>
      <c r="D4074" s="17" t="str">
        <f>IF(C4074=1,COUNTIF($C$1:$C4074,1),"")</f>
        <v/>
      </c>
      <c r="E4074" s="7"/>
    </row>
    <row r="4075" spans="3:5">
      <c r="C4075" s="17">
        <f t="shared" si="63"/>
        <v>0</v>
      </c>
      <c r="D4075" s="17" t="str">
        <f>IF(C4075=1,COUNTIF($C$1:$C4075,1),"")</f>
        <v/>
      </c>
      <c r="E4075" s="7"/>
    </row>
    <row r="4076" spans="3:5">
      <c r="C4076" s="17">
        <f t="shared" si="63"/>
        <v>0</v>
      </c>
      <c r="D4076" s="17" t="str">
        <f>IF(C4076=1,COUNTIF($C$1:$C4076,1),"")</f>
        <v/>
      </c>
      <c r="E4076" s="7"/>
    </row>
    <row r="4077" spans="3:5">
      <c r="C4077" s="17">
        <f t="shared" si="63"/>
        <v>0</v>
      </c>
      <c r="D4077" s="17" t="str">
        <f>IF(C4077=1,COUNTIF($C$1:$C4077,1),"")</f>
        <v/>
      </c>
      <c r="E4077" s="7"/>
    </row>
    <row r="4078" spans="3:5">
      <c r="C4078" s="17">
        <f t="shared" si="63"/>
        <v>0</v>
      </c>
      <c r="D4078" s="17" t="str">
        <f>IF(C4078=1,COUNTIF($C$1:$C4078,1),"")</f>
        <v/>
      </c>
      <c r="E4078" s="7"/>
    </row>
    <row r="4079" spans="3:5">
      <c r="C4079" s="17">
        <f t="shared" si="63"/>
        <v>0</v>
      </c>
      <c r="D4079" s="17" t="str">
        <f>IF(C4079=1,COUNTIF($C$1:$C4079,1),"")</f>
        <v/>
      </c>
      <c r="E4079" s="7"/>
    </row>
    <row r="4080" spans="3:5">
      <c r="C4080" s="17">
        <f t="shared" si="63"/>
        <v>0</v>
      </c>
      <c r="D4080" s="17" t="str">
        <f>IF(C4080=1,COUNTIF($C$1:$C4080,1),"")</f>
        <v/>
      </c>
      <c r="E4080" s="7"/>
    </row>
    <row r="4081" spans="3:5">
      <c r="C4081" s="17">
        <f t="shared" si="63"/>
        <v>0</v>
      </c>
      <c r="D4081" s="17" t="str">
        <f>IF(C4081=1,COUNTIF($C$1:$C4081,1),"")</f>
        <v/>
      </c>
      <c r="E4081" s="7"/>
    </row>
    <row r="4082" spans="3:5">
      <c r="C4082" s="17">
        <f t="shared" si="63"/>
        <v>0</v>
      </c>
      <c r="D4082" s="17" t="str">
        <f>IF(C4082=1,COUNTIF($C$1:$C4082,1),"")</f>
        <v/>
      </c>
      <c r="E4082" s="7"/>
    </row>
    <row r="4083" spans="3:5">
      <c r="C4083" s="17">
        <f t="shared" si="63"/>
        <v>0</v>
      </c>
      <c r="D4083" s="17" t="str">
        <f>IF(C4083=1,COUNTIF($C$1:$C4083,1),"")</f>
        <v/>
      </c>
      <c r="E4083" s="7"/>
    </row>
    <row r="4084" spans="3:5">
      <c r="C4084" s="17">
        <f t="shared" si="63"/>
        <v>0</v>
      </c>
      <c r="D4084" s="17" t="str">
        <f>IF(C4084=1,COUNTIF($C$1:$C4084,1),"")</f>
        <v/>
      </c>
      <c r="E4084" s="7"/>
    </row>
    <row r="4085" spans="3:5">
      <c r="C4085" s="17">
        <f t="shared" si="63"/>
        <v>0</v>
      </c>
      <c r="D4085" s="17" t="str">
        <f>IF(C4085=1,COUNTIF($C$1:$C4085,1),"")</f>
        <v/>
      </c>
      <c r="E4085" s="7"/>
    </row>
    <row r="4086" spans="3:5">
      <c r="C4086" s="17">
        <f t="shared" si="63"/>
        <v>0</v>
      </c>
      <c r="D4086" s="17" t="str">
        <f>IF(C4086=1,COUNTIF($C$1:$C4086,1),"")</f>
        <v/>
      </c>
      <c r="E4086" s="7"/>
    </row>
    <row r="4087" spans="3:5">
      <c r="C4087" s="17">
        <f t="shared" si="63"/>
        <v>0</v>
      </c>
      <c r="D4087" s="17" t="str">
        <f>IF(C4087=1,COUNTIF($C$1:$C4087,1),"")</f>
        <v/>
      </c>
      <c r="E4087" s="7"/>
    </row>
    <row r="4088" spans="3:5">
      <c r="C4088" s="17">
        <f t="shared" si="63"/>
        <v>0</v>
      </c>
      <c r="D4088" s="17" t="str">
        <f>IF(C4088=1,COUNTIF($C$1:$C4088,1),"")</f>
        <v/>
      </c>
      <c r="E4088" s="7"/>
    </row>
    <row r="4089" spans="3:5">
      <c r="C4089" s="17">
        <f t="shared" si="63"/>
        <v>0</v>
      </c>
      <c r="D4089" s="17" t="str">
        <f>IF(C4089=1,COUNTIF($C$1:$C4089,1),"")</f>
        <v/>
      </c>
      <c r="E4089" s="7"/>
    </row>
    <row r="4090" spans="3:5">
      <c r="C4090" s="17">
        <f t="shared" si="63"/>
        <v>0</v>
      </c>
      <c r="D4090" s="17" t="str">
        <f>IF(C4090=1,COUNTIF($C$1:$C4090,1),"")</f>
        <v/>
      </c>
      <c r="E4090" s="7"/>
    </row>
    <row r="4091" spans="3:5">
      <c r="C4091" s="17">
        <f t="shared" si="63"/>
        <v>0</v>
      </c>
      <c r="D4091" s="17" t="str">
        <f>IF(C4091=1,COUNTIF($C$1:$C4091,1),"")</f>
        <v/>
      </c>
      <c r="E4091" s="7"/>
    </row>
    <row r="4092" spans="3:5">
      <c r="C4092" s="17">
        <f t="shared" si="63"/>
        <v>0</v>
      </c>
      <c r="D4092" s="17" t="str">
        <f>IF(C4092=1,COUNTIF($C$1:$C4092,1),"")</f>
        <v/>
      </c>
      <c r="E4092" s="7"/>
    </row>
    <row r="4093" spans="3:5">
      <c r="C4093" s="17">
        <f t="shared" si="63"/>
        <v>0</v>
      </c>
      <c r="D4093" s="17" t="str">
        <f>IF(C4093=1,COUNTIF($C$1:$C4093,1),"")</f>
        <v/>
      </c>
      <c r="E4093" s="7"/>
    </row>
    <row r="4094" spans="3:5">
      <c r="C4094" s="17">
        <f t="shared" si="63"/>
        <v>0</v>
      </c>
      <c r="D4094" s="17" t="str">
        <f>IF(C4094=1,COUNTIF($C$1:$C4094,1),"")</f>
        <v/>
      </c>
      <c r="E4094" s="7"/>
    </row>
    <row r="4095" spans="3:5">
      <c r="C4095" s="17">
        <f t="shared" si="63"/>
        <v>0</v>
      </c>
      <c r="D4095" s="17" t="str">
        <f>IF(C4095=1,COUNTIF($C$1:$C4095,1),"")</f>
        <v/>
      </c>
      <c r="E4095" s="7"/>
    </row>
    <row r="4096" spans="3:5">
      <c r="C4096" s="17">
        <f t="shared" si="63"/>
        <v>0</v>
      </c>
      <c r="D4096" s="17" t="str">
        <f>IF(C4096=1,COUNTIF($C$1:$C4096,1),"")</f>
        <v/>
      </c>
      <c r="E4096" s="7"/>
    </row>
    <row r="4097" spans="3:5">
      <c r="C4097" s="17">
        <f t="shared" si="63"/>
        <v>0</v>
      </c>
      <c r="D4097" s="17" t="str">
        <f>IF(C4097=1,COUNTIF($C$1:$C4097,1),"")</f>
        <v/>
      </c>
      <c r="E4097" s="7"/>
    </row>
    <row r="4098" spans="3:5">
      <c r="C4098" s="17">
        <f t="shared" ref="C4098:C4161" si="64">--ISNUMBER(SEARCH($B$1,A4098))</f>
        <v>0</v>
      </c>
      <c r="D4098" s="17" t="str">
        <f>IF(C4098=1,COUNTIF($C$1:$C4098,1),"")</f>
        <v/>
      </c>
      <c r="E4098" s="7"/>
    </row>
    <row r="4099" spans="3:5">
      <c r="C4099" s="17">
        <f t="shared" si="64"/>
        <v>0</v>
      </c>
      <c r="D4099" s="17" t="str">
        <f>IF(C4099=1,COUNTIF($C$1:$C4099,1),"")</f>
        <v/>
      </c>
      <c r="E4099" s="7"/>
    </row>
    <row r="4100" spans="3:5">
      <c r="C4100" s="17">
        <f t="shared" si="64"/>
        <v>0</v>
      </c>
      <c r="D4100" s="17" t="str">
        <f>IF(C4100=1,COUNTIF($C$1:$C4100,1),"")</f>
        <v/>
      </c>
      <c r="E4100" s="7"/>
    </row>
    <row r="4101" spans="3:5">
      <c r="C4101" s="17">
        <f t="shared" si="64"/>
        <v>0</v>
      </c>
      <c r="D4101" s="17" t="str">
        <f>IF(C4101=1,COUNTIF($C$1:$C4101,1),"")</f>
        <v/>
      </c>
      <c r="E4101" s="7"/>
    </row>
    <row r="4102" spans="3:5">
      <c r="C4102" s="17">
        <f t="shared" si="64"/>
        <v>0</v>
      </c>
      <c r="D4102" s="17" t="str">
        <f>IF(C4102=1,COUNTIF($C$1:$C4102,1),"")</f>
        <v/>
      </c>
      <c r="E4102" s="7"/>
    </row>
    <row r="4103" spans="3:5">
      <c r="C4103" s="17">
        <f t="shared" si="64"/>
        <v>0</v>
      </c>
      <c r="D4103" s="17" t="str">
        <f>IF(C4103=1,COUNTIF($C$1:$C4103,1),"")</f>
        <v/>
      </c>
      <c r="E4103" s="7"/>
    </row>
    <row r="4104" spans="3:5">
      <c r="C4104" s="17">
        <f t="shared" si="64"/>
        <v>0</v>
      </c>
      <c r="D4104" s="17" t="str">
        <f>IF(C4104=1,COUNTIF($C$1:$C4104,1),"")</f>
        <v/>
      </c>
      <c r="E4104" s="7"/>
    </row>
    <row r="4105" spans="3:5">
      <c r="C4105" s="17">
        <f t="shared" si="64"/>
        <v>0</v>
      </c>
      <c r="D4105" s="17" t="str">
        <f>IF(C4105=1,COUNTIF($C$1:$C4105,1),"")</f>
        <v/>
      </c>
      <c r="E4105" s="7"/>
    </row>
    <row r="4106" spans="3:5">
      <c r="C4106" s="17">
        <f t="shared" si="64"/>
        <v>0</v>
      </c>
      <c r="D4106" s="17" t="str">
        <f>IF(C4106=1,COUNTIF($C$1:$C4106,1),"")</f>
        <v/>
      </c>
      <c r="E4106" s="7"/>
    </row>
    <row r="4107" spans="3:5">
      <c r="C4107" s="17">
        <f t="shared" si="64"/>
        <v>0</v>
      </c>
      <c r="D4107" s="17" t="str">
        <f>IF(C4107=1,COUNTIF($C$1:$C4107,1),"")</f>
        <v/>
      </c>
      <c r="E4107" s="7"/>
    </row>
    <row r="4108" spans="3:5">
      <c r="C4108" s="17">
        <f t="shared" si="64"/>
        <v>0</v>
      </c>
      <c r="D4108" s="17" t="str">
        <f>IF(C4108=1,COUNTIF($C$1:$C4108,1),"")</f>
        <v/>
      </c>
      <c r="E4108" s="7"/>
    </row>
    <row r="4109" spans="3:5">
      <c r="C4109" s="17">
        <f t="shared" si="64"/>
        <v>0</v>
      </c>
      <c r="D4109" s="17" t="str">
        <f>IF(C4109=1,COUNTIF($C$1:$C4109,1),"")</f>
        <v/>
      </c>
      <c r="E4109" s="7"/>
    </row>
    <row r="4110" spans="3:5">
      <c r="C4110" s="17">
        <f t="shared" si="64"/>
        <v>0</v>
      </c>
      <c r="D4110" s="17" t="str">
        <f>IF(C4110=1,COUNTIF($C$1:$C4110,1),"")</f>
        <v/>
      </c>
      <c r="E4110" s="7"/>
    </row>
    <row r="4111" spans="3:5">
      <c r="C4111" s="17">
        <f t="shared" si="64"/>
        <v>0</v>
      </c>
      <c r="D4111" s="17" t="str">
        <f>IF(C4111=1,COUNTIF($C$1:$C4111,1),"")</f>
        <v/>
      </c>
      <c r="E4111" s="7"/>
    </row>
    <row r="4112" spans="3:5">
      <c r="C4112" s="17">
        <f t="shared" si="64"/>
        <v>0</v>
      </c>
      <c r="D4112" s="17" t="str">
        <f>IF(C4112=1,COUNTIF($C$1:$C4112,1),"")</f>
        <v/>
      </c>
      <c r="E4112" s="7"/>
    </row>
    <row r="4113" spans="3:5">
      <c r="C4113" s="17">
        <f t="shared" si="64"/>
        <v>0</v>
      </c>
      <c r="D4113" s="17" t="str">
        <f>IF(C4113=1,COUNTIF($C$1:$C4113,1),"")</f>
        <v/>
      </c>
      <c r="E4113" s="7"/>
    </row>
    <row r="4114" spans="3:5">
      <c r="C4114" s="17">
        <f t="shared" si="64"/>
        <v>0</v>
      </c>
      <c r="D4114" s="17" t="str">
        <f>IF(C4114=1,COUNTIF($C$1:$C4114,1),"")</f>
        <v/>
      </c>
      <c r="E4114" s="7"/>
    </row>
    <row r="4115" spans="3:5">
      <c r="C4115" s="17">
        <f t="shared" si="64"/>
        <v>0</v>
      </c>
      <c r="D4115" s="17" t="str">
        <f>IF(C4115=1,COUNTIF($C$1:$C4115,1),"")</f>
        <v/>
      </c>
      <c r="E4115" s="7"/>
    </row>
    <row r="4116" spans="3:5">
      <c r="C4116" s="17">
        <f t="shared" si="64"/>
        <v>0</v>
      </c>
      <c r="D4116" s="17" t="str">
        <f>IF(C4116=1,COUNTIF($C$1:$C4116,1),"")</f>
        <v/>
      </c>
      <c r="E4116" s="7"/>
    </row>
    <row r="4117" spans="3:5">
      <c r="C4117" s="17">
        <f t="shared" si="64"/>
        <v>0</v>
      </c>
      <c r="D4117" s="17" t="str">
        <f>IF(C4117=1,COUNTIF($C$1:$C4117,1),"")</f>
        <v/>
      </c>
      <c r="E4117" s="7"/>
    </row>
    <row r="4118" spans="3:5">
      <c r="C4118" s="17">
        <f t="shared" si="64"/>
        <v>0</v>
      </c>
      <c r="D4118" s="17" t="str">
        <f>IF(C4118=1,COUNTIF($C$1:$C4118,1),"")</f>
        <v/>
      </c>
      <c r="E4118" s="7"/>
    </row>
    <row r="4119" spans="3:5">
      <c r="C4119" s="17">
        <f t="shared" si="64"/>
        <v>0</v>
      </c>
      <c r="D4119" s="17" t="str">
        <f>IF(C4119=1,COUNTIF($C$1:$C4119,1),"")</f>
        <v/>
      </c>
      <c r="E4119" s="7"/>
    </row>
    <row r="4120" spans="3:5">
      <c r="C4120" s="17">
        <f t="shared" si="64"/>
        <v>0</v>
      </c>
      <c r="D4120" s="17" t="str">
        <f>IF(C4120=1,COUNTIF($C$1:$C4120,1),"")</f>
        <v/>
      </c>
      <c r="E4120" s="7"/>
    </row>
    <row r="4121" spans="3:5">
      <c r="C4121" s="17">
        <f t="shared" si="64"/>
        <v>0</v>
      </c>
      <c r="D4121" s="17" t="str">
        <f>IF(C4121=1,COUNTIF($C$1:$C4121,1),"")</f>
        <v/>
      </c>
      <c r="E4121" s="7"/>
    </row>
    <row r="4122" spans="3:5">
      <c r="C4122" s="17">
        <f t="shared" si="64"/>
        <v>0</v>
      </c>
      <c r="D4122" s="17" t="str">
        <f>IF(C4122=1,COUNTIF($C$1:$C4122,1),"")</f>
        <v/>
      </c>
      <c r="E4122" s="7"/>
    </row>
    <row r="4123" spans="3:5">
      <c r="C4123" s="17">
        <f t="shared" si="64"/>
        <v>0</v>
      </c>
      <c r="D4123" s="17" t="str">
        <f>IF(C4123=1,COUNTIF($C$1:$C4123,1),"")</f>
        <v/>
      </c>
      <c r="E4123" s="7"/>
    </row>
    <row r="4124" spans="3:5">
      <c r="C4124" s="17">
        <f t="shared" si="64"/>
        <v>0</v>
      </c>
      <c r="D4124" s="17" t="str">
        <f>IF(C4124=1,COUNTIF($C$1:$C4124,1),"")</f>
        <v/>
      </c>
      <c r="E4124" s="7"/>
    </row>
    <row r="4125" spans="3:5">
      <c r="C4125" s="17">
        <f t="shared" si="64"/>
        <v>0</v>
      </c>
      <c r="D4125" s="17" t="str">
        <f>IF(C4125=1,COUNTIF($C$1:$C4125,1),"")</f>
        <v/>
      </c>
      <c r="E4125" s="7"/>
    </row>
    <row r="4126" spans="3:5">
      <c r="C4126" s="17">
        <f t="shared" si="64"/>
        <v>0</v>
      </c>
      <c r="D4126" s="17" t="str">
        <f>IF(C4126=1,COUNTIF($C$1:$C4126,1),"")</f>
        <v/>
      </c>
      <c r="E4126" s="7"/>
    </row>
    <row r="4127" spans="3:5">
      <c r="C4127" s="17">
        <f t="shared" si="64"/>
        <v>0</v>
      </c>
      <c r="D4127" s="17" t="str">
        <f>IF(C4127=1,COUNTIF($C$1:$C4127,1),"")</f>
        <v/>
      </c>
      <c r="E4127" s="7"/>
    </row>
    <row r="4128" spans="3:5">
      <c r="C4128" s="17">
        <f t="shared" si="64"/>
        <v>0</v>
      </c>
      <c r="D4128" s="17" t="str">
        <f>IF(C4128=1,COUNTIF($C$1:$C4128,1),"")</f>
        <v/>
      </c>
      <c r="E4128" s="7"/>
    </row>
    <row r="4129" spans="3:5">
      <c r="C4129" s="17">
        <f t="shared" si="64"/>
        <v>0</v>
      </c>
      <c r="D4129" s="17" t="str">
        <f>IF(C4129=1,COUNTIF($C$1:$C4129,1),"")</f>
        <v/>
      </c>
      <c r="E4129" s="7"/>
    </row>
    <row r="4130" spans="3:5">
      <c r="C4130" s="17">
        <f t="shared" si="64"/>
        <v>0</v>
      </c>
      <c r="D4130" s="17" t="str">
        <f>IF(C4130=1,COUNTIF($C$1:$C4130,1),"")</f>
        <v/>
      </c>
      <c r="E4130" s="7"/>
    </row>
    <row r="4131" spans="3:5">
      <c r="C4131" s="17">
        <f t="shared" si="64"/>
        <v>0</v>
      </c>
      <c r="D4131" s="17" t="str">
        <f>IF(C4131=1,COUNTIF($C$1:$C4131,1),"")</f>
        <v/>
      </c>
      <c r="E4131" s="7"/>
    </row>
    <row r="4132" spans="3:5">
      <c r="C4132" s="17">
        <f t="shared" si="64"/>
        <v>0</v>
      </c>
      <c r="D4132" s="17" t="str">
        <f>IF(C4132=1,COUNTIF($C$1:$C4132,1),"")</f>
        <v/>
      </c>
      <c r="E4132" s="7"/>
    </row>
    <row r="4133" spans="3:5">
      <c r="C4133" s="17">
        <f t="shared" si="64"/>
        <v>0</v>
      </c>
      <c r="D4133" s="17" t="str">
        <f>IF(C4133=1,COUNTIF($C$1:$C4133,1),"")</f>
        <v/>
      </c>
      <c r="E4133" s="7"/>
    </row>
    <row r="4134" spans="3:5">
      <c r="C4134" s="17">
        <f t="shared" si="64"/>
        <v>0</v>
      </c>
      <c r="D4134" s="17" t="str">
        <f>IF(C4134=1,COUNTIF($C$1:$C4134,1),"")</f>
        <v/>
      </c>
      <c r="E4134" s="7"/>
    </row>
    <row r="4135" spans="3:5">
      <c r="C4135" s="17">
        <f t="shared" si="64"/>
        <v>0</v>
      </c>
      <c r="D4135" s="17" t="str">
        <f>IF(C4135=1,COUNTIF($C$1:$C4135,1),"")</f>
        <v/>
      </c>
      <c r="E4135" s="7"/>
    </row>
    <row r="4136" spans="3:5">
      <c r="C4136" s="17">
        <f t="shared" si="64"/>
        <v>0</v>
      </c>
      <c r="D4136" s="17" t="str">
        <f>IF(C4136=1,COUNTIF($C$1:$C4136,1),"")</f>
        <v/>
      </c>
      <c r="E4136" s="7"/>
    </row>
    <row r="4137" spans="3:5">
      <c r="C4137" s="17">
        <f t="shared" si="64"/>
        <v>0</v>
      </c>
      <c r="D4137" s="17" t="str">
        <f>IF(C4137=1,COUNTIF($C$1:$C4137,1),"")</f>
        <v/>
      </c>
      <c r="E4137" s="7"/>
    </row>
    <row r="4138" spans="3:5">
      <c r="C4138" s="17">
        <f t="shared" si="64"/>
        <v>0</v>
      </c>
      <c r="D4138" s="17" t="str">
        <f>IF(C4138=1,COUNTIF($C$1:$C4138,1),"")</f>
        <v/>
      </c>
      <c r="E4138" s="7"/>
    </row>
    <row r="4139" spans="3:5">
      <c r="C4139" s="17">
        <f t="shared" si="64"/>
        <v>0</v>
      </c>
      <c r="D4139" s="17" t="str">
        <f>IF(C4139=1,COUNTIF($C$1:$C4139,1),"")</f>
        <v/>
      </c>
      <c r="E4139" s="7"/>
    </row>
    <row r="4140" spans="3:5">
      <c r="C4140" s="17">
        <f t="shared" si="64"/>
        <v>0</v>
      </c>
      <c r="D4140" s="17" t="str">
        <f>IF(C4140=1,COUNTIF($C$1:$C4140,1),"")</f>
        <v/>
      </c>
      <c r="E4140" s="7"/>
    </row>
    <row r="4141" spans="3:5">
      <c r="C4141" s="17">
        <f t="shared" si="64"/>
        <v>0</v>
      </c>
      <c r="D4141" s="17" t="str">
        <f>IF(C4141=1,COUNTIF($C$1:$C4141,1),"")</f>
        <v/>
      </c>
      <c r="E4141" s="7"/>
    </row>
    <row r="4142" spans="3:5">
      <c r="C4142" s="17">
        <f t="shared" si="64"/>
        <v>0</v>
      </c>
      <c r="D4142" s="17" t="str">
        <f>IF(C4142=1,COUNTIF($C$1:$C4142,1),"")</f>
        <v/>
      </c>
      <c r="E4142" s="7"/>
    </row>
    <row r="4143" spans="3:5">
      <c r="C4143" s="17">
        <f t="shared" si="64"/>
        <v>0</v>
      </c>
      <c r="D4143" s="17" t="str">
        <f>IF(C4143=1,COUNTIF($C$1:$C4143,1),"")</f>
        <v/>
      </c>
      <c r="E4143" s="7"/>
    </row>
    <row r="4144" spans="3:5">
      <c r="C4144" s="17">
        <f t="shared" si="64"/>
        <v>0</v>
      </c>
      <c r="D4144" s="17" t="str">
        <f>IF(C4144=1,COUNTIF($C$1:$C4144,1),"")</f>
        <v/>
      </c>
      <c r="E4144" s="7"/>
    </row>
    <row r="4145" spans="3:5">
      <c r="C4145" s="17">
        <f t="shared" si="64"/>
        <v>0</v>
      </c>
      <c r="D4145" s="17" t="str">
        <f>IF(C4145=1,COUNTIF($C$1:$C4145,1),"")</f>
        <v/>
      </c>
      <c r="E4145" s="7"/>
    </row>
    <row r="4146" spans="3:5">
      <c r="C4146" s="17">
        <f t="shared" si="64"/>
        <v>0</v>
      </c>
      <c r="D4146" s="17" t="str">
        <f>IF(C4146=1,COUNTIF($C$1:$C4146,1),"")</f>
        <v/>
      </c>
      <c r="E4146" s="7"/>
    </row>
    <row r="4147" spans="3:5">
      <c r="C4147" s="17">
        <f t="shared" si="64"/>
        <v>0</v>
      </c>
      <c r="D4147" s="17" t="str">
        <f>IF(C4147=1,COUNTIF($C$1:$C4147,1),"")</f>
        <v/>
      </c>
      <c r="E4147" s="7"/>
    </row>
    <row r="4148" spans="3:5">
      <c r="C4148" s="17">
        <f t="shared" si="64"/>
        <v>0</v>
      </c>
      <c r="D4148" s="17" t="str">
        <f>IF(C4148=1,COUNTIF($C$1:$C4148,1),"")</f>
        <v/>
      </c>
      <c r="E4148" s="7"/>
    </row>
    <row r="4149" spans="3:5">
      <c r="C4149" s="17">
        <f t="shared" si="64"/>
        <v>0</v>
      </c>
      <c r="D4149" s="17" t="str">
        <f>IF(C4149=1,COUNTIF($C$1:$C4149,1),"")</f>
        <v/>
      </c>
      <c r="E4149" s="7"/>
    </row>
    <row r="4150" spans="3:5">
      <c r="C4150" s="17">
        <f t="shared" si="64"/>
        <v>0</v>
      </c>
      <c r="D4150" s="17" t="str">
        <f>IF(C4150=1,COUNTIF($C$1:$C4150,1),"")</f>
        <v/>
      </c>
      <c r="E4150" s="7"/>
    </row>
    <row r="4151" spans="3:5">
      <c r="C4151" s="17">
        <f t="shared" si="64"/>
        <v>0</v>
      </c>
      <c r="D4151" s="17" t="str">
        <f>IF(C4151=1,COUNTIF($C$1:$C4151,1),"")</f>
        <v/>
      </c>
      <c r="E4151" s="7"/>
    </row>
    <row r="4152" spans="3:5">
      <c r="C4152" s="17">
        <f t="shared" si="64"/>
        <v>0</v>
      </c>
      <c r="D4152" s="17" t="str">
        <f>IF(C4152=1,COUNTIF($C$1:$C4152,1),"")</f>
        <v/>
      </c>
      <c r="E4152" s="7"/>
    </row>
    <row r="4153" spans="3:5">
      <c r="C4153" s="17">
        <f t="shared" si="64"/>
        <v>0</v>
      </c>
      <c r="D4153" s="17" t="str">
        <f>IF(C4153=1,COUNTIF($C$1:$C4153,1),"")</f>
        <v/>
      </c>
      <c r="E4153" s="7"/>
    </row>
    <row r="4154" spans="3:5">
      <c r="C4154" s="17">
        <f t="shared" si="64"/>
        <v>0</v>
      </c>
      <c r="D4154" s="17" t="str">
        <f>IF(C4154=1,COUNTIF($C$1:$C4154,1),"")</f>
        <v/>
      </c>
      <c r="E4154" s="7"/>
    </row>
    <row r="4155" spans="3:5">
      <c r="C4155" s="17">
        <f t="shared" si="64"/>
        <v>0</v>
      </c>
      <c r="D4155" s="17" t="str">
        <f>IF(C4155=1,COUNTIF($C$1:$C4155,1),"")</f>
        <v/>
      </c>
      <c r="E4155" s="7"/>
    </row>
    <row r="4156" spans="3:5">
      <c r="C4156" s="17">
        <f t="shared" si="64"/>
        <v>0</v>
      </c>
      <c r="D4156" s="17" t="str">
        <f>IF(C4156=1,COUNTIF($C$1:$C4156,1),"")</f>
        <v/>
      </c>
      <c r="E4156" s="7"/>
    </row>
    <row r="4157" spans="3:5">
      <c r="C4157" s="17">
        <f t="shared" si="64"/>
        <v>0</v>
      </c>
      <c r="D4157" s="17" t="str">
        <f>IF(C4157=1,COUNTIF($C$1:$C4157,1),"")</f>
        <v/>
      </c>
      <c r="E4157" s="7"/>
    </row>
    <row r="4158" spans="3:5">
      <c r="C4158" s="17">
        <f t="shared" si="64"/>
        <v>0</v>
      </c>
      <c r="D4158" s="17" t="str">
        <f>IF(C4158=1,COUNTIF($C$1:$C4158,1),"")</f>
        <v/>
      </c>
      <c r="E4158" s="7"/>
    </row>
    <row r="4159" spans="3:5">
      <c r="C4159" s="17">
        <f t="shared" si="64"/>
        <v>0</v>
      </c>
      <c r="D4159" s="17" t="str">
        <f>IF(C4159=1,COUNTIF($C$1:$C4159,1),"")</f>
        <v/>
      </c>
      <c r="E4159" s="7"/>
    </row>
    <row r="4160" spans="3:5">
      <c r="C4160" s="17">
        <f t="shared" si="64"/>
        <v>0</v>
      </c>
      <c r="D4160" s="17" t="str">
        <f>IF(C4160=1,COUNTIF($C$1:$C4160,1),"")</f>
        <v/>
      </c>
      <c r="E4160" s="7"/>
    </row>
    <row r="4161" spans="3:5">
      <c r="C4161" s="17">
        <f t="shared" si="64"/>
        <v>0</v>
      </c>
      <c r="D4161" s="17" t="str">
        <f>IF(C4161=1,COUNTIF($C$1:$C4161,1),"")</f>
        <v/>
      </c>
      <c r="E4161" s="7"/>
    </row>
    <row r="4162" spans="3:5">
      <c r="C4162" s="17">
        <f t="shared" ref="C4162:C4225" si="65">--ISNUMBER(SEARCH($B$1,A4162))</f>
        <v>0</v>
      </c>
      <c r="D4162" s="17" t="str">
        <f>IF(C4162=1,COUNTIF($C$1:$C4162,1),"")</f>
        <v/>
      </c>
      <c r="E4162" s="7"/>
    </row>
    <row r="4163" spans="3:5">
      <c r="C4163" s="17">
        <f t="shared" si="65"/>
        <v>0</v>
      </c>
      <c r="D4163" s="17" t="str">
        <f>IF(C4163=1,COUNTIF($C$1:$C4163,1),"")</f>
        <v/>
      </c>
      <c r="E4163" s="7"/>
    </row>
    <row r="4164" spans="3:5">
      <c r="C4164" s="17">
        <f t="shared" si="65"/>
        <v>0</v>
      </c>
      <c r="D4164" s="17" t="str">
        <f>IF(C4164=1,COUNTIF($C$1:$C4164,1),"")</f>
        <v/>
      </c>
      <c r="E4164" s="7"/>
    </row>
    <row r="4165" spans="3:5">
      <c r="C4165" s="17">
        <f t="shared" si="65"/>
        <v>0</v>
      </c>
      <c r="D4165" s="17" t="str">
        <f>IF(C4165=1,COUNTIF($C$1:$C4165,1),"")</f>
        <v/>
      </c>
      <c r="E4165" s="7"/>
    </row>
    <row r="4166" spans="3:5">
      <c r="C4166" s="17">
        <f t="shared" si="65"/>
        <v>0</v>
      </c>
      <c r="D4166" s="17" t="str">
        <f>IF(C4166=1,COUNTIF($C$1:$C4166,1),"")</f>
        <v/>
      </c>
      <c r="E4166" s="7"/>
    </row>
    <row r="4167" spans="3:5">
      <c r="C4167" s="17">
        <f t="shared" si="65"/>
        <v>0</v>
      </c>
      <c r="D4167" s="17" t="str">
        <f>IF(C4167=1,COUNTIF($C$1:$C4167,1),"")</f>
        <v/>
      </c>
      <c r="E4167" s="7"/>
    </row>
    <row r="4168" spans="3:5">
      <c r="C4168" s="17">
        <f t="shared" si="65"/>
        <v>0</v>
      </c>
      <c r="D4168" s="17" t="str">
        <f>IF(C4168=1,COUNTIF($C$1:$C4168,1),"")</f>
        <v/>
      </c>
      <c r="E4168" s="7"/>
    </row>
    <row r="4169" spans="3:5">
      <c r="C4169" s="17">
        <f t="shared" si="65"/>
        <v>0</v>
      </c>
      <c r="D4169" s="17" t="str">
        <f>IF(C4169=1,COUNTIF($C$1:$C4169,1),"")</f>
        <v/>
      </c>
      <c r="E4169" s="7"/>
    </row>
    <row r="4170" spans="3:5">
      <c r="C4170" s="17">
        <f t="shared" si="65"/>
        <v>0</v>
      </c>
      <c r="D4170" s="17" t="str">
        <f>IF(C4170=1,COUNTIF($C$1:$C4170,1),"")</f>
        <v/>
      </c>
      <c r="E4170" s="7"/>
    </row>
    <row r="4171" spans="3:5">
      <c r="C4171" s="17">
        <f t="shared" si="65"/>
        <v>0</v>
      </c>
      <c r="D4171" s="17" t="str">
        <f>IF(C4171=1,COUNTIF($C$1:$C4171,1),"")</f>
        <v/>
      </c>
      <c r="E4171" s="7"/>
    </row>
    <row r="4172" spans="3:5">
      <c r="C4172" s="17">
        <f t="shared" si="65"/>
        <v>0</v>
      </c>
      <c r="D4172" s="17" t="str">
        <f>IF(C4172=1,COUNTIF($C$1:$C4172,1),"")</f>
        <v/>
      </c>
      <c r="E4172" s="7"/>
    </row>
    <row r="4173" spans="3:5">
      <c r="C4173" s="17">
        <f t="shared" si="65"/>
        <v>0</v>
      </c>
      <c r="D4173" s="17" t="str">
        <f>IF(C4173=1,COUNTIF($C$1:$C4173,1),"")</f>
        <v/>
      </c>
      <c r="E4173" s="7"/>
    </row>
    <row r="4174" spans="3:5">
      <c r="C4174" s="17">
        <f t="shared" si="65"/>
        <v>0</v>
      </c>
      <c r="D4174" s="17" t="str">
        <f>IF(C4174=1,COUNTIF($C$1:$C4174,1),"")</f>
        <v/>
      </c>
      <c r="E4174" s="7"/>
    </row>
    <row r="4175" spans="3:5">
      <c r="C4175" s="17">
        <f t="shared" si="65"/>
        <v>0</v>
      </c>
      <c r="D4175" s="17" t="str">
        <f>IF(C4175=1,COUNTIF($C$1:$C4175,1),"")</f>
        <v/>
      </c>
      <c r="E4175" s="7"/>
    </row>
    <row r="4176" spans="3:5">
      <c r="C4176" s="17">
        <f t="shared" si="65"/>
        <v>0</v>
      </c>
      <c r="D4176" s="17" t="str">
        <f>IF(C4176=1,COUNTIF($C$1:$C4176,1),"")</f>
        <v/>
      </c>
      <c r="E4176" s="7"/>
    </row>
    <row r="4177" spans="3:5">
      <c r="C4177" s="17">
        <f t="shared" si="65"/>
        <v>0</v>
      </c>
      <c r="D4177" s="17" t="str">
        <f>IF(C4177=1,COUNTIF($C$1:$C4177,1),"")</f>
        <v/>
      </c>
      <c r="E4177" s="7"/>
    </row>
    <row r="4178" spans="3:5">
      <c r="C4178" s="17">
        <f t="shared" si="65"/>
        <v>0</v>
      </c>
      <c r="D4178" s="17" t="str">
        <f>IF(C4178=1,COUNTIF($C$1:$C4178,1),"")</f>
        <v/>
      </c>
      <c r="E4178" s="7"/>
    </row>
    <row r="4179" spans="3:5">
      <c r="C4179" s="17">
        <f t="shared" si="65"/>
        <v>0</v>
      </c>
      <c r="D4179" s="17" t="str">
        <f>IF(C4179=1,COUNTIF($C$1:$C4179,1),"")</f>
        <v/>
      </c>
      <c r="E4179" s="7"/>
    </row>
    <row r="4180" spans="3:5">
      <c r="C4180" s="17">
        <f t="shared" si="65"/>
        <v>0</v>
      </c>
      <c r="D4180" s="17" t="str">
        <f>IF(C4180=1,COUNTIF($C$1:$C4180,1),"")</f>
        <v/>
      </c>
      <c r="E4180" s="7"/>
    </row>
    <row r="4181" spans="3:5">
      <c r="C4181" s="17">
        <f t="shared" si="65"/>
        <v>0</v>
      </c>
      <c r="D4181" s="17" t="str">
        <f>IF(C4181=1,COUNTIF($C$1:$C4181,1),"")</f>
        <v/>
      </c>
      <c r="E4181" s="7"/>
    </row>
    <row r="4182" spans="3:5">
      <c r="C4182" s="17">
        <f t="shared" si="65"/>
        <v>0</v>
      </c>
      <c r="D4182" s="17" t="str">
        <f>IF(C4182=1,COUNTIF($C$1:$C4182,1),"")</f>
        <v/>
      </c>
      <c r="E4182" s="7"/>
    </row>
    <row r="4183" spans="3:5">
      <c r="C4183" s="17">
        <f t="shared" si="65"/>
        <v>0</v>
      </c>
      <c r="D4183" s="17" t="str">
        <f>IF(C4183=1,COUNTIF($C$1:$C4183,1),"")</f>
        <v/>
      </c>
      <c r="E4183" s="7"/>
    </row>
    <row r="4184" spans="3:5">
      <c r="C4184" s="17">
        <f t="shared" si="65"/>
        <v>0</v>
      </c>
      <c r="D4184" s="17" t="str">
        <f>IF(C4184=1,COUNTIF($C$1:$C4184,1),"")</f>
        <v/>
      </c>
      <c r="E4184" s="7"/>
    </row>
    <row r="4185" spans="3:5">
      <c r="C4185" s="17">
        <f t="shared" si="65"/>
        <v>0</v>
      </c>
      <c r="D4185" s="17" t="str">
        <f>IF(C4185=1,COUNTIF($C$1:$C4185,1),"")</f>
        <v/>
      </c>
      <c r="E4185" s="7"/>
    </row>
    <row r="4186" spans="3:5">
      <c r="C4186" s="17">
        <f t="shared" si="65"/>
        <v>0</v>
      </c>
      <c r="D4186" s="17" t="str">
        <f>IF(C4186=1,COUNTIF($C$1:$C4186,1),"")</f>
        <v/>
      </c>
      <c r="E4186" s="7"/>
    </row>
    <row r="4187" spans="3:5">
      <c r="C4187" s="17">
        <f t="shared" si="65"/>
        <v>0</v>
      </c>
      <c r="D4187" s="17" t="str">
        <f>IF(C4187=1,COUNTIF($C$1:$C4187,1),"")</f>
        <v/>
      </c>
      <c r="E4187" s="7"/>
    </row>
    <row r="4188" spans="3:5">
      <c r="C4188" s="17">
        <f t="shared" si="65"/>
        <v>0</v>
      </c>
      <c r="D4188" s="17" t="str">
        <f>IF(C4188=1,COUNTIF($C$1:$C4188,1),"")</f>
        <v/>
      </c>
      <c r="E4188" s="7"/>
    </row>
    <row r="4189" spans="3:5">
      <c r="C4189" s="17">
        <f t="shared" si="65"/>
        <v>0</v>
      </c>
      <c r="D4189" s="17" t="str">
        <f>IF(C4189=1,COUNTIF($C$1:$C4189,1),"")</f>
        <v/>
      </c>
      <c r="E4189" s="7"/>
    </row>
    <row r="4190" spans="3:5">
      <c r="C4190" s="17">
        <f t="shared" si="65"/>
        <v>0</v>
      </c>
      <c r="D4190" s="17" t="str">
        <f>IF(C4190=1,COUNTIF($C$1:$C4190,1),"")</f>
        <v/>
      </c>
      <c r="E4190" s="7"/>
    </row>
    <row r="4191" spans="3:5">
      <c r="C4191" s="17">
        <f t="shared" si="65"/>
        <v>0</v>
      </c>
      <c r="D4191" s="17" t="str">
        <f>IF(C4191=1,COUNTIF($C$1:$C4191,1),"")</f>
        <v/>
      </c>
      <c r="E4191" s="7"/>
    </row>
    <row r="4192" spans="3:5">
      <c r="C4192" s="17">
        <f t="shared" si="65"/>
        <v>0</v>
      </c>
      <c r="D4192" s="17" t="str">
        <f>IF(C4192=1,COUNTIF($C$1:$C4192,1),"")</f>
        <v/>
      </c>
      <c r="E4192" s="7"/>
    </row>
    <row r="4193" spans="3:5">
      <c r="C4193" s="17">
        <f t="shared" si="65"/>
        <v>0</v>
      </c>
      <c r="D4193" s="17" t="str">
        <f>IF(C4193=1,COUNTIF($C$1:$C4193,1),"")</f>
        <v/>
      </c>
      <c r="E4193" s="7"/>
    </row>
    <row r="4194" spans="3:5">
      <c r="C4194" s="17">
        <f t="shared" si="65"/>
        <v>0</v>
      </c>
      <c r="D4194" s="17" t="str">
        <f>IF(C4194=1,COUNTIF($C$1:$C4194,1),"")</f>
        <v/>
      </c>
      <c r="E4194" s="7"/>
    </row>
    <row r="4195" spans="3:5">
      <c r="C4195" s="17">
        <f t="shared" si="65"/>
        <v>0</v>
      </c>
      <c r="D4195" s="17" t="str">
        <f>IF(C4195=1,COUNTIF($C$1:$C4195,1),"")</f>
        <v/>
      </c>
      <c r="E4195" s="7"/>
    </row>
    <row r="4196" spans="3:5">
      <c r="C4196" s="17">
        <f t="shared" si="65"/>
        <v>0</v>
      </c>
      <c r="D4196" s="17" t="str">
        <f>IF(C4196=1,COUNTIF($C$1:$C4196,1),"")</f>
        <v/>
      </c>
      <c r="E4196" s="7"/>
    </row>
    <row r="4197" spans="3:5">
      <c r="C4197" s="17">
        <f t="shared" si="65"/>
        <v>0</v>
      </c>
      <c r="D4197" s="17" t="str">
        <f>IF(C4197=1,COUNTIF($C$1:$C4197,1),"")</f>
        <v/>
      </c>
      <c r="E4197" s="7"/>
    </row>
    <row r="4198" spans="3:5">
      <c r="C4198" s="17">
        <f t="shared" si="65"/>
        <v>0</v>
      </c>
      <c r="D4198" s="17" t="str">
        <f>IF(C4198=1,COUNTIF($C$1:$C4198,1),"")</f>
        <v/>
      </c>
      <c r="E4198" s="7"/>
    </row>
    <row r="4199" spans="3:5">
      <c r="C4199" s="17">
        <f t="shared" si="65"/>
        <v>0</v>
      </c>
      <c r="D4199" s="17" t="str">
        <f>IF(C4199=1,COUNTIF($C$1:$C4199,1),"")</f>
        <v/>
      </c>
      <c r="E4199" s="7"/>
    </row>
    <row r="4200" spans="3:5">
      <c r="C4200" s="17">
        <f t="shared" si="65"/>
        <v>0</v>
      </c>
      <c r="D4200" s="17" t="str">
        <f>IF(C4200=1,COUNTIF($C$1:$C4200,1),"")</f>
        <v/>
      </c>
      <c r="E4200" s="7"/>
    </row>
    <row r="4201" spans="3:5">
      <c r="C4201" s="17">
        <f t="shared" si="65"/>
        <v>0</v>
      </c>
      <c r="D4201" s="17" t="str">
        <f>IF(C4201=1,COUNTIF($C$1:$C4201,1),"")</f>
        <v/>
      </c>
      <c r="E4201" s="7"/>
    </row>
    <row r="4202" spans="3:5">
      <c r="C4202" s="17">
        <f t="shared" si="65"/>
        <v>0</v>
      </c>
      <c r="D4202" s="17" t="str">
        <f>IF(C4202=1,COUNTIF($C$1:$C4202,1),"")</f>
        <v/>
      </c>
      <c r="E4202" s="7"/>
    </row>
    <row r="4203" spans="3:5">
      <c r="C4203" s="17">
        <f t="shared" si="65"/>
        <v>0</v>
      </c>
      <c r="D4203" s="17" t="str">
        <f>IF(C4203=1,COUNTIF($C$1:$C4203,1),"")</f>
        <v/>
      </c>
      <c r="E4203" s="7"/>
    </row>
    <row r="4204" spans="3:5">
      <c r="C4204" s="17">
        <f t="shared" si="65"/>
        <v>0</v>
      </c>
      <c r="D4204" s="17" t="str">
        <f>IF(C4204=1,COUNTIF($C$1:$C4204,1),"")</f>
        <v/>
      </c>
      <c r="E4204" s="7"/>
    </row>
    <row r="4205" spans="3:5">
      <c r="C4205" s="17">
        <f t="shared" si="65"/>
        <v>0</v>
      </c>
      <c r="D4205" s="17" t="str">
        <f>IF(C4205=1,COUNTIF($C$1:$C4205,1),"")</f>
        <v/>
      </c>
      <c r="E4205" s="7"/>
    </row>
    <row r="4206" spans="3:5">
      <c r="C4206" s="17">
        <f t="shared" si="65"/>
        <v>0</v>
      </c>
      <c r="D4206" s="17" t="str">
        <f>IF(C4206=1,COUNTIF($C$1:$C4206,1),"")</f>
        <v/>
      </c>
      <c r="E4206" s="7"/>
    </row>
    <row r="4207" spans="3:5">
      <c r="C4207" s="17">
        <f t="shared" si="65"/>
        <v>0</v>
      </c>
      <c r="D4207" s="17" t="str">
        <f>IF(C4207=1,COUNTIF($C$1:$C4207,1),"")</f>
        <v/>
      </c>
      <c r="E4207" s="7"/>
    </row>
    <row r="4208" spans="3:5">
      <c r="C4208" s="17">
        <f t="shared" si="65"/>
        <v>0</v>
      </c>
      <c r="D4208" s="17" t="str">
        <f>IF(C4208=1,COUNTIF($C$1:$C4208,1),"")</f>
        <v/>
      </c>
      <c r="E4208" s="7"/>
    </row>
    <row r="4209" spans="3:5">
      <c r="C4209" s="17">
        <f t="shared" si="65"/>
        <v>0</v>
      </c>
      <c r="D4209" s="17" t="str">
        <f>IF(C4209=1,COUNTIF($C$1:$C4209,1),"")</f>
        <v/>
      </c>
      <c r="E4209" s="7"/>
    </row>
    <row r="4210" spans="3:5">
      <c r="C4210" s="17">
        <f t="shared" si="65"/>
        <v>0</v>
      </c>
      <c r="D4210" s="17" t="str">
        <f>IF(C4210=1,COUNTIF($C$1:$C4210,1),"")</f>
        <v/>
      </c>
      <c r="E4210" s="7"/>
    </row>
    <row r="4211" spans="3:5">
      <c r="C4211" s="17">
        <f t="shared" si="65"/>
        <v>0</v>
      </c>
      <c r="D4211" s="17" t="str">
        <f>IF(C4211=1,COUNTIF($C$1:$C4211,1),"")</f>
        <v/>
      </c>
      <c r="E4211" s="7"/>
    </row>
    <row r="4212" spans="3:5">
      <c r="C4212" s="17">
        <f t="shared" si="65"/>
        <v>0</v>
      </c>
      <c r="D4212" s="17" t="str">
        <f>IF(C4212=1,COUNTIF($C$1:$C4212,1),"")</f>
        <v/>
      </c>
      <c r="E4212" s="7"/>
    </row>
    <row r="4213" spans="3:5">
      <c r="C4213" s="17">
        <f t="shared" si="65"/>
        <v>0</v>
      </c>
      <c r="D4213" s="17" t="str">
        <f>IF(C4213=1,COUNTIF($C$1:$C4213,1),"")</f>
        <v/>
      </c>
      <c r="E4213" s="7"/>
    </row>
    <row r="4214" spans="3:5">
      <c r="C4214" s="17">
        <f t="shared" si="65"/>
        <v>0</v>
      </c>
      <c r="D4214" s="17" t="str">
        <f>IF(C4214=1,COUNTIF($C$1:$C4214,1),"")</f>
        <v/>
      </c>
      <c r="E4214" s="7"/>
    </row>
    <row r="4215" spans="3:5">
      <c r="C4215" s="17">
        <f t="shared" si="65"/>
        <v>0</v>
      </c>
      <c r="D4215" s="17" t="str">
        <f>IF(C4215=1,COUNTIF($C$1:$C4215,1),"")</f>
        <v/>
      </c>
      <c r="E4215" s="7"/>
    </row>
    <row r="4216" spans="3:5">
      <c r="C4216" s="17">
        <f t="shared" si="65"/>
        <v>0</v>
      </c>
      <c r="D4216" s="17" t="str">
        <f>IF(C4216=1,COUNTIF($C$1:$C4216,1),"")</f>
        <v/>
      </c>
      <c r="E4216" s="7"/>
    </row>
    <row r="4217" spans="3:5">
      <c r="C4217" s="17">
        <f t="shared" si="65"/>
        <v>0</v>
      </c>
      <c r="D4217" s="17" t="str">
        <f>IF(C4217=1,COUNTIF($C$1:$C4217,1),"")</f>
        <v/>
      </c>
      <c r="E4217" s="7"/>
    </row>
    <row r="4218" spans="3:5">
      <c r="C4218" s="17">
        <f t="shared" si="65"/>
        <v>0</v>
      </c>
      <c r="D4218" s="17" t="str">
        <f>IF(C4218=1,COUNTIF($C$1:$C4218,1),"")</f>
        <v/>
      </c>
      <c r="E4218" s="7"/>
    </row>
    <row r="4219" spans="3:5">
      <c r="C4219" s="17">
        <f t="shared" si="65"/>
        <v>0</v>
      </c>
      <c r="D4219" s="17" t="str">
        <f>IF(C4219=1,COUNTIF($C$1:$C4219,1),"")</f>
        <v/>
      </c>
      <c r="E4219" s="7"/>
    </row>
    <row r="4220" spans="3:5">
      <c r="C4220" s="17">
        <f t="shared" si="65"/>
        <v>0</v>
      </c>
      <c r="D4220" s="17" t="str">
        <f>IF(C4220=1,COUNTIF($C$1:$C4220,1),"")</f>
        <v/>
      </c>
      <c r="E4220" s="7"/>
    </row>
    <row r="4221" spans="3:5">
      <c r="C4221" s="17">
        <f t="shared" si="65"/>
        <v>0</v>
      </c>
      <c r="D4221" s="17" t="str">
        <f>IF(C4221=1,COUNTIF($C$1:$C4221,1),"")</f>
        <v/>
      </c>
      <c r="E4221" s="7"/>
    </row>
    <row r="4222" spans="3:5">
      <c r="C4222" s="17">
        <f t="shared" si="65"/>
        <v>0</v>
      </c>
      <c r="D4222" s="17" t="str">
        <f>IF(C4222=1,COUNTIF($C$1:$C4222,1),"")</f>
        <v/>
      </c>
      <c r="E4222" s="7"/>
    </row>
    <row r="4223" spans="3:5">
      <c r="C4223" s="17">
        <f t="shared" si="65"/>
        <v>0</v>
      </c>
      <c r="D4223" s="17" t="str">
        <f>IF(C4223=1,COUNTIF($C$1:$C4223,1),"")</f>
        <v/>
      </c>
      <c r="E4223" s="7"/>
    </row>
    <row r="4224" spans="3:5">
      <c r="C4224" s="17">
        <f t="shared" si="65"/>
        <v>0</v>
      </c>
      <c r="D4224" s="17" t="str">
        <f>IF(C4224=1,COUNTIF($C$1:$C4224,1),"")</f>
        <v/>
      </c>
      <c r="E4224" s="7"/>
    </row>
    <row r="4225" spans="3:5">
      <c r="C4225" s="17">
        <f t="shared" si="65"/>
        <v>0</v>
      </c>
      <c r="D4225" s="17" t="str">
        <f>IF(C4225=1,COUNTIF($C$1:$C4225,1),"")</f>
        <v/>
      </c>
      <c r="E4225" s="7"/>
    </row>
    <row r="4226" spans="3:5">
      <c r="C4226" s="17">
        <f t="shared" ref="C4226:C4289" si="66">--ISNUMBER(SEARCH($B$1,A4226))</f>
        <v>0</v>
      </c>
      <c r="D4226" s="17" t="str">
        <f>IF(C4226=1,COUNTIF($C$1:$C4226,1),"")</f>
        <v/>
      </c>
      <c r="E4226" s="7"/>
    </row>
    <row r="4227" spans="3:5">
      <c r="C4227" s="17">
        <f t="shared" si="66"/>
        <v>0</v>
      </c>
      <c r="D4227" s="17" t="str">
        <f>IF(C4227=1,COUNTIF($C$1:$C4227,1),"")</f>
        <v/>
      </c>
      <c r="E4227" s="7"/>
    </row>
    <row r="4228" spans="3:5">
      <c r="C4228" s="17">
        <f t="shared" si="66"/>
        <v>0</v>
      </c>
      <c r="D4228" s="17" t="str">
        <f>IF(C4228=1,COUNTIF($C$1:$C4228,1),"")</f>
        <v/>
      </c>
      <c r="E4228" s="7"/>
    </row>
    <row r="4229" spans="3:5">
      <c r="C4229" s="17">
        <f t="shared" si="66"/>
        <v>0</v>
      </c>
      <c r="D4229" s="17" t="str">
        <f>IF(C4229=1,COUNTIF($C$1:$C4229,1),"")</f>
        <v/>
      </c>
      <c r="E4229" s="7"/>
    </row>
    <row r="4230" spans="3:5">
      <c r="C4230" s="17">
        <f t="shared" si="66"/>
        <v>0</v>
      </c>
      <c r="D4230" s="17" t="str">
        <f>IF(C4230=1,COUNTIF($C$1:$C4230,1),"")</f>
        <v/>
      </c>
      <c r="E4230" s="7"/>
    </row>
    <row r="4231" spans="3:5">
      <c r="C4231" s="17">
        <f t="shared" si="66"/>
        <v>0</v>
      </c>
      <c r="D4231" s="17" t="str">
        <f>IF(C4231=1,COUNTIF($C$1:$C4231,1),"")</f>
        <v/>
      </c>
      <c r="E4231" s="7"/>
    </row>
    <row r="4232" spans="3:5">
      <c r="C4232" s="17">
        <f t="shared" si="66"/>
        <v>0</v>
      </c>
      <c r="D4232" s="17" t="str">
        <f>IF(C4232=1,COUNTIF($C$1:$C4232,1),"")</f>
        <v/>
      </c>
      <c r="E4232" s="7"/>
    </row>
    <row r="4233" spans="3:5">
      <c r="C4233" s="17">
        <f t="shared" si="66"/>
        <v>0</v>
      </c>
      <c r="D4233" s="17" t="str">
        <f>IF(C4233=1,COUNTIF($C$1:$C4233,1),"")</f>
        <v/>
      </c>
      <c r="E4233" s="7"/>
    </row>
    <row r="4234" spans="3:5">
      <c r="C4234" s="17">
        <f t="shared" si="66"/>
        <v>0</v>
      </c>
      <c r="D4234" s="17" t="str">
        <f>IF(C4234=1,COUNTIF($C$1:$C4234,1),"")</f>
        <v/>
      </c>
      <c r="E4234" s="7"/>
    </row>
    <row r="4235" spans="3:5">
      <c r="C4235" s="17">
        <f t="shared" si="66"/>
        <v>0</v>
      </c>
      <c r="D4235" s="17" t="str">
        <f>IF(C4235=1,COUNTIF($C$1:$C4235,1),"")</f>
        <v/>
      </c>
      <c r="E4235" s="7"/>
    </row>
    <row r="4236" spans="3:5">
      <c r="C4236" s="17">
        <f t="shared" si="66"/>
        <v>0</v>
      </c>
      <c r="D4236" s="17" t="str">
        <f>IF(C4236=1,COUNTIF($C$1:$C4236,1),"")</f>
        <v/>
      </c>
      <c r="E4236" s="7"/>
    </row>
    <row r="4237" spans="3:5">
      <c r="C4237" s="17">
        <f t="shared" si="66"/>
        <v>0</v>
      </c>
      <c r="D4237" s="17" t="str">
        <f>IF(C4237=1,COUNTIF($C$1:$C4237,1),"")</f>
        <v/>
      </c>
      <c r="E4237" s="7"/>
    </row>
    <row r="4238" spans="3:5">
      <c r="C4238" s="17">
        <f t="shared" si="66"/>
        <v>0</v>
      </c>
      <c r="D4238" s="17" t="str">
        <f>IF(C4238=1,COUNTIF($C$1:$C4238,1),"")</f>
        <v/>
      </c>
      <c r="E4238" s="7"/>
    </row>
    <row r="4239" spans="3:5">
      <c r="C4239" s="17">
        <f t="shared" si="66"/>
        <v>0</v>
      </c>
      <c r="D4239" s="17" t="str">
        <f>IF(C4239=1,COUNTIF($C$1:$C4239,1),"")</f>
        <v/>
      </c>
      <c r="E4239" s="7"/>
    </row>
    <row r="4240" spans="3:5">
      <c r="C4240" s="17">
        <f t="shared" si="66"/>
        <v>0</v>
      </c>
      <c r="D4240" s="17" t="str">
        <f>IF(C4240=1,COUNTIF($C$1:$C4240,1),"")</f>
        <v/>
      </c>
      <c r="E4240" s="7"/>
    </row>
    <row r="4241" spans="3:5">
      <c r="C4241" s="17">
        <f t="shared" si="66"/>
        <v>0</v>
      </c>
      <c r="D4241" s="17" t="str">
        <f>IF(C4241=1,COUNTIF($C$1:$C4241,1),"")</f>
        <v/>
      </c>
      <c r="E4241" s="7"/>
    </row>
    <row r="4242" spans="3:5">
      <c r="C4242" s="17">
        <f t="shared" si="66"/>
        <v>0</v>
      </c>
      <c r="D4242" s="17" t="str">
        <f>IF(C4242=1,COUNTIF($C$1:$C4242,1),"")</f>
        <v/>
      </c>
      <c r="E4242" s="7"/>
    </row>
    <row r="4243" spans="3:5">
      <c r="C4243" s="17">
        <f t="shared" si="66"/>
        <v>0</v>
      </c>
      <c r="D4243" s="17" t="str">
        <f>IF(C4243=1,COUNTIF($C$1:$C4243,1),"")</f>
        <v/>
      </c>
      <c r="E4243" s="7"/>
    </row>
    <row r="4244" spans="3:5">
      <c r="C4244" s="17">
        <f t="shared" si="66"/>
        <v>0</v>
      </c>
      <c r="D4244" s="17" t="str">
        <f>IF(C4244=1,COUNTIF($C$1:$C4244,1),"")</f>
        <v/>
      </c>
      <c r="E4244" s="7"/>
    </row>
    <row r="4245" spans="3:5">
      <c r="C4245" s="17">
        <f t="shared" si="66"/>
        <v>0</v>
      </c>
      <c r="D4245" s="17" t="str">
        <f>IF(C4245=1,COUNTIF($C$1:$C4245,1),"")</f>
        <v/>
      </c>
      <c r="E4245" s="7"/>
    </row>
    <row r="4246" spans="3:5">
      <c r="C4246" s="17">
        <f t="shared" si="66"/>
        <v>0</v>
      </c>
      <c r="D4246" s="17" t="str">
        <f>IF(C4246=1,COUNTIF($C$1:$C4246,1),"")</f>
        <v/>
      </c>
      <c r="E4246" s="7"/>
    </row>
    <row r="4247" spans="3:5">
      <c r="C4247" s="17">
        <f t="shared" si="66"/>
        <v>0</v>
      </c>
      <c r="D4247" s="17" t="str">
        <f>IF(C4247=1,COUNTIF($C$1:$C4247,1),"")</f>
        <v/>
      </c>
      <c r="E4247" s="7"/>
    </row>
    <row r="4248" spans="3:5">
      <c r="C4248" s="17">
        <f t="shared" si="66"/>
        <v>0</v>
      </c>
      <c r="D4248" s="17" t="str">
        <f>IF(C4248=1,COUNTIF($C$1:$C4248,1),"")</f>
        <v/>
      </c>
      <c r="E4248" s="7"/>
    </row>
    <row r="4249" spans="3:5">
      <c r="C4249" s="17">
        <f t="shared" si="66"/>
        <v>0</v>
      </c>
      <c r="D4249" s="17" t="str">
        <f>IF(C4249=1,COUNTIF($C$1:$C4249,1),"")</f>
        <v/>
      </c>
      <c r="E4249" s="7"/>
    </row>
    <row r="4250" spans="3:5">
      <c r="C4250" s="17">
        <f t="shared" si="66"/>
        <v>0</v>
      </c>
      <c r="D4250" s="17" t="str">
        <f>IF(C4250=1,COUNTIF($C$1:$C4250,1),"")</f>
        <v/>
      </c>
      <c r="E4250" s="7"/>
    </row>
    <row r="4251" spans="3:5">
      <c r="C4251" s="17">
        <f t="shared" si="66"/>
        <v>0</v>
      </c>
      <c r="D4251" s="17" t="str">
        <f>IF(C4251=1,COUNTIF($C$1:$C4251,1),"")</f>
        <v/>
      </c>
      <c r="E4251" s="7"/>
    </row>
    <row r="4252" spans="3:5">
      <c r="C4252" s="17">
        <f t="shared" si="66"/>
        <v>0</v>
      </c>
      <c r="D4252" s="17" t="str">
        <f>IF(C4252=1,COUNTIF($C$1:$C4252,1),"")</f>
        <v/>
      </c>
      <c r="E4252" s="7"/>
    </row>
    <row r="4253" spans="3:5">
      <c r="C4253" s="17">
        <f t="shared" si="66"/>
        <v>0</v>
      </c>
      <c r="D4253" s="17" t="str">
        <f>IF(C4253=1,COUNTIF($C$1:$C4253,1),"")</f>
        <v/>
      </c>
      <c r="E4253" s="7"/>
    </row>
    <row r="4254" spans="3:5">
      <c r="C4254" s="17">
        <f t="shared" si="66"/>
        <v>0</v>
      </c>
      <c r="D4254" s="17" t="str">
        <f>IF(C4254=1,COUNTIF($C$1:$C4254,1),"")</f>
        <v/>
      </c>
      <c r="E4254" s="7"/>
    </row>
    <row r="4255" spans="3:5">
      <c r="C4255" s="17">
        <f t="shared" si="66"/>
        <v>0</v>
      </c>
      <c r="D4255" s="17" t="str">
        <f>IF(C4255=1,COUNTIF($C$1:$C4255,1),"")</f>
        <v/>
      </c>
      <c r="E4255" s="7"/>
    </row>
    <row r="4256" spans="3:5">
      <c r="C4256" s="17">
        <f t="shared" si="66"/>
        <v>0</v>
      </c>
      <c r="D4256" s="17" t="str">
        <f>IF(C4256=1,COUNTIF($C$1:$C4256,1),"")</f>
        <v/>
      </c>
      <c r="E4256" s="7"/>
    </row>
    <row r="4257" spans="3:5">
      <c r="C4257" s="17">
        <f t="shared" si="66"/>
        <v>0</v>
      </c>
      <c r="D4257" s="17" t="str">
        <f>IF(C4257=1,COUNTIF($C$1:$C4257,1),"")</f>
        <v/>
      </c>
      <c r="E4257" s="7"/>
    </row>
    <row r="4258" spans="3:5">
      <c r="C4258" s="17">
        <f t="shared" si="66"/>
        <v>0</v>
      </c>
      <c r="D4258" s="17" t="str">
        <f>IF(C4258=1,COUNTIF($C$1:$C4258,1),"")</f>
        <v/>
      </c>
      <c r="E4258" s="7"/>
    </row>
    <row r="4259" spans="3:5">
      <c r="C4259" s="17">
        <f t="shared" si="66"/>
        <v>0</v>
      </c>
      <c r="D4259" s="17" t="str">
        <f>IF(C4259=1,COUNTIF($C$1:$C4259,1),"")</f>
        <v/>
      </c>
      <c r="E4259" s="7"/>
    </row>
    <row r="4260" spans="3:5">
      <c r="C4260" s="17">
        <f t="shared" si="66"/>
        <v>0</v>
      </c>
      <c r="D4260" s="17" t="str">
        <f>IF(C4260=1,COUNTIF($C$1:$C4260,1),"")</f>
        <v/>
      </c>
      <c r="E4260" s="7"/>
    </row>
    <row r="4261" spans="3:5">
      <c r="C4261" s="17">
        <f t="shared" si="66"/>
        <v>0</v>
      </c>
      <c r="D4261" s="17" t="str">
        <f>IF(C4261=1,COUNTIF($C$1:$C4261,1),"")</f>
        <v/>
      </c>
      <c r="E4261" s="7"/>
    </row>
    <row r="4262" spans="3:5">
      <c r="C4262" s="17">
        <f t="shared" si="66"/>
        <v>0</v>
      </c>
      <c r="D4262" s="17" t="str">
        <f>IF(C4262=1,COUNTIF($C$1:$C4262,1),"")</f>
        <v/>
      </c>
      <c r="E4262" s="7"/>
    </row>
    <row r="4263" spans="3:5">
      <c r="C4263" s="17">
        <f t="shared" si="66"/>
        <v>0</v>
      </c>
      <c r="D4263" s="17" t="str">
        <f>IF(C4263=1,COUNTIF($C$1:$C4263,1),"")</f>
        <v/>
      </c>
      <c r="E4263" s="7"/>
    </row>
    <row r="4264" spans="3:5">
      <c r="C4264" s="17">
        <f t="shared" si="66"/>
        <v>0</v>
      </c>
      <c r="D4264" s="17" t="str">
        <f>IF(C4264=1,COUNTIF($C$1:$C4264,1),"")</f>
        <v/>
      </c>
      <c r="E4264" s="7"/>
    </row>
    <row r="4265" spans="3:5">
      <c r="C4265" s="17">
        <f t="shared" si="66"/>
        <v>0</v>
      </c>
      <c r="D4265" s="17" t="str">
        <f>IF(C4265=1,COUNTIF($C$1:$C4265,1),"")</f>
        <v/>
      </c>
      <c r="E4265" s="7"/>
    </row>
    <row r="4266" spans="3:5">
      <c r="C4266" s="17">
        <f t="shared" si="66"/>
        <v>0</v>
      </c>
      <c r="D4266" s="17" t="str">
        <f>IF(C4266=1,COUNTIF($C$1:$C4266,1),"")</f>
        <v/>
      </c>
      <c r="E4266" s="7"/>
    </row>
    <row r="4267" spans="3:5">
      <c r="C4267" s="17">
        <f t="shared" si="66"/>
        <v>0</v>
      </c>
      <c r="D4267" s="17" t="str">
        <f>IF(C4267=1,COUNTIF($C$1:$C4267,1),"")</f>
        <v/>
      </c>
      <c r="E4267" s="7"/>
    </row>
    <row r="4268" spans="3:5">
      <c r="C4268" s="17">
        <f t="shared" si="66"/>
        <v>0</v>
      </c>
      <c r="D4268" s="17" t="str">
        <f>IF(C4268=1,COUNTIF($C$1:$C4268,1),"")</f>
        <v/>
      </c>
      <c r="E4268" s="7"/>
    </row>
    <row r="4269" spans="3:5">
      <c r="C4269" s="17">
        <f t="shared" si="66"/>
        <v>0</v>
      </c>
      <c r="D4269" s="17" t="str">
        <f>IF(C4269=1,COUNTIF($C$1:$C4269,1),"")</f>
        <v/>
      </c>
      <c r="E4269" s="7"/>
    </row>
    <row r="4270" spans="3:5">
      <c r="C4270" s="17">
        <f t="shared" si="66"/>
        <v>0</v>
      </c>
      <c r="D4270" s="17" t="str">
        <f>IF(C4270=1,COUNTIF($C$1:$C4270,1),"")</f>
        <v/>
      </c>
      <c r="E4270" s="7"/>
    </row>
    <row r="4271" spans="3:5">
      <c r="C4271" s="17">
        <f t="shared" si="66"/>
        <v>0</v>
      </c>
      <c r="D4271" s="17" t="str">
        <f>IF(C4271=1,COUNTIF($C$1:$C4271,1),"")</f>
        <v/>
      </c>
      <c r="E4271" s="7"/>
    </row>
    <row r="4272" spans="3:5">
      <c r="C4272" s="17">
        <f t="shared" si="66"/>
        <v>0</v>
      </c>
      <c r="D4272" s="17" t="str">
        <f>IF(C4272=1,COUNTIF($C$1:$C4272,1),"")</f>
        <v/>
      </c>
      <c r="E4272" s="7"/>
    </row>
    <row r="4273" spans="3:5">
      <c r="C4273" s="17">
        <f t="shared" si="66"/>
        <v>0</v>
      </c>
      <c r="D4273" s="17" t="str">
        <f>IF(C4273=1,COUNTIF($C$1:$C4273,1),"")</f>
        <v/>
      </c>
      <c r="E4273" s="7"/>
    </row>
    <row r="4274" spans="3:5">
      <c r="C4274" s="17">
        <f t="shared" si="66"/>
        <v>0</v>
      </c>
      <c r="D4274" s="17" t="str">
        <f>IF(C4274=1,COUNTIF($C$1:$C4274,1),"")</f>
        <v/>
      </c>
      <c r="E4274" s="7"/>
    </row>
    <row r="4275" spans="3:5">
      <c r="C4275" s="17">
        <f t="shared" si="66"/>
        <v>0</v>
      </c>
      <c r="D4275" s="17" t="str">
        <f>IF(C4275=1,COUNTIF($C$1:$C4275,1),"")</f>
        <v/>
      </c>
      <c r="E4275" s="7"/>
    </row>
    <row r="4276" spans="3:5">
      <c r="C4276" s="17">
        <f t="shared" si="66"/>
        <v>0</v>
      </c>
      <c r="D4276" s="17" t="str">
        <f>IF(C4276=1,COUNTIF($C$1:$C4276,1),"")</f>
        <v/>
      </c>
      <c r="E4276" s="7"/>
    </row>
    <row r="4277" spans="3:5">
      <c r="C4277" s="17">
        <f t="shared" si="66"/>
        <v>0</v>
      </c>
      <c r="D4277" s="17" t="str">
        <f>IF(C4277=1,COUNTIF($C$1:$C4277,1),"")</f>
        <v/>
      </c>
      <c r="E4277" s="7"/>
    </row>
    <row r="4278" spans="3:5">
      <c r="C4278" s="17">
        <f t="shared" si="66"/>
        <v>0</v>
      </c>
      <c r="D4278" s="17" t="str">
        <f>IF(C4278=1,COUNTIF($C$1:$C4278,1),"")</f>
        <v/>
      </c>
      <c r="E4278" s="7"/>
    </row>
    <row r="4279" spans="3:5">
      <c r="C4279" s="17">
        <f t="shared" si="66"/>
        <v>0</v>
      </c>
      <c r="D4279" s="17" t="str">
        <f>IF(C4279=1,COUNTIF($C$1:$C4279,1),"")</f>
        <v/>
      </c>
      <c r="E4279" s="7"/>
    </row>
    <row r="4280" spans="3:5">
      <c r="C4280" s="17">
        <f t="shared" si="66"/>
        <v>0</v>
      </c>
      <c r="D4280" s="17" t="str">
        <f>IF(C4280=1,COUNTIF($C$1:$C4280,1),"")</f>
        <v/>
      </c>
      <c r="E4280" s="7"/>
    </row>
    <row r="4281" spans="3:5">
      <c r="C4281" s="17">
        <f t="shared" si="66"/>
        <v>0</v>
      </c>
      <c r="D4281" s="17" t="str">
        <f>IF(C4281=1,COUNTIF($C$1:$C4281,1),"")</f>
        <v/>
      </c>
      <c r="E4281" s="7"/>
    </row>
    <row r="4282" spans="3:5">
      <c r="C4282" s="17">
        <f t="shared" si="66"/>
        <v>0</v>
      </c>
      <c r="D4282" s="17" t="str">
        <f>IF(C4282=1,COUNTIF($C$1:$C4282,1),"")</f>
        <v/>
      </c>
      <c r="E4282" s="7"/>
    </row>
    <row r="4283" spans="3:5">
      <c r="C4283" s="17">
        <f t="shared" si="66"/>
        <v>0</v>
      </c>
      <c r="D4283" s="17" t="str">
        <f>IF(C4283=1,COUNTIF($C$1:$C4283,1),"")</f>
        <v/>
      </c>
      <c r="E4283" s="7"/>
    </row>
    <row r="4284" spans="3:5">
      <c r="C4284" s="17">
        <f t="shared" si="66"/>
        <v>0</v>
      </c>
      <c r="D4284" s="17" t="str">
        <f>IF(C4284=1,COUNTIF($C$1:$C4284,1),"")</f>
        <v/>
      </c>
      <c r="E4284" s="7"/>
    </row>
    <row r="4285" spans="3:5">
      <c r="C4285" s="17">
        <f t="shared" si="66"/>
        <v>0</v>
      </c>
      <c r="D4285" s="17" t="str">
        <f>IF(C4285=1,COUNTIF($C$1:$C4285,1),"")</f>
        <v/>
      </c>
      <c r="E4285" s="7"/>
    </row>
    <row r="4286" spans="3:5">
      <c r="C4286" s="17">
        <f t="shared" si="66"/>
        <v>0</v>
      </c>
      <c r="D4286" s="17" t="str">
        <f>IF(C4286=1,COUNTIF($C$1:$C4286,1),"")</f>
        <v/>
      </c>
      <c r="E4286" s="7"/>
    </row>
    <row r="4287" spans="3:5">
      <c r="C4287" s="17">
        <f t="shared" si="66"/>
        <v>0</v>
      </c>
      <c r="D4287" s="17" t="str">
        <f>IF(C4287=1,COUNTIF($C$1:$C4287,1),"")</f>
        <v/>
      </c>
      <c r="E4287" s="7"/>
    </row>
    <row r="4288" spans="3:5">
      <c r="C4288" s="17">
        <f t="shared" si="66"/>
        <v>0</v>
      </c>
      <c r="D4288" s="17" t="str">
        <f>IF(C4288=1,COUNTIF($C$1:$C4288,1),"")</f>
        <v/>
      </c>
      <c r="E4288" s="7"/>
    </row>
    <row r="4289" spans="3:5">
      <c r="C4289" s="17">
        <f t="shared" si="66"/>
        <v>0</v>
      </c>
      <c r="D4289" s="17" t="str">
        <f>IF(C4289=1,COUNTIF($C$1:$C4289,1),"")</f>
        <v/>
      </c>
      <c r="E4289" s="7"/>
    </row>
    <row r="4290" spans="3:5">
      <c r="C4290" s="17">
        <f t="shared" ref="C4290:C4353" si="67">--ISNUMBER(SEARCH($B$1,A4290))</f>
        <v>0</v>
      </c>
      <c r="D4290" s="17" t="str">
        <f>IF(C4290=1,COUNTIF($C$1:$C4290,1),"")</f>
        <v/>
      </c>
      <c r="E4290" s="7"/>
    </row>
    <row r="4291" spans="3:5">
      <c r="C4291" s="17">
        <f t="shared" si="67"/>
        <v>0</v>
      </c>
      <c r="D4291" s="17" t="str">
        <f>IF(C4291=1,COUNTIF($C$1:$C4291,1),"")</f>
        <v/>
      </c>
      <c r="E4291" s="7"/>
    </row>
    <row r="4292" spans="3:5">
      <c r="C4292" s="17">
        <f t="shared" si="67"/>
        <v>0</v>
      </c>
      <c r="D4292" s="17" t="str">
        <f>IF(C4292=1,COUNTIF($C$1:$C4292,1),"")</f>
        <v/>
      </c>
      <c r="E4292" s="7"/>
    </row>
    <row r="4293" spans="3:5">
      <c r="C4293" s="17">
        <f t="shared" si="67"/>
        <v>0</v>
      </c>
      <c r="D4293" s="17" t="str">
        <f>IF(C4293=1,COUNTIF($C$1:$C4293,1),"")</f>
        <v/>
      </c>
      <c r="E4293" s="7"/>
    </row>
    <row r="4294" spans="3:5">
      <c r="C4294" s="17">
        <f t="shared" si="67"/>
        <v>0</v>
      </c>
      <c r="D4294" s="17" t="str">
        <f>IF(C4294=1,COUNTIF($C$1:$C4294,1),"")</f>
        <v/>
      </c>
      <c r="E4294" s="7"/>
    </row>
    <row r="4295" spans="3:5">
      <c r="C4295" s="17">
        <f t="shared" si="67"/>
        <v>0</v>
      </c>
      <c r="D4295" s="17" t="str">
        <f>IF(C4295=1,COUNTIF($C$1:$C4295,1),"")</f>
        <v/>
      </c>
      <c r="E4295" s="7"/>
    </row>
    <row r="4296" spans="3:5">
      <c r="C4296" s="17">
        <f t="shared" si="67"/>
        <v>0</v>
      </c>
      <c r="D4296" s="17" t="str">
        <f>IF(C4296=1,COUNTIF($C$1:$C4296,1),"")</f>
        <v/>
      </c>
      <c r="E4296" s="7"/>
    </row>
    <row r="4297" spans="3:5">
      <c r="C4297" s="17">
        <f t="shared" si="67"/>
        <v>0</v>
      </c>
      <c r="D4297" s="17" t="str">
        <f>IF(C4297=1,COUNTIF($C$1:$C4297,1),"")</f>
        <v/>
      </c>
      <c r="E4297" s="7"/>
    </row>
    <row r="4298" spans="3:5">
      <c r="C4298" s="17">
        <f t="shared" si="67"/>
        <v>0</v>
      </c>
      <c r="D4298" s="17" t="str">
        <f>IF(C4298=1,COUNTIF($C$1:$C4298,1),"")</f>
        <v/>
      </c>
      <c r="E4298" s="7"/>
    </row>
    <row r="4299" spans="3:5">
      <c r="C4299" s="17">
        <f t="shared" si="67"/>
        <v>0</v>
      </c>
      <c r="D4299" s="17" t="str">
        <f>IF(C4299=1,COUNTIF($C$1:$C4299,1),"")</f>
        <v/>
      </c>
      <c r="E4299" s="7"/>
    </row>
    <row r="4300" spans="3:5">
      <c r="C4300" s="17">
        <f t="shared" si="67"/>
        <v>0</v>
      </c>
      <c r="D4300" s="17" t="str">
        <f>IF(C4300=1,COUNTIF($C$1:$C4300,1),"")</f>
        <v/>
      </c>
      <c r="E4300" s="7"/>
    </row>
    <row r="4301" spans="3:5">
      <c r="C4301" s="17">
        <f t="shared" si="67"/>
        <v>0</v>
      </c>
      <c r="D4301" s="17" t="str">
        <f>IF(C4301=1,COUNTIF($C$1:$C4301,1),"")</f>
        <v/>
      </c>
      <c r="E4301" s="7"/>
    </row>
    <row r="4302" spans="3:5">
      <c r="C4302" s="17">
        <f t="shared" si="67"/>
        <v>0</v>
      </c>
      <c r="D4302" s="17" t="str">
        <f>IF(C4302=1,COUNTIF($C$1:$C4302,1),"")</f>
        <v/>
      </c>
      <c r="E4302" s="7"/>
    </row>
    <row r="4303" spans="3:5">
      <c r="C4303" s="17">
        <f t="shared" si="67"/>
        <v>0</v>
      </c>
      <c r="D4303" s="17" t="str">
        <f>IF(C4303=1,COUNTIF($C$1:$C4303,1),"")</f>
        <v/>
      </c>
      <c r="E4303" s="7"/>
    </row>
    <row r="4304" spans="3:5">
      <c r="C4304" s="17">
        <f t="shared" si="67"/>
        <v>0</v>
      </c>
      <c r="D4304" s="17" t="str">
        <f>IF(C4304=1,COUNTIF($C$1:$C4304,1),"")</f>
        <v/>
      </c>
      <c r="E4304" s="7"/>
    </row>
    <row r="4305" spans="3:5">
      <c r="C4305" s="17">
        <f t="shared" si="67"/>
        <v>0</v>
      </c>
      <c r="D4305" s="17" t="str">
        <f>IF(C4305=1,COUNTIF($C$1:$C4305,1),"")</f>
        <v/>
      </c>
      <c r="E4305" s="7"/>
    </row>
    <row r="4306" spans="3:5">
      <c r="C4306" s="17">
        <f t="shared" si="67"/>
        <v>0</v>
      </c>
      <c r="D4306" s="17" t="str">
        <f>IF(C4306=1,COUNTIF($C$1:$C4306,1),"")</f>
        <v/>
      </c>
      <c r="E4306" s="7"/>
    </row>
    <row r="4307" spans="3:5">
      <c r="C4307" s="17">
        <f t="shared" si="67"/>
        <v>0</v>
      </c>
      <c r="D4307" s="17" t="str">
        <f>IF(C4307=1,COUNTIF($C$1:$C4307,1),"")</f>
        <v/>
      </c>
      <c r="E4307" s="7"/>
    </row>
    <row r="4308" spans="3:5">
      <c r="C4308" s="17">
        <f t="shared" si="67"/>
        <v>0</v>
      </c>
      <c r="D4308" s="17" t="str">
        <f>IF(C4308=1,COUNTIF($C$1:$C4308,1),"")</f>
        <v/>
      </c>
      <c r="E4308" s="7"/>
    </row>
    <row r="4309" spans="3:5">
      <c r="C4309" s="17">
        <f t="shared" si="67"/>
        <v>0</v>
      </c>
      <c r="D4309" s="17" t="str">
        <f>IF(C4309=1,COUNTIF($C$1:$C4309,1),"")</f>
        <v/>
      </c>
      <c r="E4309" s="7"/>
    </row>
    <row r="4310" spans="3:5">
      <c r="C4310" s="17">
        <f t="shared" si="67"/>
        <v>0</v>
      </c>
      <c r="D4310" s="17" t="str">
        <f>IF(C4310=1,COUNTIF($C$1:$C4310,1),"")</f>
        <v/>
      </c>
      <c r="E4310" s="7"/>
    </row>
    <row r="4311" spans="3:5">
      <c r="C4311" s="17">
        <f t="shared" si="67"/>
        <v>0</v>
      </c>
      <c r="D4311" s="17" t="str">
        <f>IF(C4311=1,COUNTIF($C$1:$C4311,1),"")</f>
        <v/>
      </c>
      <c r="E4311" s="7"/>
    </row>
    <row r="4312" spans="3:5">
      <c r="C4312" s="17">
        <f t="shared" si="67"/>
        <v>0</v>
      </c>
      <c r="D4312" s="17" t="str">
        <f>IF(C4312=1,COUNTIF($C$1:$C4312,1),"")</f>
        <v/>
      </c>
      <c r="E4312" s="7"/>
    </row>
    <row r="4313" spans="3:5">
      <c r="C4313" s="17">
        <f t="shared" si="67"/>
        <v>0</v>
      </c>
      <c r="D4313" s="17" t="str">
        <f>IF(C4313=1,COUNTIF($C$1:$C4313,1),"")</f>
        <v/>
      </c>
      <c r="E4313" s="7"/>
    </row>
    <row r="4314" spans="3:5">
      <c r="C4314" s="17">
        <f t="shared" si="67"/>
        <v>0</v>
      </c>
      <c r="D4314" s="17" t="str">
        <f>IF(C4314=1,COUNTIF($C$1:$C4314,1),"")</f>
        <v/>
      </c>
      <c r="E4314" s="7"/>
    </row>
    <row r="4315" spans="3:5">
      <c r="C4315" s="17">
        <f t="shared" si="67"/>
        <v>0</v>
      </c>
      <c r="D4315" s="17" t="str">
        <f>IF(C4315=1,COUNTIF($C$1:$C4315,1),"")</f>
        <v/>
      </c>
      <c r="E4315" s="7"/>
    </row>
    <row r="4316" spans="3:5">
      <c r="C4316" s="17">
        <f t="shared" si="67"/>
        <v>0</v>
      </c>
      <c r="D4316" s="17" t="str">
        <f>IF(C4316=1,COUNTIF($C$1:$C4316,1),"")</f>
        <v/>
      </c>
      <c r="E4316" s="7"/>
    </row>
    <row r="4317" spans="3:5">
      <c r="C4317" s="17">
        <f t="shared" si="67"/>
        <v>0</v>
      </c>
      <c r="D4317" s="17" t="str">
        <f>IF(C4317=1,COUNTIF($C$1:$C4317,1),"")</f>
        <v/>
      </c>
      <c r="E4317" s="7"/>
    </row>
    <row r="4318" spans="3:5">
      <c r="C4318" s="17">
        <f t="shared" si="67"/>
        <v>0</v>
      </c>
      <c r="D4318" s="17" t="str">
        <f>IF(C4318=1,COUNTIF($C$1:$C4318,1),"")</f>
        <v/>
      </c>
      <c r="E4318" s="7"/>
    </row>
    <row r="4319" spans="3:5">
      <c r="C4319" s="17">
        <f t="shared" si="67"/>
        <v>0</v>
      </c>
      <c r="D4319" s="17" t="str">
        <f>IF(C4319=1,COUNTIF($C$1:$C4319,1),"")</f>
        <v/>
      </c>
      <c r="E4319" s="7"/>
    </row>
    <row r="4320" spans="3:5">
      <c r="C4320" s="17">
        <f t="shared" si="67"/>
        <v>0</v>
      </c>
      <c r="D4320" s="17" t="str">
        <f>IF(C4320=1,COUNTIF($C$1:$C4320,1),"")</f>
        <v/>
      </c>
      <c r="E4320" s="7"/>
    </row>
    <row r="4321" spans="3:5">
      <c r="C4321" s="17">
        <f t="shared" si="67"/>
        <v>0</v>
      </c>
      <c r="D4321" s="17" t="str">
        <f>IF(C4321=1,COUNTIF($C$1:$C4321,1),"")</f>
        <v/>
      </c>
      <c r="E4321" s="7"/>
    </row>
    <row r="4322" spans="3:5">
      <c r="C4322" s="17">
        <f t="shared" si="67"/>
        <v>0</v>
      </c>
      <c r="D4322" s="17" t="str">
        <f>IF(C4322=1,COUNTIF($C$1:$C4322,1),"")</f>
        <v/>
      </c>
      <c r="E4322" s="7"/>
    </row>
    <row r="4323" spans="3:5">
      <c r="C4323" s="17">
        <f t="shared" si="67"/>
        <v>0</v>
      </c>
      <c r="D4323" s="17" t="str">
        <f>IF(C4323=1,COUNTIF($C$1:$C4323,1),"")</f>
        <v/>
      </c>
      <c r="E4323" s="7"/>
    </row>
    <row r="4324" spans="3:5">
      <c r="C4324" s="17">
        <f t="shared" si="67"/>
        <v>0</v>
      </c>
      <c r="D4324" s="17" t="str">
        <f>IF(C4324=1,COUNTIF($C$1:$C4324,1),"")</f>
        <v/>
      </c>
      <c r="E4324" s="7"/>
    </row>
    <row r="4325" spans="3:5">
      <c r="C4325" s="17">
        <f t="shared" si="67"/>
        <v>0</v>
      </c>
      <c r="D4325" s="17" t="str">
        <f>IF(C4325=1,COUNTIF($C$1:$C4325,1),"")</f>
        <v/>
      </c>
      <c r="E4325" s="7"/>
    </row>
    <row r="4326" spans="3:5">
      <c r="C4326" s="17">
        <f t="shared" si="67"/>
        <v>0</v>
      </c>
      <c r="D4326" s="17" t="str">
        <f>IF(C4326=1,COUNTIF($C$1:$C4326,1),"")</f>
        <v/>
      </c>
      <c r="E4326" s="7"/>
    </row>
    <row r="4327" spans="3:5">
      <c r="C4327" s="17">
        <f t="shared" si="67"/>
        <v>0</v>
      </c>
      <c r="D4327" s="17" t="str">
        <f>IF(C4327=1,COUNTIF($C$1:$C4327,1),"")</f>
        <v/>
      </c>
      <c r="E4327" s="7"/>
    </row>
    <row r="4328" spans="3:5">
      <c r="C4328" s="17">
        <f t="shared" si="67"/>
        <v>0</v>
      </c>
      <c r="D4328" s="17" t="str">
        <f>IF(C4328=1,COUNTIF($C$1:$C4328,1),"")</f>
        <v/>
      </c>
      <c r="E4328" s="7"/>
    </row>
    <row r="4329" spans="3:5">
      <c r="C4329" s="17">
        <f t="shared" si="67"/>
        <v>0</v>
      </c>
      <c r="D4329" s="17" t="str">
        <f>IF(C4329=1,COUNTIF($C$1:$C4329,1),"")</f>
        <v/>
      </c>
      <c r="E4329" s="7"/>
    </row>
    <row r="4330" spans="3:5">
      <c r="C4330" s="17">
        <f t="shared" si="67"/>
        <v>0</v>
      </c>
      <c r="D4330" s="17" t="str">
        <f>IF(C4330=1,COUNTIF($C$1:$C4330,1),"")</f>
        <v/>
      </c>
      <c r="E4330" s="7"/>
    </row>
    <row r="4331" spans="3:5">
      <c r="C4331" s="17">
        <f t="shared" si="67"/>
        <v>0</v>
      </c>
      <c r="D4331" s="17" t="str">
        <f>IF(C4331=1,COUNTIF($C$1:$C4331,1),"")</f>
        <v/>
      </c>
      <c r="E4331" s="7"/>
    </row>
    <row r="4332" spans="3:5">
      <c r="C4332" s="17">
        <f t="shared" si="67"/>
        <v>0</v>
      </c>
      <c r="D4332" s="17" t="str">
        <f>IF(C4332=1,COUNTIF($C$1:$C4332,1),"")</f>
        <v/>
      </c>
      <c r="E4332" s="7"/>
    </row>
    <row r="4333" spans="3:5">
      <c r="C4333" s="17">
        <f t="shared" si="67"/>
        <v>0</v>
      </c>
      <c r="D4333" s="17" t="str">
        <f>IF(C4333=1,COUNTIF($C$1:$C4333,1),"")</f>
        <v/>
      </c>
      <c r="E4333" s="7"/>
    </row>
    <row r="4334" spans="3:5">
      <c r="C4334" s="17">
        <f t="shared" si="67"/>
        <v>0</v>
      </c>
      <c r="D4334" s="17" t="str">
        <f>IF(C4334=1,COUNTIF($C$1:$C4334,1),"")</f>
        <v/>
      </c>
      <c r="E4334" s="7"/>
    </row>
    <row r="4335" spans="3:5">
      <c r="C4335" s="17">
        <f t="shared" si="67"/>
        <v>0</v>
      </c>
      <c r="D4335" s="17" t="str">
        <f>IF(C4335=1,COUNTIF($C$1:$C4335,1),"")</f>
        <v/>
      </c>
      <c r="E4335" s="7"/>
    </row>
    <row r="4336" spans="3:5">
      <c r="C4336" s="17">
        <f t="shared" si="67"/>
        <v>0</v>
      </c>
      <c r="D4336" s="17" t="str">
        <f>IF(C4336=1,COUNTIF($C$1:$C4336,1),"")</f>
        <v/>
      </c>
      <c r="E4336" s="7"/>
    </row>
    <row r="4337" spans="3:5">
      <c r="C4337" s="17">
        <f t="shared" si="67"/>
        <v>0</v>
      </c>
      <c r="D4337" s="17" t="str">
        <f>IF(C4337=1,COUNTIF($C$1:$C4337,1),"")</f>
        <v/>
      </c>
      <c r="E4337" s="7"/>
    </row>
    <row r="4338" spans="3:5">
      <c r="C4338" s="17">
        <f t="shared" si="67"/>
        <v>0</v>
      </c>
      <c r="D4338" s="17" t="str">
        <f>IF(C4338=1,COUNTIF($C$1:$C4338,1),"")</f>
        <v/>
      </c>
      <c r="E4338" s="7"/>
    </row>
    <row r="4339" spans="3:5">
      <c r="C4339" s="17">
        <f t="shared" si="67"/>
        <v>0</v>
      </c>
      <c r="D4339" s="17" t="str">
        <f>IF(C4339=1,COUNTIF($C$1:$C4339,1),"")</f>
        <v/>
      </c>
      <c r="E4339" s="7"/>
    </row>
    <row r="4340" spans="3:5">
      <c r="C4340" s="17">
        <f t="shared" si="67"/>
        <v>0</v>
      </c>
      <c r="D4340" s="17" t="str">
        <f>IF(C4340=1,COUNTIF($C$1:$C4340,1),"")</f>
        <v/>
      </c>
      <c r="E4340" s="7"/>
    </row>
    <row r="4341" spans="3:5">
      <c r="C4341" s="17">
        <f t="shared" si="67"/>
        <v>0</v>
      </c>
      <c r="D4341" s="17" t="str">
        <f>IF(C4341=1,COUNTIF($C$1:$C4341,1),"")</f>
        <v/>
      </c>
      <c r="E4341" s="7"/>
    </row>
    <row r="4342" spans="3:5">
      <c r="C4342" s="17">
        <f t="shared" si="67"/>
        <v>0</v>
      </c>
      <c r="D4342" s="17" t="str">
        <f>IF(C4342=1,COUNTIF($C$1:$C4342,1),"")</f>
        <v/>
      </c>
      <c r="E4342" s="7"/>
    </row>
    <row r="4343" spans="3:5">
      <c r="C4343" s="17">
        <f t="shared" si="67"/>
        <v>0</v>
      </c>
      <c r="D4343" s="17" t="str">
        <f>IF(C4343=1,COUNTIF($C$1:$C4343,1),"")</f>
        <v/>
      </c>
      <c r="E4343" s="7"/>
    </row>
    <row r="4344" spans="3:5">
      <c r="C4344" s="17">
        <f t="shared" si="67"/>
        <v>0</v>
      </c>
      <c r="D4344" s="17" t="str">
        <f>IF(C4344=1,COUNTIF($C$1:$C4344,1),"")</f>
        <v/>
      </c>
      <c r="E4344" s="7"/>
    </row>
    <row r="4345" spans="3:5">
      <c r="C4345" s="17">
        <f t="shared" si="67"/>
        <v>0</v>
      </c>
      <c r="D4345" s="17" t="str">
        <f>IF(C4345=1,COUNTIF($C$1:$C4345,1),"")</f>
        <v/>
      </c>
      <c r="E4345" s="7"/>
    </row>
    <row r="4346" spans="3:5">
      <c r="C4346" s="17">
        <f t="shared" si="67"/>
        <v>0</v>
      </c>
      <c r="D4346" s="17" t="str">
        <f>IF(C4346=1,COUNTIF($C$1:$C4346,1),"")</f>
        <v/>
      </c>
      <c r="E4346" s="7"/>
    </row>
    <row r="4347" spans="3:5">
      <c r="C4347" s="17">
        <f t="shared" si="67"/>
        <v>0</v>
      </c>
      <c r="D4347" s="17" t="str">
        <f>IF(C4347=1,COUNTIF($C$1:$C4347,1),"")</f>
        <v/>
      </c>
      <c r="E4347" s="7"/>
    </row>
    <row r="4348" spans="3:5">
      <c r="C4348" s="17">
        <f t="shared" si="67"/>
        <v>0</v>
      </c>
      <c r="D4348" s="17" t="str">
        <f>IF(C4348=1,COUNTIF($C$1:$C4348,1),"")</f>
        <v/>
      </c>
      <c r="E4348" s="7"/>
    </row>
    <row r="4349" spans="3:5">
      <c r="C4349" s="17">
        <f t="shared" si="67"/>
        <v>0</v>
      </c>
      <c r="D4349" s="17" t="str">
        <f>IF(C4349=1,COUNTIF($C$1:$C4349,1),"")</f>
        <v/>
      </c>
      <c r="E4349" s="7"/>
    </row>
    <row r="4350" spans="3:5">
      <c r="C4350" s="17">
        <f t="shared" si="67"/>
        <v>0</v>
      </c>
      <c r="D4350" s="17" t="str">
        <f>IF(C4350=1,COUNTIF($C$1:$C4350,1),"")</f>
        <v/>
      </c>
      <c r="E4350" s="7"/>
    </row>
    <row r="4351" spans="3:5">
      <c r="C4351" s="17">
        <f t="shared" si="67"/>
        <v>0</v>
      </c>
      <c r="D4351" s="17" t="str">
        <f>IF(C4351=1,COUNTIF($C$1:$C4351,1),"")</f>
        <v/>
      </c>
      <c r="E4351" s="7"/>
    </row>
    <row r="4352" spans="3:5">
      <c r="C4352" s="17">
        <f t="shared" si="67"/>
        <v>0</v>
      </c>
      <c r="D4352" s="17" t="str">
        <f>IF(C4352=1,COUNTIF($C$1:$C4352,1),"")</f>
        <v/>
      </c>
      <c r="E4352" s="7"/>
    </row>
    <row r="4353" spans="3:5">
      <c r="C4353" s="17">
        <f t="shared" si="67"/>
        <v>0</v>
      </c>
      <c r="D4353" s="17" t="str">
        <f>IF(C4353=1,COUNTIF($C$1:$C4353,1),"")</f>
        <v/>
      </c>
      <c r="E4353" s="7"/>
    </row>
    <row r="4354" spans="3:5">
      <c r="C4354" s="17">
        <f t="shared" ref="C4354:C4417" si="68">--ISNUMBER(SEARCH($B$1,A4354))</f>
        <v>0</v>
      </c>
      <c r="D4354" s="17" t="str">
        <f>IF(C4354=1,COUNTIF($C$1:$C4354,1),"")</f>
        <v/>
      </c>
      <c r="E4354" s="7"/>
    </row>
    <row r="4355" spans="3:5">
      <c r="C4355" s="17">
        <f t="shared" si="68"/>
        <v>0</v>
      </c>
      <c r="D4355" s="17" t="str">
        <f>IF(C4355=1,COUNTIF($C$1:$C4355,1),"")</f>
        <v/>
      </c>
      <c r="E4355" s="7"/>
    </row>
    <row r="4356" spans="3:5">
      <c r="C4356" s="17">
        <f t="shared" si="68"/>
        <v>0</v>
      </c>
      <c r="D4356" s="17" t="str">
        <f>IF(C4356=1,COUNTIF($C$1:$C4356,1),"")</f>
        <v/>
      </c>
      <c r="E4356" s="7"/>
    </row>
    <row r="4357" spans="3:5">
      <c r="C4357" s="17">
        <f t="shared" si="68"/>
        <v>0</v>
      </c>
      <c r="D4357" s="17" t="str">
        <f>IF(C4357=1,COUNTIF($C$1:$C4357,1),"")</f>
        <v/>
      </c>
      <c r="E4357" s="7"/>
    </row>
    <row r="4358" spans="3:5">
      <c r="C4358" s="17">
        <f t="shared" si="68"/>
        <v>0</v>
      </c>
      <c r="D4358" s="17" t="str">
        <f>IF(C4358=1,COUNTIF($C$1:$C4358,1),"")</f>
        <v/>
      </c>
      <c r="E4358" s="7"/>
    </row>
    <row r="4359" spans="3:5">
      <c r="C4359" s="17">
        <f t="shared" si="68"/>
        <v>0</v>
      </c>
      <c r="D4359" s="17" t="str">
        <f>IF(C4359=1,COUNTIF($C$1:$C4359,1),"")</f>
        <v/>
      </c>
      <c r="E4359" s="7"/>
    </row>
    <row r="4360" spans="3:5">
      <c r="C4360" s="17">
        <f t="shared" si="68"/>
        <v>0</v>
      </c>
      <c r="D4360" s="17" t="str">
        <f>IF(C4360=1,COUNTIF($C$1:$C4360,1),"")</f>
        <v/>
      </c>
      <c r="E4360" s="7"/>
    </row>
    <row r="4361" spans="3:5">
      <c r="C4361" s="17">
        <f t="shared" si="68"/>
        <v>0</v>
      </c>
      <c r="D4361" s="17" t="str">
        <f>IF(C4361=1,COUNTIF($C$1:$C4361,1),"")</f>
        <v/>
      </c>
      <c r="E4361" s="7"/>
    </row>
    <row r="4362" spans="3:5">
      <c r="C4362" s="17">
        <f t="shared" si="68"/>
        <v>0</v>
      </c>
      <c r="D4362" s="17" t="str">
        <f>IF(C4362=1,COUNTIF($C$1:$C4362,1),"")</f>
        <v/>
      </c>
      <c r="E4362" s="7"/>
    </row>
    <row r="4363" spans="3:5">
      <c r="C4363" s="17">
        <f t="shared" si="68"/>
        <v>0</v>
      </c>
      <c r="D4363" s="17" t="str">
        <f>IF(C4363=1,COUNTIF($C$1:$C4363,1),"")</f>
        <v/>
      </c>
      <c r="E4363" s="7"/>
    </row>
    <row r="4364" spans="3:5">
      <c r="C4364" s="17">
        <f t="shared" si="68"/>
        <v>0</v>
      </c>
      <c r="D4364" s="17" t="str">
        <f>IF(C4364=1,COUNTIF($C$1:$C4364,1),"")</f>
        <v/>
      </c>
      <c r="E4364" s="7"/>
    </row>
    <row r="4365" spans="3:5">
      <c r="C4365" s="17">
        <f t="shared" si="68"/>
        <v>0</v>
      </c>
      <c r="D4365" s="17" t="str">
        <f>IF(C4365=1,COUNTIF($C$1:$C4365,1),"")</f>
        <v/>
      </c>
      <c r="E4365" s="7"/>
    </row>
    <row r="4366" spans="3:5">
      <c r="C4366" s="17">
        <f t="shared" si="68"/>
        <v>0</v>
      </c>
      <c r="D4366" s="17" t="str">
        <f>IF(C4366=1,COUNTIF($C$1:$C4366,1),"")</f>
        <v/>
      </c>
      <c r="E4366" s="7"/>
    </row>
    <row r="4367" spans="3:5">
      <c r="C4367" s="17">
        <f t="shared" si="68"/>
        <v>0</v>
      </c>
      <c r="D4367" s="17" t="str">
        <f>IF(C4367=1,COUNTIF($C$1:$C4367,1),"")</f>
        <v/>
      </c>
      <c r="E4367" s="7"/>
    </row>
    <row r="4368" spans="3:5">
      <c r="C4368" s="17">
        <f t="shared" si="68"/>
        <v>0</v>
      </c>
      <c r="D4368" s="17" t="str">
        <f>IF(C4368=1,COUNTIF($C$1:$C4368,1),"")</f>
        <v/>
      </c>
      <c r="E4368" s="7"/>
    </row>
    <row r="4369" spans="3:5">
      <c r="C4369" s="17">
        <f t="shared" si="68"/>
        <v>0</v>
      </c>
      <c r="D4369" s="17" t="str">
        <f>IF(C4369=1,COUNTIF($C$1:$C4369,1),"")</f>
        <v/>
      </c>
      <c r="E4369" s="7"/>
    </row>
    <row r="4370" spans="3:5">
      <c r="C4370" s="17">
        <f t="shared" si="68"/>
        <v>0</v>
      </c>
      <c r="D4370" s="17" t="str">
        <f>IF(C4370=1,COUNTIF($C$1:$C4370,1),"")</f>
        <v/>
      </c>
      <c r="E4370" s="7"/>
    </row>
    <row r="4371" spans="3:5">
      <c r="C4371" s="17">
        <f t="shared" si="68"/>
        <v>0</v>
      </c>
      <c r="D4371" s="17" t="str">
        <f>IF(C4371=1,COUNTIF($C$1:$C4371,1),"")</f>
        <v/>
      </c>
      <c r="E4371" s="7"/>
    </row>
    <row r="4372" spans="3:5">
      <c r="C4372" s="17">
        <f t="shared" si="68"/>
        <v>0</v>
      </c>
      <c r="D4372" s="17" t="str">
        <f>IF(C4372=1,COUNTIF($C$1:$C4372,1),"")</f>
        <v/>
      </c>
      <c r="E4372" s="7"/>
    </row>
    <row r="4373" spans="3:5">
      <c r="C4373" s="17">
        <f t="shared" si="68"/>
        <v>0</v>
      </c>
      <c r="D4373" s="17" t="str">
        <f>IF(C4373=1,COUNTIF($C$1:$C4373,1),"")</f>
        <v/>
      </c>
      <c r="E4373" s="7"/>
    </row>
    <row r="4374" spans="3:5">
      <c r="C4374" s="17">
        <f t="shared" si="68"/>
        <v>0</v>
      </c>
      <c r="D4374" s="17" t="str">
        <f>IF(C4374=1,COUNTIF($C$1:$C4374,1),"")</f>
        <v/>
      </c>
      <c r="E4374" s="7"/>
    </row>
    <row r="4375" spans="3:5">
      <c r="C4375" s="17">
        <f t="shared" si="68"/>
        <v>0</v>
      </c>
      <c r="D4375" s="17" t="str">
        <f>IF(C4375=1,COUNTIF($C$1:$C4375,1),"")</f>
        <v/>
      </c>
      <c r="E4375" s="7"/>
    </row>
    <row r="4376" spans="3:5">
      <c r="C4376" s="17">
        <f t="shared" si="68"/>
        <v>0</v>
      </c>
      <c r="D4376" s="17" t="str">
        <f>IF(C4376=1,COUNTIF($C$1:$C4376,1),"")</f>
        <v/>
      </c>
      <c r="E4376" s="7"/>
    </row>
    <row r="4377" spans="3:5">
      <c r="C4377" s="17">
        <f t="shared" si="68"/>
        <v>0</v>
      </c>
      <c r="D4377" s="17" t="str">
        <f>IF(C4377=1,COUNTIF($C$1:$C4377,1),"")</f>
        <v/>
      </c>
      <c r="E4377" s="7"/>
    </row>
    <row r="4378" spans="3:5">
      <c r="C4378" s="17">
        <f t="shared" si="68"/>
        <v>0</v>
      </c>
      <c r="D4378" s="17" t="str">
        <f>IF(C4378=1,COUNTIF($C$1:$C4378,1),"")</f>
        <v/>
      </c>
      <c r="E4378" s="7"/>
    </row>
    <row r="4379" spans="3:5">
      <c r="C4379" s="17">
        <f t="shared" si="68"/>
        <v>0</v>
      </c>
      <c r="D4379" s="17" t="str">
        <f>IF(C4379=1,COUNTIF($C$1:$C4379,1),"")</f>
        <v/>
      </c>
      <c r="E4379" s="7"/>
    </row>
    <row r="4380" spans="3:5">
      <c r="C4380" s="17">
        <f t="shared" si="68"/>
        <v>0</v>
      </c>
      <c r="D4380" s="17" t="str">
        <f>IF(C4380=1,COUNTIF($C$1:$C4380,1),"")</f>
        <v/>
      </c>
      <c r="E4380" s="7"/>
    </row>
    <row r="4381" spans="3:5">
      <c r="C4381" s="17">
        <f t="shared" si="68"/>
        <v>0</v>
      </c>
      <c r="D4381" s="17" t="str">
        <f>IF(C4381=1,COUNTIF($C$1:$C4381,1),"")</f>
        <v/>
      </c>
      <c r="E4381" s="7"/>
    </row>
    <row r="4382" spans="3:5">
      <c r="C4382" s="17">
        <f t="shared" si="68"/>
        <v>0</v>
      </c>
      <c r="D4382" s="17" t="str">
        <f>IF(C4382=1,COUNTIF($C$1:$C4382,1),"")</f>
        <v/>
      </c>
      <c r="E4382" s="7"/>
    </row>
    <row r="4383" spans="3:5">
      <c r="C4383" s="17">
        <f t="shared" si="68"/>
        <v>0</v>
      </c>
      <c r="D4383" s="17" t="str">
        <f>IF(C4383=1,COUNTIF($C$1:$C4383,1),"")</f>
        <v/>
      </c>
      <c r="E4383" s="7"/>
    </row>
    <row r="4384" spans="3:5">
      <c r="C4384" s="17">
        <f t="shared" si="68"/>
        <v>0</v>
      </c>
      <c r="D4384" s="17" t="str">
        <f>IF(C4384=1,COUNTIF($C$1:$C4384,1),"")</f>
        <v/>
      </c>
      <c r="E4384" s="7"/>
    </row>
    <row r="4385" spans="3:5">
      <c r="C4385" s="17">
        <f t="shared" si="68"/>
        <v>0</v>
      </c>
      <c r="D4385" s="17" t="str">
        <f>IF(C4385=1,COUNTIF($C$1:$C4385,1),"")</f>
        <v/>
      </c>
      <c r="E4385" s="7"/>
    </row>
    <row r="4386" spans="3:5">
      <c r="C4386" s="17">
        <f t="shared" si="68"/>
        <v>0</v>
      </c>
      <c r="D4386" s="17" t="str">
        <f>IF(C4386=1,COUNTIF($C$1:$C4386,1),"")</f>
        <v/>
      </c>
      <c r="E4386" s="7"/>
    </row>
    <row r="4387" spans="3:5">
      <c r="C4387" s="17">
        <f t="shared" si="68"/>
        <v>0</v>
      </c>
      <c r="D4387" s="17" t="str">
        <f>IF(C4387=1,COUNTIF($C$1:$C4387,1),"")</f>
        <v/>
      </c>
      <c r="E4387" s="7"/>
    </row>
    <row r="4388" spans="3:5">
      <c r="C4388" s="17">
        <f t="shared" si="68"/>
        <v>0</v>
      </c>
      <c r="D4388" s="17" t="str">
        <f>IF(C4388=1,COUNTIF($C$1:$C4388,1),"")</f>
        <v/>
      </c>
      <c r="E4388" s="7"/>
    </row>
    <row r="4389" spans="3:5">
      <c r="C4389" s="17">
        <f t="shared" si="68"/>
        <v>0</v>
      </c>
      <c r="D4389" s="17" t="str">
        <f>IF(C4389=1,COUNTIF($C$1:$C4389,1),"")</f>
        <v/>
      </c>
      <c r="E4389" s="7"/>
    </row>
    <row r="4390" spans="3:5">
      <c r="C4390" s="17">
        <f t="shared" si="68"/>
        <v>0</v>
      </c>
      <c r="D4390" s="17" t="str">
        <f>IF(C4390=1,COUNTIF($C$1:$C4390,1),"")</f>
        <v/>
      </c>
      <c r="E4390" s="7"/>
    </row>
    <row r="4391" spans="3:5">
      <c r="C4391" s="17">
        <f t="shared" si="68"/>
        <v>0</v>
      </c>
      <c r="D4391" s="17" t="str">
        <f>IF(C4391=1,COUNTIF($C$1:$C4391,1),"")</f>
        <v/>
      </c>
      <c r="E4391" s="7"/>
    </row>
    <row r="4392" spans="3:5">
      <c r="C4392" s="17">
        <f t="shared" si="68"/>
        <v>0</v>
      </c>
      <c r="D4392" s="17" t="str">
        <f>IF(C4392=1,COUNTIF($C$1:$C4392,1),"")</f>
        <v/>
      </c>
      <c r="E4392" s="7"/>
    </row>
    <row r="4393" spans="3:5">
      <c r="C4393" s="17">
        <f t="shared" si="68"/>
        <v>0</v>
      </c>
      <c r="D4393" s="17" t="str">
        <f>IF(C4393=1,COUNTIF($C$1:$C4393,1),"")</f>
        <v/>
      </c>
      <c r="E4393" s="7"/>
    </row>
    <row r="4394" spans="3:5">
      <c r="C4394" s="17">
        <f t="shared" si="68"/>
        <v>0</v>
      </c>
      <c r="D4394" s="17" t="str">
        <f>IF(C4394=1,COUNTIF($C$1:$C4394,1),"")</f>
        <v/>
      </c>
      <c r="E4394" s="7"/>
    </row>
    <row r="4395" spans="3:5">
      <c r="C4395" s="17">
        <f t="shared" si="68"/>
        <v>0</v>
      </c>
      <c r="D4395" s="17" t="str">
        <f>IF(C4395=1,COUNTIF($C$1:$C4395,1),"")</f>
        <v/>
      </c>
      <c r="E4395" s="7"/>
    </row>
    <row r="4396" spans="3:5">
      <c r="C4396" s="17">
        <f t="shared" si="68"/>
        <v>0</v>
      </c>
      <c r="D4396" s="17" t="str">
        <f>IF(C4396=1,COUNTIF($C$1:$C4396,1),"")</f>
        <v/>
      </c>
      <c r="E4396" s="7"/>
    </row>
    <row r="4397" spans="3:5">
      <c r="C4397" s="17">
        <f t="shared" si="68"/>
        <v>0</v>
      </c>
      <c r="D4397" s="17" t="str">
        <f>IF(C4397=1,COUNTIF($C$1:$C4397,1),"")</f>
        <v/>
      </c>
      <c r="E4397" s="7"/>
    </row>
    <row r="4398" spans="3:5">
      <c r="C4398" s="17">
        <f t="shared" si="68"/>
        <v>0</v>
      </c>
      <c r="D4398" s="17" t="str">
        <f>IF(C4398=1,COUNTIF($C$1:$C4398,1),"")</f>
        <v/>
      </c>
      <c r="E4398" s="7"/>
    </row>
    <row r="4399" spans="3:5">
      <c r="C4399" s="17">
        <f t="shared" si="68"/>
        <v>0</v>
      </c>
      <c r="D4399" s="17" t="str">
        <f>IF(C4399=1,COUNTIF($C$1:$C4399,1),"")</f>
        <v/>
      </c>
      <c r="E4399" s="7"/>
    </row>
    <row r="4400" spans="3:5">
      <c r="C4400" s="17">
        <f t="shared" si="68"/>
        <v>0</v>
      </c>
      <c r="D4400" s="17" t="str">
        <f>IF(C4400=1,COUNTIF($C$1:$C4400,1),"")</f>
        <v/>
      </c>
      <c r="E4400" s="7"/>
    </row>
    <row r="4401" spans="3:5">
      <c r="C4401" s="17">
        <f t="shared" si="68"/>
        <v>0</v>
      </c>
      <c r="D4401" s="17" t="str">
        <f>IF(C4401=1,COUNTIF($C$1:$C4401,1),"")</f>
        <v/>
      </c>
      <c r="E4401" s="7"/>
    </row>
    <row r="4402" spans="3:5">
      <c r="C4402" s="17">
        <f t="shared" si="68"/>
        <v>0</v>
      </c>
      <c r="D4402" s="17" t="str">
        <f>IF(C4402=1,COUNTIF($C$1:$C4402,1),"")</f>
        <v/>
      </c>
      <c r="E4402" s="7"/>
    </row>
    <row r="4403" spans="3:5">
      <c r="C4403" s="17">
        <f t="shared" si="68"/>
        <v>0</v>
      </c>
      <c r="D4403" s="17" t="str">
        <f>IF(C4403=1,COUNTIF($C$1:$C4403,1),"")</f>
        <v/>
      </c>
      <c r="E4403" s="7"/>
    </row>
    <row r="4404" spans="3:5">
      <c r="C4404" s="17">
        <f t="shared" si="68"/>
        <v>0</v>
      </c>
      <c r="D4404" s="17" t="str">
        <f>IF(C4404=1,COUNTIF($C$1:$C4404,1),"")</f>
        <v/>
      </c>
      <c r="E4404" s="7"/>
    </row>
    <row r="4405" spans="3:5">
      <c r="C4405" s="17">
        <f t="shared" si="68"/>
        <v>0</v>
      </c>
      <c r="D4405" s="17" t="str">
        <f>IF(C4405=1,COUNTIF($C$1:$C4405,1),"")</f>
        <v/>
      </c>
      <c r="E4405" s="7"/>
    </row>
    <row r="4406" spans="3:5">
      <c r="C4406" s="17">
        <f t="shared" si="68"/>
        <v>0</v>
      </c>
      <c r="D4406" s="17" t="str">
        <f>IF(C4406=1,COUNTIF($C$1:$C4406,1),"")</f>
        <v/>
      </c>
      <c r="E4406" s="7"/>
    </row>
    <row r="4407" spans="3:5">
      <c r="C4407" s="17">
        <f t="shared" si="68"/>
        <v>0</v>
      </c>
      <c r="D4407" s="17" t="str">
        <f>IF(C4407=1,COUNTIF($C$1:$C4407,1),"")</f>
        <v/>
      </c>
      <c r="E4407" s="7"/>
    </row>
    <row r="4408" spans="3:5">
      <c r="C4408" s="17">
        <f t="shared" si="68"/>
        <v>0</v>
      </c>
      <c r="D4408" s="17" t="str">
        <f>IF(C4408=1,COUNTIF($C$1:$C4408,1),"")</f>
        <v/>
      </c>
      <c r="E4408" s="7"/>
    </row>
    <row r="4409" spans="3:5">
      <c r="C4409" s="17">
        <f t="shared" si="68"/>
        <v>0</v>
      </c>
      <c r="D4409" s="17" t="str">
        <f>IF(C4409=1,COUNTIF($C$1:$C4409,1),"")</f>
        <v/>
      </c>
      <c r="E4409" s="7"/>
    </row>
    <row r="4410" spans="3:5">
      <c r="C4410" s="17">
        <f t="shared" si="68"/>
        <v>0</v>
      </c>
      <c r="D4410" s="17" t="str">
        <f>IF(C4410=1,COUNTIF($C$1:$C4410,1),"")</f>
        <v/>
      </c>
      <c r="E4410" s="7"/>
    </row>
    <row r="4411" spans="3:5">
      <c r="C4411" s="17">
        <f t="shared" si="68"/>
        <v>0</v>
      </c>
      <c r="D4411" s="17" t="str">
        <f>IF(C4411=1,COUNTIF($C$1:$C4411,1),"")</f>
        <v/>
      </c>
      <c r="E4411" s="7"/>
    </row>
    <row r="4412" spans="3:5">
      <c r="C4412" s="17">
        <f t="shared" si="68"/>
        <v>0</v>
      </c>
      <c r="D4412" s="17" t="str">
        <f>IF(C4412=1,COUNTIF($C$1:$C4412,1),"")</f>
        <v/>
      </c>
      <c r="E4412" s="7"/>
    </row>
    <row r="4413" spans="3:5">
      <c r="C4413" s="17">
        <f t="shared" si="68"/>
        <v>0</v>
      </c>
      <c r="D4413" s="17" t="str">
        <f>IF(C4413=1,COUNTIF($C$1:$C4413,1),"")</f>
        <v/>
      </c>
      <c r="E4413" s="7"/>
    </row>
    <row r="4414" spans="3:5">
      <c r="C4414" s="17">
        <f t="shared" si="68"/>
        <v>0</v>
      </c>
      <c r="D4414" s="17" t="str">
        <f>IF(C4414=1,COUNTIF($C$1:$C4414,1),"")</f>
        <v/>
      </c>
      <c r="E4414" s="7"/>
    </row>
    <row r="4415" spans="3:5">
      <c r="C4415" s="17">
        <f t="shared" si="68"/>
        <v>0</v>
      </c>
      <c r="D4415" s="17" t="str">
        <f>IF(C4415=1,COUNTIF($C$1:$C4415,1),"")</f>
        <v/>
      </c>
      <c r="E4415" s="7"/>
    </row>
    <row r="4416" spans="3:5">
      <c r="C4416" s="17">
        <f t="shared" si="68"/>
        <v>0</v>
      </c>
      <c r="D4416" s="17" t="str">
        <f>IF(C4416=1,COUNTIF($C$1:$C4416,1),"")</f>
        <v/>
      </c>
      <c r="E4416" s="7"/>
    </row>
    <row r="4417" spans="3:5">
      <c r="C4417" s="17">
        <f t="shared" si="68"/>
        <v>0</v>
      </c>
      <c r="D4417" s="17" t="str">
        <f>IF(C4417=1,COUNTIF($C$1:$C4417,1),"")</f>
        <v/>
      </c>
      <c r="E4417" s="7"/>
    </row>
    <row r="4418" spans="3:5">
      <c r="C4418" s="17">
        <f t="shared" ref="C4418:C4481" si="69">--ISNUMBER(SEARCH($B$1,A4418))</f>
        <v>0</v>
      </c>
      <c r="D4418" s="17" t="str">
        <f>IF(C4418=1,COUNTIF($C$1:$C4418,1),"")</f>
        <v/>
      </c>
      <c r="E4418" s="7"/>
    </row>
    <row r="4419" spans="3:5">
      <c r="C4419" s="17">
        <f t="shared" si="69"/>
        <v>0</v>
      </c>
      <c r="D4419" s="17" t="str">
        <f>IF(C4419=1,COUNTIF($C$1:$C4419,1),"")</f>
        <v/>
      </c>
      <c r="E4419" s="7"/>
    </row>
    <row r="4420" spans="3:5">
      <c r="C4420" s="17">
        <f t="shared" si="69"/>
        <v>0</v>
      </c>
      <c r="D4420" s="17" t="str">
        <f>IF(C4420=1,COUNTIF($C$1:$C4420,1),"")</f>
        <v/>
      </c>
      <c r="E4420" s="7"/>
    </row>
    <row r="4421" spans="3:5">
      <c r="C4421" s="17">
        <f t="shared" si="69"/>
        <v>0</v>
      </c>
      <c r="D4421" s="17" t="str">
        <f>IF(C4421=1,COUNTIF($C$1:$C4421,1),"")</f>
        <v/>
      </c>
      <c r="E4421" s="7"/>
    </row>
    <row r="4422" spans="3:5">
      <c r="C4422" s="17">
        <f t="shared" si="69"/>
        <v>0</v>
      </c>
      <c r="D4422" s="17" t="str">
        <f>IF(C4422=1,COUNTIF($C$1:$C4422,1),"")</f>
        <v/>
      </c>
      <c r="E4422" s="7"/>
    </row>
    <row r="4423" spans="3:5">
      <c r="C4423" s="17">
        <f t="shared" si="69"/>
        <v>0</v>
      </c>
      <c r="D4423" s="17" t="str">
        <f>IF(C4423=1,COUNTIF($C$1:$C4423,1),"")</f>
        <v/>
      </c>
      <c r="E4423" s="7"/>
    </row>
    <row r="4424" spans="3:5">
      <c r="C4424" s="17">
        <f t="shared" si="69"/>
        <v>0</v>
      </c>
      <c r="D4424" s="17" t="str">
        <f>IF(C4424=1,COUNTIF($C$1:$C4424,1),"")</f>
        <v/>
      </c>
      <c r="E4424" s="7"/>
    </row>
    <row r="4425" spans="3:5">
      <c r="C4425" s="17">
        <f t="shared" si="69"/>
        <v>0</v>
      </c>
      <c r="D4425" s="17" t="str">
        <f>IF(C4425=1,COUNTIF($C$1:$C4425,1),"")</f>
        <v/>
      </c>
      <c r="E4425" s="7"/>
    </row>
    <row r="4426" spans="3:5">
      <c r="C4426" s="17">
        <f t="shared" si="69"/>
        <v>0</v>
      </c>
      <c r="D4426" s="17" t="str">
        <f>IF(C4426=1,COUNTIF($C$1:$C4426,1),"")</f>
        <v/>
      </c>
      <c r="E4426" s="7"/>
    </row>
    <row r="4427" spans="3:5">
      <c r="C4427" s="17">
        <f t="shared" si="69"/>
        <v>0</v>
      </c>
      <c r="D4427" s="17" t="str">
        <f>IF(C4427=1,COUNTIF($C$1:$C4427,1),"")</f>
        <v/>
      </c>
      <c r="E4427" s="7"/>
    </row>
    <row r="4428" spans="3:5">
      <c r="C4428" s="17">
        <f t="shared" si="69"/>
        <v>0</v>
      </c>
      <c r="D4428" s="17" t="str">
        <f>IF(C4428=1,COUNTIF($C$1:$C4428,1),"")</f>
        <v/>
      </c>
      <c r="E4428" s="7"/>
    </row>
    <row r="4429" spans="3:5">
      <c r="C4429" s="17">
        <f t="shared" si="69"/>
        <v>0</v>
      </c>
      <c r="D4429" s="17" t="str">
        <f>IF(C4429=1,COUNTIF($C$1:$C4429,1),"")</f>
        <v/>
      </c>
      <c r="E4429" s="7"/>
    </row>
    <row r="4430" spans="3:5">
      <c r="C4430" s="17">
        <f t="shared" si="69"/>
        <v>0</v>
      </c>
      <c r="D4430" s="17" t="str">
        <f>IF(C4430=1,COUNTIF($C$1:$C4430,1),"")</f>
        <v/>
      </c>
      <c r="E4430" s="7"/>
    </row>
    <row r="4431" spans="3:5">
      <c r="C4431" s="17">
        <f t="shared" si="69"/>
        <v>0</v>
      </c>
      <c r="D4431" s="17" t="str">
        <f>IF(C4431=1,COUNTIF($C$1:$C4431,1),"")</f>
        <v/>
      </c>
      <c r="E4431" s="7"/>
    </row>
    <row r="4432" spans="3:5">
      <c r="C4432" s="17">
        <f t="shared" si="69"/>
        <v>0</v>
      </c>
      <c r="D4432" s="17" t="str">
        <f>IF(C4432=1,COUNTIF($C$1:$C4432,1),"")</f>
        <v/>
      </c>
      <c r="E4432" s="7"/>
    </row>
    <row r="4433" spans="3:5">
      <c r="C4433" s="17">
        <f t="shared" si="69"/>
        <v>0</v>
      </c>
      <c r="D4433" s="17" t="str">
        <f>IF(C4433=1,COUNTIF($C$1:$C4433,1),"")</f>
        <v/>
      </c>
      <c r="E4433" s="7"/>
    </row>
    <row r="4434" spans="3:5">
      <c r="C4434" s="17">
        <f t="shared" si="69"/>
        <v>0</v>
      </c>
      <c r="D4434" s="17" t="str">
        <f>IF(C4434=1,COUNTIF($C$1:$C4434,1),"")</f>
        <v/>
      </c>
      <c r="E4434" s="7"/>
    </row>
    <row r="4435" spans="3:5">
      <c r="C4435" s="17">
        <f t="shared" si="69"/>
        <v>0</v>
      </c>
      <c r="D4435" s="17" t="str">
        <f>IF(C4435=1,COUNTIF($C$1:$C4435,1),"")</f>
        <v/>
      </c>
      <c r="E4435" s="7"/>
    </row>
    <row r="4436" spans="3:5">
      <c r="C4436" s="17">
        <f t="shared" si="69"/>
        <v>0</v>
      </c>
      <c r="D4436" s="17" t="str">
        <f>IF(C4436=1,COUNTIF($C$1:$C4436,1),"")</f>
        <v/>
      </c>
      <c r="E4436" s="7"/>
    </row>
    <row r="4437" spans="3:5">
      <c r="C4437" s="17">
        <f t="shared" si="69"/>
        <v>0</v>
      </c>
      <c r="D4437" s="17" t="str">
        <f>IF(C4437=1,COUNTIF($C$1:$C4437,1),"")</f>
        <v/>
      </c>
      <c r="E4437" s="7"/>
    </row>
    <row r="4438" spans="3:5">
      <c r="C4438" s="17">
        <f t="shared" si="69"/>
        <v>0</v>
      </c>
      <c r="D4438" s="17" t="str">
        <f>IF(C4438=1,COUNTIF($C$1:$C4438,1),"")</f>
        <v/>
      </c>
      <c r="E4438" s="7"/>
    </row>
    <row r="4439" spans="3:5">
      <c r="C4439" s="17">
        <f t="shared" si="69"/>
        <v>0</v>
      </c>
      <c r="D4439" s="17" t="str">
        <f>IF(C4439=1,COUNTIF($C$1:$C4439,1),"")</f>
        <v/>
      </c>
      <c r="E4439" s="7"/>
    </row>
    <row r="4440" spans="3:5">
      <c r="C4440" s="17">
        <f t="shared" si="69"/>
        <v>0</v>
      </c>
      <c r="D4440" s="17" t="str">
        <f>IF(C4440=1,COUNTIF($C$1:$C4440,1),"")</f>
        <v/>
      </c>
      <c r="E4440" s="7"/>
    </row>
    <row r="4441" spans="3:5">
      <c r="C4441" s="17">
        <f t="shared" si="69"/>
        <v>0</v>
      </c>
      <c r="D4441" s="17" t="str">
        <f>IF(C4441=1,COUNTIF($C$1:$C4441,1),"")</f>
        <v/>
      </c>
      <c r="E4441" s="7"/>
    </row>
    <row r="4442" spans="3:5">
      <c r="C4442" s="17">
        <f t="shared" si="69"/>
        <v>0</v>
      </c>
      <c r="D4442" s="17" t="str">
        <f>IF(C4442=1,COUNTIF($C$1:$C4442,1),"")</f>
        <v/>
      </c>
      <c r="E4442" s="7"/>
    </row>
    <row r="4443" spans="3:5">
      <c r="C4443" s="17">
        <f t="shared" si="69"/>
        <v>0</v>
      </c>
      <c r="D4443" s="17" t="str">
        <f>IF(C4443=1,COUNTIF($C$1:$C4443,1),"")</f>
        <v/>
      </c>
      <c r="E4443" s="7"/>
    </row>
    <row r="4444" spans="3:5">
      <c r="C4444" s="17">
        <f t="shared" si="69"/>
        <v>0</v>
      </c>
      <c r="D4444" s="17" t="str">
        <f>IF(C4444=1,COUNTIF($C$1:$C4444,1),"")</f>
        <v/>
      </c>
      <c r="E4444" s="7"/>
    </row>
    <row r="4445" spans="3:5">
      <c r="C4445" s="17">
        <f t="shared" si="69"/>
        <v>0</v>
      </c>
      <c r="D4445" s="17" t="str">
        <f>IF(C4445=1,COUNTIF($C$1:$C4445,1),"")</f>
        <v/>
      </c>
      <c r="E4445" s="7"/>
    </row>
    <row r="4446" spans="3:5">
      <c r="C4446" s="17">
        <f t="shared" si="69"/>
        <v>0</v>
      </c>
      <c r="D4446" s="17" t="str">
        <f>IF(C4446=1,COUNTIF($C$1:$C4446,1),"")</f>
        <v/>
      </c>
      <c r="E4446" s="7"/>
    </row>
    <row r="4447" spans="3:5">
      <c r="C4447" s="17">
        <f t="shared" si="69"/>
        <v>0</v>
      </c>
      <c r="D4447" s="17" t="str">
        <f>IF(C4447=1,COUNTIF($C$1:$C4447,1),"")</f>
        <v/>
      </c>
      <c r="E4447" s="7"/>
    </row>
    <row r="4448" spans="3:5">
      <c r="C4448" s="17">
        <f t="shared" si="69"/>
        <v>0</v>
      </c>
      <c r="D4448" s="17" t="str">
        <f>IF(C4448=1,COUNTIF($C$1:$C4448,1),"")</f>
        <v/>
      </c>
      <c r="E4448" s="7"/>
    </row>
    <row r="4449" spans="3:5">
      <c r="C4449" s="17">
        <f t="shared" si="69"/>
        <v>0</v>
      </c>
      <c r="D4449" s="17" t="str">
        <f>IF(C4449=1,COUNTIF($C$1:$C4449,1),"")</f>
        <v/>
      </c>
      <c r="E4449" s="7"/>
    </row>
    <row r="4450" spans="3:5">
      <c r="C4450" s="17">
        <f t="shared" si="69"/>
        <v>0</v>
      </c>
      <c r="D4450" s="17" t="str">
        <f>IF(C4450=1,COUNTIF($C$1:$C4450,1),"")</f>
        <v/>
      </c>
      <c r="E4450" s="7"/>
    </row>
    <row r="4451" spans="3:5">
      <c r="C4451" s="17">
        <f t="shared" si="69"/>
        <v>0</v>
      </c>
      <c r="D4451" s="17" t="str">
        <f>IF(C4451=1,COUNTIF($C$1:$C4451,1),"")</f>
        <v/>
      </c>
      <c r="E4451" s="7"/>
    </row>
    <row r="4452" spans="3:5">
      <c r="C4452" s="17">
        <f t="shared" si="69"/>
        <v>0</v>
      </c>
      <c r="D4452" s="17" t="str">
        <f>IF(C4452=1,COUNTIF($C$1:$C4452,1),"")</f>
        <v/>
      </c>
      <c r="E4452" s="7"/>
    </row>
    <row r="4453" spans="3:5">
      <c r="C4453" s="17">
        <f t="shared" si="69"/>
        <v>0</v>
      </c>
      <c r="D4453" s="17" t="str">
        <f>IF(C4453=1,COUNTIF($C$1:$C4453,1),"")</f>
        <v/>
      </c>
      <c r="E4453" s="7"/>
    </row>
    <row r="4454" spans="3:5">
      <c r="C4454" s="17">
        <f t="shared" si="69"/>
        <v>0</v>
      </c>
      <c r="D4454" s="17" t="str">
        <f>IF(C4454=1,COUNTIF($C$1:$C4454,1),"")</f>
        <v/>
      </c>
      <c r="E4454" s="7"/>
    </row>
    <row r="4455" spans="3:5">
      <c r="C4455" s="17">
        <f t="shared" si="69"/>
        <v>0</v>
      </c>
      <c r="D4455" s="17" t="str">
        <f>IF(C4455=1,COUNTIF($C$1:$C4455,1),"")</f>
        <v/>
      </c>
      <c r="E4455" s="7"/>
    </row>
    <row r="4456" spans="3:5">
      <c r="C4456" s="17">
        <f t="shared" si="69"/>
        <v>0</v>
      </c>
      <c r="D4456" s="17" t="str">
        <f>IF(C4456=1,COUNTIF($C$1:$C4456,1),"")</f>
        <v/>
      </c>
      <c r="E4456" s="7"/>
    </row>
    <row r="4457" spans="3:5">
      <c r="C4457" s="17">
        <f t="shared" si="69"/>
        <v>0</v>
      </c>
      <c r="D4457" s="17" t="str">
        <f>IF(C4457=1,COUNTIF($C$1:$C4457,1),"")</f>
        <v/>
      </c>
      <c r="E4457" s="7"/>
    </row>
    <row r="4458" spans="3:5">
      <c r="C4458" s="17">
        <f t="shared" si="69"/>
        <v>0</v>
      </c>
      <c r="D4458" s="17" t="str">
        <f>IF(C4458=1,COUNTIF($C$1:$C4458,1),"")</f>
        <v/>
      </c>
      <c r="E4458" s="7"/>
    </row>
    <row r="4459" spans="3:5">
      <c r="C4459" s="17">
        <f t="shared" si="69"/>
        <v>0</v>
      </c>
      <c r="D4459" s="17" t="str">
        <f>IF(C4459=1,COUNTIF($C$1:$C4459,1),"")</f>
        <v/>
      </c>
      <c r="E4459" s="7"/>
    </row>
    <row r="4460" spans="3:5">
      <c r="C4460" s="17">
        <f t="shared" si="69"/>
        <v>0</v>
      </c>
      <c r="D4460" s="17" t="str">
        <f>IF(C4460=1,COUNTIF($C$1:$C4460,1),"")</f>
        <v/>
      </c>
      <c r="E4460" s="7"/>
    </row>
    <row r="4461" spans="3:5">
      <c r="C4461" s="17">
        <f t="shared" si="69"/>
        <v>0</v>
      </c>
      <c r="D4461" s="17" t="str">
        <f>IF(C4461=1,COUNTIF($C$1:$C4461,1),"")</f>
        <v/>
      </c>
      <c r="E4461" s="7"/>
    </row>
    <row r="4462" spans="3:5">
      <c r="C4462" s="17">
        <f t="shared" si="69"/>
        <v>0</v>
      </c>
      <c r="D4462" s="17" t="str">
        <f>IF(C4462=1,COUNTIF($C$1:$C4462,1),"")</f>
        <v/>
      </c>
      <c r="E4462" s="7"/>
    </row>
    <row r="4463" spans="3:5">
      <c r="C4463" s="17">
        <f t="shared" si="69"/>
        <v>0</v>
      </c>
      <c r="D4463" s="17" t="str">
        <f>IF(C4463=1,COUNTIF($C$1:$C4463,1),"")</f>
        <v/>
      </c>
      <c r="E4463" s="7"/>
    </row>
    <row r="4464" spans="3:5">
      <c r="C4464" s="17">
        <f t="shared" si="69"/>
        <v>0</v>
      </c>
      <c r="D4464" s="17" t="str">
        <f>IF(C4464=1,COUNTIF($C$1:$C4464,1),"")</f>
        <v/>
      </c>
      <c r="E4464" s="7"/>
    </row>
    <row r="4465" spans="3:5">
      <c r="C4465" s="17">
        <f t="shared" si="69"/>
        <v>0</v>
      </c>
      <c r="D4465" s="17" t="str">
        <f>IF(C4465=1,COUNTIF($C$1:$C4465,1),"")</f>
        <v/>
      </c>
      <c r="E4465" s="7"/>
    </row>
    <row r="4466" spans="3:5">
      <c r="C4466" s="17">
        <f t="shared" si="69"/>
        <v>0</v>
      </c>
      <c r="D4466" s="17" t="str">
        <f>IF(C4466=1,COUNTIF($C$1:$C4466,1),"")</f>
        <v/>
      </c>
      <c r="E4466" s="7"/>
    </row>
    <row r="4467" spans="3:5">
      <c r="C4467" s="17">
        <f t="shared" si="69"/>
        <v>0</v>
      </c>
      <c r="D4467" s="17" t="str">
        <f>IF(C4467=1,COUNTIF($C$1:$C4467,1),"")</f>
        <v/>
      </c>
      <c r="E4467" s="7"/>
    </row>
    <row r="4468" spans="3:5">
      <c r="C4468" s="17">
        <f t="shared" si="69"/>
        <v>0</v>
      </c>
      <c r="D4468" s="17" t="str">
        <f>IF(C4468=1,COUNTIF($C$1:$C4468,1),"")</f>
        <v/>
      </c>
      <c r="E4468" s="7"/>
    </row>
    <row r="4469" spans="3:5">
      <c r="C4469" s="17">
        <f t="shared" si="69"/>
        <v>0</v>
      </c>
      <c r="D4469" s="17" t="str">
        <f>IF(C4469=1,COUNTIF($C$1:$C4469,1),"")</f>
        <v/>
      </c>
      <c r="E4469" s="7"/>
    </row>
    <row r="4470" spans="3:5">
      <c r="C4470" s="17">
        <f t="shared" si="69"/>
        <v>0</v>
      </c>
      <c r="D4470" s="17" t="str">
        <f>IF(C4470=1,COUNTIF($C$1:$C4470,1),"")</f>
        <v/>
      </c>
      <c r="E4470" s="7"/>
    </row>
    <row r="4471" spans="3:5">
      <c r="C4471" s="17">
        <f t="shared" si="69"/>
        <v>0</v>
      </c>
      <c r="D4471" s="17" t="str">
        <f>IF(C4471=1,COUNTIF($C$1:$C4471,1),"")</f>
        <v/>
      </c>
      <c r="E4471" s="7"/>
    </row>
    <row r="4472" spans="3:5">
      <c r="C4472" s="17">
        <f t="shared" si="69"/>
        <v>0</v>
      </c>
      <c r="D4472" s="17" t="str">
        <f>IF(C4472=1,COUNTIF($C$1:$C4472,1),"")</f>
        <v/>
      </c>
      <c r="E4472" s="7"/>
    </row>
    <row r="4473" spans="3:5">
      <c r="C4473" s="17">
        <f t="shared" si="69"/>
        <v>0</v>
      </c>
      <c r="D4473" s="17" t="str">
        <f>IF(C4473=1,COUNTIF($C$1:$C4473,1),"")</f>
        <v/>
      </c>
      <c r="E4473" s="7"/>
    </row>
    <row r="4474" spans="3:5">
      <c r="C4474" s="17">
        <f t="shared" si="69"/>
        <v>0</v>
      </c>
      <c r="D4474" s="17" t="str">
        <f>IF(C4474=1,COUNTIF($C$1:$C4474,1),"")</f>
        <v/>
      </c>
      <c r="E4474" s="7"/>
    </row>
    <row r="4475" spans="3:5">
      <c r="C4475" s="17">
        <f t="shared" si="69"/>
        <v>0</v>
      </c>
      <c r="D4475" s="17" t="str">
        <f>IF(C4475=1,COUNTIF($C$1:$C4475,1),"")</f>
        <v/>
      </c>
      <c r="E4475" s="7"/>
    </row>
    <row r="4476" spans="3:5">
      <c r="C4476" s="17">
        <f t="shared" si="69"/>
        <v>0</v>
      </c>
      <c r="D4476" s="17" t="str">
        <f>IF(C4476=1,COUNTIF($C$1:$C4476,1),"")</f>
        <v/>
      </c>
      <c r="E4476" s="7"/>
    </row>
    <row r="4477" spans="3:5">
      <c r="C4477" s="17">
        <f t="shared" si="69"/>
        <v>0</v>
      </c>
      <c r="D4477" s="17" t="str">
        <f>IF(C4477=1,COUNTIF($C$1:$C4477,1),"")</f>
        <v/>
      </c>
      <c r="E4477" s="7"/>
    </row>
    <row r="4478" spans="3:5">
      <c r="C4478" s="17">
        <f t="shared" si="69"/>
        <v>0</v>
      </c>
      <c r="D4478" s="17" t="str">
        <f>IF(C4478=1,COUNTIF($C$1:$C4478,1),"")</f>
        <v/>
      </c>
      <c r="E4478" s="7"/>
    </row>
    <row r="4479" spans="3:5">
      <c r="C4479" s="17">
        <f t="shared" si="69"/>
        <v>0</v>
      </c>
      <c r="D4479" s="17" t="str">
        <f>IF(C4479=1,COUNTIF($C$1:$C4479,1),"")</f>
        <v/>
      </c>
      <c r="E4479" s="7"/>
    </row>
    <row r="4480" spans="3:5">
      <c r="C4480" s="17">
        <f t="shared" si="69"/>
        <v>0</v>
      </c>
      <c r="D4480" s="17" t="str">
        <f>IF(C4480=1,COUNTIF($C$1:$C4480,1),"")</f>
        <v/>
      </c>
      <c r="E4480" s="7"/>
    </row>
    <row r="4481" spans="3:5">
      <c r="C4481" s="17">
        <f t="shared" si="69"/>
        <v>0</v>
      </c>
      <c r="D4481" s="17" t="str">
        <f>IF(C4481=1,COUNTIF($C$1:$C4481,1),"")</f>
        <v/>
      </c>
      <c r="E4481" s="7"/>
    </row>
    <row r="4482" spans="3:5">
      <c r="C4482" s="17">
        <f t="shared" ref="C4482:C4545" si="70">--ISNUMBER(SEARCH($B$1,A4482))</f>
        <v>0</v>
      </c>
      <c r="D4482" s="17" t="str">
        <f>IF(C4482=1,COUNTIF($C$1:$C4482,1),"")</f>
        <v/>
      </c>
      <c r="E4482" s="7"/>
    </row>
    <row r="4483" spans="3:5">
      <c r="C4483" s="17">
        <f t="shared" si="70"/>
        <v>0</v>
      </c>
      <c r="D4483" s="17" t="str">
        <f>IF(C4483=1,COUNTIF($C$1:$C4483,1),"")</f>
        <v/>
      </c>
      <c r="E4483" s="7"/>
    </row>
    <row r="4484" spans="3:5">
      <c r="C4484" s="17">
        <f t="shared" si="70"/>
        <v>0</v>
      </c>
      <c r="D4484" s="17" t="str">
        <f>IF(C4484=1,COUNTIF($C$1:$C4484,1),"")</f>
        <v/>
      </c>
      <c r="E4484" s="7"/>
    </row>
    <row r="4485" spans="3:5">
      <c r="C4485" s="17">
        <f t="shared" si="70"/>
        <v>0</v>
      </c>
      <c r="D4485" s="17" t="str">
        <f>IF(C4485=1,COUNTIF($C$1:$C4485,1),"")</f>
        <v/>
      </c>
      <c r="E4485" s="7"/>
    </row>
    <row r="4486" spans="3:5">
      <c r="C4486" s="17">
        <f t="shared" si="70"/>
        <v>0</v>
      </c>
      <c r="D4486" s="17" t="str">
        <f>IF(C4486=1,COUNTIF($C$1:$C4486,1),"")</f>
        <v/>
      </c>
      <c r="E4486" s="7"/>
    </row>
    <row r="4487" spans="3:5">
      <c r="C4487" s="17">
        <f t="shared" si="70"/>
        <v>0</v>
      </c>
      <c r="D4487" s="17" t="str">
        <f>IF(C4487=1,COUNTIF($C$1:$C4487,1),"")</f>
        <v/>
      </c>
      <c r="E4487" s="7"/>
    </row>
    <row r="4488" spans="3:5">
      <c r="C4488" s="17">
        <f t="shared" si="70"/>
        <v>0</v>
      </c>
      <c r="D4488" s="17" t="str">
        <f>IF(C4488=1,COUNTIF($C$1:$C4488,1),"")</f>
        <v/>
      </c>
      <c r="E4488" s="7"/>
    </row>
    <row r="4489" spans="3:5">
      <c r="C4489" s="17">
        <f t="shared" si="70"/>
        <v>0</v>
      </c>
      <c r="D4489" s="17" t="str">
        <f>IF(C4489=1,COUNTIF($C$1:$C4489,1),"")</f>
        <v/>
      </c>
      <c r="E4489" s="7"/>
    </row>
    <row r="4490" spans="3:5">
      <c r="C4490" s="17">
        <f t="shared" si="70"/>
        <v>0</v>
      </c>
      <c r="D4490" s="17" t="str">
        <f>IF(C4490=1,COUNTIF($C$1:$C4490,1),"")</f>
        <v/>
      </c>
      <c r="E4490" s="7"/>
    </row>
    <row r="4491" spans="3:5">
      <c r="C4491" s="17">
        <f t="shared" si="70"/>
        <v>0</v>
      </c>
      <c r="D4491" s="17" t="str">
        <f>IF(C4491=1,COUNTIF($C$1:$C4491,1),"")</f>
        <v/>
      </c>
      <c r="E4491" s="7"/>
    </row>
    <row r="4492" spans="3:5">
      <c r="C4492" s="17">
        <f t="shared" si="70"/>
        <v>0</v>
      </c>
      <c r="D4492" s="17" t="str">
        <f>IF(C4492=1,COUNTIF($C$1:$C4492,1),"")</f>
        <v/>
      </c>
      <c r="E4492" s="7"/>
    </row>
    <row r="4493" spans="3:5">
      <c r="C4493" s="17">
        <f t="shared" si="70"/>
        <v>0</v>
      </c>
      <c r="D4493" s="17" t="str">
        <f>IF(C4493=1,COUNTIF($C$1:$C4493,1),"")</f>
        <v/>
      </c>
      <c r="E4493" s="7"/>
    </row>
    <row r="4494" spans="3:5">
      <c r="C4494" s="17">
        <f t="shared" si="70"/>
        <v>0</v>
      </c>
      <c r="D4494" s="17" t="str">
        <f>IF(C4494=1,COUNTIF($C$1:$C4494,1),"")</f>
        <v/>
      </c>
      <c r="E4494" s="7"/>
    </row>
    <row r="4495" spans="3:5">
      <c r="C4495" s="17">
        <f t="shared" si="70"/>
        <v>0</v>
      </c>
      <c r="D4495" s="17" t="str">
        <f>IF(C4495=1,COUNTIF($C$1:$C4495,1),"")</f>
        <v/>
      </c>
      <c r="E4495" s="7"/>
    </row>
    <row r="4496" spans="3:5">
      <c r="C4496" s="17">
        <f t="shared" si="70"/>
        <v>0</v>
      </c>
      <c r="D4496" s="17" t="str">
        <f>IF(C4496=1,COUNTIF($C$1:$C4496,1),"")</f>
        <v/>
      </c>
      <c r="E4496" s="7"/>
    </row>
    <row r="4497" spans="3:5">
      <c r="C4497" s="17">
        <f t="shared" si="70"/>
        <v>0</v>
      </c>
      <c r="D4497" s="17" t="str">
        <f>IF(C4497=1,COUNTIF($C$1:$C4497,1),"")</f>
        <v/>
      </c>
      <c r="E4497" s="7"/>
    </row>
    <row r="4498" spans="3:5">
      <c r="C4498" s="17">
        <f t="shared" si="70"/>
        <v>0</v>
      </c>
      <c r="D4498" s="17" t="str">
        <f>IF(C4498=1,COUNTIF($C$1:$C4498,1),"")</f>
        <v/>
      </c>
      <c r="E4498" s="7"/>
    </row>
    <row r="4499" spans="3:5">
      <c r="C4499" s="17">
        <f t="shared" si="70"/>
        <v>0</v>
      </c>
      <c r="D4499" s="17" t="str">
        <f>IF(C4499=1,COUNTIF($C$1:$C4499,1),"")</f>
        <v/>
      </c>
      <c r="E4499" s="7"/>
    </row>
    <row r="4500" spans="3:5">
      <c r="C4500" s="17">
        <f t="shared" si="70"/>
        <v>0</v>
      </c>
      <c r="D4500" s="17" t="str">
        <f>IF(C4500=1,COUNTIF($C$1:$C4500,1),"")</f>
        <v/>
      </c>
      <c r="E4500" s="7"/>
    </row>
    <row r="4501" spans="3:5">
      <c r="C4501" s="17">
        <f t="shared" si="70"/>
        <v>0</v>
      </c>
      <c r="D4501" s="17" t="str">
        <f>IF(C4501=1,COUNTIF($C$1:$C4501,1),"")</f>
        <v/>
      </c>
      <c r="E4501" s="7"/>
    </row>
    <row r="4502" spans="3:5">
      <c r="C4502" s="17">
        <f t="shared" si="70"/>
        <v>0</v>
      </c>
      <c r="D4502" s="17" t="str">
        <f>IF(C4502=1,COUNTIF($C$1:$C4502,1),"")</f>
        <v/>
      </c>
      <c r="E4502" s="7"/>
    </row>
    <row r="4503" spans="3:5">
      <c r="C4503" s="17">
        <f t="shared" si="70"/>
        <v>0</v>
      </c>
      <c r="D4503" s="17" t="str">
        <f>IF(C4503=1,COUNTIF($C$1:$C4503,1),"")</f>
        <v/>
      </c>
      <c r="E4503" s="7"/>
    </row>
    <row r="4504" spans="3:5">
      <c r="C4504" s="17">
        <f t="shared" si="70"/>
        <v>0</v>
      </c>
      <c r="D4504" s="17" t="str">
        <f>IF(C4504=1,COUNTIF($C$1:$C4504,1),"")</f>
        <v/>
      </c>
      <c r="E4504" s="7"/>
    </row>
    <row r="4505" spans="3:5">
      <c r="C4505" s="17">
        <f t="shared" si="70"/>
        <v>0</v>
      </c>
      <c r="D4505" s="17" t="str">
        <f>IF(C4505=1,COUNTIF($C$1:$C4505,1),"")</f>
        <v/>
      </c>
      <c r="E4505" s="7"/>
    </row>
    <row r="4506" spans="3:5">
      <c r="C4506" s="17">
        <f t="shared" si="70"/>
        <v>0</v>
      </c>
      <c r="D4506" s="17" t="str">
        <f>IF(C4506=1,COUNTIF($C$1:$C4506,1),"")</f>
        <v/>
      </c>
      <c r="E4506" s="7"/>
    </row>
    <row r="4507" spans="3:5">
      <c r="C4507" s="17">
        <f t="shared" si="70"/>
        <v>0</v>
      </c>
      <c r="D4507" s="17" t="str">
        <f>IF(C4507=1,COUNTIF($C$1:$C4507,1),"")</f>
        <v/>
      </c>
      <c r="E4507" s="7"/>
    </row>
    <row r="4508" spans="3:5">
      <c r="C4508" s="17">
        <f t="shared" si="70"/>
        <v>0</v>
      </c>
      <c r="D4508" s="17" t="str">
        <f>IF(C4508=1,COUNTIF($C$1:$C4508,1),"")</f>
        <v/>
      </c>
      <c r="E4508" s="7"/>
    </row>
    <row r="4509" spans="3:5">
      <c r="C4509" s="17">
        <f t="shared" si="70"/>
        <v>0</v>
      </c>
      <c r="D4509" s="17" t="str">
        <f>IF(C4509=1,COUNTIF($C$1:$C4509,1),"")</f>
        <v/>
      </c>
      <c r="E4509" s="7"/>
    </row>
    <row r="4510" spans="3:5">
      <c r="C4510" s="17">
        <f t="shared" si="70"/>
        <v>0</v>
      </c>
      <c r="D4510" s="17" t="str">
        <f>IF(C4510=1,COUNTIF($C$1:$C4510,1),"")</f>
        <v/>
      </c>
      <c r="E4510" s="7"/>
    </row>
    <row r="4511" spans="3:5">
      <c r="C4511" s="17">
        <f t="shared" si="70"/>
        <v>0</v>
      </c>
      <c r="D4511" s="17" t="str">
        <f>IF(C4511=1,COUNTIF($C$1:$C4511,1),"")</f>
        <v/>
      </c>
      <c r="E4511" s="7"/>
    </row>
    <row r="4512" spans="3:5">
      <c r="C4512" s="17">
        <f t="shared" si="70"/>
        <v>0</v>
      </c>
      <c r="D4512" s="17" t="str">
        <f>IF(C4512=1,COUNTIF($C$1:$C4512,1),"")</f>
        <v/>
      </c>
      <c r="E4512" s="7"/>
    </row>
    <row r="4513" spans="3:5">
      <c r="C4513" s="17">
        <f t="shared" si="70"/>
        <v>0</v>
      </c>
      <c r="D4513" s="17" t="str">
        <f>IF(C4513=1,COUNTIF($C$1:$C4513,1),"")</f>
        <v/>
      </c>
      <c r="E4513" s="7"/>
    </row>
    <row r="4514" spans="3:5">
      <c r="C4514" s="17">
        <f t="shared" si="70"/>
        <v>0</v>
      </c>
      <c r="D4514" s="17" t="str">
        <f>IF(C4514=1,COUNTIF($C$1:$C4514,1),"")</f>
        <v/>
      </c>
      <c r="E4514" s="7"/>
    </row>
    <row r="4515" spans="3:5">
      <c r="C4515" s="17">
        <f t="shared" si="70"/>
        <v>0</v>
      </c>
      <c r="D4515" s="17" t="str">
        <f>IF(C4515=1,COUNTIF($C$1:$C4515,1),"")</f>
        <v/>
      </c>
      <c r="E4515" s="7"/>
    </row>
    <row r="4516" spans="3:5">
      <c r="C4516" s="17">
        <f t="shared" si="70"/>
        <v>0</v>
      </c>
      <c r="D4516" s="17" t="str">
        <f>IF(C4516=1,COUNTIF($C$1:$C4516,1),"")</f>
        <v/>
      </c>
      <c r="E4516" s="7"/>
    </row>
    <row r="4517" spans="3:5">
      <c r="C4517" s="17">
        <f t="shared" si="70"/>
        <v>0</v>
      </c>
      <c r="D4517" s="17" t="str">
        <f>IF(C4517=1,COUNTIF($C$1:$C4517,1),"")</f>
        <v/>
      </c>
      <c r="E4517" s="7"/>
    </row>
    <row r="4518" spans="3:5">
      <c r="C4518" s="17">
        <f t="shared" si="70"/>
        <v>0</v>
      </c>
      <c r="D4518" s="17" t="str">
        <f>IF(C4518=1,COUNTIF($C$1:$C4518,1),"")</f>
        <v/>
      </c>
      <c r="E4518" s="7"/>
    </row>
    <row r="4519" spans="3:5">
      <c r="C4519" s="17">
        <f t="shared" si="70"/>
        <v>0</v>
      </c>
      <c r="D4519" s="17" t="str">
        <f>IF(C4519=1,COUNTIF($C$1:$C4519,1),"")</f>
        <v/>
      </c>
      <c r="E4519" s="7"/>
    </row>
    <row r="4520" spans="3:5">
      <c r="C4520" s="17">
        <f t="shared" si="70"/>
        <v>0</v>
      </c>
      <c r="D4520" s="17" t="str">
        <f>IF(C4520=1,COUNTIF($C$1:$C4520,1),"")</f>
        <v/>
      </c>
      <c r="E4520" s="7"/>
    </row>
    <row r="4521" spans="3:5">
      <c r="C4521" s="17">
        <f t="shared" si="70"/>
        <v>0</v>
      </c>
      <c r="D4521" s="17" t="str">
        <f>IF(C4521=1,COUNTIF($C$1:$C4521,1),"")</f>
        <v/>
      </c>
      <c r="E4521" s="7"/>
    </row>
    <row r="4522" spans="3:5">
      <c r="C4522" s="17">
        <f t="shared" si="70"/>
        <v>0</v>
      </c>
      <c r="D4522" s="17" t="str">
        <f>IF(C4522=1,COUNTIF($C$1:$C4522,1),"")</f>
        <v/>
      </c>
      <c r="E4522" s="7"/>
    </row>
    <row r="4523" spans="3:5">
      <c r="C4523" s="17">
        <f t="shared" si="70"/>
        <v>0</v>
      </c>
      <c r="D4523" s="17" t="str">
        <f>IF(C4523=1,COUNTIF($C$1:$C4523,1),"")</f>
        <v/>
      </c>
      <c r="E4523" s="7"/>
    </row>
    <row r="4524" spans="3:5">
      <c r="C4524" s="17">
        <f t="shared" si="70"/>
        <v>0</v>
      </c>
      <c r="D4524" s="17" t="str">
        <f>IF(C4524=1,COUNTIF($C$1:$C4524,1),"")</f>
        <v/>
      </c>
      <c r="E4524" s="7"/>
    </row>
    <row r="4525" spans="3:5">
      <c r="C4525" s="17">
        <f t="shared" si="70"/>
        <v>0</v>
      </c>
      <c r="D4525" s="17" t="str">
        <f>IF(C4525=1,COUNTIF($C$1:$C4525,1),"")</f>
        <v/>
      </c>
      <c r="E4525" s="7"/>
    </row>
    <row r="4526" spans="3:5">
      <c r="C4526" s="17">
        <f t="shared" si="70"/>
        <v>0</v>
      </c>
      <c r="D4526" s="17" t="str">
        <f>IF(C4526=1,COUNTIF($C$1:$C4526,1),"")</f>
        <v/>
      </c>
      <c r="E4526" s="7"/>
    </row>
    <row r="4527" spans="3:5">
      <c r="C4527" s="17">
        <f t="shared" si="70"/>
        <v>0</v>
      </c>
      <c r="D4527" s="17" t="str">
        <f>IF(C4527=1,COUNTIF($C$1:$C4527,1),"")</f>
        <v/>
      </c>
      <c r="E4527" s="7"/>
    </row>
    <row r="4528" spans="3:5">
      <c r="C4528" s="17">
        <f t="shared" si="70"/>
        <v>0</v>
      </c>
      <c r="D4528" s="17" t="str">
        <f>IF(C4528=1,COUNTIF($C$1:$C4528,1),"")</f>
        <v/>
      </c>
      <c r="E4528" s="7"/>
    </row>
    <row r="4529" spans="3:5">
      <c r="C4529" s="17">
        <f t="shared" si="70"/>
        <v>0</v>
      </c>
      <c r="D4529" s="17" t="str">
        <f>IF(C4529=1,COUNTIF($C$1:$C4529,1),"")</f>
        <v/>
      </c>
      <c r="E4529" s="7"/>
    </row>
    <row r="4530" spans="3:5">
      <c r="C4530" s="17">
        <f t="shared" si="70"/>
        <v>0</v>
      </c>
      <c r="D4530" s="17" t="str">
        <f>IF(C4530=1,COUNTIF($C$1:$C4530,1),"")</f>
        <v/>
      </c>
      <c r="E4530" s="7"/>
    </row>
    <row r="4531" spans="3:5">
      <c r="C4531" s="17">
        <f t="shared" si="70"/>
        <v>0</v>
      </c>
      <c r="D4531" s="17" t="str">
        <f>IF(C4531=1,COUNTIF($C$1:$C4531,1),"")</f>
        <v/>
      </c>
      <c r="E4531" s="7"/>
    </row>
    <row r="4532" spans="3:5">
      <c r="C4532" s="17">
        <f t="shared" si="70"/>
        <v>0</v>
      </c>
      <c r="D4532" s="17" t="str">
        <f>IF(C4532=1,COUNTIF($C$1:$C4532,1),"")</f>
        <v/>
      </c>
      <c r="E4532" s="7"/>
    </row>
    <row r="4533" spans="3:5">
      <c r="C4533" s="17">
        <f t="shared" si="70"/>
        <v>0</v>
      </c>
      <c r="D4533" s="17" t="str">
        <f>IF(C4533=1,COUNTIF($C$1:$C4533,1),"")</f>
        <v/>
      </c>
      <c r="E4533" s="7"/>
    </row>
    <row r="4534" spans="3:5">
      <c r="C4534" s="17">
        <f t="shared" si="70"/>
        <v>0</v>
      </c>
      <c r="D4534" s="17" t="str">
        <f>IF(C4534=1,COUNTIF($C$1:$C4534,1),"")</f>
        <v/>
      </c>
      <c r="E4534" s="7"/>
    </row>
    <row r="4535" spans="3:5">
      <c r="C4535" s="17">
        <f t="shared" si="70"/>
        <v>0</v>
      </c>
      <c r="D4535" s="17" t="str">
        <f>IF(C4535=1,COUNTIF($C$1:$C4535,1),"")</f>
        <v/>
      </c>
      <c r="E4535" s="7"/>
    </row>
    <row r="4536" spans="3:5">
      <c r="C4536" s="17">
        <f t="shared" si="70"/>
        <v>0</v>
      </c>
      <c r="D4536" s="17" t="str">
        <f>IF(C4536=1,COUNTIF($C$1:$C4536,1),"")</f>
        <v/>
      </c>
      <c r="E4536" s="7"/>
    </row>
    <row r="4537" spans="3:5">
      <c r="C4537" s="17">
        <f t="shared" si="70"/>
        <v>0</v>
      </c>
      <c r="D4537" s="17" t="str">
        <f>IF(C4537=1,COUNTIF($C$1:$C4537,1),"")</f>
        <v/>
      </c>
      <c r="E4537" s="7"/>
    </row>
    <row r="4538" spans="3:5">
      <c r="C4538" s="17">
        <f t="shared" si="70"/>
        <v>0</v>
      </c>
      <c r="D4538" s="17" t="str">
        <f>IF(C4538=1,COUNTIF($C$1:$C4538,1),"")</f>
        <v/>
      </c>
      <c r="E4538" s="7"/>
    </row>
    <row r="4539" spans="3:5">
      <c r="C4539" s="17">
        <f t="shared" si="70"/>
        <v>0</v>
      </c>
      <c r="D4539" s="17" t="str">
        <f>IF(C4539=1,COUNTIF($C$1:$C4539,1),"")</f>
        <v/>
      </c>
      <c r="E4539" s="7"/>
    </row>
    <row r="4540" spans="3:5">
      <c r="C4540" s="17">
        <f t="shared" si="70"/>
        <v>0</v>
      </c>
      <c r="D4540" s="17" t="str">
        <f>IF(C4540=1,COUNTIF($C$1:$C4540,1),"")</f>
        <v/>
      </c>
      <c r="E4540" s="7"/>
    </row>
    <row r="4541" spans="3:5">
      <c r="C4541" s="17">
        <f t="shared" si="70"/>
        <v>0</v>
      </c>
      <c r="D4541" s="17" t="str">
        <f>IF(C4541=1,COUNTIF($C$1:$C4541,1),"")</f>
        <v/>
      </c>
      <c r="E4541" s="7"/>
    </row>
    <row r="4542" spans="3:5">
      <c r="C4542" s="17">
        <f t="shared" si="70"/>
        <v>0</v>
      </c>
      <c r="D4542" s="17" t="str">
        <f>IF(C4542=1,COUNTIF($C$1:$C4542,1),"")</f>
        <v/>
      </c>
      <c r="E4542" s="7"/>
    </row>
    <row r="4543" spans="3:5">
      <c r="C4543" s="17">
        <f t="shared" si="70"/>
        <v>0</v>
      </c>
      <c r="D4543" s="17" t="str">
        <f>IF(C4543=1,COUNTIF($C$1:$C4543,1),"")</f>
        <v/>
      </c>
      <c r="E4543" s="7"/>
    </row>
    <row r="4544" spans="3:5">
      <c r="C4544" s="17">
        <f t="shared" si="70"/>
        <v>0</v>
      </c>
      <c r="D4544" s="17" t="str">
        <f>IF(C4544=1,COUNTIF($C$1:$C4544,1),"")</f>
        <v/>
      </c>
      <c r="E4544" s="7"/>
    </row>
    <row r="4545" spans="3:5">
      <c r="C4545" s="17">
        <f t="shared" si="70"/>
        <v>0</v>
      </c>
      <c r="D4545" s="17" t="str">
        <f>IF(C4545=1,COUNTIF($C$1:$C4545,1),"")</f>
        <v/>
      </c>
      <c r="E4545" s="7"/>
    </row>
    <row r="4546" spans="3:5">
      <c r="C4546" s="17">
        <f t="shared" ref="C4546:C4609" si="71">--ISNUMBER(SEARCH($B$1,A4546))</f>
        <v>0</v>
      </c>
      <c r="D4546" s="17" t="str">
        <f>IF(C4546=1,COUNTIF($C$1:$C4546,1),"")</f>
        <v/>
      </c>
      <c r="E4546" s="7"/>
    </row>
    <row r="4547" spans="3:5">
      <c r="C4547" s="17">
        <f t="shared" si="71"/>
        <v>0</v>
      </c>
      <c r="D4547" s="17" t="str">
        <f>IF(C4547=1,COUNTIF($C$1:$C4547,1),"")</f>
        <v/>
      </c>
      <c r="E4547" s="7"/>
    </row>
    <row r="4548" spans="3:5">
      <c r="C4548" s="17">
        <f t="shared" si="71"/>
        <v>0</v>
      </c>
      <c r="D4548" s="17" t="str">
        <f>IF(C4548=1,COUNTIF($C$1:$C4548,1),"")</f>
        <v/>
      </c>
      <c r="E4548" s="7"/>
    </row>
    <row r="4549" spans="3:5">
      <c r="C4549" s="17">
        <f t="shared" si="71"/>
        <v>0</v>
      </c>
      <c r="D4549" s="17" t="str">
        <f>IF(C4549=1,COUNTIF($C$1:$C4549,1),"")</f>
        <v/>
      </c>
      <c r="E4549" s="7"/>
    </row>
    <row r="4550" spans="3:5">
      <c r="C4550" s="17">
        <f t="shared" si="71"/>
        <v>0</v>
      </c>
      <c r="D4550" s="17" t="str">
        <f>IF(C4550=1,COUNTIF($C$1:$C4550,1),"")</f>
        <v/>
      </c>
      <c r="E4550" s="7"/>
    </row>
    <row r="4551" spans="3:5">
      <c r="C4551" s="17">
        <f t="shared" si="71"/>
        <v>0</v>
      </c>
      <c r="D4551" s="17" t="str">
        <f>IF(C4551=1,COUNTIF($C$1:$C4551,1),"")</f>
        <v/>
      </c>
      <c r="E4551" s="7"/>
    </row>
    <row r="4552" spans="3:5">
      <c r="C4552" s="17">
        <f t="shared" si="71"/>
        <v>0</v>
      </c>
      <c r="D4552" s="17" t="str">
        <f>IF(C4552=1,COUNTIF($C$1:$C4552,1),"")</f>
        <v/>
      </c>
      <c r="E4552" s="7"/>
    </row>
    <row r="4553" spans="3:5">
      <c r="C4553" s="17">
        <f t="shared" si="71"/>
        <v>0</v>
      </c>
      <c r="D4553" s="17" t="str">
        <f>IF(C4553=1,COUNTIF($C$1:$C4553,1),"")</f>
        <v/>
      </c>
      <c r="E4553" s="7"/>
    </row>
    <row r="4554" spans="3:5">
      <c r="C4554" s="17">
        <f t="shared" si="71"/>
        <v>0</v>
      </c>
      <c r="D4554" s="17" t="str">
        <f>IF(C4554=1,COUNTIF($C$1:$C4554,1),"")</f>
        <v/>
      </c>
      <c r="E4554" s="7"/>
    </row>
    <row r="4555" spans="3:5">
      <c r="C4555" s="17">
        <f t="shared" si="71"/>
        <v>0</v>
      </c>
      <c r="D4555" s="17" t="str">
        <f>IF(C4555=1,COUNTIF($C$1:$C4555,1),"")</f>
        <v/>
      </c>
      <c r="E4555" s="7"/>
    </row>
    <row r="4556" spans="3:5">
      <c r="C4556" s="17">
        <f t="shared" si="71"/>
        <v>0</v>
      </c>
      <c r="D4556" s="17" t="str">
        <f>IF(C4556=1,COUNTIF($C$1:$C4556,1),"")</f>
        <v/>
      </c>
      <c r="E4556" s="7"/>
    </row>
    <row r="4557" spans="3:5">
      <c r="C4557" s="17">
        <f t="shared" si="71"/>
        <v>0</v>
      </c>
      <c r="D4557" s="17" t="str">
        <f>IF(C4557=1,COUNTIF($C$1:$C4557,1),"")</f>
        <v/>
      </c>
      <c r="E4557" s="7"/>
    </row>
    <row r="4558" spans="3:5">
      <c r="C4558" s="17">
        <f t="shared" si="71"/>
        <v>0</v>
      </c>
      <c r="D4558" s="17" t="str">
        <f>IF(C4558=1,COUNTIF($C$1:$C4558,1),"")</f>
        <v/>
      </c>
      <c r="E4558" s="7"/>
    </row>
    <row r="4559" spans="3:5">
      <c r="C4559" s="17">
        <f t="shared" si="71"/>
        <v>0</v>
      </c>
      <c r="D4559" s="17" t="str">
        <f>IF(C4559=1,COUNTIF($C$1:$C4559,1),"")</f>
        <v/>
      </c>
      <c r="E4559" s="7"/>
    </row>
    <row r="4560" spans="3:5">
      <c r="C4560" s="17">
        <f t="shared" si="71"/>
        <v>0</v>
      </c>
      <c r="D4560" s="17" t="str">
        <f>IF(C4560=1,COUNTIF($C$1:$C4560,1),"")</f>
        <v/>
      </c>
      <c r="E4560" s="7"/>
    </row>
    <row r="4561" spans="3:5">
      <c r="C4561" s="17">
        <f t="shared" si="71"/>
        <v>0</v>
      </c>
      <c r="D4561" s="17" t="str">
        <f>IF(C4561=1,COUNTIF($C$1:$C4561,1),"")</f>
        <v/>
      </c>
      <c r="E4561" s="7"/>
    </row>
    <row r="4562" spans="3:5">
      <c r="C4562" s="17">
        <f t="shared" si="71"/>
        <v>0</v>
      </c>
      <c r="D4562" s="17" t="str">
        <f>IF(C4562=1,COUNTIF($C$1:$C4562,1),"")</f>
        <v/>
      </c>
      <c r="E4562" s="7"/>
    </row>
    <row r="4563" spans="3:5">
      <c r="C4563" s="17">
        <f t="shared" si="71"/>
        <v>0</v>
      </c>
      <c r="D4563" s="17" t="str">
        <f>IF(C4563=1,COUNTIF($C$1:$C4563,1),"")</f>
        <v/>
      </c>
      <c r="E4563" s="7"/>
    </row>
    <row r="4564" spans="3:5">
      <c r="C4564" s="17">
        <f t="shared" si="71"/>
        <v>0</v>
      </c>
      <c r="D4564" s="17" t="str">
        <f>IF(C4564=1,COUNTIF($C$1:$C4564,1),"")</f>
        <v/>
      </c>
      <c r="E4564" s="7"/>
    </row>
    <row r="4565" spans="3:5">
      <c r="C4565" s="17">
        <f t="shared" si="71"/>
        <v>0</v>
      </c>
      <c r="D4565" s="17" t="str">
        <f>IF(C4565=1,COUNTIF($C$1:$C4565,1),"")</f>
        <v/>
      </c>
      <c r="E4565" s="7"/>
    </row>
    <row r="4566" spans="3:5">
      <c r="C4566" s="17">
        <f t="shared" si="71"/>
        <v>0</v>
      </c>
      <c r="D4566" s="17" t="str">
        <f>IF(C4566=1,COUNTIF($C$1:$C4566,1),"")</f>
        <v/>
      </c>
      <c r="E4566" s="7"/>
    </row>
    <row r="4567" spans="3:5">
      <c r="C4567" s="17">
        <f t="shared" si="71"/>
        <v>0</v>
      </c>
      <c r="D4567" s="17" t="str">
        <f>IF(C4567=1,COUNTIF($C$1:$C4567,1),"")</f>
        <v/>
      </c>
      <c r="E4567" s="7"/>
    </row>
    <row r="4568" spans="3:5">
      <c r="C4568" s="17">
        <f t="shared" si="71"/>
        <v>0</v>
      </c>
      <c r="D4568" s="17" t="str">
        <f>IF(C4568=1,COUNTIF($C$1:$C4568,1),"")</f>
        <v/>
      </c>
      <c r="E4568" s="7"/>
    </row>
    <row r="4569" spans="3:5">
      <c r="C4569" s="17">
        <f t="shared" si="71"/>
        <v>0</v>
      </c>
      <c r="D4569" s="17" t="str">
        <f>IF(C4569=1,COUNTIF($C$1:$C4569,1),"")</f>
        <v/>
      </c>
      <c r="E4569" s="7"/>
    </row>
    <row r="4570" spans="3:5">
      <c r="C4570" s="17">
        <f t="shared" si="71"/>
        <v>0</v>
      </c>
      <c r="D4570" s="17" t="str">
        <f>IF(C4570=1,COUNTIF($C$1:$C4570,1),"")</f>
        <v/>
      </c>
      <c r="E4570" s="7"/>
    </row>
    <row r="4571" spans="3:5">
      <c r="C4571" s="17">
        <f t="shared" si="71"/>
        <v>0</v>
      </c>
      <c r="D4571" s="17" t="str">
        <f>IF(C4571=1,COUNTIF($C$1:$C4571,1),"")</f>
        <v/>
      </c>
      <c r="E4571" s="7"/>
    </row>
    <row r="4572" spans="3:5">
      <c r="C4572" s="17">
        <f t="shared" si="71"/>
        <v>0</v>
      </c>
      <c r="D4572" s="17" t="str">
        <f>IF(C4572=1,COUNTIF($C$1:$C4572,1),"")</f>
        <v/>
      </c>
      <c r="E4572" s="7"/>
    </row>
    <row r="4573" spans="3:5">
      <c r="C4573" s="17">
        <f t="shared" si="71"/>
        <v>0</v>
      </c>
      <c r="D4573" s="17" t="str">
        <f>IF(C4573=1,COUNTIF($C$1:$C4573,1),"")</f>
        <v/>
      </c>
      <c r="E4573" s="7"/>
    </row>
    <row r="4574" spans="3:5">
      <c r="C4574" s="17">
        <f t="shared" si="71"/>
        <v>0</v>
      </c>
      <c r="D4574" s="17" t="str">
        <f>IF(C4574=1,COUNTIF($C$1:$C4574,1),"")</f>
        <v/>
      </c>
      <c r="E4574" s="7"/>
    </row>
    <row r="4575" spans="3:5">
      <c r="C4575" s="17">
        <f t="shared" si="71"/>
        <v>0</v>
      </c>
      <c r="D4575" s="17" t="str">
        <f>IF(C4575=1,COUNTIF($C$1:$C4575,1),"")</f>
        <v/>
      </c>
      <c r="E4575" s="7"/>
    </row>
    <row r="4576" spans="3:5">
      <c r="C4576" s="17">
        <f t="shared" si="71"/>
        <v>0</v>
      </c>
      <c r="D4576" s="17" t="str">
        <f>IF(C4576=1,COUNTIF($C$1:$C4576,1),"")</f>
        <v/>
      </c>
      <c r="E4576" s="7"/>
    </row>
    <row r="4577" spans="3:5">
      <c r="C4577" s="17">
        <f t="shared" si="71"/>
        <v>0</v>
      </c>
      <c r="D4577" s="17" t="str">
        <f>IF(C4577=1,COUNTIF($C$1:$C4577,1),"")</f>
        <v/>
      </c>
      <c r="E4577" s="7"/>
    </row>
    <row r="4578" spans="3:5">
      <c r="C4578" s="17">
        <f t="shared" si="71"/>
        <v>0</v>
      </c>
      <c r="D4578" s="17" t="str">
        <f>IF(C4578=1,COUNTIF($C$1:$C4578,1),"")</f>
        <v/>
      </c>
      <c r="E4578" s="7"/>
    </row>
    <row r="4579" spans="3:5">
      <c r="C4579" s="17">
        <f t="shared" si="71"/>
        <v>0</v>
      </c>
      <c r="D4579" s="17" t="str">
        <f>IF(C4579=1,COUNTIF($C$1:$C4579,1),"")</f>
        <v/>
      </c>
      <c r="E4579" s="7"/>
    </row>
    <row r="4580" spans="3:5">
      <c r="C4580" s="17">
        <f t="shared" si="71"/>
        <v>0</v>
      </c>
      <c r="D4580" s="17" t="str">
        <f>IF(C4580=1,COUNTIF($C$1:$C4580,1),"")</f>
        <v/>
      </c>
      <c r="E4580" s="7"/>
    </row>
    <row r="4581" spans="3:5">
      <c r="C4581" s="17">
        <f t="shared" si="71"/>
        <v>0</v>
      </c>
      <c r="D4581" s="17" t="str">
        <f>IF(C4581=1,COUNTIF($C$1:$C4581,1),"")</f>
        <v/>
      </c>
      <c r="E4581" s="7"/>
    </row>
    <row r="4582" spans="3:5">
      <c r="C4582" s="17">
        <f t="shared" si="71"/>
        <v>0</v>
      </c>
      <c r="D4582" s="17" t="str">
        <f>IF(C4582=1,COUNTIF($C$1:$C4582,1),"")</f>
        <v/>
      </c>
      <c r="E4582" s="7"/>
    </row>
    <row r="4583" spans="3:5">
      <c r="C4583" s="17">
        <f t="shared" si="71"/>
        <v>0</v>
      </c>
      <c r="D4583" s="17" t="str">
        <f>IF(C4583=1,COUNTIF($C$1:$C4583,1),"")</f>
        <v/>
      </c>
      <c r="E4583" s="7"/>
    </row>
    <row r="4584" spans="3:5">
      <c r="C4584" s="17">
        <f t="shared" si="71"/>
        <v>0</v>
      </c>
      <c r="D4584" s="17" t="str">
        <f>IF(C4584=1,COUNTIF($C$1:$C4584,1),"")</f>
        <v/>
      </c>
      <c r="E4584" s="7"/>
    </row>
    <row r="4585" spans="3:5">
      <c r="C4585" s="17">
        <f t="shared" si="71"/>
        <v>0</v>
      </c>
      <c r="D4585" s="17" t="str">
        <f>IF(C4585=1,COUNTIF($C$1:$C4585,1),"")</f>
        <v/>
      </c>
      <c r="E4585" s="7"/>
    </row>
    <row r="4586" spans="3:5">
      <c r="C4586" s="17">
        <f t="shared" si="71"/>
        <v>0</v>
      </c>
      <c r="D4586" s="17" t="str">
        <f>IF(C4586=1,COUNTIF($C$1:$C4586,1),"")</f>
        <v/>
      </c>
      <c r="E4586" s="7"/>
    </row>
    <row r="4587" spans="3:5">
      <c r="C4587" s="17">
        <f t="shared" si="71"/>
        <v>0</v>
      </c>
      <c r="D4587" s="17" t="str">
        <f>IF(C4587=1,COUNTIF($C$1:$C4587,1),"")</f>
        <v/>
      </c>
      <c r="E4587" s="7"/>
    </row>
    <row r="4588" spans="3:5">
      <c r="C4588" s="17">
        <f t="shared" si="71"/>
        <v>0</v>
      </c>
      <c r="D4588" s="17" t="str">
        <f>IF(C4588=1,COUNTIF($C$1:$C4588,1),"")</f>
        <v/>
      </c>
      <c r="E4588" s="7"/>
    </row>
    <row r="4589" spans="3:5">
      <c r="C4589" s="17">
        <f t="shared" si="71"/>
        <v>0</v>
      </c>
      <c r="D4589" s="17" t="str">
        <f>IF(C4589=1,COUNTIF($C$1:$C4589,1),"")</f>
        <v/>
      </c>
      <c r="E4589" s="7"/>
    </row>
    <row r="4590" spans="3:5">
      <c r="C4590" s="17">
        <f t="shared" si="71"/>
        <v>0</v>
      </c>
      <c r="D4590" s="17" t="str">
        <f>IF(C4590=1,COUNTIF($C$1:$C4590,1),"")</f>
        <v/>
      </c>
      <c r="E4590" s="7"/>
    </row>
    <row r="4591" spans="3:5">
      <c r="C4591" s="17">
        <f t="shared" si="71"/>
        <v>0</v>
      </c>
      <c r="D4591" s="17" t="str">
        <f>IF(C4591=1,COUNTIF($C$1:$C4591,1),"")</f>
        <v/>
      </c>
      <c r="E4591" s="7"/>
    </row>
    <row r="4592" spans="3:5">
      <c r="C4592" s="17">
        <f t="shared" si="71"/>
        <v>0</v>
      </c>
      <c r="D4592" s="17" t="str">
        <f>IF(C4592=1,COUNTIF($C$1:$C4592,1),"")</f>
        <v/>
      </c>
      <c r="E4592" s="7"/>
    </row>
    <row r="4593" spans="3:5">
      <c r="C4593" s="17">
        <f t="shared" si="71"/>
        <v>0</v>
      </c>
      <c r="D4593" s="17" t="str">
        <f>IF(C4593=1,COUNTIF($C$1:$C4593,1),"")</f>
        <v/>
      </c>
      <c r="E4593" s="7"/>
    </row>
    <row r="4594" spans="3:5">
      <c r="C4594" s="17">
        <f t="shared" si="71"/>
        <v>0</v>
      </c>
      <c r="D4594" s="17" t="str">
        <f>IF(C4594=1,COUNTIF($C$1:$C4594,1),"")</f>
        <v/>
      </c>
      <c r="E4594" s="7"/>
    </row>
    <row r="4595" spans="3:5">
      <c r="C4595" s="17">
        <f t="shared" si="71"/>
        <v>0</v>
      </c>
      <c r="D4595" s="17" t="str">
        <f>IF(C4595=1,COUNTIF($C$1:$C4595,1),"")</f>
        <v/>
      </c>
      <c r="E4595" s="7"/>
    </row>
    <row r="4596" spans="3:5">
      <c r="C4596" s="17">
        <f t="shared" si="71"/>
        <v>0</v>
      </c>
      <c r="D4596" s="17" t="str">
        <f>IF(C4596=1,COUNTIF($C$1:$C4596,1),"")</f>
        <v/>
      </c>
      <c r="E4596" s="7"/>
    </row>
    <row r="4597" spans="3:5">
      <c r="C4597" s="17">
        <f t="shared" si="71"/>
        <v>0</v>
      </c>
      <c r="D4597" s="17" t="str">
        <f>IF(C4597=1,COUNTIF($C$1:$C4597,1),"")</f>
        <v/>
      </c>
      <c r="E4597" s="7"/>
    </row>
    <row r="4598" spans="3:5">
      <c r="C4598" s="17">
        <f t="shared" si="71"/>
        <v>0</v>
      </c>
      <c r="D4598" s="17" t="str">
        <f>IF(C4598=1,COUNTIF($C$1:$C4598,1),"")</f>
        <v/>
      </c>
      <c r="E4598" s="7"/>
    </row>
    <row r="4599" spans="3:5">
      <c r="C4599" s="17">
        <f t="shared" si="71"/>
        <v>0</v>
      </c>
      <c r="D4599" s="17" t="str">
        <f>IF(C4599=1,COUNTIF($C$1:$C4599,1),"")</f>
        <v/>
      </c>
      <c r="E4599" s="7"/>
    </row>
    <row r="4600" spans="3:5">
      <c r="C4600" s="17">
        <f t="shared" si="71"/>
        <v>0</v>
      </c>
      <c r="D4600" s="17" t="str">
        <f>IF(C4600=1,COUNTIF($C$1:$C4600,1),"")</f>
        <v/>
      </c>
      <c r="E4600" s="7"/>
    </row>
    <row r="4601" spans="3:5">
      <c r="C4601" s="17">
        <f t="shared" si="71"/>
        <v>0</v>
      </c>
      <c r="D4601" s="17" t="str">
        <f>IF(C4601=1,COUNTIF($C$1:$C4601,1),"")</f>
        <v/>
      </c>
      <c r="E4601" s="7"/>
    </row>
    <row r="4602" spans="3:5">
      <c r="C4602" s="17">
        <f t="shared" si="71"/>
        <v>0</v>
      </c>
      <c r="D4602" s="17" t="str">
        <f>IF(C4602=1,COUNTIF($C$1:$C4602,1),"")</f>
        <v/>
      </c>
      <c r="E4602" s="7"/>
    </row>
    <row r="4603" spans="3:5">
      <c r="C4603" s="17">
        <f t="shared" si="71"/>
        <v>0</v>
      </c>
      <c r="D4603" s="17" t="str">
        <f>IF(C4603=1,COUNTIF($C$1:$C4603,1),"")</f>
        <v/>
      </c>
      <c r="E4603" s="7"/>
    </row>
    <row r="4604" spans="3:5">
      <c r="C4604" s="17">
        <f t="shared" si="71"/>
        <v>0</v>
      </c>
      <c r="D4604" s="17" t="str">
        <f>IF(C4604=1,COUNTIF($C$1:$C4604,1),"")</f>
        <v/>
      </c>
      <c r="E4604" s="7"/>
    </row>
    <row r="4605" spans="3:5">
      <c r="C4605" s="17">
        <f t="shared" si="71"/>
        <v>0</v>
      </c>
      <c r="D4605" s="17" t="str">
        <f>IF(C4605=1,COUNTIF($C$1:$C4605,1),"")</f>
        <v/>
      </c>
      <c r="E4605" s="7"/>
    </row>
    <row r="4606" spans="3:5">
      <c r="C4606" s="17">
        <f t="shared" si="71"/>
        <v>0</v>
      </c>
      <c r="D4606" s="17" t="str">
        <f>IF(C4606=1,COUNTIF($C$1:$C4606,1),"")</f>
        <v/>
      </c>
      <c r="E4606" s="7"/>
    </row>
    <row r="4607" spans="3:5">
      <c r="C4607" s="17">
        <f t="shared" si="71"/>
        <v>0</v>
      </c>
      <c r="D4607" s="17" t="str">
        <f>IF(C4607=1,COUNTIF($C$1:$C4607,1),"")</f>
        <v/>
      </c>
      <c r="E4607" s="7"/>
    </row>
    <row r="4608" spans="3:5">
      <c r="C4608" s="17">
        <f t="shared" si="71"/>
        <v>0</v>
      </c>
      <c r="D4608" s="17" t="str">
        <f>IF(C4608=1,COUNTIF($C$1:$C4608,1),"")</f>
        <v/>
      </c>
      <c r="E4608" s="7"/>
    </row>
    <row r="4609" spans="3:5">
      <c r="C4609" s="17">
        <f t="shared" si="71"/>
        <v>0</v>
      </c>
      <c r="D4609" s="17" t="str">
        <f>IF(C4609=1,COUNTIF($C$1:$C4609,1),"")</f>
        <v/>
      </c>
      <c r="E4609" s="7"/>
    </row>
    <row r="4610" spans="3:5">
      <c r="C4610" s="17">
        <f t="shared" ref="C4610:C4673" si="72">--ISNUMBER(SEARCH($B$1,A4610))</f>
        <v>0</v>
      </c>
      <c r="D4610" s="17" t="str">
        <f>IF(C4610=1,COUNTIF($C$1:$C4610,1),"")</f>
        <v/>
      </c>
      <c r="E4610" s="7"/>
    </row>
    <row r="4611" spans="3:5">
      <c r="C4611" s="17">
        <f t="shared" si="72"/>
        <v>0</v>
      </c>
      <c r="D4611" s="17" t="str">
        <f>IF(C4611=1,COUNTIF($C$1:$C4611,1),"")</f>
        <v/>
      </c>
      <c r="E4611" s="7"/>
    </row>
    <row r="4612" spans="3:5">
      <c r="C4612" s="17">
        <f t="shared" si="72"/>
        <v>0</v>
      </c>
      <c r="D4612" s="17" t="str">
        <f>IF(C4612=1,COUNTIF($C$1:$C4612,1),"")</f>
        <v/>
      </c>
      <c r="E4612" s="7"/>
    </row>
    <row r="4613" spans="3:5">
      <c r="C4613" s="17">
        <f t="shared" si="72"/>
        <v>0</v>
      </c>
      <c r="D4613" s="17" t="str">
        <f>IF(C4613=1,COUNTIF($C$1:$C4613,1),"")</f>
        <v/>
      </c>
      <c r="E4613" s="7"/>
    </row>
    <row r="4614" spans="3:5">
      <c r="C4614" s="17">
        <f t="shared" si="72"/>
        <v>0</v>
      </c>
      <c r="D4614" s="17" t="str">
        <f>IF(C4614=1,COUNTIF($C$1:$C4614,1),"")</f>
        <v/>
      </c>
      <c r="E4614" s="7"/>
    </row>
    <row r="4615" spans="3:5">
      <c r="C4615" s="17">
        <f t="shared" si="72"/>
        <v>0</v>
      </c>
      <c r="D4615" s="17" t="str">
        <f>IF(C4615=1,COUNTIF($C$1:$C4615,1),"")</f>
        <v/>
      </c>
      <c r="E4615" s="7"/>
    </row>
    <row r="4616" spans="3:5">
      <c r="C4616" s="17">
        <f t="shared" si="72"/>
        <v>0</v>
      </c>
      <c r="D4616" s="17" t="str">
        <f>IF(C4616=1,COUNTIF($C$1:$C4616,1),"")</f>
        <v/>
      </c>
      <c r="E4616" s="7"/>
    </row>
    <row r="4617" spans="3:5">
      <c r="C4617" s="17">
        <f t="shared" si="72"/>
        <v>0</v>
      </c>
      <c r="D4617" s="17" t="str">
        <f>IF(C4617=1,COUNTIF($C$1:$C4617,1),"")</f>
        <v/>
      </c>
      <c r="E4617" s="7"/>
    </row>
    <row r="4618" spans="3:5">
      <c r="C4618" s="17">
        <f t="shared" si="72"/>
        <v>0</v>
      </c>
      <c r="D4618" s="17" t="str">
        <f>IF(C4618=1,COUNTIF($C$1:$C4618,1),"")</f>
        <v/>
      </c>
      <c r="E4618" s="7"/>
    </row>
    <row r="4619" spans="3:5">
      <c r="C4619" s="17">
        <f t="shared" si="72"/>
        <v>0</v>
      </c>
      <c r="D4619" s="17" t="str">
        <f>IF(C4619=1,COUNTIF($C$1:$C4619,1),"")</f>
        <v/>
      </c>
      <c r="E4619" s="7"/>
    </row>
    <row r="4620" spans="3:5">
      <c r="C4620" s="17">
        <f t="shared" si="72"/>
        <v>0</v>
      </c>
      <c r="D4620" s="17" t="str">
        <f>IF(C4620=1,COUNTIF($C$1:$C4620,1),"")</f>
        <v/>
      </c>
      <c r="E4620" s="7"/>
    </row>
    <row r="4621" spans="3:5">
      <c r="C4621" s="17">
        <f t="shared" si="72"/>
        <v>0</v>
      </c>
      <c r="D4621" s="17" t="str">
        <f>IF(C4621=1,COUNTIF($C$1:$C4621,1),"")</f>
        <v/>
      </c>
      <c r="E4621" s="7"/>
    </row>
    <row r="4622" spans="3:5">
      <c r="C4622" s="17">
        <f t="shared" si="72"/>
        <v>0</v>
      </c>
      <c r="D4622" s="17" t="str">
        <f>IF(C4622=1,COUNTIF($C$1:$C4622,1),"")</f>
        <v/>
      </c>
      <c r="E4622" s="7"/>
    </row>
    <row r="4623" spans="3:5">
      <c r="C4623" s="17">
        <f t="shared" si="72"/>
        <v>0</v>
      </c>
      <c r="D4623" s="17" t="str">
        <f>IF(C4623=1,COUNTIF($C$1:$C4623,1),"")</f>
        <v/>
      </c>
      <c r="E4623" s="7"/>
    </row>
    <row r="4624" spans="3:5">
      <c r="C4624" s="17">
        <f t="shared" si="72"/>
        <v>0</v>
      </c>
      <c r="D4624" s="17" t="str">
        <f>IF(C4624=1,COUNTIF($C$1:$C4624,1),"")</f>
        <v/>
      </c>
      <c r="E4624" s="7"/>
    </row>
    <row r="4625" spans="3:5">
      <c r="C4625" s="17">
        <f t="shared" si="72"/>
        <v>0</v>
      </c>
      <c r="D4625" s="17" t="str">
        <f>IF(C4625=1,COUNTIF($C$1:$C4625,1),"")</f>
        <v/>
      </c>
      <c r="E4625" s="7"/>
    </row>
    <row r="4626" spans="3:5">
      <c r="C4626" s="17">
        <f t="shared" si="72"/>
        <v>0</v>
      </c>
      <c r="D4626" s="17" t="str">
        <f>IF(C4626=1,COUNTIF($C$1:$C4626,1),"")</f>
        <v/>
      </c>
      <c r="E4626" s="7"/>
    </row>
    <row r="4627" spans="3:5">
      <c r="C4627" s="17">
        <f t="shared" si="72"/>
        <v>0</v>
      </c>
      <c r="D4627" s="17" t="str">
        <f>IF(C4627=1,COUNTIF($C$1:$C4627,1),"")</f>
        <v/>
      </c>
      <c r="E4627" s="7"/>
    </row>
    <row r="4628" spans="3:5">
      <c r="C4628" s="17">
        <f t="shared" si="72"/>
        <v>0</v>
      </c>
      <c r="D4628" s="17" t="str">
        <f>IF(C4628=1,COUNTIF($C$1:$C4628,1),"")</f>
        <v/>
      </c>
      <c r="E4628" s="7"/>
    </row>
    <row r="4629" spans="3:5">
      <c r="C4629" s="17">
        <f t="shared" si="72"/>
        <v>0</v>
      </c>
      <c r="D4629" s="17" t="str">
        <f>IF(C4629=1,COUNTIF($C$1:$C4629,1),"")</f>
        <v/>
      </c>
      <c r="E4629" s="7"/>
    </row>
    <row r="4630" spans="3:5">
      <c r="C4630" s="17">
        <f t="shared" si="72"/>
        <v>0</v>
      </c>
      <c r="D4630" s="17" t="str">
        <f>IF(C4630=1,COUNTIF($C$1:$C4630,1),"")</f>
        <v/>
      </c>
      <c r="E4630" s="7"/>
    </row>
    <row r="4631" spans="3:5">
      <c r="C4631" s="17">
        <f t="shared" si="72"/>
        <v>0</v>
      </c>
      <c r="D4631" s="17" t="str">
        <f>IF(C4631=1,COUNTIF($C$1:$C4631,1),"")</f>
        <v/>
      </c>
      <c r="E4631" s="7"/>
    </row>
    <row r="4632" spans="3:5">
      <c r="C4632" s="17">
        <f t="shared" si="72"/>
        <v>0</v>
      </c>
      <c r="D4632" s="17" t="str">
        <f>IF(C4632=1,COUNTIF($C$1:$C4632,1),"")</f>
        <v/>
      </c>
      <c r="E4632" s="7"/>
    </row>
    <row r="4633" spans="3:5">
      <c r="C4633" s="17">
        <f t="shared" si="72"/>
        <v>0</v>
      </c>
      <c r="D4633" s="17" t="str">
        <f>IF(C4633=1,COUNTIF($C$1:$C4633,1),"")</f>
        <v/>
      </c>
      <c r="E4633" s="7"/>
    </row>
    <row r="4634" spans="3:5">
      <c r="C4634" s="17">
        <f t="shared" si="72"/>
        <v>0</v>
      </c>
      <c r="D4634" s="17" t="str">
        <f>IF(C4634=1,COUNTIF($C$1:$C4634,1),"")</f>
        <v/>
      </c>
      <c r="E4634" s="7"/>
    </row>
    <row r="4635" spans="3:5">
      <c r="C4635" s="17">
        <f t="shared" si="72"/>
        <v>0</v>
      </c>
      <c r="D4635" s="17" t="str">
        <f>IF(C4635=1,COUNTIF($C$1:$C4635,1),"")</f>
        <v/>
      </c>
      <c r="E4635" s="7"/>
    </row>
    <row r="4636" spans="3:5">
      <c r="C4636" s="17">
        <f t="shared" si="72"/>
        <v>0</v>
      </c>
      <c r="D4636" s="17" t="str">
        <f>IF(C4636=1,COUNTIF($C$1:$C4636,1),"")</f>
        <v/>
      </c>
      <c r="E4636" s="7"/>
    </row>
    <row r="4637" spans="3:5">
      <c r="C4637" s="17">
        <f t="shared" si="72"/>
        <v>0</v>
      </c>
      <c r="D4637" s="17" t="str">
        <f>IF(C4637=1,COUNTIF($C$1:$C4637,1),"")</f>
        <v/>
      </c>
      <c r="E4637" s="7"/>
    </row>
    <row r="4638" spans="3:5">
      <c r="C4638" s="17">
        <f t="shared" si="72"/>
        <v>0</v>
      </c>
      <c r="D4638" s="17" t="str">
        <f>IF(C4638=1,COUNTIF($C$1:$C4638,1),"")</f>
        <v/>
      </c>
      <c r="E4638" s="7"/>
    </row>
    <row r="4639" spans="3:5">
      <c r="C4639" s="17">
        <f t="shared" si="72"/>
        <v>0</v>
      </c>
      <c r="D4639" s="17" t="str">
        <f>IF(C4639=1,COUNTIF($C$1:$C4639,1),"")</f>
        <v/>
      </c>
      <c r="E4639" s="7"/>
    </row>
    <row r="4640" spans="3:5">
      <c r="C4640" s="17">
        <f t="shared" si="72"/>
        <v>0</v>
      </c>
      <c r="D4640" s="17" t="str">
        <f>IF(C4640=1,COUNTIF($C$1:$C4640,1),"")</f>
        <v/>
      </c>
      <c r="E4640" s="7"/>
    </row>
    <row r="4641" spans="3:5">
      <c r="C4641" s="17">
        <f t="shared" si="72"/>
        <v>0</v>
      </c>
      <c r="D4641" s="17" t="str">
        <f>IF(C4641=1,COUNTIF($C$1:$C4641,1),"")</f>
        <v/>
      </c>
      <c r="E4641" s="7"/>
    </row>
    <row r="4642" spans="3:5">
      <c r="C4642" s="17">
        <f t="shared" si="72"/>
        <v>0</v>
      </c>
      <c r="D4642" s="17" t="str">
        <f>IF(C4642=1,COUNTIF($C$1:$C4642,1),"")</f>
        <v/>
      </c>
      <c r="E4642" s="7"/>
    </row>
    <row r="4643" spans="3:5">
      <c r="C4643" s="17">
        <f t="shared" si="72"/>
        <v>0</v>
      </c>
      <c r="D4643" s="17" t="str">
        <f>IF(C4643=1,COUNTIF($C$1:$C4643,1),"")</f>
        <v/>
      </c>
      <c r="E4643" s="7"/>
    </row>
    <row r="4644" spans="3:5">
      <c r="C4644" s="17">
        <f t="shared" si="72"/>
        <v>0</v>
      </c>
      <c r="D4644" s="17" t="str">
        <f>IF(C4644=1,COUNTIF($C$1:$C4644,1),"")</f>
        <v/>
      </c>
      <c r="E4644" s="7"/>
    </row>
    <row r="4645" spans="3:5">
      <c r="C4645" s="17">
        <f t="shared" si="72"/>
        <v>0</v>
      </c>
      <c r="D4645" s="17" t="str">
        <f>IF(C4645=1,COUNTIF($C$1:$C4645,1),"")</f>
        <v/>
      </c>
      <c r="E4645" s="7"/>
    </row>
    <row r="4646" spans="3:5">
      <c r="C4646" s="17">
        <f t="shared" si="72"/>
        <v>0</v>
      </c>
      <c r="D4646" s="17" t="str">
        <f>IF(C4646=1,COUNTIF($C$1:$C4646,1),"")</f>
        <v/>
      </c>
      <c r="E4646" s="7"/>
    </row>
    <row r="4647" spans="3:5">
      <c r="C4647" s="17">
        <f t="shared" si="72"/>
        <v>0</v>
      </c>
      <c r="D4647" s="17" t="str">
        <f>IF(C4647=1,COUNTIF($C$1:$C4647,1),"")</f>
        <v/>
      </c>
      <c r="E4647" s="7"/>
    </row>
    <row r="4648" spans="3:5">
      <c r="C4648" s="17">
        <f t="shared" si="72"/>
        <v>0</v>
      </c>
      <c r="D4648" s="17" t="str">
        <f>IF(C4648=1,COUNTIF($C$1:$C4648,1),"")</f>
        <v/>
      </c>
      <c r="E4648" s="7"/>
    </row>
    <row r="4649" spans="3:5">
      <c r="C4649" s="17">
        <f t="shared" si="72"/>
        <v>0</v>
      </c>
      <c r="D4649" s="17" t="str">
        <f>IF(C4649=1,COUNTIF($C$1:$C4649,1),"")</f>
        <v/>
      </c>
      <c r="E4649" s="7"/>
    </row>
    <row r="4650" spans="3:5">
      <c r="C4650" s="17">
        <f t="shared" si="72"/>
        <v>0</v>
      </c>
      <c r="D4650" s="17" t="str">
        <f>IF(C4650=1,COUNTIF($C$1:$C4650,1),"")</f>
        <v/>
      </c>
      <c r="E4650" s="7"/>
    </row>
    <row r="4651" spans="3:5">
      <c r="C4651" s="17">
        <f t="shared" si="72"/>
        <v>0</v>
      </c>
      <c r="D4651" s="17" t="str">
        <f>IF(C4651=1,COUNTIF($C$1:$C4651,1),"")</f>
        <v/>
      </c>
      <c r="E4651" s="7"/>
    </row>
    <row r="4652" spans="3:5">
      <c r="C4652" s="17">
        <f t="shared" si="72"/>
        <v>0</v>
      </c>
      <c r="D4652" s="17" t="str">
        <f>IF(C4652=1,COUNTIF($C$1:$C4652,1),"")</f>
        <v/>
      </c>
      <c r="E4652" s="7"/>
    </row>
    <row r="4653" spans="3:5">
      <c r="C4653" s="17">
        <f t="shared" si="72"/>
        <v>0</v>
      </c>
      <c r="D4653" s="17" t="str">
        <f>IF(C4653=1,COUNTIF($C$1:$C4653,1),"")</f>
        <v/>
      </c>
      <c r="E4653" s="7"/>
    </row>
    <row r="4654" spans="3:5">
      <c r="C4654" s="17">
        <f t="shared" si="72"/>
        <v>0</v>
      </c>
      <c r="D4654" s="17" t="str">
        <f>IF(C4654=1,COUNTIF($C$1:$C4654,1),"")</f>
        <v/>
      </c>
      <c r="E4654" s="7"/>
    </row>
    <row r="4655" spans="3:5">
      <c r="C4655" s="17">
        <f t="shared" si="72"/>
        <v>0</v>
      </c>
      <c r="D4655" s="17" t="str">
        <f>IF(C4655=1,COUNTIF($C$1:$C4655,1),"")</f>
        <v/>
      </c>
      <c r="E4655" s="7"/>
    </row>
    <row r="4656" spans="3:5">
      <c r="C4656" s="17">
        <f t="shared" si="72"/>
        <v>0</v>
      </c>
      <c r="D4656" s="17" t="str">
        <f>IF(C4656=1,COUNTIF($C$1:$C4656,1),"")</f>
        <v/>
      </c>
      <c r="E4656" s="7"/>
    </row>
    <row r="4657" spans="3:5">
      <c r="C4657" s="17">
        <f t="shared" si="72"/>
        <v>0</v>
      </c>
      <c r="D4657" s="17" t="str">
        <f>IF(C4657=1,COUNTIF($C$1:$C4657,1),"")</f>
        <v/>
      </c>
      <c r="E4657" s="7"/>
    </row>
    <row r="4658" spans="3:5">
      <c r="C4658" s="17">
        <f t="shared" si="72"/>
        <v>0</v>
      </c>
      <c r="D4658" s="17" t="str">
        <f>IF(C4658=1,COUNTIF($C$1:$C4658,1),"")</f>
        <v/>
      </c>
      <c r="E4658" s="7"/>
    </row>
    <row r="4659" spans="3:5">
      <c r="C4659" s="17">
        <f t="shared" si="72"/>
        <v>0</v>
      </c>
      <c r="D4659" s="17" t="str">
        <f>IF(C4659=1,COUNTIF($C$1:$C4659,1),"")</f>
        <v/>
      </c>
      <c r="E4659" s="7"/>
    </row>
    <row r="4660" spans="3:5">
      <c r="C4660" s="17">
        <f t="shared" si="72"/>
        <v>0</v>
      </c>
      <c r="D4660" s="17" t="str">
        <f>IF(C4660=1,COUNTIF($C$1:$C4660,1),"")</f>
        <v/>
      </c>
      <c r="E4660" s="7"/>
    </row>
    <row r="4661" spans="3:5">
      <c r="C4661" s="17">
        <f t="shared" si="72"/>
        <v>0</v>
      </c>
      <c r="D4661" s="17" t="str">
        <f>IF(C4661=1,COUNTIF($C$1:$C4661,1),"")</f>
        <v/>
      </c>
      <c r="E4661" s="7"/>
    </row>
    <row r="4662" spans="3:5">
      <c r="C4662" s="17">
        <f t="shared" si="72"/>
        <v>0</v>
      </c>
      <c r="D4662" s="17" t="str">
        <f>IF(C4662=1,COUNTIF($C$1:$C4662,1),"")</f>
        <v/>
      </c>
      <c r="E4662" s="7"/>
    </row>
    <row r="4663" spans="3:5">
      <c r="C4663" s="17">
        <f t="shared" si="72"/>
        <v>0</v>
      </c>
      <c r="D4663" s="17" t="str">
        <f>IF(C4663=1,COUNTIF($C$1:$C4663,1),"")</f>
        <v/>
      </c>
      <c r="E4663" s="7"/>
    </row>
    <row r="4664" spans="3:5">
      <c r="C4664" s="17">
        <f t="shared" si="72"/>
        <v>0</v>
      </c>
      <c r="D4664" s="17" t="str">
        <f>IF(C4664=1,COUNTIF($C$1:$C4664,1),"")</f>
        <v/>
      </c>
      <c r="E4664" s="7"/>
    </row>
    <row r="4665" spans="3:5">
      <c r="C4665" s="17">
        <f t="shared" si="72"/>
        <v>0</v>
      </c>
      <c r="D4665" s="17" t="str">
        <f>IF(C4665=1,COUNTIF($C$1:$C4665,1),"")</f>
        <v/>
      </c>
      <c r="E4665" s="7"/>
    </row>
    <row r="4666" spans="3:5">
      <c r="C4666" s="17">
        <f t="shared" si="72"/>
        <v>0</v>
      </c>
      <c r="D4666" s="17" t="str">
        <f>IF(C4666=1,COUNTIF($C$1:$C4666,1),"")</f>
        <v/>
      </c>
      <c r="E4666" s="7"/>
    </row>
    <row r="4667" spans="3:5">
      <c r="C4667" s="17">
        <f t="shared" si="72"/>
        <v>0</v>
      </c>
      <c r="D4667" s="17" t="str">
        <f>IF(C4667=1,COUNTIF($C$1:$C4667,1),"")</f>
        <v/>
      </c>
      <c r="E4667" s="7"/>
    </row>
    <row r="4668" spans="3:5">
      <c r="C4668" s="17">
        <f t="shared" si="72"/>
        <v>0</v>
      </c>
      <c r="D4668" s="17" t="str">
        <f>IF(C4668=1,COUNTIF($C$1:$C4668,1),"")</f>
        <v/>
      </c>
      <c r="E4668" s="7"/>
    </row>
    <row r="4669" spans="3:5">
      <c r="C4669" s="17">
        <f t="shared" si="72"/>
        <v>0</v>
      </c>
      <c r="D4669" s="17" t="str">
        <f>IF(C4669=1,COUNTIF($C$1:$C4669,1),"")</f>
        <v/>
      </c>
      <c r="E4669" s="7"/>
    </row>
    <row r="4670" spans="3:5">
      <c r="C4670" s="17">
        <f t="shared" si="72"/>
        <v>0</v>
      </c>
      <c r="D4670" s="17" t="str">
        <f>IF(C4670=1,COUNTIF($C$1:$C4670,1),"")</f>
        <v/>
      </c>
      <c r="E4670" s="7"/>
    </row>
    <row r="4671" spans="3:5">
      <c r="C4671" s="17">
        <f t="shared" si="72"/>
        <v>0</v>
      </c>
      <c r="D4671" s="17" t="str">
        <f>IF(C4671=1,COUNTIF($C$1:$C4671,1),"")</f>
        <v/>
      </c>
      <c r="E4671" s="7"/>
    </row>
    <row r="4672" spans="3:5">
      <c r="C4672" s="17">
        <f t="shared" si="72"/>
        <v>0</v>
      </c>
      <c r="D4672" s="17" t="str">
        <f>IF(C4672=1,COUNTIF($C$1:$C4672,1),"")</f>
        <v/>
      </c>
      <c r="E4672" s="7"/>
    </row>
    <row r="4673" spans="3:5">
      <c r="C4673" s="17">
        <f t="shared" si="72"/>
        <v>0</v>
      </c>
      <c r="D4673" s="17" t="str">
        <f>IF(C4673=1,COUNTIF($C$1:$C4673,1),"")</f>
        <v/>
      </c>
      <c r="E4673" s="7"/>
    </row>
    <row r="4674" spans="3:5">
      <c r="C4674" s="17">
        <f t="shared" ref="C4674:C4737" si="73">--ISNUMBER(SEARCH($B$1,A4674))</f>
        <v>0</v>
      </c>
      <c r="D4674" s="17" t="str">
        <f>IF(C4674=1,COUNTIF($C$1:$C4674,1),"")</f>
        <v/>
      </c>
      <c r="E4674" s="7"/>
    </row>
    <row r="4675" spans="3:5">
      <c r="C4675" s="17">
        <f t="shared" si="73"/>
        <v>0</v>
      </c>
      <c r="D4675" s="17" t="str">
        <f>IF(C4675=1,COUNTIF($C$1:$C4675,1),"")</f>
        <v/>
      </c>
      <c r="E4675" s="7"/>
    </row>
    <row r="4676" spans="3:5">
      <c r="C4676" s="17">
        <f t="shared" si="73"/>
        <v>0</v>
      </c>
      <c r="D4676" s="17" t="str">
        <f>IF(C4676=1,COUNTIF($C$1:$C4676,1),"")</f>
        <v/>
      </c>
      <c r="E4676" s="7"/>
    </row>
    <row r="4677" spans="3:5">
      <c r="C4677" s="17">
        <f t="shared" si="73"/>
        <v>0</v>
      </c>
      <c r="D4677" s="17" t="str">
        <f>IF(C4677=1,COUNTIF($C$1:$C4677,1),"")</f>
        <v/>
      </c>
      <c r="E4677" s="7"/>
    </row>
    <row r="4678" spans="3:5">
      <c r="C4678" s="17">
        <f t="shared" si="73"/>
        <v>0</v>
      </c>
      <c r="D4678" s="17" t="str">
        <f>IF(C4678=1,COUNTIF($C$1:$C4678,1),"")</f>
        <v/>
      </c>
      <c r="E4678" s="7"/>
    </row>
    <row r="4679" spans="3:5">
      <c r="C4679" s="17">
        <f t="shared" si="73"/>
        <v>0</v>
      </c>
      <c r="D4679" s="17" t="str">
        <f>IF(C4679=1,COUNTIF($C$1:$C4679,1),"")</f>
        <v/>
      </c>
      <c r="E4679" s="7"/>
    </row>
    <row r="4680" spans="3:5">
      <c r="C4680" s="17">
        <f t="shared" si="73"/>
        <v>0</v>
      </c>
      <c r="D4680" s="17" t="str">
        <f>IF(C4680=1,COUNTIF($C$1:$C4680,1),"")</f>
        <v/>
      </c>
      <c r="E4680" s="7"/>
    </row>
    <row r="4681" spans="3:5">
      <c r="C4681" s="17">
        <f t="shared" si="73"/>
        <v>0</v>
      </c>
      <c r="D4681" s="17" t="str">
        <f>IF(C4681=1,COUNTIF($C$1:$C4681,1),"")</f>
        <v/>
      </c>
      <c r="E4681" s="7"/>
    </row>
    <row r="4682" spans="3:5">
      <c r="C4682" s="17">
        <f t="shared" si="73"/>
        <v>0</v>
      </c>
      <c r="D4682" s="17" t="str">
        <f>IF(C4682=1,COUNTIF($C$1:$C4682,1),"")</f>
        <v/>
      </c>
      <c r="E4682" s="7"/>
    </row>
    <row r="4683" spans="3:5">
      <c r="C4683" s="17">
        <f t="shared" si="73"/>
        <v>0</v>
      </c>
      <c r="D4683" s="17" t="str">
        <f>IF(C4683=1,COUNTIF($C$1:$C4683,1),"")</f>
        <v/>
      </c>
      <c r="E4683" s="7"/>
    </row>
    <row r="4684" spans="3:5">
      <c r="C4684" s="17">
        <f t="shared" si="73"/>
        <v>0</v>
      </c>
      <c r="D4684" s="17" t="str">
        <f>IF(C4684=1,COUNTIF($C$1:$C4684,1),"")</f>
        <v/>
      </c>
      <c r="E4684" s="7"/>
    </row>
    <row r="4685" spans="3:5">
      <c r="C4685" s="17">
        <f t="shared" si="73"/>
        <v>0</v>
      </c>
      <c r="D4685" s="17" t="str">
        <f>IF(C4685=1,COUNTIF($C$1:$C4685,1),"")</f>
        <v/>
      </c>
      <c r="E4685" s="7"/>
    </row>
    <row r="4686" spans="3:5">
      <c r="C4686" s="17">
        <f t="shared" si="73"/>
        <v>0</v>
      </c>
      <c r="D4686" s="17" t="str">
        <f>IF(C4686=1,COUNTIF($C$1:$C4686,1),"")</f>
        <v/>
      </c>
      <c r="E4686" s="7"/>
    </row>
    <row r="4687" spans="3:5">
      <c r="C4687" s="17">
        <f t="shared" si="73"/>
        <v>0</v>
      </c>
      <c r="D4687" s="17" t="str">
        <f>IF(C4687=1,COUNTIF($C$1:$C4687,1),"")</f>
        <v/>
      </c>
      <c r="E4687" s="7"/>
    </row>
    <row r="4688" spans="3:5">
      <c r="C4688" s="17">
        <f t="shared" si="73"/>
        <v>0</v>
      </c>
      <c r="D4688" s="17" t="str">
        <f>IF(C4688=1,COUNTIF($C$1:$C4688,1),"")</f>
        <v/>
      </c>
      <c r="E4688" s="7"/>
    </row>
    <row r="4689" spans="3:5">
      <c r="C4689" s="17">
        <f t="shared" si="73"/>
        <v>0</v>
      </c>
      <c r="D4689" s="17" t="str">
        <f>IF(C4689=1,COUNTIF($C$1:$C4689,1),"")</f>
        <v/>
      </c>
      <c r="E4689" s="7"/>
    </row>
    <row r="4690" spans="3:5">
      <c r="C4690" s="17">
        <f t="shared" si="73"/>
        <v>0</v>
      </c>
      <c r="D4690" s="17" t="str">
        <f>IF(C4690=1,COUNTIF($C$1:$C4690,1),"")</f>
        <v/>
      </c>
      <c r="E4690" s="7"/>
    </row>
    <row r="4691" spans="3:5">
      <c r="C4691" s="17">
        <f t="shared" si="73"/>
        <v>0</v>
      </c>
      <c r="D4691" s="17" t="str">
        <f>IF(C4691=1,COUNTIF($C$1:$C4691,1),"")</f>
        <v/>
      </c>
      <c r="E4691" s="7"/>
    </row>
    <row r="4692" spans="3:5">
      <c r="C4692" s="17">
        <f t="shared" si="73"/>
        <v>0</v>
      </c>
      <c r="D4692" s="17" t="str">
        <f>IF(C4692=1,COUNTIF($C$1:$C4692,1),"")</f>
        <v/>
      </c>
      <c r="E4692" s="7"/>
    </row>
    <row r="4693" spans="3:5">
      <c r="C4693" s="17">
        <f t="shared" si="73"/>
        <v>0</v>
      </c>
      <c r="D4693" s="17" t="str">
        <f>IF(C4693=1,COUNTIF($C$1:$C4693,1),"")</f>
        <v/>
      </c>
      <c r="E4693" s="7"/>
    </row>
    <row r="4694" spans="3:5">
      <c r="C4694" s="17">
        <f t="shared" si="73"/>
        <v>0</v>
      </c>
      <c r="D4694" s="17" t="str">
        <f>IF(C4694=1,COUNTIF($C$1:$C4694,1),"")</f>
        <v/>
      </c>
      <c r="E4694" s="7"/>
    </row>
    <row r="4695" spans="3:5">
      <c r="C4695" s="17">
        <f t="shared" si="73"/>
        <v>0</v>
      </c>
      <c r="D4695" s="17" t="str">
        <f>IF(C4695=1,COUNTIF($C$1:$C4695,1),"")</f>
        <v/>
      </c>
      <c r="E4695" s="7"/>
    </row>
    <row r="4696" spans="3:5">
      <c r="C4696" s="17">
        <f t="shared" si="73"/>
        <v>0</v>
      </c>
      <c r="D4696" s="17" t="str">
        <f>IF(C4696=1,COUNTIF($C$1:$C4696,1),"")</f>
        <v/>
      </c>
      <c r="E4696" s="7"/>
    </row>
    <row r="4697" spans="3:5">
      <c r="C4697" s="17">
        <f t="shared" si="73"/>
        <v>0</v>
      </c>
      <c r="D4697" s="17" t="str">
        <f>IF(C4697=1,COUNTIF($C$1:$C4697,1),"")</f>
        <v/>
      </c>
      <c r="E4697" s="7"/>
    </row>
    <row r="4698" spans="3:5">
      <c r="C4698" s="17">
        <f t="shared" si="73"/>
        <v>0</v>
      </c>
      <c r="D4698" s="17" t="str">
        <f>IF(C4698=1,COUNTIF($C$1:$C4698,1),"")</f>
        <v/>
      </c>
      <c r="E4698" s="7"/>
    </row>
    <row r="4699" spans="3:5">
      <c r="C4699" s="17">
        <f t="shared" si="73"/>
        <v>0</v>
      </c>
      <c r="D4699" s="17" t="str">
        <f>IF(C4699=1,COUNTIF($C$1:$C4699,1),"")</f>
        <v/>
      </c>
      <c r="E4699" s="7"/>
    </row>
    <row r="4700" spans="3:5">
      <c r="C4700" s="17">
        <f t="shared" si="73"/>
        <v>0</v>
      </c>
      <c r="D4700" s="17" t="str">
        <f>IF(C4700=1,COUNTIF($C$1:$C4700,1),"")</f>
        <v/>
      </c>
      <c r="E4700" s="7"/>
    </row>
    <row r="4701" spans="3:5">
      <c r="C4701" s="17">
        <f t="shared" si="73"/>
        <v>0</v>
      </c>
      <c r="D4701" s="17" t="str">
        <f>IF(C4701=1,COUNTIF($C$1:$C4701,1),"")</f>
        <v/>
      </c>
      <c r="E4701" s="7"/>
    </row>
    <row r="4702" spans="3:5">
      <c r="C4702" s="17">
        <f t="shared" si="73"/>
        <v>0</v>
      </c>
      <c r="D4702" s="17" t="str">
        <f>IF(C4702=1,COUNTIF($C$1:$C4702,1),"")</f>
        <v/>
      </c>
      <c r="E4702" s="7"/>
    </row>
    <row r="4703" spans="3:5">
      <c r="C4703" s="17">
        <f t="shared" si="73"/>
        <v>0</v>
      </c>
      <c r="D4703" s="17" t="str">
        <f>IF(C4703=1,COUNTIF($C$1:$C4703,1),"")</f>
        <v/>
      </c>
      <c r="E4703" s="7"/>
    </row>
    <row r="4704" spans="3:5">
      <c r="C4704" s="17">
        <f t="shared" si="73"/>
        <v>0</v>
      </c>
      <c r="D4704" s="17" t="str">
        <f>IF(C4704=1,COUNTIF($C$1:$C4704,1),"")</f>
        <v/>
      </c>
      <c r="E4704" s="7"/>
    </row>
    <row r="4705" spans="3:5">
      <c r="C4705" s="17">
        <f t="shared" si="73"/>
        <v>0</v>
      </c>
      <c r="D4705" s="17" t="str">
        <f>IF(C4705=1,COUNTIF($C$1:$C4705,1),"")</f>
        <v/>
      </c>
      <c r="E4705" s="7"/>
    </row>
    <row r="4706" spans="3:5">
      <c r="C4706" s="17">
        <f t="shared" si="73"/>
        <v>0</v>
      </c>
      <c r="D4706" s="17" t="str">
        <f>IF(C4706=1,COUNTIF($C$1:$C4706,1),"")</f>
        <v/>
      </c>
      <c r="E4706" s="7"/>
    </row>
    <row r="4707" spans="3:5">
      <c r="C4707" s="17">
        <f t="shared" si="73"/>
        <v>0</v>
      </c>
      <c r="D4707" s="17" t="str">
        <f>IF(C4707=1,COUNTIF($C$1:$C4707,1),"")</f>
        <v/>
      </c>
      <c r="E4707" s="7"/>
    </row>
    <row r="4708" spans="3:5">
      <c r="C4708" s="17">
        <f t="shared" si="73"/>
        <v>0</v>
      </c>
      <c r="D4708" s="17" t="str">
        <f>IF(C4708=1,COUNTIF($C$1:$C4708,1),"")</f>
        <v/>
      </c>
      <c r="E4708" s="7"/>
    </row>
    <row r="4709" spans="3:5">
      <c r="C4709" s="17">
        <f t="shared" si="73"/>
        <v>0</v>
      </c>
      <c r="D4709" s="17" t="str">
        <f>IF(C4709=1,COUNTIF($C$1:$C4709,1),"")</f>
        <v/>
      </c>
      <c r="E4709" s="7"/>
    </row>
    <row r="4710" spans="3:5">
      <c r="C4710" s="17">
        <f t="shared" si="73"/>
        <v>0</v>
      </c>
      <c r="D4710" s="17" t="str">
        <f>IF(C4710=1,COUNTIF($C$1:$C4710,1),"")</f>
        <v/>
      </c>
      <c r="E4710" s="7"/>
    </row>
    <row r="4711" spans="3:5">
      <c r="C4711" s="17">
        <f t="shared" si="73"/>
        <v>0</v>
      </c>
      <c r="D4711" s="17" t="str">
        <f>IF(C4711=1,COUNTIF($C$1:$C4711,1),"")</f>
        <v/>
      </c>
      <c r="E4711" s="7"/>
    </row>
    <row r="4712" spans="3:5">
      <c r="C4712" s="17">
        <f t="shared" si="73"/>
        <v>0</v>
      </c>
      <c r="D4712" s="17" t="str">
        <f>IF(C4712=1,COUNTIF($C$1:$C4712,1),"")</f>
        <v/>
      </c>
      <c r="E4712" s="7"/>
    </row>
    <row r="4713" spans="3:5">
      <c r="C4713" s="17">
        <f t="shared" si="73"/>
        <v>0</v>
      </c>
      <c r="D4713" s="17" t="str">
        <f>IF(C4713=1,COUNTIF($C$1:$C4713,1),"")</f>
        <v/>
      </c>
      <c r="E4713" s="7"/>
    </row>
    <row r="4714" spans="3:5">
      <c r="C4714" s="17">
        <f t="shared" si="73"/>
        <v>0</v>
      </c>
      <c r="D4714" s="17" t="str">
        <f>IF(C4714=1,COUNTIF($C$1:$C4714,1),"")</f>
        <v/>
      </c>
      <c r="E4714" s="7"/>
    </row>
    <row r="4715" spans="3:5">
      <c r="C4715" s="17">
        <f t="shared" si="73"/>
        <v>0</v>
      </c>
      <c r="D4715" s="17" t="str">
        <f>IF(C4715=1,COUNTIF($C$1:$C4715,1),"")</f>
        <v/>
      </c>
      <c r="E4715" s="7"/>
    </row>
    <row r="4716" spans="3:5">
      <c r="C4716" s="17">
        <f t="shared" si="73"/>
        <v>0</v>
      </c>
      <c r="D4716" s="17" t="str">
        <f>IF(C4716=1,COUNTIF($C$1:$C4716,1),"")</f>
        <v/>
      </c>
      <c r="E4716" s="7"/>
    </row>
    <row r="4717" spans="3:5">
      <c r="C4717" s="17">
        <f t="shared" si="73"/>
        <v>0</v>
      </c>
      <c r="D4717" s="17" t="str">
        <f>IF(C4717=1,COUNTIF($C$1:$C4717,1),"")</f>
        <v/>
      </c>
      <c r="E4717" s="7"/>
    </row>
    <row r="4718" spans="3:5">
      <c r="C4718" s="17">
        <f t="shared" si="73"/>
        <v>0</v>
      </c>
      <c r="D4718" s="17" t="str">
        <f>IF(C4718=1,COUNTIF($C$1:$C4718,1),"")</f>
        <v/>
      </c>
      <c r="E4718" s="7"/>
    </row>
    <row r="4719" spans="3:5">
      <c r="C4719" s="17">
        <f t="shared" si="73"/>
        <v>0</v>
      </c>
      <c r="D4719" s="17" t="str">
        <f>IF(C4719=1,COUNTIF($C$1:$C4719,1),"")</f>
        <v/>
      </c>
      <c r="E4719" s="7"/>
    </row>
    <row r="4720" spans="3:5">
      <c r="C4720" s="17">
        <f t="shared" si="73"/>
        <v>0</v>
      </c>
      <c r="D4720" s="17" t="str">
        <f>IF(C4720=1,COUNTIF($C$1:$C4720,1),"")</f>
        <v/>
      </c>
      <c r="E4720" s="7"/>
    </row>
    <row r="4721" spans="3:5">
      <c r="C4721" s="17">
        <f t="shared" si="73"/>
        <v>0</v>
      </c>
      <c r="D4721" s="17" t="str">
        <f>IF(C4721=1,COUNTIF($C$1:$C4721,1),"")</f>
        <v/>
      </c>
      <c r="E4721" s="7"/>
    </row>
    <row r="4722" spans="3:5">
      <c r="C4722" s="17">
        <f t="shared" si="73"/>
        <v>0</v>
      </c>
      <c r="D4722" s="17" t="str">
        <f>IF(C4722=1,COUNTIF($C$1:$C4722,1),"")</f>
        <v/>
      </c>
      <c r="E4722" s="7"/>
    </row>
    <row r="4723" spans="3:5">
      <c r="C4723" s="17">
        <f t="shared" si="73"/>
        <v>0</v>
      </c>
      <c r="D4723" s="17" t="str">
        <f>IF(C4723=1,COUNTIF($C$1:$C4723,1),"")</f>
        <v/>
      </c>
      <c r="E4723" s="7"/>
    </row>
    <row r="4724" spans="3:5">
      <c r="C4724" s="17">
        <f t="shared" si="73"/>
        <v>0</v>
      </c>
      <c r="D4724" s="17" t="str">
        <f>IF(C4724=1,COUNTIF($C$1:$C4724,1),"")</f>
        <v/>
      </c>
      <c r="E4724" s="7"/>
    </row>
    <row r="4725" spans="3:5">
      <c r="C4725" s="17">
        <f t="shared" si="73"/>
        <v>0</v>
      </c>
      <c r="D4725" s="17" t="str">
        <f>IF(C4725=1,COUNTIF($C$1:$C4725,1),"")</f>
        <v/>
      </c>
      <c r="E4725" s="7"/>
    </row>
    <row r="4726" spans="3:5">
      <c r="C4726" s="17">
        <f t="shared" si="73"/>
        <v>0</v>
      </c>
      <c r="D4726" s="17" t="str">
        <f>IF(C4726=1,COUNTIF($C$1:$C4726,1),"")</f>
        <v/>
      </c>
      <c r="E4726" s="7"/>
    </row>
    <row r="4727" spans="3:5">
      <c r="C4727" s="17">
        <f t="shared" si="73"/>
        <v>0</v>
      </c>
      <c r="D4727" s="17" t="str">
        <f>IF(C4727=1,COUNTIF($C$1:$C4727,1),"")</f>
        <v/>
      </c>
      <c r="E4727" s="7"/>
    </row>
    <row r="4728" spans="3:5">
      <c r="C4728" s="17">
        <f t="shared" si="73"/>
        <v>0</v>
      </c>
      <c r="D4728" s="17" t="str">
        <f>IF(C4728=1,COUNTIF($C$1:$C4728,1),"")</f>
        <v/>
      </c>
      <c r="E4728" s="7"/>
    </row>
    <row r="4729" spans="3:5">
      <c r="C4729" s="17">
        <f t="shared" si="73"/>
        <v>0</v>
      </c>
      <c r="D4729" s="17" t="str">
        <f>IF(C4729=1,COUNTIF($C$1:$C4729,1),"")</f>
        <v/>
      </c>
      <c r="E4729" s="7"/>
    </row>
    <row r="4730" spans="3:5">
      <c r="C4730" s="17">
        <f t="shared" si="73"/>
        <v>0</v>
      </c>
      <c r="D4730" s="17" t="str">
        <f>IF(C4730=1,COUNTIF($C$1:$C4730,1),"")</f>
        <v/>
      </c>
      <c r="E4730" s="7"/>
    </row>
    <row r="4731" spans="3:5">
      <c r="C4731" s="17">
        <f t="shared" si="73"/>
        <v>0</v>
      </c>
      <c r="D4731" s="17" t="str">
        <f>IF(C4731=1,COUNTIF($C$1:$C4731,1),"")</f>
        <v/>
      </c>
      <c r="E4731" s="7"/>
    </row>
    <row r="4732" spans="3:5">
      <c r="C4732" s="17">
        <f t="shared" si="73"/>
        <v>0</v>
      </c>
      <c r="D4732" s="17" t="str">
        <f>IF(C4732=1,COUNTIF($C$1:$C4732,1),"")</f>
        <v/>
      </c>
      <c r="E4732" s="7"/>
    </row>
    <row r="4733" spans="3:5">
      <c r="C4733" s="17">
        <f t="shared" si="73"/>
        <v>0</v>
      </c>
      <c r="D4733" s="17" t="str">
        <f>IF(C4733=1,COUNTIF($C$1:$C4733,1),"")</f>
        <v/>
      </c>
      <c r="E4733" s="7"/>
    </row>
    <row r="4734" spans="3:5">
      <c r="C4734" s="17">
        <f t="shared" si="73"/>
        <v>0</v>
      </c>
      <c r="D4734" s="17" t="str">
        <f>IF(C4734=1,COUNTIF($C$1:$C4734,1),"")</f>
        <v/>
      </c>
      <c r="E4734" s="7"/>
    </row>
    <row r="4735" spans="3:5">
      <c r="C4735" s="17">
        <f t="shared" si="73"/>
        <v>0</v>
      </c>
      <c r="D4735" s="17" t="str">
        <f>IF(C4735=1,COUNTIF($C$1:$C4735,1),"")</f>
        <v/>
      </c>
      <c r="E4735" s="7"/>
    </row>
    <row r="4736" spans="3:5">
      <c r="C4736" s="17">
        <f t="shared" si="73"/>
        <v>0</v>
      </c>
      <c r="D4736" s="17" t="str">
        <f>IF(C4736=1,COUNTIF($C$1:$C4736,1),"")</f>
        <v/>
      </c>
      <c r="E4736" s="7"/>
    </row>
    <row r="4737" spans="3:5">
      <c r="C4737" s="17">
        <f t="shared" si="73"/>
        <v>0</v>
      </c>
      <c r="D4737" s="17" t="str">
        <f>IF(C4737=1,COUNTIF($C$1:$C4737,1),"")</f>
        <v/>
      </c>
      <c r="E4737" s="7"/>
    </row>
    <row r="4738" spans="3:5">
      <c r="C4738" s="17">
        <f t="shared" ref="C4738:C4801" si="74">--ISNUMBER(SEARCH($B$1,A4738))</f>
        <v>0</v>
      </c>
      <c r="D4738" s="17" t="str">
        <f>IF(C4738=1,COUNTIF($C$1:$C4738,1),"")</f>
        <v/>
      </c>
      <c r="E4738" s="7"/>
    </row>
    <row r="4739" spans="3:5">
      <c r="C4739" s="17">
        <f t="shared" si="74"/>
        <v>0</v>
      </c>
      <c r="D4739" s="17" t="str">
        <f>IF(C4739=1,COUNTIF($C$1:$C4739,1),"")</f>
        <v/>
      </c>
      <c r="E4739" s="7"/>
    </row>
    <row r="4740" spans="3:5">
      <c r="C4740" s="17">
        <f t="shared" si="74"/>
        <v>0</v>
      </c>
      <c r="D4740" s="17" t="str">
        <f>IF(C4740=1,COUNTIF($C$1:$C4740,1),"")</f>
        <v/>
      </c>
      <c r="E4740" s="7"/>
    </row>
    <row r="4741" spans="3:5">
      <c r="C4741" s="17">
        <f t="shared" si="74"/>
        <v>0</v>
      </c>
      <c r="D4741" s="17" t="str">
        <f>IF(C4741=1,COUNTIF($C$1:$C4741,1),"")</f>
        <v/>
      </c>
      <c r="E4741" s="7"/>
    </row>
    <row r="4742" spans="3:5">
      <c r="C4742" s="17">
        <f t="shared" si="74"/>
        <v>0</v>
      </c>
      <c r="D4742" s="17" t="str">
        <f>IF(C4742=1,COUNTIF($C$1:$C4742,1),"")</f>
        <v/>
      </c>
      <c r="E4742" s="7"/>
    </row>
    <row r="4743" spans="3:5">
      <c r="C4743" s="17">
        <f t="shared" si="74"/>
        <v>0</v>
      </c>
      <c r="D4743" s="17" t="str">
        <f>IF(C4743=1,COUNTIF($C$1:$C4743,1),"")</f>
        <v/>
      </c>
      <c r="E4743" s="7"/>
    </row>
    <row r="4744" spans="3:5">
      <c r="C4744" s="17">
        <f t="shared" si="74"/>
        <v>0</v>
      </c>
      <c r="D4744" s="17" t="str">
        <f>IF(C4744=1,COUNTIF($C$1:$C4744,1),"")</f>
        <v/>
      </c>
      <c r="E4744" s="7"/>
    </row>
    <row r="4745" spans="3:5">
      <c r="C4745" s="17">
        <f t="shared" si="74"/>
        <v>0</v>
      </c>
      <c r="D4745" s="17" t="str">
        <f>IF(C4745=1,COUNTIF($C$1:$C4745,1),"")</f>
        <v/>
      </c>
      <c r="E4745" s="7"/>
    </row>
    <row r="4746" spans="3:5">
      <c r="C4746" s="17">
        <f t="shared" si="74"/>
        <v>0</v>
      </c>
      <c r="D4746" s="17" t="str">
        <f>IF(C4746=1,COUNTIF($C$1:$C4746,1),"")</f>
        <v/>
      </c>
      <c r="E4746" s="7"/>
    </row>
    <row r="4747" spans="3:5">
      <c r="C4747" s="17">
        <f t="shared" si="74"/>
        <v>0</v>
      </c>
      <c r="D4747" s="17" t="str">
        <f>IF(C4747=1,COUNTIF($C$1:$C4747,1),"")</f>
        <v/>
      </c>
      <c r="E4747" s="7"/>
    </row>
    <row r="4748" spans="3:5">
      <c r="C4748" s="17">
        <f t="shared" si="74"/>
        <v>0</v>
      </c>
      <c r="D4748" s="17" t="str">
        <f>IF(C4748=1,COUNTIF($C$1:$C4748,1),"")</f>
        <v/>
      </c>
      <c r="E4748" s="7"/>
    </row>
    <row r="4749" spans="3:5">
      <c r="C4749" s="17">
        <f t="shared" si="74"/>
        <v>0</v>
      </c>
      <c r="D4749" s="17" t="str">
        <f>IF(C4749=1,COUNTIF($C$1:$C4749,1),"")</f>
        <v/>
      </c>
      <c r="E4749" s="7"/>
    </row>
    <row r="4750" spans="3:5">
      <c r="C4750" s="17">
        <f t="shared" si="74"/>
        <v>0</v>
      </c>
      <c r="D4750" s="17" t="str">
        <f>IF(C4750=1,COUNTIF($C$1:$C4750,1),"")</f>
        <v/>
      </c>
      <c r="E4750" s="7"/>
    </row>
    <row r="4751" spans="3:5">
      <c r="C4751" s="17">
        <f t="shared" si="74"/>
        <v>0</v>
      </c>
      <c r="D4751" s="17" t="str">
        <f>IF(C4751=1,COUNTIF($C$1:$C4751,1),"")</f>
        <v/>
      </c>
      <c r="E4751" s="7"/>
    </row>
    <row r="4752" spans="3:5">
      <c r="C4752" s="17">
        <f t="shared" si="74"/>
        <v>0</v>
      </c>
      <c r="D4752" s="17" t="str">
        <f>IF(C4752=1,COUNTIF($C$1:$C4752,1),"")</f>
        <v/>
      </c>
      <c r="E4752" s="7"/>
    </row>
    <row r="4753" spans="3:5">
      <c r="C4753" s="17">
        <f t="shared" si="74"/>
        <v>0</v>
      </c>
      <c r="D4753" s="17" t="str">
        <f>IF(C4753=1,COUNTIF($C$1:$C4753,1),"")</f>
        <v/>
      </c>
      <c r="E4753" s="7"/>
    </row>
    <row r="4754" spans="3:5">
      <c r="C4754" s="17">
        <f t="shared" si="74"/>
        <v>0</v>
      </c>
      <c r="D4754" s="17" t="str">
        <f>IF(C4754=1,COUNTIF($C$1:$C4754,1),"")</f>
        <v/>
      </c>
      <c r="E4754" s="7"/>
    </row>
    <row r="4755" spans="3:5">
      <c r="C4755" s="17">
        <f t="shared" si="74"/>
        <v>0</v>
      </c>
      <c r="D4755" s="17" t="str">
        <f>IF(C4755=1,COUNTIF($C$1:$C4755,1),"")</f>
        <v/>
      </c>
      <c r="E4755" s="7"/>
    </row>
    <row r="4756" spans="3:5">
      <c r="C4756" s="17">
        <f t="shared" si="74"/>
        <v>0</v>
      </c>
      <c r="D4756" s="17" t="str">
        <f>IF(C4756=1,COUNTIF($C$1:$C4756,1),"")</f>
        <v/>
      </c>
      <c r="E4756" s="7"/>
    </row>
    <row r="4757" spans="3:5">
      <c r="C4757" s="17">
        <f t="shared" si="74"/>
        <v>0</v>
      </c>
      <c r="D4757" s="17" t="str">
        <f>IF(C4757=1,COUNTIF($C$1:$C4757,1),"")</f>
        <v/>
      </c>
      <c r="E4757" s="7"/>
    </row>
    <row r="4758" spans="3:5">
      <c r="C4758" s="17">
        <f t="shared" si="74"/>
        <v>0</v>
      </c>
      <c r="D4758" s="17" t="str">
        <f>IF(C4758=1,COUNTIF($C$1:$C4758,1),"")</f>
        <v/>
      </c>
      <c r="E4758" s="7"/>
    </row>
    <row r="4759" spans="3:5">
      <c r="C4759" s="17">
        <f t="shared" si="74"/>
        <v>0</v>
      </c>
      <c r="D4759" s="17" t="str">
        <f>IF(C4759=1,COUNTIF($C$1:$C4759,1),"")</f>
        <v/>
      </c>
      <c r="E4759" s="7"/>
    </row>
    <row r="4760" spans="3:5">
      <c r="C4760" s="17">
        <f t="shared" si="74"/>
        <v>0</v>
      </c>
      <c r="D4760" s="17" t="str">
        <f>IF(C4760=1,COUNTIF($C$1:$C4760,1),"")</f>
        <v/>
      </c>
      <c r="E4760" s="7"/>
    </row>
    <row r="4761" spans="3:5">
      <c r="C4761" s="17">
        <f t="shared" si="74"/>
        <v>0</v>
      </c>
      <c r="D4761" s="17" t="str">
        <f>IF(C4761=1,COUNTIF($C$1:$C4761,1),"")</f>
        <v/>
      </c>
      <c r="E4761" s="7"/>
    </row>
    <row r="4762" spans="3:5">
      <c r="C4762" s="17">
        <f t="shared" si="74"/>
        <v>0</v>
      </c>
      <c r="D4762" s="17" t="str">
        <f>IF(C4762=1,COUNTIF($C$1:$C4762,1),"")</f>
        <v/>
      </c>
      <c r="E4762" s="7"/>
    </row>
    <row r="4763" spans="3:5">
      <c r="C4763" s="17">
        <f t="shared" si="74"/>
        <v>0</v>
      </c>
      <c r="D4763" s="17" t="str">
        <f>IF(C4763=1,COUNTIF($C$1:$C4763,1),"")</f>
        <v/>
      </c>
      <c r="E4763" s="7"/>
    </row>
    <row r="4764" spans="3:5">
      <c r="C4764" s="17">
        <f t="shared" si="74"/>
        <v>0</v>
      </c>
      <c r="D4764" s="17" t="str">
        <f>IF(C4764=1,COUNTIF($C$1:$C4764,1),"")</f>
        <v/>
      </c>
      <c r="E4764" s="7"/>
    </row>
    <row r="4765" spans="3:5">
      <c r="C4765" s="17">
        <f t="shared" si="74"/>
        <v>0</v>
      </c>
      <c r="D4765" s="17" t="str">
        <f>IF(C4765=1,COUNTIF($C$1:$C4765,1),"")</f>
        <v/>
      </c>
      <c r="E4765" s="7"/>
    </row>
    <row r="4766" spans="3:5">
      <c r="C4766" s="17">
        <f t="shared" si="74"/>
        <v>0</v>
      </c>
      <c r="D4766" s="17" t="str">
        <f>IF(C4766=1,COUNTIF($C$1:$C4766,1),"")</f>
        <v/>
      </c>
      <c r="E4766" s="7"/>
    </row>
    <row r="4767" spans="3:5">
      <c r="C4767" s="17">
        <f t="shared" si="74"/>
        <v>0</v>
      </c>
      <c r="D4767" s="17" t="str">
        <f>IF(C4767=1,COUNTIF($C$1:$C4767,1),"")</f>
        <v/>
      </c>
      <c r="E4767" s="7"/>
    </row>
    <row r="4768" spans="3:5">
      <c r="C4768" s="17">
        <f t="shared" si="74"/>
        <v>0</v>
      </c>
      <c r="D4768" s="17" t="str">
        <f>IF(C4768=1,COUNTIF($C$1:$C4768,1),"")</f>
        <v/>
      </c>
      <c r="E4768" s="7"/>
    </row>
    <row r="4769" spans="3:5">
      <c r="C4769" s="17">
        <f t="shared" si="74"/>
        <v>0</v>
      </c>
      <c r="D4769" s="17" t="str">
        <f>IF(C4769=1,COUNTIF($C$1:$C4769,1),"")</f>
        <v/>
      </c>
      <c r="E4769" s="7"/>
    </row>
    <row r="4770" spans="3:5">
      <c r="C4770" s="17">
        <f t="shared" si="74"/>
        <v>0</v>
      </c>
      <c r="D4770" s="17" t="str">
        <f>IF(C4770=1,COUNTIF($C$1:$C4770,1),"")</f>
        <v/>
      </c>
      <c r="E4770" s="7"/>
    </row>
    <row r="4771" spans="3:5">
      <c r="C4771" s="17">
        <f t="shared" si="74"/>
        <v>0</v>
      </c>
      <c r="D4771" s="17" t="str">
        <f>IF(C4771=1,COUNTIF($C$1:$C4771,1),"")</f>
        <v/>
      </c>
      <c r="E4771" s="7"/>
    </row>
    <row r="4772" spans="3:5">
      <c r="C4772" s="17">
        <f t="shared" si="74"/>
        <v>0</v>
      </c>
      <c r="D4772" s="17" t="str">
        <f>IF(C4772=1,COUNTIF($C$1:$C4772,1),"")</f>
        <v/>
      </c>
      <c r="E4772" s="7"/>
    </row>
    <row r="4773" spans="3:5">
      <c r="C4773" s="17">
        <f t="shared" si="74"/>
        <v>0</v>
      </c>
      <c r="D4773" s="17" t="str">
        <f>IF(C4773=1,COUNTIF($C$1:$C4773,1),"")</f>
        <v/>
      </c>
      <c r="E4773" s="7"/>
    </row>
    <row r="4774" spans="3:5">
      <c r="C4774" s="17">
        <f t="shared" si="74"/>
        <v>0</v>
      </c>
      <c r="D4774" s="17" t="str">
        <f>IF(C4774=1,COUNTIF($C$1:$C4774,1),"")</f>
        <v/>
      </c>
      <c r="E4774" s="7"/>
    </row>
    <row r="4775" spans="3:5">
      <c r="C4775" s="17">
        <f t="shared" si="74"/>
        <v>0</v>
      </c>
      <c r="D4775" s="17" t="str">
        <f>IF(C4775=1,COUNTIF($C$1:$C4775,1),"")</f>
        <v/>
      </c>
      <c r="E4775" s="7"/>
    </row>
    <row r="4776" spans="3:5">
      <c r="C4776" s="17">
        <f t="shared" si="74"/>
        <v>0</v>
      </c>
      <c r="D4776" s="17" t="str">
        <f>IF(C4776=1,COUNTIF($C$1:$C4776,1),"")</f>
        <v/>
      </c>
      <c r="E4776" s="7"/>
    </row>
    <row r="4777" spans="3:5">
      <c r="C4777" s="17">
        <f t="shared" si="74"/>
        <v>0</v>
      </c>
      <c r="D4777" s="17" t="str">
        <f>IF(C4777=1,COUNTIF($C$1:$C4777,1),"")</f>
        <v/>
      </c>
      <c r="E4777" s="7"/>
    </row>
    <row r="4778" spans="3:5">
      <c r="C4778" s="17">
        <f t="shared" si="74"/>
        <v>0</v>
      </c>
      <c r="D4778" s="17" t="str">
        <f>IF(C4778=1,COUNTIF($C$1:$C4778,1),"")</f>
        <v/>
      </c>
      <c r="E4778" s="7"/>
    </row>
    <row r="4779" spans="3:5">
      <c r="C4779" s="17">
        <f t="shared" si="74"/>
        <v>0</v>
      </c>
      <c r="D4779" s="17" t="str">
        <f>IF(C4779=1,COUNTIF($C$1:$C4779,1),"")</f>
        <v/>
      </c>
      <c r="E4779" s="7"/>
    </row>
    <row r="4780" spans="3:5">
      <c r="C4780" s="17">
        <f t="shared" si="74"/>
        <v>0</v>
      </c>
      <c r="D4780" s="17" t="str">
        <f>IF(C4780=1,COUNTIF($C$1:$C4780,1),"")</f>
        <v/>
      </c>
      <c r="E4780" s="7"/>
    </row>
    <row r="4781" spans="3:5">
      <c r="C4781" s="17">
        <f t="shared" si="74"/>
        <v>0</v>
      </c>
      <c r="D4781" s="17" t="str">
        <f>IF(C4781=1,COUNTIF($C$1:$C4781,1),"")</f>
        <v/>
      </c>
      <c r="E4781" s="7"/>
    </row>
    <row r="4782" spans="3:5">
      <c r="C4782" s="17">
        <f t="shared" si="74"/>
        <v>0</v>
      </c>
      <c r="D4782" s="17" t="str">
        <f>IF(C4782=1,COUNTIF($C$1:$C4782,1),"")</f>
        <v/>
      </c>
      <c r="E4782" s="7"/>
    </row>
    <row r="4783" spans="3:5">
      <c r="C4783" s="17">
        <f t="shared" si="74"/>
        <v>0</v>
      </c>
      <c r="D4783" s="17" t="str">
        <f>IF(C4783=1,COUNTIF($C$1:$C4783,1),"")</f>
        <v/>
      </c>
      <c r="E4783" s="7"/>
    </row>
    <row r="4784" spans="3:5">
      <c r="C4784" s="17">
        <f t="shared" si="74"/>
        <v>0</v>
      </c>
      <c r="D4784" s="17" t="str">
        <f>IF(C4784=1,COUNTIF($C$1:$C4784,1),"")</f>
        <v/>
      </c>
      <c r="E4784" s="7"/>
    </row>
    <row r="4785" spans="3:5">
      <c r="C4785" s="17">
        <f t="shared" si="74"/>
        <v>0</v>
      </c>
      <c r="D4785" s="17" t="str">
        <f>IF(C4785=1,COUNTIF($C$1:$C4785,1),"")</f>
        <v/>
      </c>
      <c r="E4785" s="7"/>
    </row>
    <row r="4786" spans="3:5">
      <c r="C4786" s="17">
        <f t="shared" si="74"/>
        <v>0</v>
      </c>
      <c r="D4786" s="17" t="str">
        <f>IF(C4786=1,COUNTIF($C$1:$C4786,1),"")</f>
        <v/>
      </c>
      <c r="E4786" s="7"/>
    </row>
    <row r="4787" spans="3:5">
      <c r="C4787" s="17">
        <f t="shared" si="74"/>
        <v>0</v>
      </c>
      <c r="D4787" s="17" t="str">
        <f>IF(C4787=1,COUNTIF($C$1:$C4787,1),"")</f>
        <v/>
      </c>
      <c r="E4787" s="7"/>
    </row>
    <row r="4788" spans="3:5">
      <c r="C4788" s="17">
        <f t="shared" si="74"/>
        <v>0</v>
      </c>
      <c r="D4788" s="17" t="str">
        <f>IF(C4788=1,COUNTIF($C$1:$C4788,1),"")</f>
        <v/>
      </c>
      <c r="E4788" s="7"/>
    </row>
    <row r="4789" spans="3:5">
      <c r="C4789" s="17">
        <f t="shared" si="74"/>
        <v>0</v>
      </c>
      <c r="D4789" s="17" t="str">
        <f>IF(C4789=1,COUNTIF($C$1:$C4789,1),"")</f>
        <v/>
      </c>
      <c r="E4789" s="7"/>
    </row>
    <row r="4790" spans="3:5">
      <c r="C4790" s="17">
        <f t="shared" si="74"/>
        <v>0</v>
      </c>
      <c r="D4790" s="17" t="str">
        <f>IF(C4790=1,COUNTIF($C$1:$C4790,1),"")</f>
        <v/>
      </c>
      <c r="E4790" s="7"/>
    </row>
    <row r="4791" spans="3:5">
      <c r="C4791" s="17">
        <f t="shared" si="74"/>
        <v>0</v>
      </c>
      <c r="D4791" s="17" t="str">
        <f>IF(C4791=1,COUNTIF($C$1:$C4791,1),"")</f>
        <v/>
      </c>
      <c r="E4791" s="7"/>
    </row>
    <row r="4792" spans="3:5">
      <c r="C4792" s="17">
        <f t="shared" si="74"/>
        <v>0</v>
      </c>
      <c r="D4792" s="17" t="str">
        <f>IF(C4792=1,COUNTIF($C$1:$C4792,1),"")</f>
        <v/>
      </c>
      <c r="E4792" s="7"/>
    </row>
    <row r="4793" spans="3:5">
      <c r="C4793" s="17">
        <f t="shared" si="74"/>
        <v>0</v>
      </c>
      <c r="D4793" s="17" t="str">
        <f>IF(C4793=1,COUNTIF($C$1:$C4793,1),"")</f>
        <v/>
      </c>
      <c r="E4793" s="7"/>
    </row>
    <row r="4794" spans="3:5">
      <c r="C4794" s="17">
        <f t="shared" si="74"/>
        <v>0</v>
      </c>
      <c r="D4794" s="17" t="str">
        <f>IF(C4794=1,COUNTIF($C$1:$C4794,1),"")</f>
        <v/>
      </c>
      <c r="E4794" s="7"/>
    </row>
    <row r="4795" spans="3:5">
      <c r="C4795" s="17">
        <f t="shared" si="74"/>
        <v>0</v>
      </c>
      <c r="D4795" s="17" t="str">
        <f>IF(C4795=1,COUNTIF($C$1:$C4795,1),"")</f>
        <v/>
      </c>
      <c r="E4795" s="7"/>
    </row>
    <row r="4796" spans="3:5">
      <c r="C4796" s="17">
        <f t="shared" si="74"/>
        <v>0</v>
      </c>
      <c r="D4796" s="17" t="str">
        <f>IF(C4796=1,COUNTIF($C$1:$C4796,1),"")</f>
        <v/>
      </c>
      <c r="E4796" s="7"/>
    </row>
    <row r="4797" spans="3:5">
      <c r="C4797" s="17">
        <f t="shared" si="74"/>
        <v>0</v>
      </c>
      <c r="D4797" s="17" t="str">
        <f>IF(C4797=1,COUNTIF($C$1:$C4797,1),"")</f>
        <v/>
      </c>
      <c r="E4797" s="7"/>
    </row>
    <row r="4798" spans="3:5">
      <c r="C4798" s="17">
        <f t="shared" si="74"/>
        <v>0</v>
      </c>
      <c r="D4798" s="17" t="str">
        <f>IF(C4798=1,COUNTIF($C$1:$C4798,1),"")</f>
        <v/>
      </c>
      <c r="E4798" s="7"/>
    </row>
    <row r="4799" spans="3:5">
      <c r="C4799" s="17">
        <f t="shared" si="74"/>
        <v>0</v>
      </c>
      <c r="D4799" s="17" t="str">
        <f>IF(C4799=1,COUNTIF($C$1:$C4799,1),"")</f>
        <v/>
      </c>
      <c r="E4799" s="7"/>
    </row>
    <row r="4800" spans="3:5">
      <c r="C4800" s="17">
        <f t="shared" si="74"/>
        <v>0</v>
      </c>
      <c r="D4800" s="17" t="str">
        <f>IF(C4800=1,COUNTIF($C$1:$C4800,1),"")</f>
        <v/>
      </c>
      <c r="E4800" s="7"/>
    </row>
    <row r="4801" spans="3:5">
      <c r="C4801" s="17">
        <f t="shared" si="74"/>
        <v>0</v>
      </c>
      <c r="D4801" s="17" t="str">
        <f>IF(C4801=1,COUNTIF($C$1:$C4801,1),"")</f>
        <v/>
      </c>
      <c r="E4801" s="7"/>
    </row>
    <row r="4802" spans="3:5">
      <c r="C4802" s="17">
        <f t="shared" ref="C4802:C4865" si="75">--ISNUMBER(SEARCH($B$1,A4802))</f>
        <v>0</v>
      </c>
      <c r="D4802" s="17" t="str">
        <f>IF(C4802=1,COUNTIF($C$1:$C4802,1),"")</f>
        <v/>
      </c>
      <c r="E4802" s="7"/>
    </row>
    <row r="4803" spans="3:5">
      <c r="C4803" s="17">
        <f t="shared" si="75"/>
        <v>0</v>
      </c>
      <c r="D4803" s="17" t="str">
        <f>IF(C4803=1,COUNTIF($C$1:$C4803,1),"")</f>
        <v/>
      </c>
      <c r="E4803" s="7"/>
    </row>
    <row r="4804" spans="3:5">
      <c r="C4804" s="17">
        <f t="shared" si="75"/>
        <v>0</v>
      </c>
      <c r="D4804" s="17" t="str">
        <f>IF(C4804=1,COUNTIF($C$1:$C4804,1),"")</f>
        <v/>
      </c>
      <c r="E4804" s="7"/>
    </row>
    <row r="4805" spans="3:5">
      <c r="C4805" s="17">
        <f t="shared" si="75"/>
        <v>0</v>
      </c>
      <c r="D4805" s="17" t="str">
        <f>IF(C4805=1,COUNTIF($C$1:$C4805,1),"")</f>
        <v/>
      </c>
      <c r="E4805" s="7"/>
    </row>
    <row r="4806" spans="3:5">
      <c r="C4806" s="17">
        <f t="shared" si="75"/>
        <v>0</v>
      </c>
      <c r="D4806" s="17" t="str">
        <f>IF(C4806=1,COUNTIF($C$1:$C4806,1),"")</f>
        <v/>
      </c>
      <c r="E4806" s="7"/>
    </row>
    <row r="4807" spans="3:5">
      <c r="C4807" s="17">
        <f t="shared" si="75"/>
        <v>0</v>
      </c>
      <c r="D4807" s="17" t="str">
        <f>IF(C4807=1,COUNTIF($C$1:$C4807,1),"")</f>
        <v/>
      </c>
      <c r="E4807" s="7"/>
    </row>
    <row r="4808" spans="3:5">
      <c r="C4808" s="17">
        <f t="shared" si="75"/>
        <v>0</v>
      </c>
      <c r="D4808" s="17" t="str">
        <f>IF(C4808=1,COUNTIF($C$1:$C4808,1),"")</f>
        <v/>
      </c>
      <c r="E4808" s="7"/>
    </row>
    <row r="4809" spans="3:5">
      <c r="C4809" s="17">
        <f t="shared" si="75"/>
        <v>0</v>
      </c>
      <c r="D4809" s="17" t="str">
        <f>IF(C4809=1,COUNTIF($C$1:$C4809,1),"")</f>
        <v/>
      </c>
      <c r="E4809" s="7"/>
    </row>
    <row r="4810" spans="3:5">
      <c r="C4810" s="17">
        <f t="shared" si="75"/>
        <v>0</v>
      </c>
      <c r="D4810" s="17" t="str">
        <f>IF(C4810=1,COUNTIF($C$1:$C4810,1),"")</f>
        <v/>
      </c>
      <c r="E4810" s="7"/>
    </row>
    <row r="4811" spans="3:5">
      <c r="C4811" s="17">
        <f t="shared" si="75"/>
        <v>0</v>
      </c>
      <c r="D4811" s="17" t="str">
        <f>IF(C4811=1,COUNTIF($C$1:$C4811,1),"")</f>
        <v/>
      </c>
      <c r="E4811" s="7"/>
    </row>
    <row r="4812" spans="3:5">
      <c r="C4812" s="17">
        <f t="shared" si="75"/>
        <v>0</v>
      </c>
      <c r="D4812" s="17" t="str">
        <f>IF(C4812=1,COUNTIF($C$1:$C4812,1),"")</f>
        <v/>
      </c>
      <c r="E4812" s="7"/>
    </row>
    <row r="4813" spans="3:5">
      <c r="C4813" s="17">
        <f t="shared" si="75"/>
        <v>0</v>
      </c>
      <c r="D4813" s="17" t="str">
        <f>IF(C4813=1,COUNTIF($C$1:$C4813,1),"")</f>
        <v/>
      </c>
      <c r="E4813" s="7"/>
    </row>
    <row r="4814" spans="3:5">
      <c r="C4814" s="17">
        <f t="shared" si="75"/>
        <v>0</v>
      </c>
      <c r="D4814" s="17" t="str">
        <f>IF(C4814=1,COUNTIF($C$1:$C4814,1),"")</f>
        <v/>
      </c>
      <c r="E4814" s="7"/>
    </row>
    <row r="4815" spans="3:5">
      <c r="C4815" s="17">
        <f t="shared" si="75"/>
        <v>0</v>
      </c>
      <c r="D4815" s="17" t="str">
        <f>IF(C4815=1,COUNTIF($C$1:$C4815,1),"")</f>
        <v/>
      </c>
      <c r="E4815" s="7"/>
    </row>
    <row r="4816" spans="3:5">
      <c r="C4816" s="17">
        <f t="shared" si="75"/>
        <v>0</v>
      </c>
      <c r="D4816" s="17" t="str">
        <f>IF(C4816=1,COUNTIF($C$1:$C4816,1),"")</f>
        <v/>
      </c>
      <c r="E4816" s="7"/>
    </row>
    <row r="4817" spans="3:5">
      <c r="C4817" s="17">
        <f t="shared" si="75"/>
        <v>0</v>
      </c>
      <c r="D4817" s="17" t="str">
        <f>IF(C4817=1,COUNTIF($C$1:$C4817,1),"")</f>
        <v/>
      </c>
      <c r="E4817" s="7"/>
    </row>
    <row r="4818" spans="3:5">
      <c r="C4818" s="17">
        <f t="shared" si="75"/>
        <v>0</v>
      </c>
      <c r="D4818" s="17" t="str">
        <f>IF(C4818=1,COUNTIF($C$1:$C4818,1),"")</f>
        <v/>
      </c>
      <c r="E4818" s="7"/>
    </row>
    <row r="4819" spans="3:5">
      <c r="C4819" s="17">
        <f t="shared" si="75"/>
        <v>0</v>
      </c>
      <c r="D4819" s="17" t="str">
        <f>IF(C4819=1,COUNTIF($C$1:$C4819,1),"")</f>
        <v/>
      </c>
      <c r="E4819" s="7"/>
    </row>
    <row r="4820" spans="3:5">
      <c r="C4820" s="17">
        <f t="shared" si="75"/>
        <v>0</v>
      </c>
      <c r="D4820" s="17" t="str">
        <f>IF(C4820=1,COUNTIF($C$1:$C4820,1),"")</f>
        <v/>
      </c>
      <c r="E4820" s="7"/>
    </row>
    <row r="4821" spans="3:5">
      <c r="C4821" s="17">
        <f t="shared" si="75"/>
        <v>0</v>
      </c>
      <c r="D4821" s="17" t="str">
        <f>IF(C4821=1,COUNTIF($C$1:$C4821,1),"")</f>
        <v/>
      </c>
      <c r="E4821" s="7"/>
    </row>
    <row r="4822" spans="3:5">
      <c r="C4822" s="17">
        <f t="shared" si="75"/>
        <v>0</v>
      </c>
      <c r="D4822" s="17" t="str">
        <f>IF(C4822=1,COUNTIF($C$1:$C4822,1),"")</f>
        <v/>
      </c>
      <c r="E4822" s="7"/>
    </row>
    <row r="4823" spans="3:5">
      <c r="C4823" s="17">
        <f t="shared" si="75"/>
        <v>0</v>
      </c>
      <c r="D4823" s="17" t="str">
        <f>IF(C4823=1,COUNTIF($C$1:$C4823,1),"")</f>
        <v/>
      </c>
      <c r="E4823" s="7"/>
    </row>
    <row r="4824" spans="3:5">
      <c r="C4824" s="17">
        <f t="shared" si="75"/>
        <v>0</v>
      </c>
      <c r="D4824" s="17" t="str">
        <f>IF(C4824=1,COUNTIF($C$1:$C4824,1),"")</f>
        <v/>
      </c>
      <c r="E4824" s="7"/>
    </row>
    <row r="4825" spans="3:5">
      <c r="C4825" s="17">
        <f t="shared" si="75"/>
        <v>0</v>
      </c>
      <c r="D4825" s="17" t="str">
        <f>IF(C4825=1,COUNTIF($C$1:$C4825,1),"")</f>
        <v/>
      </c>
      <c r="E4825" s="7"/>
    </row>
    <row r="4826" spans="3:5">
      <c r="C4826" s="17">
        <f t="shared" si="75"/>
        <v>0</v>
      </c>
      <c r="D4826" s="17" t="str">
        <f>IF(C4826=1,COUNTIF($C$1:$C4826,1),"")</f>
        <v/>
      </c>
      <c r="E4826" s="7"/>
    </row>
    <row r="4827" spans="3:5">
      <c r="C4827" s="17">
        <f t="shared" si="75"/>
        <v>0</v>
      </c>
      <c r="D4827" s="17" t="str">
        <f>IF(C4827=1,COUNTIF($C$1:$C4827,1),"")</f>
        <v/>
      </c>
      <c r="E4827" s="7"/>
    </row>
    <row r="4828" spans="3:5">
      <c r="C4828" s="17">
        <f t="shared" si="75"/>
        <v>0</v>
      </c>
      <c r="D4828" s="17" t="str">
        <f>IF(C4828=1,COUNTIF($C$1:$C4828,1),"")</f>
        <v/>
      </c>
      <c r="E4828" s="7"/>
    </row>
    <row r="4829" spans="3:5">
      <c r="C4829" s="17">
        <f t="shared" si="75"/>
        <v>0</v>
      </c>
      <c r="D4829" s="17" t="str">
        <f>IF(C4829=1,COUNTIF($C$1:$C4829,1),"")</f>
        <v/>
      </c>
      <c r="E4829" s="7"/>
    </row>
    <row r="4830" spans="3:5">
      <c r="C4830" s="17">
        <f t="shared" si="75"/>
        <v>0</v>
      </c>
      <c r="D4830" s="17" t="str">
        <f>IF(C4830=1,COUNTIF($C$1:$C4830,1),"")</f>
        <v/>
      </c>
      <c r="E4830" s="7"/>
    </row>
    <row r="4831" spans="3:5">
      <c r="C4831" s="17">
        <f t="shared" si="75"/>
        <v>0</v>
      </c>
      <c r="D4831" s="17" t="str">
        <f>IF(C4831=1,COUNTIF($C$1:$C4831,1),"")</f>
        <v/>
      </c>
      <c r="E4831" s="7"/>
    </row>
    <row r="4832" spans="3:5">
      <c r="C4832" s="17">
        <f t="shared" si="75"/>
        <v>0</v>
      </c>
      <c r="D4832" s="17" t="str">
        <f>IF(C4832=1,COUNTIF($C$1:$C4832,1),"")</f>
        <v/>
      </c>
      <c r="E4832" s="7"/>
    </row>
    <row r="4833" spans="3:5">
      <c r="C4833" s="17">
        <f t="shared" si="75"/>
        <v>0</v>
      </c>
      <c r="D4833" s="17" t="str">
        <f>IF(C4833=1,COUNTIF($C$1:$C4833,1),"")</f>
        <v/>
      </c>
      <c r="E4833" s="7"/>
    </row>
    <row r="4834" spans="3:5">
      <c r="C4834" s="17">
        <f t="shared" si="75"/>
        <v>0</v>
      </c>
      <c r="D4834" s="17" t="str">
        <f>IF(C4834=1,COUNTIF($C$1:$C4834,1),"")</f>
        <v/>
      </c>
      <c r="E4834" s="7"/>
    </row>
    <row r="4835" spans="3:5">
      <c r="C4835" s="17">
        <f t="shared" si="75"/>
        <v>0</v>
      </c>
      <c r="D4835" s="17" t="str">
        <f>IF(C4835=1,COUNTIF($C$1:$C4835,1),"")</f>
        <v/>
      </c>
      <c r="E4835" s="7"/>
    </row>
    <row r="4836" spans="3:5">
      <c r="C4836" s="17">
        <f t="shared" si="75"/>
        <v>0</v>
      </c>
      <c r="D4836" s="17" t="str">
        <f>IF(C4836=1,COUNTIF($C$1:$C4836,1),"")</f>
        <v/>
      </c>
      <c r="E4836" s="7"/>
    </row>
    <row r="4837" spans="3:5">
      <c r="C4837" s="17">
        <f t="shared" si="75"/>
        <v>0</v>
      </c>
      <c r="D4837" s="17" t="str">
        <f>IF(C4837=1,COUNTIF($C$1:$C4837,1),"")</f>
        <v/>
      </c>
      <c r="E4837" s="7"/>
    </row>
    <row r="4838" spans="3:5">
      <c r="C4838" s="17">
        <f t="shared" si="75"/>
        <v>0</v>
      </c>
      <c r="D4838" s="17" t="str">
        <f>IF(C4838=1,COUNTIF($C$1:$C4838,1),"")</f>
        <v/>
      </c>
      <c r="E4838" s="7"/>
    </row>
    <row r="4839" spans="3:5">
      <c r="C4839" s="17">
        <f t="shared" si="75"/>
        <v>0</v>
      </c>
      <c r="D4839" s="17" t="str">
        <f>IF(C4839=1,COUNTIF($C$1:$C4839,1),"")</f>
        <v/>
      </c>
      <c r="E4839" s="7"/>
    </row>
    <row r="4840" spans="3:5">
      <c r="C4840" s="17">
        <f t="shared" si="75"/>
        <v>0</v>
      </c>
      <c r="D4840" s="17" t="str">
        <f>IF(C4840=1,COUNTIF($C$1:$C4840,1),"")</f>
        <v/>
      </c>
      <c r="E4840" s="7"/>
    </row>
    <row r="4841" spans="3:5">
      <c r="C4841" s="17">
        <f t="shared" si="75"/>
        <v>0</v>
      </c>
      <c r="D4841" s="17" t="str">
        <f>IF(C4841=1,COUNTIF($C$1:$C4841,1),"")</f>
        <v/>
      </c>
      <c r="E4841" s="7"/>
    </row>
    <row r="4842" spans="3:5">
      <c r="C4842" s="17">
        <f t="shared" si="75"/>
        <v>0</v>
      </c>
      <c r="D4842" s="17" t="str">
        <f>IF(C4842=1,COUNTIF($C$1:$C4842,1),"")</f>
        <v/>
      </c>
      <c r="E4842" s="7"/>
    </row>
    <row r="4843" spans="3:5">
      <c r="C4843" s="17">
        <f t="shared" si="75"/>
        <v>0</v>
      </c>
      <c r="D4843" s="17" t="str">
        <f>IF(C4843=1,COUNTIF($C$1:$C4843,1),"")</f>
        <v/>
      </c>
      <c r="E4843" s="7"/>
    </row>
    <row r="4844" spans="3:5">
      <c r="C4844" s="17">
        <f t="shared" si="75"/>
        <v>0</v>
      </c>
      <c r="D4844" s="17" t="str">
        <f>IF(C4844=1,COUNTIF($C$1:$C4844,1),"")</f>
        <v/>
      </c>
      <c r="E4844" s="7"/>
    </row>
    <row r="4845" spans="3:5">
      <c r="C4845" s="17">
        <f t="shared" si="75"/>
        <v>0</v>
      </c>
      <c r="D4845" s="17" t="str">
        <f>IF(C4845=1,COUNTIF($C$1:$C4845,1),"")</f>
        <v/>
      </c>
      <c r="E4845" s="7"/>
    </row>
    <row r="4846" spans="3:5">
      <c r="C4846" s="17">
        <f t="shared" si="75"/>
        <v>0</v>
      </c>
      <c r="D4846" s="17" t="str">
        <f>IF(C4846=1,COUNTIF($C$1:$C4846,1),"")</f>
        <v/>
      </c>
      <c r="E4846" s="7"/>
    </row>
    <row r="4847" spans="3:5">
      <c r="C4847" s="17">
        <f t="shared" si="75"/>
        <v>0</v>
      </c>
      <c r="D4847" s="17" t="str">
        <f>IF(C4847=1,COUNTIF($C$1:$C4847,1),"")</f>
        <v/>
      </c>
      <c r="E4847" s="7"/>
    </row>
    <row r="4848" spans="3:5">
      <c r="C4848" s="17">
        <f t="shared" si="75"/>
        <v>0</v>
      </c>
      <c r="D4848" s="17" t="str">
        <f>IF(C4848=1,COUNTIF($C$1:$C4848,1),"")</f>
        <v/>
      </c>
      <c r="E4848" s="7"/>
    </row>
    <row r="4849" spans="3:5">
      <c r="C4849" s="17">
        <f t="shared" si="75"/>
        <v>0</v>
      </c>
      <c r="D4849" s="17" t="str">
        <f>IF(C4849=1,COUNTIF($C$1:$C4849,1),"")</f>
        <v/>
      </c>
      <c r="E4849" s="7"/>
    </row>
    <row r="4850" spans="3:5">
      <c r="C4850" s="17">
        <f t="shared" si="75"/>
        <v>0</v>
      </c>
      <c r="D4850" s="17" t="str">
        <f>IF(C4850=1,COUNTIF($C$1:$C4850,1),"")</f>
        <v/>
      </c>
      <c r="E4850" s="7"/>
    </row>
    <row r="4851" spans="3:5">
      <c r="C4851" s="17">
        <f t="shared" si="75"/>
        <v>0</v>
      </c>
      <c r="D4851" s="17" t="str">
        <f>IF(C4851=1,COUNTIF($C$1:$C4851,1),"")</f>
        <v/>
      </c>
      <c r="E4851" s="7"/>
    </row>
    <row r="4852" spans="3:5">
      <c r="C4852" s="17">
        <f t="shared" si="75"/>
        <v>0</v>
      </c>
      <c r="D4852" s="17" t="str">
        <f>IF(C4852=1,COUNTIF($C$1:$C4852,1),"")</f>
        <v/>
      </c>
      <c r="E4852" s="7"/>
    </row>
    <row r="4853" spans="3:5">
      <c r="C4853" s="17">
        <f t="shared" si="75"/>
        <v>0</v>
      </c>
      <c r="D4853" s="17" t="str">
        <f>IF(C4853=1,COUNTIF($C$1:$C4853,1),"")</f>
        <v/>
      </c>
      <c r="E4853" s="7"/>
    </row>
    <row r="4854" spans="3:5">
      <c r="C4854" s="17">
        <f t="shared" si="75"/>
        <v>0</v>
      </c>
      <c r="D4854" s="17" t="str">
        <f>IF(C4854=1,COUNTIF($C$1:$C4854,1),"")</f>
        <v/>
      </c>
      <c r="E4854" s="7"/>
    </row>
    <row r="4855" spans="3:5">
      <c r="C4855" s="17">
        <f t="shared" si="75"/>
        <v>0</v>
      </c>
      <c r="D4855" s="17" t="str">
        <f>IF(C4855=1,COUNTIF($C$1:$C4855,1),"")</f>
        <v/>
      </c>
      <c r="E4855" s="7"/>
    </row>
    <row r="4856" spans="3:5">
      <c r="C4856" s="17">
        <f t="shared" si="75"/>
        <v>0</v>
      </c>
      <c r="D4856" s="17" t="str">
        <f>IF(C4856=1,COUNTIF($C$1:$C4856,1),"")</f>
        <v/>
      </c>
      <c r="E4856" s="7"/>
    </row>
    <row r="4857" spans="3:5">
      <c r="C4857" s="17">
        <f t="shared" si="75"/>
        <v>0</v>
      </c>
      <c r="D4857" s="17" t="str">
        <f>IF(C4857=1,COUNTIF($C$1:$C4857,1),"")</f>
        <v/>
      </c>
      <c r="E4857" s="7"/>
    </row>
    <row r="4858" spans="3:5">
      <c r="C4858" s="17">
        <f t="shared" si="75"/>
        <v>0</v>
      </c>
      <c r="D4858" s="17" t="str">
        <f>IF(C4858=1,COUNTIF($C$1:$C4858,1),"")</f>
        <v/>
      </c>
      <c r="E4858" s="7"/>
    </row>
    <row r="4859" spans="3:5">
      <c r="C4859" s="17">
        <f t="shared" si="75"/>
        <v>0</v>
      </c>
      <c r="D4859" s="17" t="str">
        <f>IF(C4859=1,COUNTIF($C$1:$C4859,1),"")</f>
        <v/>
      </c>
      <c r="E4859" s="7"/>
    </row>
    <row r="4860" spans="3:5">
      <c r="C4860" s="17">
        <f t="shared" si="75"/>
        <v>0</v>
      </c>
      <c r="D4860" s="17" t="str">
        <f>IF(C4860=1,COUNTIF($C$1:$C4860,1),"")</f>
        <v/>
      </c>
      <c r="E4860" s="7"/>
    </row>
    <row r="4861" spans="3:5">
      <c r="C4861" s="17">
        <f t="shared" si="75"/>
        <v>0</v>
      </c>
      <c r="D4861" s="17" t="str">
        <f>IF(C4861=1,COUNTIF($C$1:$C4861,1),"")</f>
        <v/>
      </c>
      <c r="E4861" s="7"/>
    </row>
    <row r="4862" spans="3:5">
      <c r="C4862" s="17">
        <f t="shared" si="75"/>
        <v>0</v>
      </c>
      <c r="D4862" s="17" t="str">
        <f>IF(C4862=1,COUNTIF($C$1:$C4862,1),"")</f>
        <v/>
      </c>
      <c r="E4862" s="7"/>
    </row>
    <row r="4863" spans="3:5">
      <c r="C4863" s="17">
        <f t="shared" si="75"/>
        <v>0</v>
      </c>
      <c r="D4863" s="17" t="str">
        <f>IF(C4863=1,COUNTIF($C$1:$C4863,1),"")</f>
        <v/>
      </c>
      <c r="E4863" s="7"/>
    </row>
    <row r="4864" spans="3:5">
      <c r="C4864" s="17">
        <f t="shared" si="75"/>
        <v>0</v>
      </c>
      <c r="D4864" s="17" t="str">
        <f>IF(C4864=1,COUNTIF($C$1:$C4864,1),"")</f>
        <v/>
      </c>
      <c r="E4864" s="7"/>
    </row>
    <row r="4865" spans="3:5">
      <c r="C4865" s="17">
        <f t="shared" si="75"/>
        <v>0</v>
      </c>
      <c r="D4865" s="17" t="str">
        <f>IF(C4865=1,COUNTIF($C$1:$C4865,1),"")</f>
        <v/>
      </c>
      <c r="E4865" s="7"/>
    </row>
    <row r="4866" spans="3:5">
      <c r="C4866" s="17">
        <f t="shared" ref="C4866:C4929" si="76">--ISNUMBER(SEARCH($B$1,A4866))</f>
        <v>0</v>
      </c>
      <c r="D4866" s="17" t="str">
        <f>IF(C4866=1,COUNTIF($C$1:$C4866,1),"")</f>
        <v/>
      </c>
      <c r="E4866" s="7"/>
    </row>
    <row r="4867" spans="3:5">
      <c r="C4867" s="17">
        <f t="shared" si="76"/>
        <v>0</v>
      </c>
      <c r="D4867" s="17" t="str">
        <f>IF(C4867=1,COUNTIF($C$1:$C4867,1),"")</f>
        <v/>
      </c>
      <c r="E4867" s="7"/>
    </row>
    <row r="4868" spans="3:5">
      <c r="C4868" s="17">
        <f t="shared" si="76"/>
        <v>0</v>
      </c>
      <c r="D4868" s="17" t="str">
        <f>IF(C4868=1,COUNTIF($C$1:$C4868,1),"")</f>
        <v/>
      </c>
      <c r="E4868" s="7"/>
    </row>
    <row r="4869" spans="3:5">
      <c r="C4869" s="17">
        <f t="shared" si="76"/>
        <v>0</v>
      </c>
      <c r="D4869" s="17" t="str">
        <f>IF(C4869=1,COUNTIF($C$1:$C4869,1),"")</f>
        <v/>
      </c>
      <c r="E4869" s="7"/>
    </row>
    <row r="4870" spans="3:5">
      <c r="C4870" s="17">
        <f t="shared" si="76"/>
        <v>0</v>
      </c>
      <c r="D4870" s="17" t="str">
        <f>IF(C4870=1,COUNTIF($C$1:$C4870,1),"")</f>
        <v/>
      </c>
      <c r="E4870" s="7"/>
    </row>
    <row r="4871" spans="3:5">
      <c r="C4871" s="17">
        <f t="shared" si="76"/>
        <v>0</v>
      </c>
      <c r="D4871" s="17" t="str">
        <f>IF(C4871=1,COUNTIF($C$1:$C4871,1),"")</f>
        <v/>
      </c>
      <c r="E4871" s="7"/>
    </row>
    <row r="4872" spans="3:5">
      <c r="C4872" s="17">
        <f t="shared" si="76"/>
        <v>0</v>
      </c>
      <c r="D4872" s="17" t="str">
        <f>IF(C4872=1,COUNTIF($C$1:$C4872,1),"")</f>
        <v/>
      </c>
      <c r="E4872" s="7"/>
    </row>
    <row r="4873" spans="3:5">
      <c r="C4873" s="17">
        <f t="shared" si="76"/>
        <v>0</v>
      </c>
      <c r="D4873" s="17" t="str">
        <f>IF(C4873=1,COUNTIF($C$1:$C4873,1),"")</f>
        <v/>
      </c>
      <c r="E4873" s="7"/>
    </row>
    <row r="4874" spans="3:5">
      <c r="C4874" s="17">
        <f t="shared" si="76"/>
        <v>0</v>
      </c>
      <c r="D4874" s="17" t="str">
        <f>IF(C4874=1,COUNTIF($C$1:$C4874,1),"")</f>
        <v/>
      </c>
      <c r="E4874" s="7"/>
    </row>
    <row r="4875" spans="3:5">
      <c r="C4875" s="17">
        <f t="shared" si="76"/>
        <v>0</v>
      </c>
      <c r="D4875" s="17" t="str">
        <f>IF(C4875=1,COUNTIF($C$1:$C4875,1),"")</f>
        <v/>
      </c>
      <c r="E4875" s="7"/>
    </row>
    <row r="4876" spans="3:5">
      <c r="C4876" s="17">
        <f t="shared" si="76"/>
        <v>0</v>
      </c>
      <c r="D4876" s="17" t="str">
        <f>IF(C4876=1,COUNTIF($C$1:$C4876,1),"")</f>
        <v/>
      </c>
      <c r="E4876" s="7"/>
    </row>
    <row r="4877" spans="3:5">
      <c r="C4877" s="17">
        <f t="shared" si="76"/>
        <v>0</v>
      </c>
      <c r="D4877" s="17" t="str">
        <f>IF(C4877=1,COUNTIF($C$1:$C4877,1),"")</f>
        <v/>
      </c>
      <c r="E4877" s="7"/>
    </row>
    <row r="4878" spans="3:5">
      <c r="C4878" s="17">
        <f t="shared" si="76"/>
        <v>0</v>
      </c>
      <c r="D4878" s="17" t="str">
        <f>IF(C4878=1,COUNTIF($C$1:$C4878,1),"")</f>
        <v/>
      </c>
      <c r="E4878" s="7"/>
    </row>
    <row r="4879" spans="3:5">
      <c r="C4879" s="17">
        <f t="shared" si="76"/>
        <v>0</v>
      </c>
      <c r="D4879" s="17" t="str">
        <f>IF(C4879=1,COUNTIF($C$1:$C4879,1),"")</f>
        <v/>
      </c>
      <c r="E4879" s="7"/>
    </row>
    <row r="4880" spans="3:5">
      <c r="C4880" s="17">
        <f t="shared" si="76"/>
        <v>0</v>
      </c>
      <c r="D4880" s="17" t="str">
        <f>IF(C4880=1,COUNTIF($C$1:$C4880,1),"")</f>
        <v/>
      </c>
      <c r="E4880" s="7"/>
    </row>
    <row r="4881" spans="3:5">
      <c r="C4881" s="17">
        <f t="shared" si="76"/>
        <v>0</v>
      </c>
      <c r="D4881" s="17" t="str">
        <f>IF(C4881=1,COUNTIF($C$1:$C4881,1),"")</f>
        <v/>
      </c>
      <c r="E4881" s="7"/>
    </row>
    <row r="4882" spans="3:5">
      <c r="C4882" s="17">
        <f t="shared" si="76"/>
        <v>0</v>
      </c>
      <c r="D4882" s="17" t="str">
        <f>IF(C4882=1,COUNTIF($C$1:$C4882,1),"")</f>
        <v/>
      </c>
      <c r="E4882" s="7"/>
    </row>
    <row r="4883" spans="3:5">
      <c r="C4883" s="17">
        <f t="shared" si="76"/>
        <v>0</v>
      </c>
      <c r="D4883" s="17" t="str">
        <f>IF(C4883=1,COUNTIF($C$1:$C4883,1),"")</f>
        <v/>
      </c>
      <c r="E4883" s="7"/>
    </row>
    <row r="4884" spans="3:5">
      <c r="C4884" s="17">
        <f t="shared" si="76"/>
        <v>0</v>
      </c>
      <c r="D4884" s="17" t="str">
        <f>IF(C4884=1,COUNTIF($C$1:$C4884,1),"")</f>
        <v/>
      </c>
      <c r="E4884" s="7"/>
    </row>
    <row r="4885" spans="3:5">
      <c r="C4885" s="17">
        <f t="shared" si="76"/>
        <v>0</v>
      </c>
      <c r="D4885" s="17" t="str">
        <f>IF(C4885=1,COUNTIF($C$1:$C4885,1),"")</f>
        <v/>
      </c>
      <c r="E4885" s="7"/>
    </row>
    <row r="4886" spans="3:5">
      <c r="C4886" s="17">
        <f t="shared" si="76"/>
        <v>0</v>
      </c>
      <c r="D4886" s="17" t="str">
        <f>IF(C4886=1,COUNTIF($C$1:$C4886,1),"")</f>
        <v/>
      </c>
      <c r="E4886" s="7"/>
    </row>
    <row r="4887" spans="3:5">
      <c r="C4887" s="17">
        <f t="shared" si="76"/>
        <v>0</v>
      </c>
      <c r="D4887" s="17" t="str">
        <f>IF(C4887=1,COUNTIF($C$1:$C4887,1),"")</f>
        <v/>
      </c>
      <c r="E4887" s="7"/>
    </row>
    <row r="4888" spans="3:5">
      <c r="C4888" s="17">
        <f t="shared" si="76"/>
        <v>0</v>
      </c>
      <c r="D4888" s="17" t="str">
        <f>IF(C4888=1,COUNTIF($C$1:$C4888,1),"")</f>
        <v/>
      </c>
      <c r="E4888" s="7"/>
    </row>
    <row r="4889" spans="3:5">
      <c r="C4889" s="17">
        <f t="shared" si="76"/>
        <v>0</v>
      </c>
      <c r="D4889" s="17" t="str">
        <f>IF(C4889=1,COUNTIF($C$1:$C4889,1),"")</f>
        <v/>
      </c>
      <c r="E4889" s="7"/>
    </row>
    <row r="4890" spans="3:5">
      <c r="C4890" s="17">
        <f t="shared" si="76"/>
        <v>0</v>
      </c>
      <c r="D4890" s="17" t="str">
        <f>IF(C4890=1,COUNTIF($C$1:$C4890,1),"")</f>
        <v/>
      </c>
      <c r="E4890" s="7"/>
    </row>
    <row r="4891" spans="3:5">
      <c r="C4891" s="17">
        <f t="shared" si="76"/>
        <v>0</v>
      </c>
      <c r="D4891" s="17" t="str">
        <f>IF(C4891=1,COUNTIF($C$1:$C4891,1),"")</f>
        <v/>
      </c>
      <c r="E4891" s="7"/>
    </row>
    <row r="4892" spans="3:5">
      <c r="C4892" s="17">
        <f t="shared" si="76"/>
        <v>0</v>
      </c>
      <c r="D4892" s="17" t="str">
        <f>IF(C4892=1,COUNTIF($C$1:$C4892,1),"")</f>
        <v/>
      </c>
      <c r="E4892" s="7"/>
    </row>
    <row r="4893" spans="3:5">
      <c r="C4893" s="17">
        <f t="shared" si="76"/>
        <v>0</v>
      </c>
      <c r="D4893" s="17" t="str">
        <f>IF(C4893=1,COUNTIF($C$1:$C4893,1),"")</f>
        <v/>
      </c>
      <c r="E4893" s="7"/>
    </row>
    <row r="4894" spans="3:5">
      <c r="C4894" s="17">
        <f t="shared" si="76"/>
        <v>0</v>
      </c>
      <c r="D4894" s="17" t="str">
        <f>IF(C4894=1,COUNTIF($C$1:$C4894,1),"")</f>
        <v/>
      </c>
      <c r="E4894" s="7"/>
    </row>
    <row r="4895" spans="3:5">
      <c r="C4895" s="17">
        <f t="shared" si="76"/>
        <v>0</v>
      </c>
      <c r="D4895" s="17" t="str">
        <f>IF(C4895=1,COUNTIF($C$1:$C4895,1),"")</f>
        <v/>
      </c>
      <c r="E4895" s="7"/>
    </row>
    <row r="4896" spans="3:5">
      <c r="C4896" s="17">
        <f t="shared" si="76"/>
        <v>0</v>
      </c>
      <c r="D4896" s="17" t="str">
        <f>IF(C4896=1,COUNTIF($C$1:$C4896,1),"")</f>
        <v/>
      </c>
      <c r="E4896" s="7"/>
    </row>
    <row r="4897" spans="3:5">
      <c r="C4897" s="17">
        <f t="shared" si="76"/>
        <v>0</v>
      </c>
      <c r="D4897" s="17" t="str">
        <f>IF(C4897=1,COUNTIF($C$1:$C4897,1),"")</f>
        <v/>
      </c>
      <c r="E4897" s="7"/>
    </row>
    <row r="4898" spans="3:5">
      <c r="C4898" s="17">
        <f t="shared" si="76"/>
        <v>0</v>
      </c>
      <c r="D4898" s="17" t="str">
        <f>IF(C4898=1,COUNTIF($C$1:$C4898,1),"")</f>
        <v/>
      </c>
      <c r="E4898" s="7"/>
    </row>
    <row r="4899" spans="3:5">
      <c r="C4899" s="17">
        <f t="shared" si="76"/>
        <v>0</v>
      </c>
      <c r="D4899" s="17" t="str">
        <f>IF(C4899=1,COUNTIF($C$1:$C4899,1),"")</f>
        <v/>
      </c>
      <c r="E4899" s="7"/>
    </row>
    <row r="4900" spans="3:5">
      <c r="C4900" s="17">
        <f t="shared" si="76"/>
        <v>0</v>
      </c>
      <c r="D4900" s="17" t="str">
        <f>IF(C4900=1,COUNTIF($C$1:$C4900,1),"")</f>
        <v/>
      </c>
      <c r="E4900" s="7"/>
    </row>
    <row r="4901" spans="3:5">
      <c r="C4901" s="17">
        <f t="shared" si="76"/>
        <v>0</v>
      </c>
      <c r="D4901" s="17" t="str">
        <f>IF(C4901=1,COUNTIF($C$1:$C4901,1),"")</f>
        <v/>
      </c>
      <c r="E4901" s="7"/>
    </row>
    <row r="4902" spans="3:5">
      <c r="C4902" s="17">
        <f t="shared" si="76"/>
        <v>0</v>
      </c>
      <c r="D4902" s="17" t="str">
        <f>IF(C4902=1,COUNTIF($C$1:$C4902,1),"")</f>
        <v/>
      </c>
      <c r="E4902" s="7"/>
    </row>
    <row r="4903" spans="3:5">
      <c r="C4903" s="17">
        <f t="shared" si="76"/>
        <v>0</v>
      </c>
      <c r="D4903" s="17" t="str">
        <f>IF(C4903=1,COUNTIF($C$1:$C4903,1),"")</f>
        <v/>
      </c>
      <c r="E4903" s="7"/>
    </row>
    <row r="4904" spans="3:5">
      <c r="C4904" s="17">
        <f t="shared" si="76"/>
        <v>0</v>
      </c>
      <c r="D4904" s="17" t="str">
        <f>IF(C4904=1,COUNTIF($C$1:$C4904,1),"")</f>
        <v/>
      </c>
      <c r="E4904" s="7"/>
    </row>
    <row r="4905" spans="3:5">
      <c r="C4905" s="17">
        <f t="shared" si="76"/>
        <v>0</v>
      </c>
      <c r="D4905" s="17" t="str">
        <f>IF(C4905=1,COUNTIF($C$1:$C4905,1),"")</f>
        <v/>
      </c>
      <c r="E4905" s="7"/>
    </row>
    <row r="4906" spans="3:5">
      <c r="C4906" s="17">
        <f t="shared" si="76"/>
        <v>0</v>
      </c>
      <c r="D4906" s="17" t="str">
        <f>IF(C4906=1,COUNTIF($C$1:$C4906,1),"")</f>
        <v/>
      </c>
      <c r="E4906" s="7"/>
    </row>
    <row r="4907" spans="3:5">
      <c r="C4907" s="17">
        <f t="shared" si="76"/>
        <v>0</v>
      </c>
      <c r="D4907" s="17" t="str">
        <f>IF(C4907=1,COUNTIF($C$1:$C4907,1),"")</f>
        <v/>
      </c>
      <c r="E4907" s="7"/>
    </row>
    <row r="4908" spans="3:5">
      <c r="C4908" s="17">
        <f t="shared" si="76"/>
        <v>0</v>
      </c>
      <c r="D4908" s="17" t="str">
        <f>IF(C4908=1,COUNTIF($C$1:$C4908,1),"")</f>
        <v/>
      </c>
      <c r="E4908" s="7"/>
    </row>
    <row r="4909" spans="3:5">
      <c r="C4909" s="17">
        <f t="shared" si="76"/>
        <v>0</v>
      </c>
      <c r="D4909" s="17" t="str">
        <f>IF(C4909=1,COUNTIF($C$1:$C4909,1),"")</f>
        <v/>
      </c>
      <c r="E4909" s="7"/>
    </row>
    <row r="4910" spans="3:5">
      <c r="C4910" s="17">
        <f t="shared" si="76"/>
        <v>0</v>
      </c>
      <c r="D4910" s="17" t="str">
        <f>IF(C4910=1,COUNTIF($C$1:$C4910,1),"")</f>
        <v/>
      </c>
      <c r="E4910" s="7"/>
    </row>
    <row r="4911" spans="3:5">
      <c r="C4911" s="17">
        <f t="shared" si="76"/>
        <v>0</v>
      </c>
      <c r="D4911" s="17" t="str">
        <f>IF(C4911=1,COUNTIF($C$1:$C4911,1),"")</f>
        <v/>
      </c>
      <c r="E4911" s="7"/>
    </row>
    <row r="4912" spans="3:5">
      <c r="C4912" s="17">
        <f t="shared" si="76"/>
        <v>0</v>
      </c>
      <c r="D4912" s="17" t="str">
        <f>IF(C4912=1,COUNTIF($C$1:$C4912,1),"")</f>
        <v/>
      </c>
      <c r="E4912" s="7"/>
    </row>
    <row r="4913" spans="3:5">
      <c r="C4913" s="17">
        <f t="shared" si="76"/>
        <v>0</v>
      </c>
      <c r="D4913" s="17" t="str">
        <f>IF(C4913=1,COUNTIF($C$1:$C4913,1),"")</f>
        <v/>
      </c>
      <c r="E4913" s="7"/>
    </row>
    <row r="4914" spans="3:5">
      <c r="C4914" s="17">
        <f t="shared" si="76"/>
        <v>0</v>
      </c>
      <c r="D4914" s="17" t="str">
        <f>IF(C4914=1,COUNTIF($C$1:$C4914,1),"")</f>
        <v/>
      </c>
      <c r="E4914" s="7"/>
    </row>
    <row r="4915" spans="3:5">
      <c r="C4915" s="17">
        <f t="shared" si="76"/>
        <v>0</v>
      </c>
      <c r="D4915" s="17" t="str">
        <f>IF(C4915=1,COUNTIF($C$1:$C4915,1),"")</f>
        <v/>
      </c>
      <c r="E4915" s="7"/>
    </row>
    <row r="4916" spans="3:5">
      <c r="C4916" s="17">
        <f t="shared" si="76"/>
        <v>0</v>
      </c>
      <c r="D4916" s="17" t="str">
        <f>IF(C4916=1,COUNTIF($C$1:$C4916,1),"")</f>
        <v/>
      </c>
      <c r="E4916" s="7"/>
    </row>
    <row r="4917" spans="3:5">
      <c r="C4917" s="17">
        <f t="shared" si="76"/>
        <v>0</v>
      </c>
      <c r="D4917" s="17" t="str">
        <f>IF(C4917=1,COUNTIF($C$1:$C4917,1),"")</f>
        <v/>
      </c>
      <c r="E4917" s="7"/>
    </row>
    <row r="4918" spans="3:5">
      <c r="C4918" s="17">
        <f t="shared" si="76"/>
        <v>0</v>
      </c>
      <c r="D4918" s="17" t="str">
        <f>IF(C4918=1,COUNTIF($C$1:$C4918,1),"")</f>
        <v/>
      </c>
      <c r="E4918" s="7"/>
    </row>
    <row r="4919" spans="3:5">
      <c r="C4919" s="17">
        <f t="shared" si="76"/>
        <v>0</v>
      </c>
      <c r="D4919" s="17" t="str">
        <f>IF(C4919=1,COUNTIF($C$1:$C4919,1),"")</f>
        <v/>
      </c>
      <c r="E4919" s="7"/>
    </row>
    <row r="4920" spans="3:5">
      <c r="C4920" s="17">
        <f t="shared" si="76"/>
        <v>0</v>
      </c>
      <c r="D4920" s="17" t="str">
        <f>IF(C4920=1,COUNTIF($C$1:$C4920,1),"")</f>
        <v/>
      </c>
      <c r="E4920" s="7"/>
    </row>
    <row r="4921" spans="3:5">
      <c r="C4921" s="17">
        <f t="shared" si="76"/>
        <v>0</v>
      </c>
      <c r="D4921" s="17" t="str">
        <f>IF(C4921=1,COUNTIF($C$1:$C4921,1),"")</f>
        <v/>
      </c>
      <c r="E4921" s="7"/>
    </row>
    <row r="4922" spans="3:5">
      <c r="C4922" s="17">
        <f t="shared" si="76"/>
        <v>0</v>
      </c>
      <c r="D4922" s="17" t="str">
        <f>IF(C4922=1,COUNTIF($C$1:$C4922,1),"")</f>
        <v/>
      </c>
      <c r="E4922" s="7"/>
    </row>
    <row r="4923" spans="3:5">
      <c r="C4923" s="17">
        <f t="shared" si="76"/>
        <v>0</v>
      </c>
      <c r="D4923" s="17" t="str">
        <f>IF(C4923=1,COUNTIF($C$1:$C4923,1),"")</f>
        <v/>
      </c>
      <c r="E4923" s="7"/>
    </row>
    <row r="4924" spans="3:5">
      <c r="C4924" s="17">
        <f t="shared" si="76"/>
        <v>0</v>
      </c>
      <c r="D4924" s="17" t="str">
        <f>IF(C4924=1,COUNTIF($C$1:$C4924,1),"")</f>
        <v/>
      </c>
      <c r="E4924" s="7"/>
    </row>
    <row r="4925" spans="3:5">
      <c r="C4925" s="17">
        <f t="shared" si="76"/>
        <v>0</v>
      </c>
      <c r="D4925" s="17" t="str">
        <f>IF(C4925=1,COUNTIF($C$1:$C4925,1),"")</f>
        <v/>
      </c>
      <c r="E4925" s="7"/>
    </row>
    <row r="4926" spans="3:5">
      <c r="C4926" s="17">
        <f t="shared" si="76"/>
        <v>0</v>
      </c>
      <c r="D4926" s="17" t="str">
        <f>IF(C4926=1,COUNTIF($C$1:$C4926,1),"")</f>
        <v/>
      </c>
      <c r="E4926" s="7"/>
    </row>
    <row r="4927" spans="3:5">
      <c r="C4927" s="17">
        <f t="shared" si="76"/>
        <v>0</v>
      </c>
      <c r="D4927" s="17" t="str">
        <f>IF(C4927=1,COUNTIF($C$1:$C4927,1),"")</f>
        <v/>
      </c>
      <c r="E4927" s="7"/>
    </row>
    <row r="4928" spans="3:5">
      <c r="C4928" s="17">
        <f t="shared" si="76"/>
        <v>0</v>
      </c>
      <c r="D4928" s="17" t="str">
        <f>IF(C4928=1,COUNTIF($C$1:$C4928,1),"")</f>
        <v/>
      </c>
      <c r="E4928" s="7"/>
    </row>
    <row r="4929" spans="3:5">
      <c r="C4929" s="17">
        <f t="shared" si="76"/>
        <v>0</v>
      </c>
      <c r="D4929" s="17" t="str">
        <f>IF(C4929=1,COUNTIF($C$1:$C4929,1),"")</f>
        <v/>
      </c>
      <c r="E4929" s="7"/>
    </row>
    <row r="4930" spans="3:5">
      <c r="C4930" s="17">
        <f t="shared" ref="C4930:C4993" si="77">--ISNUMBER(SEARCH($B$1,A4930))</f>
        <v>0</v>
      </c>
      <c r="D4930" s="17" t="str">
        <f>IF(C4930=1,COUNTIF($C$1:$C4930,1),"")</f>
        <v/>
      </c>
      <c r="E4930" s="7"/>
    </row>
    <row r="4931" spans="3:5">
      <c r="C4931" s="17">
        <f t="shared" si="77"/>
        <v>0</v>
      </c>
      <c r="D4931" s="17" t="str">
        <f>IF(C4931=1,COUNTIF($C$1:$C4931,1),"")</f>
        <v/>
      </c>
      <c r="E4931" s="7"/>
    </row>
    <row r="4932" spans="3:5">
      <c r="C4932" s="17">
        <f t="shared" si="77"/>
        <v>0</v>
      </c>
      <c r="D4932" s="17" t="str">
        <f>IF(C4932=1,COUNTIF($C$1:$C4932,1),"")</f>
        <v/>
      </c>
      <c r="E4932" s="7"/>
    </row>
    <row r="4933" spans="3:5">
      <c r="C4933" s="17">
        <f t="shared" si="77"/>
        <v>0</v>
      </c>
      <c r="D4933" s="17" t="str">
        <f>IF(C4933=1,COUNTIF($C$1:$C4933,1),"")</f>
        <v/>
      </c>
      <c r="E4933" s="7"/>
    </row>
    <row r="4934" spans="3:5">
      <c r="C4934" s="17">
        <f t="shared" si="77"/>
        <v>0</v>
      </c>
      <c r="D4934" s="17" t="str">
        <f>IF(C4934=1,COUNTIF($C$1:$C4934,1),"")</f>
        <v/>
      </c>
      <c r="E4934" s="7"/>
    </row>
    <row r="4935" spans="3:5">
      <c r="C4935" s="17">
        <f t="shared" si="77"/>
        <v>0</v>
      </c>
      <c r="D4935" s="17" t="str">
        <f>IF(C4935=1,COUNTIF($C$1:$C4935,1),"")</f>
        <v/>
      </c>
      <c r="E4935" s="7"/>
    </row>
    <row r="4936" spans="3:5">
      <c r="C4936" s="17">
        <f t="shared" si="77"/>
        <v>0</v>
      </c>
      <c r="D4936" s="17" t="str">
        <f>IF(C4936=1,COUNTIF($C$1:$C4936,1),"")</f>
        <v/>
      </c>
      <c r="E4936" s="7"/>
    </row>
    <row r="4937" spans="3:5">
      <c r="C4937" s="17">
        <f t="shared" si="77"/>
        <v>0</v>
      </c>
      <c r="D4937" s="17" t="str">
        <f>IF(C4937=1,COUNTIF($C$1:$C4937,1),"")</f>
        <v/>
      </c>
      <c r="E4937" s="7"/>
    </row>
    <row r="4938" spans="3:5">
      <c r="C4938" s="17">
        <f t="shared" si="77"/>
        <v>0</v>
      </c>
      <c r="D4938" s="17" t="str">
        <f>IF(C4938=1,COUNTIF($C$1:$C4938,1),"")</f>
        <v/>
      </c>
      <c r="E4938" s="7"/>
    </row>
    <row r="4939" spans="3:5">
      <c r="C4939" s="17">
        <f t="shared" si="77"/>
        <v>0</v>
      </c>
      <c r="D4939" s="17" t="str">
        <f>IF(C4939=1,COUNTIF($C$1:$C4939,1),"")</f>
        <v/>
      </c>
      <c r="E4939" s="7"/>
    </row>
    <row r="4940" spans="3:5">
      <c r="C4940" s="17">
        <f t="shared" si="77"/>
        <v>0</v>
      </c>
      <c r="D4940" s="17" t="str">
        <f>IF(C4940=1,COUNTIF($C$1:$C4940,1),"")</f>
        <v/>
      </c>
      <c r="E4940" s="7"/>
    </row>
    <row r="4941" spans="3:5">
      <c r="C4941" s="17">
        <f t="shared" si="77"/>
        <v>0</v>
      </c>
      <c r="D4941" s="17" t="str">
        <f>IF(C4941=1,COUNTIF($C$1:$C4941,1),"")</f>
        <v/>
      </c>
      <c r="E4941" s="7"/>
    </row>
    <row r="4942" spans="3:5">
      <c r="C4942" s="17">
        <f t="shared" si="77"/>
        <v>0</v>
      </c>
      <c r="D4942" s="17" t="str">
        <f>IF(C4942=1,COUNTIF($C$1:$C4942,1),"")</f>
        <v/>
      </c>
      <c r="E4942" s="7"/>
    </row>
    <row r="4943" spans="3:5">
      <c r="C4943" s="17">
        <f t="shared" si="77"/>
        <v>0</v>
      </c>
      <c r="D4943" s="17" t="str">
        <f>IF(C4943=1,COUNTIF($C$1:$C4943,1),"")</f>
        <v/>
      </c>
      <c r="E4943" s="7"/>
    </row>
    <row r="4944" spans="3:5">
      <c r="C4944" s="17">
        <f t="shared" si="77"/>
        <v>0</v>
      </c>
      <c r="D4944" s="17" t="str">
        <f>IF(C4944=1,COUNTIF($C$1:$C4944,1),"")</f>
        <v/>
      </c>
      <c r="E4944" s="7"/>
    </row>
    <row r="4945" spans="3:5">
      <c r="C4945" s="17">
        <f t="shared" si="77"/>
        <v>0</v>
      </c>
      <c r="D4945" s="17" t="str">
        <f>IF(C4945=1,COUNTIF($C$1:$C4945,1),"")</f>
        <v/>
      </c>
      <c r="E4945" s="7"/>
    </row>
    <row r="4946" spans="3:5">
      <c r="C4946" s="17">
        <f t="shared" si="77"/>
        <v>0</v>
      </c>
      <c r="D4946" s="17" t="str">
        <f>IF(C4946=1,COUNTIF($C$1:$C4946,1),"")</f>
        <v/>
      </c>
      <c r="E4946" s="7"/>
    </row>
    <row r="4947" spans="3:5">
      <c r="C4947" s="17">
        <f t="shared" si="77"/>
        <v>0</v>
      </c>
      <c r="D4947" s="17" t="str">
        <f>IF(C4947=1,COUNTIF($C$1:$C4947,1),"")</f>
        <v/>
      </c>
      <c r="E4947" s="7"/>
    </row>
    <row r="4948" spans="3:5">
      <c r="C4948" s="17">
        <f t="shared" si="77"/>
        <v>0</v>
      </c>
      <c r="D4948" s="17" t="str">
        <f>IF(C4948=1,COUNTIF($C$1:$C4948,1),"")</f>
        <v/>
      </c>
      <c r="E4948" s="7"/>
    </row>
    <row r="4949" spans="3:5">
      <c r="C4949" s="17">
        <f t="shared" si="77"/>
        <v>0</v>
      </c>
      <c r="D4949" s="17" t="str">
        <f>IF(C4949=1,COUNTIF($C$1:$C4949,1),"")</f>
        <v/>
      </c>
      <c r="E4949" s="7"/>
    </row>
    <row r="4950" spans="3:5">
      <c r="C4950" s="17">
        <f t="shared" si="77"/>
        <v>0</v>
      </c>
      <c r="D4950" s="17" t="str">
        <f>IF(C4950=1,COUNTIF($C$1:$C4950,1),"")</f>
        <v/>
      </c>
      <c r="E4950" s="7"/>
    </row>
    <row r="4951" spans="3:5">
      <c r="C4951" s="17">
        <f t="shared" si="77"/>
        <v>0</v>
      </c>
      <c r="D4951" s="17" t="str">
        <f>IF(C4951=1,COUNTIF($C$1:$C4951,1),"")</f>
        <v/>
      </c>
      <c r="E4951" s="7"/>
    </row>
    <row r="4952" spans="3:5">
      <c r="C4952" s="17">
        <f t="shared" si="77"/>
        <v>0</v>
      </c>
      <c r="D4952" s="17" t="str">
        <f>IF(C4952=1,COUNTIF($C$1:$C4952,1),"")</f>
        <v/>
      </c>
      <c r="E4952" s="7"/>
    </row>
    <row r="4953" spans="3:5">
      <c r="C4953" s="17">
        <f t="shared" si="77"/>
        <v>0</v>
      </c>
      <c r="D4953" s="17" t="str">
        <f>IF(C4953=1,COUNTIF($C$1:$C4953,1),"")</f>
        <v/>
      </c>
      <c r="E4953" s="7"/>
    </row>
    <row r="4954" spans="3:5">
      <c r="C4954" s="17">
        <f t="shared" si="77"/>
        <v>0</v>
      </c>
      <c r="D4954" s="17" t="str">
        <f>IF(C4954=1,COUNTIF($C$1:$C4954,1),"")</f>
        <v/>
      </c>
      <c r="E4954" s="7"/>
    </row>
    <row r="4955" spans="3:5">
      <c r="C4955" s="17">
        <f t="shared" si="77"/>
        <v>0</v>
      </c>
      <c r="D4955" s="17" t="str">
        <f>IF(C4955=1,COUNTIF($C$1:$C4955,1),"")</f>
        <v/>
      </c>
      <c r="E4955" s="7"/>
    </row>
    <row r="4956" spans="3:5">
      <c r="C4956" s="17">
        <f t="shared" si="77"/>
        <v>0</v>
      </c>
      <c r="D4956" s="17" t="str">
        <f>IF(C4956=1,COUNTIF($C$1:$C4956,1),"")</f>
        <v/>
      </c>
      <c r="E4956" s="7"/>
    </row>
    <row r="4957" spans="3:5">
      <c r="C4957" s="17">
        <f t="shared" si="77"/>
        <v>0</v>
      </c>
      <c r="D4957" s="17" t="str">
        <f>IF(C4957=1,COUNTIF($C$1:$C4957,1),"")</f>
        <v/>
      </c>
      <c r="E4957" s="7"/>
    </row>
    <row r="4958" spans="3:5">
      <c r="C4958" s="17">
        <f t="shared" si="77"/>
        <v>0</v>
      </c>
      <c r="D4958" s="17" t="str">
        <f>IF(C4958=1,COUNTIF($C$1:$C4958,1),"")</f>
        <v/>
      </c>
      <c r="E4958" s="7"/>
    </row>
    <row r="4959" spans="3:5">
      <c r="C4959" s="17">
        <f t="shared" si="77"/>
        <v>0</v>
      </c>
      <c r="D4959" s="17" t="str">
        <f>IF(C4959=1,COUNTIF($C$1:$C4959,1),"")</f>
        <v/>
      </c>
      <c r="E4959" s="7"/>
    </row>
    <row r="4960" spans="3:5">
      <c r="C4960" s="17">
        <f t="shared" si="77"/>
        <v>0</v>
      </c>
      <c r="D4960" s="17" t="str">
        <f>IF(C4960=1,COUNTIF($C$1:$C4960,1),"")</f>
        <v/>
      </c>
      <c r="E4960" s="7"/>
    </row>
    <row r="4961" spans="3:5">
      <c r="C4961" s="17">
        <f t="shared" si="77"/>
        <v>0</v>
      </c>
      <c r="D4961" s="17" t="str">
        <f>IF(C4961=1,COUNTIF($C$1:$C4961,1),"")</f>
        <v/>
      </c>
      <c r="E4961" s="7"/>
    </row>
    <row r="4962" spans="3:5">
      <c r="C4962" s="17">
        <f t="shared" si="77"/>
        <v>0</v>
      </c>
      <c r="D4962" s="17" t="str">
        <f>IF(C4962=1,COUNTIF($C$1:$C4962,1),"")</f>
        <v/>
      </c>
      <c r="E4962" s="7"/>
    </row>
    <row r="4963" spans="3:5">
      <c r="C4963" s="17">
        <f t="shared" si="77"/>
        <v>0</v>
      </c>
      <c r="D4963" s="17" t="str">
        <f>IF(C4963=1,COUNTIF($C$1:$C4963,1),"")</f>
        <v/>
      </c>
      <c r="E4963" s="7"/>
    </row>
    <row r="4964" spans="3:5">
      <c r="C4964" s="17">
        <f t="shared" si="77"/>
        <v>0</v>
      </c>
      <c r="D4964" s="17" t="str">
        <f>IF(C4964=1,COUNTIF($C$1:$C4964,1),"")</f>
        <v/>
      </c>
      <c r="E4964" s="7"/>
    </row>
    <row r="4965" spans="3:5">
      <c r="C4965" s="17">
        <f t="shared" si="77"/>
        <v>0</v>
      </c>
      <c r="D4965" s="17" t="str">
        <f>IF(C4965=1,COUNTIF($C$1:$C4965,1),"")</f>
        <v/>
      </c>
      <c r="E4965" s="7"/>
    </row>
    <row r="4966" spans="3:5">
      <c r="C4966" s="17">
        <f t="shared" si="77"/>
        <v>0</v>
      </c>
      <c r="D4966" s="17" t="str">
        <f>IF(C4966=1,COUNTIF($C$1:$C4966,1),"")</f>
        <v/>
      </c>
      <c r="E4966" s="7"/>
    </row>
    <row r="4967" spans="3:5">
      <c r="C4967" s="17">
        <f t="shared" si="77"/>
        <v>0</v>
      </c>
      <c r="D4967" s="17" t="str">
        <f>IF(C4967=1,COUNTIF($C$1:$C4967,1),"")</f>
        <v/>
      </c>
      <c r="E4967" s="7"/>
    </row>
    <row r="4968" spans="3:5">
      <c r="C4968" s="17">
        <f t="shared" si="77"/>
        <v>0</v>
      </c>
      <c r="D4968" s="17" t="str">
        <f>IF(C4968=1,COUNTIF($C$1:$C4968,1),"")</f>
        <v/>
      </c>
      <c r="E4968" s="7"/>
    </row>
    <row r="4969" spans="3:5">
      <c r="C4969" s="17">
        <f t="shared" si="77"/>
        <v>0</v>
      </c>
      <c r="D4969" s="17" t="str">
        <f>IF(C4969=1,COUNTIF($C$1:$C4969,1),"")</f>
        <v/>
      </c>
      <c r="E4969" s="7"/>
    </row>
    <row r="4970" spans="3:5">
      <c r="C4970" s="17">
        <f t="shared" si="77"/>
        <v>0</v>
      </c>
      <c r="D4970" s="17" t="str">
        <f>IF(C4970=1,COUNTIF($C$1:$C4970,1),"")</f>
        <v/>
      </c>
      <c r="E4970" s="7"/>
    </row>
    <row r="4971" spans="3:5">
      <c r="C4971" s="17">
        <f t="shared" si="77"/>
        <v>0</v>
      </c>
      <c r="D4971" s="17" t="str">
        <f>IF(C4971=1,COUNTIF($C$1:$C4971,1),"")</f>
        <v/>
      </c>
      <c r="E4971" s="7"/>
    </row>
    <row r="4972" spans="3:5">
      <c r="C4972" s="17">
        <f t="shared" si="77"/>
        <v>0</v>
      </c>
      <c r="D4972" s="17" t="str">
        <f>IF(C4972=1,COUNTIF($C$1:$C4972,1),"")</f>
        <v/>
      </c>
      <c r="E4972" s="7"/>
    </row>
    <row r="4973" spans="3:5">
      <c r="C4973" s="17">
        <f t="shared" si="77"/>
        <v>0</v>
      </c>
      <c r="D4973" s="17" t="str">
        <f>IF(C4973=1,COUNTIF($C$1:$C4973,1),"")</f>
        <v/>
      </c>
      <c r="E4973" s="7"/>
    </row>
    <row r="4974" spans="3:5">
      <c r="C4974" s="17">
        <f t="shared" si="77"/>
        <v>0</v>
      </c>
      <c r="D4974" s="17" t="str">
        <f>IF(C4974=1,COUNTIF($C$1:$C4974,1),"")</f>
        <v/>
      </c>
      <c r="E4974" s="7"/>
    </row>
    <row r="4975" spans="3:5">
      <c r="C4975" s="17">
        <f t="shared" si="77"/>
        <v>0</v>
      </c>
      <c r="D4975" s="17" t="str">
        <f>IF(C4975=1,COUNTIF($C$1:$C4975,1),"")</f>
        <v/>
      </c>
      <c r="E4975" s="7"/>
    </row>
    <row r="4976" spans="3:5">
      <c r="C4976" s="17">
        <f t="shared" si="77"/>
        <v>0</v>
      </c>
      <c r="D4976" s="17" t="str">
        <f>IF(C4976=1,COUNTIF($C$1:$C4976,1),"")</f>
        <v/>
      </c>
      <c r="E4976" s="7"/>
    </row>
    <row r="4977" spans="3:5">
      <c r="C4977" s="17">
        <f t="shared" si="77"/>
        <v>0</v>
      </c>
      <c r="D4977" s="17" t="str">
        <f>IF(C4977=1,COUNTIF($C$1:$C4977,1),"")</f>
        <v/>
      </c>
      <c r="E4977" s="7"/>
    </row>
    <row r="4978" spans="3:5">
      <c r="C4978" s="17">
        <f t="shared" si="77"/>
        <v>0</v>
      </c>
      <c r="D4978" s="17" t="str">
        <f>IF(C4978=1,COUNTIF($C$1:$C4978,1),"")</f>
        <v/>
      </c>
      <c r="E4978" s="7"/>
    </row>
    <row r="4979" spans="3:5">
      <c r="C4979" s="17">
        <f t="shared" si="77"/>
        <v>0</v>
      </c>
      <c r="D4979" s="17" t="str">
        <f>IF(C4979=1,COUNTIF($C$1:$C4979,1),"")</f>
        <v/>
      </c>
      <c r="E4979" s="7"/>
    </row>
    <row r="4980" spans="3:5">
      <c r="C4980" s="17">
        <f t="shared" si="77"/>
        <v>0</v>
      </c>
      <c r="D4980" s="17" t="str">
        <f>IF(C4980=1,COUNTIF($C$1:$C4980,1),"")</f>
        <v/>
      </c>
      <c r="E4980" s="7"/>
    </row>
    <row r="4981" spans="3:5">
      <c r="C4981" s="17">
        <f t="shared" si="77"/>
        <v>0</v>
      </c>
      <c r="D4981" s="17" t="str">
        <f>IF(C4981=1,COUNTIF($C$1:$C4981,1),"")</f>
        <v/>
      </c>
      <c r="E4981" s="7"/>
    </row>
    <row r="4982" spans="3:5">
      <c r="C4982" s="17">
        <f t="shared" si="77"/>
        <v>0</v>
      </c>
      <c r="D4982" s="17" t="str">
        <f>IF(C4982=1,COUNTIF($C$1:$C4982,1),"")</f>
        <v/>
      </c>
      <c r="E4982" s="7"/>
    </row>
    <row r="4983" spans="3:5">
      <c r="C4983" s="17">
        <f t="shared" si="77"/>
        <v>0</v>
      </c>
      <c r="D4983" s="17" t="str">
        <f>IF(C4983=1,COUNTIF($C$1:$C4983,1),"")</f>
        <v/>
      </c>
      <c r="E4983" s="7"/>
    </row>
    <row r="4984" spans="3:5">
      <c r="C4984" s="17">
        <f t="shared" si="77"/>
        <v>0</v>
      </c>
      <c r="D4984" s="17" t="str">
        <f>IF(C4984=1,COUNTIF($C$1:$C4984,1),"")</f>
        <v/>
      </c>
      <c r="E4984" s="7"/>
    </row>
    <row r="4985" spans="3:5">
      <c r="C4985" s="17">
        <f t="shared" si="77"/>
        <v>0</v>
      </c>
      <c r="D4985" s="17" t="str">
        <f>IF(C4985=1,COUNTIF($C$1:$C4985,1),"")</f>
        <v/>
      </c>
      <c r="E4985" s="7"/>
    </row>
    <row r="4986" spans="3:5">
      <c r="C4986" s="17">
        <f t="shared" si="77"/>
        <v>0</v>
      </c>
      <c r="D4986" s="17" t="str">
        <f>IF(C4986=1,COUNTIF($C$1:$C4986,1),"")</f>
        <v/>
      </c>
      <c r="E4986" s="7"/>
    </row>
    <row r="4987" spans="3:5">
      <c r="C4987" s="17">
        <f t="shared" si="77"/>
        <v>0</v>
      </c>
      <c r="D4987" s="17" t="str">
        <f>IF(C4987=1,COUNTIF($C$1:$C4987,1),"")</f>
        <v/>
      </c>
      <c r="E4987" s="7"/>
    </row>
    <row r="4988" spans="3:5">
      <c r="C4988" s="17">
        <f t="shared" si="77"/>
        <v>0</v>
      </c>
      <c r="D4988" s="17" t="str">
        <f>IF(C4988=1,COUNTIF($C$1:$C4988,1),"")</f>
        <v/>
      </c>
      <c r="E4988" s="7"/>
    </row>
    <row r="4989" spans="3:5">
      <c r="C4989" s="17">
        <f t="shared" si="77"/>
        <v>0</v>
      </c>
      <c r="D4989" s="17" t="str">
        <f>IF(C4989=1,COUNTIF($C$1:$C4989,1),"")</f>
        <v/>
      </c>
      <c r="E4989" s="7"/>
    </row>
    <row r="4990" spans="3:5">
      <c r="C4990" s="17">
        <f t="shared" si="77"/>
        <v>0</v>
      </c>
      <c r="D4990" s="17" t="str">
        <f>IF(C4990=1,COUNTIF($C$1:$C4990,1),"")</f>
        <v/>
      </c>
      <c r="E4990" s="7"/>
    </row>
    <row r="4991" spans="3:5">
      <c r="C4991" s="17">
        <f t="shared" si="77"/>
        <v>0</v>
      </c>
      <c r="D4991" s="17" t="str">
        <f>IF(C4991=1,COUNTIF($C$1:$C4991,1),"")</f>
        <v/>
      </c>
      <c r="E4991" s="7"/>
    </row>
    <row r="4992" spans="3:5">
      <c r="C4992" s="17">
        <f t="shared" si="77"/>
        <v>0</v>
      </c>
      <c r="D4992" s="17" t="str">
        <f>IF(C4992=1,COUNTIF($C$1:$C4992,1),"")</f>
        <v/>
      </c>
      <c r="E4992" s="7"/>
    </row>
    <row r="4993" spans="3:5">
      <c r="C4993" s="17">
        <f t="shared" si="77"/>
        <v>0</v>
      </c>
      <c r="D4993" s="17" t="str">
        <f>IF(C4993=1,COUNTIF($C$1:$C4993,1),"")</f>
        <v/>
      </c>
      <c r="E4993" s="7"/>
    </row>
    <row r="4994" spans="3:5">
      <c r="C4994" s="17">
        <f t="shared" ref="C4994:C4999" si="78">--ISNUMBER(SEARCH($B$1,A4994))</f>
        <v>0</v>
      </c>
      <c r="D4994" s="17" t="str">
        <f>IF(C4994=1,COUNTIF($C$1:$C4994,1),"")</f>
        <v/>
      </c>
      <c r="E4994" s="7"/>
    </row>
    <row r="4995" spans="3:5">
      <c r="C4995" s="17">
        <f t="shared" si="78"/>
        <v>0</v>
      </c>
      <c r="D4995" s="17" t="str">
        <f>IF(C4995=1,COUNTIF($C$1:$C4995,1),"")</f>
        <v/>
      </c>
      <c r="E4995" s="7"/>
    </row>
    <row r="4996" spans="3:5">
      <c r="C4996" s="17">
        <f t="shared" si="78"/>
        <v>0</v>
      </c>
      <c r="D4996" s="17" t="str">
        <f>IF(C4996=1,COUNTIF($C$1:$C4996,1),"")</f>
        <v/>
      </c>
      <c r="E4996" s="7"/>
    </row>
    <row r="4997" spans="3:5">
      <c r="C4997" s="17">
        <f t="shared" si="78"/>
        <v>0</v>
      </c>
      <c r="D4997" s="17" t="str">
        <f>IF(C4997=1,COUNTIF($C$1:$C4997,1),"")</f>
        <v/>
      </c>
      <c r="E4997" s="7"/>
    </row>
    <row r="4998" spans="3:5">
      <c r="C4998" s="17">
        <f t="shared" si="78"/>
        <v>0</v>
      </c>
      <c r="D4998" s="17" t="str">
        <f>IF(C4998=1,COUNTIF($C$1:$C4998,1),"")</f>
        <v/>
      </c>
      <c r="E4998" s="7"/>
    </row>
    <row r="4999" spans="3:5">
      <c r="C4999" s="17">
        <f t="shared" si="78"/>
        <v>0</v>
      </c>
      <c r="D4999" s="17" t="str">
        <f>IF(C4999=1,COUNTIF($C$1:$C4999,1),"")</f>
        <v/>
      </c>
      <c r="E4999" s="7"/>
    </row>
    <row r="5000" spans="3:5">
      <c r="C5000" s="17"/>
      <c r="D5000" s="17"/>
      <c r="E5000" s="7"/>
    </row>
    <row r="5001" spans="3:5">
      <c r="C5001" s="17"/>
      <c r="D5001" s="17"/>
      <c r="E5001" s="7"/>
    </row>
    <row r="5002" spans="3:5">
      <c r="C5002" s="17"/>
      <c r="D5002" s="17"/>
      <c r="E5002" s="7"/>
    </row>
    <row r="5003" spans="3:5">
      <c r="C5003" s="17"/>
      <c r="D5003" s="17"/>
      <c r="E5003" s="7"/>
    </row>
    <row r="5004" spans="3:5">
      <c r="C5004" s="17"/>
      <c r="D5004" s="17"/>
      <c r="E5004" s="7"/>
    </row>
    <row r="5005" spans="3:5">
      <c r="C5005" s="17"/>
      <c r="D5005" s="17"/>
      <c r="E5005" s="7"/>
    </row>
    <row r="5006" spans="3:5">
      <c r="C5006" s="17"/>
      <c r="D5006" s="17"/>
      <c r="E5006" s="7"/>
    </row>
    <row r="5007" spans="3:5">
      <c r="C5007" s="17"/>
      <c r="D5007" s="17"/>
      <c r="E5007" s="7"/>
    </row>
    <row r="5008" spans="3:5">
      <c r="C5008" s="17"/>
      <c r="D5008" s="17"/>
      <c r="E5008" s="7"/>
    </row>
    <row r="5009" spans="3:5">
      <c r="C5009" s="17"/>
      <c r="D5009" s="17"/>
      <c r="E5009" s="7"/>
    </row>
    <row r="5010" spans="3:5">
      <c r="C5010" s="17"/>
      <c r="D5010" s="17"/>
      <c r="E5010" s="7"/>
    </row>
    <row r="5011" spans="3:5">
      <c r="C5011" s="17"/>
      <c r="D5011" s="17"/>
      <c r="E5011" s="7"/>
    </row>
    <row r="5012" spans="3:5">
      <c r="C5012" s="17"/>
      <c r="D5012" s="17"/>
      <c r="E5012" s="7"/>
    </row>
    <row r="5013" spans="3:5">
      <c r="C5013" s="17"/>
      <c r="D5013" s="17"/>
      <c r="E5013" s="7"/>
    </row>
    <row r="5014" spans="3:5">
      <c r="C5014" s="17"/>
      <c r="D5014" s="17"/>
      <c r="E5014" s="7"/>
    </row>
    <row r="5015" spans="3:5">
      <c r="C5015" s="17"/>
      <c r="D5015" s="17"/>
      <c r="E5015" s="7"/>
    </row>
    <row r="5016" spans="3:5">
      <c r="C5016" s="17"/>
      <c r="D5016" s="17"/>
      <c r="E5016" s="7"/>
    </row>
    <row r="5017" spans="3:5">
      <c r="C5017" s="17"/>
      <c r="D5017" s="17"/>
      <c r="E5017" s="7"/>
    </row>
    <row r="5018" spans="3:5">
      <c r="C5018" s="17"/>
      <c r="D5018" s="17"/>
      <c r="E5018" s="7"/>
    </row>
    <row r="5019" spans="3:5">
      <c r="C5019" s="17"/>
      <c r="D5019" s="17"/>
      <c r="E5019" s="7"/>
    </row>
    <row r="5020" spans="3:5">
      <c r="C5020" s="17"/>
      <c r="D5020" s="17"/>
      <c r="E5020" s="7"/>
    </row>
    <row r="5021" spans="3:5">
      <c r="C5021" s="17"/>
      <c r="D5021" s="17"/>
      <c r="E5021" s="7"/>
    </row>
    <row r="5022" spans="3:5">
      <c r="C5022" s="17"/>
      <c r="D5022" s="17"/>
      <c r="E5022" s="7"/>
    </row>
    <row r="5023" spans="3:5">
      <c r="C5023" s="17"/>
      <c r="D5023" s="17"/>
      <c r="E5023" s="7"/>
    </row>
    <row r="5024" spans="3:5">
      <c r="C5024" s="17"/>
      <c r="D5024" s="17"/>
      <c r="E5024" s="7"/>
    </row>
    <row r="5025" spans="3:5">
      <c r="C5025" s="17"/>
      <c r="D5025" s="17"/>
      <c r="E5025" s="7"/>
    </row>
    <row r="5026" spans="3:5">
      <c r="C5026" s="17"/>
      <c r="D5026" s="17"/>
      <c r="E5026" s="7"/>
    </row>
    <row r="5027" spans="3:5">
      <c r="C5027" s="17"/>
      <c r="D5027" s="17"/>
      <c r="E5027" s="7"/>
    </row>
    <row r="5028" spans="3:5">
      <c r="C5028" s="17"/>
      <c r="D5028" s="17"/>
      <c r="E5028" s="7"/>
    </row>
    <row r="5029" spans="3:5">
      <c r="C5029" s="17"/>
      <c r="D5029" s="17"/>
      <c r="E5029" s="7"/>
    </row>
    <row r="5030" spans="3:5">
      <c r="C5030" s="17"/>
      <c r="D5030" s="17"/>
      <c r="E5030" s="7"/>
    </row>
    <row r="5031" spans="3:5">
      <c r="C5031" s="17"/>
      <c r="D5031" s="17"/>
      <c r="E5031" s="7"/>
    </row>
    <row r="5032" spans="3:5">
      <c r="C5032" s="17"/>
      <c r="D5032" s="17"/>
      <c r="E5032" s="7"/>
    </row>
    <row r="5033" spans="3:5">
      <c r="C5033" s="17"/>
      <c r="D5033" s="17"/>
      <c r="E5033" s="7"/>
    </row>
    <row r="5034" spans="3:5">
      <c r="C5034" s="17"/>
      <c r="D5034" s="17"/>
      <c r="E5034" s="7"/>
    </row>
    <row r="5035" spans="3:5">
      <c r="C5035" s="17"/>
      <c r="D5035" s="17"/>
      <c r="E5035" s="7"/>
    </row>
    <row r="5036" spans="3:5">
      <c r="C5036" s="17"/>
      <c r="D5036" s="17"/>
      <c r="E5036" s="7"/>
    </row>
    <row r="5037" spans="3:5">
      <c r="C5037" s="17"/>
      <c r="D5037" s="17"/>
      <c r="E5037" s="7"/>
    </row>
    <row r="5038" spans="3:5">
      <c r="C5038" s="17"/>
      <c r="D5038" s="17"/>
      <c r="E5038" s="7"/>
    </row>
    <row r="5039" spans="3:5">
      <c r="C5039" s="17"/>
      <c r="D5039" s="17"/>
      <c r="E5039" s="7"/>
    </row>
    <row r="5040" spans="3:5">
      <c r="C5040" s="17"/>
      <c r="D5040" s="17"/>
      <c r="E5040" s="7"/>
    </row>
    <row r="5041" spans="3:5">
      <c r="C5041" s="17"/>
      <c r="D5041" s="17"/>
      <c r="E5041" s="7"/>
    </row>
    <row r="5042" spans="3:5">
      <c r="C5042" s="17"/>
      <c r="D5042" s="17"/>
      <c r="E5042" s="7"/>
    </row>
    <row r="5043" spans="3:5">
      <c r="C5043" s="17"/>
      <c r="D5043" s="17"/>
      <c r="E5043" s="7"/>
    </row>
    <row r="5044" spans="3:5">
      <c r="C5044" s="17"/>
      <c r="D5044" s="17"/>
      <c r="E5044" s="7"/>
    </row>
    <row r="5045" spans="3:5">
      <c r="C5045" s="17"/>
      <c r="D5045" s="17"/>
      <c r="E5045" s="7"/>
    </row>
    <row r="5046" spans="3:5">
      <c r="C5046" s="17"/>
      <c r="D5046" s="17"/>
      <c r="E5046" s="7"/>
    </row>
    <row r="5047" spans="3:5">
      <c r="C5047" s="17"/>
      <c r="D5047" s="17"/>
      <c r="E5047" s="7"/>
    </row>
    <row r="5048" spans="3:5">
      <c r="C5048" s="17"/>
      <c r="D5048" s="17"/>
      <c r="E5048" s="7"/>
    </row>
    <row r="5049" spans="3:5">
      <c r="C5049" s="17"/>
      <c r="D5049" s="17"/>
      <c r="E5049" s="7"/>
    </row>
    <row r="5050" spans="3:5">
      <c r="C5050" s="17"/>
      <c r="D5050" s="17"/>
      <c r="E5050" s="7"/>
    </row>
    <row r="5051" spans="3:5">
      <c r="C5051" s="17"/>
      <c r="D5051" s="17"/>
      <c r="E5051" s="7"/>
    </row>
    <row r="5052" spans="3:5">
      <c r="C5052" s="17"/>
      <c r="D5052" s="17"/>
      <c r="E5052" s="7"/>
    </row>
    <row r="5053" spans="3:5">
      <c r="C5053" s="17"/>
      <c r="D5053" s="17"/>
      <c r="E5053" s="7"/>
    </row>
    <row r="5054" spans="3:5">
      <c r="C5054" s="17"/>
      <c r="D5054" s="17"/>
      <c r="E5054" s="7"/>
    </row>
    <row r="5055" spans="3:5">
      <c r="C5055" s="17"/>
      <c r="D5055" s="17"/>
      <c r="E5055" s="7"/>
    </row>
    <row r="5056" spans="3:5">
      <c r="C5056" s="17"/>
      <c r="D5056" s="17"/>
      <c r="E5056" s="7"/>
    </row>
    <row r="5057" spans="3:5">
      <c r="C5057" s="17"/>
      <c r="D5057" s="17"/>
      <c r="E5057" s="7"/>
    </row>
    <row r="5058" spans="3:5">
      <c r="C5058" s="17"/>
      <c r="D5058" s="17"/>
      <c r="E5058" s="7"/>
    </row>
    <row r="5059" spans="3:5">
      <c r="C5059" s="17"/>
      <c r="D5059" s="17"/>
      <c r="E5059" s="7"/>
    </row>
    <row r="5060" spans="3:5">
      <c r="C5060" s="17"/>
      <c r="D5060" s="17"/>
      <c r="E5060" s="7"/>
    </row>
    <row r="5061" spans="3:5">
      <c r="C5061" s="17"/>
      <c r="D5061" s="17"/>
      <c r="E5061" s="7"/>
    </row>
    <row r="5062" spans="3:5">
      <c r="C5062" s="17"/>
      <c r="D5062" s="17"/>
      <c r="E5062" s="7"/>
    </row>
    <row r="5063" spans="3:5">
      <c r="C5063" s="17"/>
      <c r="D5063" s="17"/>
      <c r="E5063" s="7"/>
    </row>
    <row r="5064" spans="3:5">
      <c r="C5064" s="17"/>
      <c r="D5064" s="17"/>
      <c r="E5064" s="7"/>
    </row>
    <row r="5065" spans="3:5">
      <c r="C5065" s="17"/>
      <c r="D5065" s="17"/>
      <c r="E5065" s="7"/>
    </row>
    <row r="5066" spans="3:5">
      <c r="C5066" s="17"/>
      <c r="D5066" s="17"/>
      <c r="E5066" s="7"/>
    </row>
    <row r="5067" spans="3:5">
      <c r="C5067" s="17"/>
      <c r="D5067" s="17"/>
      <c r="E5067" s="7"/>
    </row>
    <row r="5068" spans="3:5">
      <c r="C5068" s="17"/>
      <c r="D5068" s="17"/>
      <c r="E5068" s="7"/>
    </row>
    <row r="5069" spans="3:5">
      <c r="C5069" s="17"/>
      <c r="D5069" s="17"/>
      <c r="E5069" s="7"/>
    </row>
    <row r="5070" spans="3:5">
      <c r="C5070" s="17"/>
      <c r="D5070" s="17"/>
      <c r="E5070" s="7"/>
    </row>
    <row r="5071" spans="3:5">
      <c r="C5071" s="17"/>
      <c r="D5071" s="17"/>
      <c r="E5071" s="7"/>
    </row>
    <row r="5072" spans="3:5">
      <c r="C5072" s="17"/>
      <c r="D5072" s="17"/>
      <c r="E5072" s="7"/>
    </row>
    <row r="5073" spans="3:5">
      <c r="C5073" s="17"/>
      <c r="D5073" s="17"/>
      <c r="E5073" s="7"/>
    </row>
    <row r="5074" spans="3:5">
      <c r="C5074" s="17"/>
      <c r="D5074" s="17"/>
      <c r="E5074" s="7"/>
    </row>
    <row r="5075" spans="3:5">
      <c r="C5075" s="17"/>
      <c r="D5075" s="17"/>
      <c r="E5075" s="7"/>
    </row>
    <row r="5076" spans="3:5">
      <c r="C5076" s="17"/>
      <c r="D5076" s="17"/>
      <c r="E5076" s="7"/>
    </row>
    <row r="5077" spans="3:5">
      <c r="C5077" s="17"/>
      <c r="D5077" s="17"/>
      <c r="E5077" s="7"/>
    </row>
    <row r="5078" spans="3:5">
      <c r="C5078" s="17"/>
      <c r="D5078" s="17"/>
      <c r="E5078" s="7"/>
    </row>
    <row r="5079" spans="3:5">
      <c r="C5079" s="17"/>
      <c r="D5079" s="17"/>
      <c r="E5079" s="7"/>
    </row>
    <row r="5080" spans="3:5">
      <c r="C5080" s="17"/>
      <c r="D5080" s="17"/>
      <c r="E5080" s="7"/>
    </row>
    <row r="5081" spans="3:5">
      <c r="C5081" s="17"/>
      <c r="D5081" s="17"/>
      <c r="E5081" s="7"/>
    </row>
    <row r="5082" spans="3:5">
      <c r="C5082" s="17"/>
      <c r="D5082" s="17"/>
      <c r="E5082" s="7"/>
    </row>
    <row r="5083" spans="3:5">
      <c r="C5083" s="17"/>
      <c r="D5083" s="17"/>
      <c r="E5083" s="7"/>
    </row>
    <row r="5084" spans="3:5">
      <c r="C5084" s="17"/>
      <c r="D5084" s="17"/>
      <c r="E5084" s="7"/>
    </row>
    <row r="5085" spans="3:5">
      <c r="C5085" s="17"/>
      <c r="D5085" s="17"/>
      <c r="E5085" s="7"/>
    </row>
    <row r="5086" spans="3:5">
      <c r="C5086" s="17"/>
      <c r="D5086" s="17"/>
      <c r="E5086" s="7"/>
    </row>
    <row r="5087" spans="3:5">
      <c r="C5087" s="17"/>
      <c r="D5087" s="17"/>
      <c r="E5087" s="7"/>
    </row>
    <row r="5088" spans="3:5">
      <c r="C5088" s="17"/>
      <c r="D5088" s="17"/>
      <c r="E5088" s="7"/>
    </row>
    <row r="5089" spans="3:5">
      <c r="C5089" s="17"/>
      <c r="D5089" s="17"/>
      <c r="E5089" s="7"/>
    </row>
    <row r="5090" spans="3:5">
      <c r="C5090" s="17"/>
      <c r="D5090" s="17"/>
      <c r="E5090" s="7"/>
    </row>
    <row r="5091" spans="3:5">
      <c r="C5091" s="17"/>
      <c r="D5091" s="17"/>
      <c r="E5091" s="7"/>
    </row>
    <row r="5092" spans="3:5">
      <c r="C5092" s="17"/>
      <c r="D5092" s="17"/>
      <c r="E5092" s="7"/>
    </row>
    <row r="5093" spans="3:5">
      <c r="C5093" s="17"/>
      <c r="D5093" s="17"/>
      <c r="E5093" s="7"/>
    </row>
    <row r="5094" spans="3:5">
      <c r="C5094" s="17"/>
      <c r="D5094" s="17"/>
      <c r="E5094" s="7"/>
    </row>
    <row r="5095" spans="3:5">
      <c r="C5095" s="17"/>
      <c r="D5095" s="17"/>
      <c r="E5095" s="7"/>
    </row>
    <row r="5096" spans="3:5">
      <c r="C5096" s="17"/>
      <c r="D5096" s="17"/>
      <c r="E5096" s="7"/>
    </row>
    <row r="5097" spans="3:5">
      <c r="C5097" s="17"/>
      <c r="D5097" s="17"/>
      <c r="E5097" s="7"/>
    </row>
    <row r="5098" spans="3:5">
      <c r="C5098" s="17"/>
      <c r="D5098" s="17"/>
      <c r="E5098" s="7"/>
    </row>
    <row r="5099" spans="3:5">
      <c r="C5099" s="17"/>
      <c r="D5099" s="17"/>
      <c r="E5099" s="7"/>
    </row>
    <row r="5100" spans="3:5">
      <c r="C5100" s="17"/>
      <c r="D5100" s="17"/>
      <c r="E5100" s="7"/>
    </row>
    <row r="5101" spans="3:5">
      <c r="C5101" s="17"/>
      <c r="D5101" s="17"/>
      <c r="E5101" s="7"/>
    </row>
    <row r="5102" spans="3:5">
      <c r="C5102" s="17"/>
      <c r="D5102" s="17"/>
      <c r="E5102" s="7"/>
    </row>
    <row r="5103" spans="3:5">
      <c r="C5103" s="17"/>
      <c r="D5103" s="17"/>
      <c r="E5103" s="7"/>
    </row>
    <row r="5104" spans="3:5">
      <c r="C5104" s="17"/>
      <c r="D5104" s="17"/>
      <c r="E5104" s="7"/>
    </row>
    <row r="5105" spans="3:5">
      <c r="C5105" s="17"/>
      <c r="D5105" s="17"/>
      <c r="E5105" s="7"/>
    </row>
    <row r="5106" spans="3:5">
      <c r="C5106" s="17"/>
      <c r="D5106" s="17"/>
      <c r="E5106" s="7"/>
    </row>
    <row r="5107" spans="3:5">
      <c r="C5107" s="17"/>
      <c r="D5107" s="17"/>
      <c r="E5107" s="7"/>
    </row>
    <row r="5108" spans="3:5">
      <c r="C5108" s="17"/>
      <c r="D5108" s="17"/>
      <c r="E5108" s="7"/>
    </row>
    <row r="5109" spans="3:5">
      <c r="C5109" s="17"/>
      <c r="D5109" s="17"/>
      <c r="E5109" s="7"/>
    </row>
    <row r="5110" spans="3:5">
      <c r="C5110" s="17"/>
      <c r="D5110" s="17"/>
      <c r="E5110" s="7"/>
    </row>
    <row r="5111" spans="3:5">
      <c r="C5111" s="17"/>
      <c r="D5111" s="17"/>
      <c r="E5111" s="7"/>
    </row>
    <row r="5112" spans="3:5">
      <c r="C5112" s="17"/>
      <c r="D5112" s="17"/>
      <c r="E5112" s="7"/>
    </row>
    <row r="5113" spans="3:5">
      <c r="C5113" s="17"/>
      <c r="D5113" s="17"/>
      <c r="E5113" s="7"/>
    </row>
    <row r="5114" spans="3:5">
      <c r="C5114" s="17"/>
      <c r="D5114" s="17"/>
      <c r="E5114" s="7"/>
    </row>
    <row r="5115" spans="3:5">
      <c r="C5115" s="17"/>
      <c r="D5115" s="17"/>
      <c r="E5115" s="7"/>
    </row>
    <row r="5116" spans="3:5">
      <c r="C5116" s="17"/>
      <c r="D5116" s="17"/>
      <c r="E5116" s="7"/>
    </row>
    <row r="5117" spans="3:5">
      <c r="C5117" s="17"/>
      <c r="D5117" s="17"/>
      <c r="E5117" s="7"/>
    </row>
    <row r="5118" spans="3:5">
      <c r="C5118" s="17"/>
      <c r="D5118" s="17"/>
      <c r="E5118" s="7"/>
    </row>
    <row r="5119" spans="3:5">
      <c r="C5119" s="17"/>
      <c r="D5119" s="17"/>
      <c r="E5119" s="7"/>
    </row>
    <row r="5120" spans="3:5">
      <c r="C5120" s="17"/>
      <c r="D5120" s="17"/>
      <c r="E5120" s="7"/>
    </row>
    <row r="5121" spans="3:5">
      <c r="C5121" s="17"/>
      <c r="D5121" s="17"/>
      <c r="E5121" s="7"/>
    </row>
    <row r="5122" spans="3:5">
      <c r="C5122" s="17"/>
      <c r="D5122" s="17"/>
      <c r="E5122" s="7"/>
    </row>
    <row r="5123" spans="3:5">
      <c r="C5123" s="17"/>
      <c r="D5123" s="17"/>
      <c r="E5123" s="7"/>
    </row>
    <row r="5124" spans="3:5">
      <c r="C5124" s="17"/>
      <c r="D5124" s="17"/>
      <c r="E5124" s="7"/>
    </row>
    <row r="5125" spans="3:5">
      <c r="C5125" s="17"/>
      <c r="D5125" s="17"/>
      <c r="E5125" s="7"/>
    </row>
    <row r="5126" spans="3:5">
      <c r="C5126" s="17"/>
      <c r="D5126" s="17"/>
      <c r="E5126" s="7"/>
    </row>
    <row r="5127" spans="3:5">
      <c r="C5127" s="17"/>
      <c r="D5127" s="17"/>
      <c r="E5127" s="7"/>
    </row>
    <row r="5128" spans="3:5">
      <c r="C5128" s="17"/>
      <c r="D5128" s="17"/>
      <c r="E5128" s="7"/>
    </row>
    <row r="5129" spans="3:5">
      <c r="C5129" s="17"/>
      <c r="D5129" s="17"/>
      <c r="E5129" s="7"/>
    </row>
    <row r="5130" spans="3:5">
      <c r="C5130" s="17"/>
      <c r="D5130" s="17"/>
      <c r="E5130" s="7"/>
    </row>
    <row r="5131" spans="3:5">
      <c r="C5131" s="17"/>
      <c r="D5131" s="17"/>
      <c r="E5131" s="7"/>
    </row>
    <row r="5132" spans="3:5">
      <c r="C5132" s="17"/>
      <c r="D5132" s="17"/>
      <c r="E5132" s="7"/>
    </row>
    <row r="5133" spans="3:5">
      <c r="C5133" s="17"/>
      <c r="D5133" s="17"/>
      <c r="E5133" s="7"/>
    </row>
    <row r="5134" spans="3:5">
      <c r="C5134" s="17"/>
      <c r="D5134" s="17"/>
      <c r="E5134" s="7"/>
    </row>
    <row r="5135" spans="3:5">
      <c r="C5135" s="17"/>
      <c r="D5135" s="17"/>
      <c r="E5135" s="7"/>
    </row>
    <row r="5136" spans="3:5">
      <c r="C5136" s="17"/>
      <c r="D5136" s="17"/>
      <c r="E5136" s="7"/>
    </row>
    <row r="5137" spans="3:5">
      <c r="C5137" s="17"/>
      <c r="D5137" s="17"/>
      <c r="E5137" s="7"/>
    </row>
    <row r="5138" spans="3:5">
      <c r="C5138" s="17"/>
      <c r="D5138" s="17"/>
      <c r="E5138" s="7"/>
    </row>
    <row r="5139" spans="3:5">
      <c r="C5139" s="17"/>
      <c r="D5139" s="17"/>
      <c r="E5139" s="7"/>
    </row>
    <row r="5140" spans="3:5">
      <c r="C5140" s="17"/>
      <c r="D5140" s="17"/>
      <c r="E5140" s="7"/>
    </row>
    <row r="5141" spans="3:5">
      <c r="C5141" s="17"/>
      <c r="D5141" s="17"/>
      <c r="E5141" s="7"/>
    </row>
    <row r="5142" spans="3:5">
      <c r="C5142" s="17"/>
      <c r="D5142" s="17"/>
      <c r="E5142" s="7"/>
    </row>
    <row r="5143" spans="3:5">
      <c r="C5143" s="17"/>
      <c r="D5143" s="17"/>
      <c r="E5143" s="7"/>
    </row>
    <row r="5144" spans="3:5">
      <c r="C5144" s="17"/>
      <c r="D5144" s="17"/>
      <c r="E5144" s="7"/>
    </row>
    <row r="5145" spans="3:5">
      <c r="C5145" s="17"/>
      <c r="D5145" s="17"/>
      <c r="E5145" s="7"/>
    </row>
    <row r="5146" spans="3:5">
      <c r="C5146" s="17"/>
      <c r="D5146" s="17"/>
      <c r="E5146" s="7"/>
    </row>
    <row r="5147" spans="3:5">
      <c r="C5147" s="17"/>
      <c r="D5147" s="17"/>
      <c r="E5147" s="7"/>
    </row>
    <row r="5148" spans="3:5">
      <c r="C5148" s="17"/>
      <c r="D5148" s="17"/>
      <c r="E5148" s="7"/>
    </row>
    <row r="5149" spans="3:5">
      <c r="C5149" s="17"/>
      <c r="D5149" s="17"/>
      <c r="E5149" s="7"/>
    </row>
    <row r="5150" spans="3:5">
      <c r="C5150" s="17"/>
      <c r="D5150" s="17"/>
      <c r="E5150" s="7"/>
    </row>
    <row r="5151" spans="3:5">
      <c r="C5151" s="17"/>
      <c r="D5151" s="17"/>
      <c r="E5151" s="7"/>
    </row>
    <row r="5152" spans="3:5">
      <c r="C5152" s="17"/>
      <c r="D5152" s="17"/>
      <c r="E5152" s="7"/>
    </row>
    <row r="5153" spans="3:5">
      <c r="C5153" s="17"/>
      <c r="D5153" s="17"/>
      <c r="E5153" s="7"/>
    </row>
    <row r="5154" spans="3:5">
      <c r="C5154" s="17"/>
      <c r="D5154" s="17"/>
      <c r="E5154" s="7"/>
    </row>
    <row r="5155" spans="3:5">
      <c r="C5155" s="17"/>
      <c r="D5155" s="17"/>
      <c r="E5155" s="7"/>
    </row>
    <row r="5156" spans="3:5">
      <c r="C5156" s="17"/>
      <c r="D5156" s="17"/>
      <c r="E5156" s="7"/>
    </row>
    <row r="5157" spans="3:5">
      <c r="C5157" s="17"/>
      <c r="D5157" s="17"/>
      <c r="E5157" s="7"/>
    </row>
    <row r="5158" spans="3:5">
      <c r="C5158" s="17"/>
      <c r="D5158" s="17"/>
      <c r="E5158" s="7"/>
    </row>
    <row r="5159" spans="3:5">
      <c r="C5159" s="17"/>
      <c r="D5159" s="17"/>
      <c r="E5159" s="7"/>
    </row>
    <row r="5160" spans="3:5">
      <c r="C5160" s="17"/>
      <c r="D5160" s="17"/>
      <c r="E5160" s="7"/>
    </row>
    <row r="5161" spans="3:5">
      <c r="C5161" s="17"/>
      <c r="D5161" s="17"/>
      <c r="E5161" s="7"/>
    </row>
    <row r="5162" spans="3:5">
      <c r="C5162" s="17"/>
      <c r="D5162" s="17"/>
      <c r="E5162" s="7"/>
    </row>
    <row r="5163" spans="3:5">
      <c r="C5163" s="17"/>
      <c r="D5163" s="17"/>
      <c r="E5163" s="7"/>
    </row>
    <row r="5164" spans="3:5">
      <c r="C5164" s="17"/>
      <c r="D5164" s="17"/>
      <c r="E5164" s="7"/>
    </row>
    <row r="5165" spans="3:5">
      <c r="C5165" s="17"/>
      <c r="D5165" s="17"/>
      <c r="E5165" s="7"/>
    </row>
    <row r="5166" spans="3:5">
      <c r="C5166" s="17"/>
      <c r="D5166" s="17"/>
      <c r="E5166" s="7"/>
    </row>
    <row r="5167" spans="3:5">
      <c r="C5167" s="17"/>
      <c r="D5167" s="17"/>
      <c r="E5167" s="7"/>
    </row>
    <row r="5168" spans="3:5">
      <c r="C5168" s="17"/>
      <c r="D5168" s="17"/>
      <c r="E5168" s="7"/>
    </row>
    <row r="5169" spans="3:5">
      <c r="C5169" s="17"/>
      <c r="D5169" s="17"/>
      <c r="E5169" s="7"/>
    </row>
    <row r="5170" spans="3:5">
      <c r="C5170" s="17"/>
      <c r="D5170" s="17"/>
      <c r="E5170" s="7"/>
    </row>
    <row r="5171" spans="3:5">
      <c r="C5171" s="17"/>
      <c r="D5171" s="17"/>
      <c r="E5171" s="7"/>
    </row>
    <row r="5172" spans="3:5">
      <c r="C5172" s="17"/>
      <c r="D5172" s="17"/>
      <c r="E5172" s="7"/>
    </row>
    <row r="5173" spans="3:5">
      <c r="C5173" s="17"/>
      <c r="D5173" s="17"/>
      <c r="E5173" s="7"/>
    </row>
    <row r="5174" spans="3:5">
      <c r="C5174" s="17"/>
      <c r="D5174" s="17"/>
      <c r="E5174" s="7"/>
    </row>
    <row r="5175" spans="3:5">
      <c r="C5175" s="17"/>
      <c r="D5175" s="17"/>
      <c r="E5175" s="7"/>
    </row>
    <row r="5176" spans="3:5">
      <c r="C5176" s="17"/>
      <c r="D5176" s="17"/>
      <c r="E5176" s="7"/>
    </row>
    <row r="5177" spans="3:5">
      <c r="C5177" s="17"/>
      <c r="D5177" s="17"/>
      <c r="E5177" s="7"/>
    </row>
    <row r="5178" spans="3:5">
      <c r="C5178" s="17"/>
      <c r="D5178" s="17"/>
      <c r="E5178" s="7"/>
    </row>
    <row r="5179" spans="3:5">
      <c r="C5179" s="17"/>
      <c r="D5179" s="17"/>
      <c r="E5179" s="7"/>
    </row>
    <row r="5180" spans="3:5">
      <c r="C5180" s="17"/>
      <c r="D5180" s="17"/>
      <c r="E5180" s="7"/>
    </row>
    <row r="5181" spans="3:5">
      <c r="C5181" s="17"/>
      <c r="D5181" s="17"/>
      <c r="E5181" s="7"/>
    </row>
    <row r="5182" spans="3:5">
      <c r="C5182" s="17"/>
      <c r="D5182" s="17"/>
      <c r="E5182" s="7"/>
    </row>
    <row r="5183" spans="3:5">
      <c r="C5183" s="17"/>
      <c r="D5183" s="17"/>
      <c r="E5183" s="7"/>
    </row>
    <row r="5184" spans="3:5">
      <c r="C5184" s="17"/>
      <c r="D5184" s="17"/>
      <c r="E5184" s="7"/>
    </row>
    <row r="5185" spans="3:5">
      <c r="C5185" s="17"/>
      <c r="D5185" s="17"/>
      <c r="E5185" s="7"/>
    </row>
    <row r="5186" spans="3:5">
      <c r="C5186" s="17"/>
      <c r="D5186" s="17"/>
      <c r="E5186" s="7"/>
    </row>
    <row r="5187" spans="3:5">
      <c r="C5187" s="17"/>
      <c r="D5187" s="17"/>
      <c r="E5187" s="7"/>
    </row>
    <row r="5188" spans="3:5">
      <c r="C5188" s="17"/>
      <c r="D5188" s="17"/>
      <c r="E5188" s="7"/>
    </row>
    <row r="5189" spans="3:5">
      <c r="C5189" s="17"/>
      <c r="D5189" s="17"/>
      <c r="E5189" s="7"/>
    </row>
    <row r="5190" spans="3:5">
      <c r="C5190" s="17"/>
      <c r="D5190" s="17"/>
      <c r="E5190" s="7"/>
    </row>
    <row r="5191" spans="3:5">
      <c r="C5191" s="17"/>
      <c r="D5191" s="17"/>
      <c r="E5191" s="7"/>
    </row>
    <row r="5192" spans="3:5">
      <c r="C5192" s="17"/>
      <c r="D5192" s="17"/>
      <c r="E5192" s="7"/>
    </row>
    <row r="5193" spans="3:5">
      <c r="C5193" s="17"/>
      <c r="D5193" s="17"/>
      <c r="E5193" s="7"/>
    </row>
    <row r="5194" spans="3:5">
      <c r="C5194" s="17"/>
      <c r="D5194" s="17"/>
      <c r="E5194" s="7"/>
    </row>
    <row r="5195" spans="3:5">
      <c r="C5195" s="17"/>
      <c r="D5195" s="17"/>
      <c r="E5195" s="7"/>
    </row>
    <row r="5196" spans="3:5">
      <c r="C5196" s="17"/>
      <c r="D5196" s="17"/>
      <c r="E5196" s="7"/>
    </row>
    <row r="5197" spans="3:5">
      <c r="C5197" s="17"/>
      <c r="D5197" s="17"/>
      <c r="E5197" s="7"/>
    </row>
    <row r="5198" spans="3:5">
      <c r="C5198" s="17"/>
      <c r="D5198" s="17"/>
      <c r="E5198" s="7"/>
    </row>
    <row r="5199" spans="3:5">
      <c r="C5199" s="17"/>
      <c r="D5199" s="17"/>
      <c r="E5199" s="7"/>
    </row>
    <row r="5200" spans="3:5">
      <c r="C5200" s="17"/>
      <c r="D5200" s="17"/>
      <c r="E5200" s="7"/>
    </row>
    <row r="5201" spans="3:5">
      <c r="C5201" s="17"/>
      <c r="D5201" s="17"/>
      <c r="E5201" s="7"/>
    </row>
    <row r="5202" spans="3:5">
      <c r="C5202" s="17"/>
      <c r="D5202" s="17"/>
      <c r="E5202" s="7"/>
    </row>
    <row r="5203" spans="3:5">
      <c r="C5203" s="17"/>
      <c r="D5203" s="17"/>
      <c r="E5203" s="7"/>
    </row>
    <row r="5204" spans="3:5">
      <c r="C5204" s="17"/>
      <c r="D5204" s="17"/>
      <c r="E5204" s="7"/>
    </row>
    <row r="5205" spans="3:5">
      <c r="C5205" s="17"/>
      <c r="D5205" s="17"/>
      <c r="E5205" s="7"/>
    </row>
    <row r="5206" spans="3:5">
      <c r="C5206" s="17"/>
      <c r="D5206" s="17"/>
      <c r="E5206" s="7"/>
    </row>
    <row r="5207" spans="3:5">
      <c r="C5207" s="17"/>
      <c r="D5207" s="17"/>
      <c r="E5207" s="7"/>
    </row>
    <row r="5208" spans="3:5">
      <c r="C5208" s="17"/>
      <c r="D5208" s="17"/>
      <c r="E5208" s="7"/>
    </row>
    <row r="5209" spans="3:5">
      <c r="C5209" s="17"/>
      <c r="D5209" s="17"/>
      <c r="E5209" s="7"/>
    </row>
    <row r="5210" spans="3:5">
      <c r="C5210" s="17"/>
      <c r="D5210" s="17"/>
      <c r="E5210" s="7"/>
    </row>
    <row r="5211" spans="3:5">
      <c r="C5211" s="17"/>
      <c r="D5211" s="17"/>
      <c r="E5211" s="7"/>
    </row>
    <row r="5212" spans="3:5">
      <c r="C5212" s="17"/>
      <c r="D5212" s="17"/>
      <c r="E5212" s="7"/>
    </row>
    <row r="5213" spans="3:5">
      <c r="C5213" s="17"/>
      <c r="D5213" s="17"/>
      <c r="E5213" s="7"/>
    </row>
    <row r="5214" spans="3:5">
      <c r="C5214" s="17"/>
      <c r="D5214" s="17"/>
      <c r="E5214" s="7"/>
    </row>
    <row r="5215" spans="3:5">
      <c r="C5215" s="17"/>
      <c r="D5215" s="17"/>
      <c r="E5215" s="7"/>
    </row>
    <row r="5216" spans="3:5">
      <c r="C5216" s="17"/>
      <c r="D5216" s="17"/>
      <c r="E5216" s="7"/>
    </row>
    <row r="5217" spans="3:5">
      <c r="C5217" s="17"/>
      <c r="D5217" s="17"/>
      <c r="E5217" s="7"/>
    </row>
    <row r="5218" spans="3:5">
      <c r="C5218" s="17"/>
      <c r="D5218" s="17"/>
      <c r="E5218" s="7"/>
    </row>
    <row r="5219" spans="3:5">
      <c r="C5219" s="17"/>
      <c r="D5219" s="17"/>
      <c r="E5219" s="7"/>
    </row>
    <row r="5220" spans="3:5">
      <c r="C5220" s="17"/>
      <c r="D5220" s="17"/>
      <c r="E5220" s="7"/>
    </row>
    <row r="5221" spans="3:5">
      <c r="C5221" s="17"/>
      <c r="D5221" s="17"/>
      <c r="E5221" s="7"/>
    </row>
    <row r="5222" spans="3:5">
      <c r="C5222" s="17"/>
      <c r="D5222" s="17"/>
      <c r="E5222" s="7"/>
    </row>
    <row r="5223" spans="3:5">
      <c r="C5223" s="17"/>
      <c r="D5223" s="17"/>
      <c r="E5223" s="7"/>
    </row>
    <row r="5224" spans="3:5">
      <c r="C5224" s="17"/>
      <c r="D5224" s="17"/>
      <c r="E5224" s="7"/>
    </row>
    <row r="5225" spans="3:5">
      <c r="C5225" s="17"/>
      <c r="D5225" s="17"/>
      <c r="E5225" s="7"/>
    </row>
    <row r="5226" spans="3:5">
      <c r="C5226" s="17"/>
      <c r="D5226" s="17"/>
      <c r="E5226" s="7"/>
    </row>
    <row r="5227" spans="3:5">
      <c r="C5227" s="17"/>
      <c r="D5227" s="17"/>
      <c r="E5227" s="7"/>
    </row>
    <row r="5228" spans="3:5">
      <c r="C5228" s="17"/>
      <c r="D5228" s="17"/>
      <c r="E5228" s="7"/>
    </row>
    <row r="5229" spans="3:5">
      <c r="C5229" s="17"/>
      <c r="D5229" s="17"/>
      <c r="E5229" s="7"/>
    </row>
    <row r="5230" spans="3:5">
      <c r="C5230" s="17"/>
      <c r="D5230" s="17"/>
      <c r="E5230" s="7"/>
    </row>
    <row r="5231" spans="3:5">
      <c r="C5231" s="17"/>
      <c r="D5231" s="17"/>
      <c r="E5231" s="7"/>
    </row>
    <row r="5232" spans="3:5">
      <c r="C5232" s="17"/>
      <c r="D5232" s="17"/>
      <c r="E5232" s="7"/>
    </row>
    <row r="5233" spans="3:5">
      <c r="C5233" s="17"/>
      <c r="D5233" s="17"/>
      <c r="E5233" s="7"/>
    </row>
    <row r="5234" spans="3:5">
      <c r="C5234" s="17"/>
      <c r="D5234" s="17"/>
      <c r="E5234" s="7"/>
    </row>
    <row r="5235" spans="3:5">
      <c r="C5235" s="17"/>
      <c r="D5235" s="17"/>
      <c r="E5235" s="7"/>
    </row>
    <row r="5236" spans="3:5">
      <c r="C5236" s="17"/>
      <c r="D5236" s="17"/>
      <c r="E5236" s="7"/>
    </row>
    <row r="5237" spans="3:5">
      <c r="C5237" s="17"/>
      <c r="D5237" s="17"/>
      <c r="E5237" s="7"/>
    </row>
    <row r="5238" spans="3:5">
      <c r="C5238" s="17"/>
      <c r="D5238" s="17"/>
      <c r="E5238" s="7"/>
    </row>
    <row r="5239" spans="3:5">
      <c r="C5239" s="17"/>
      <c r="D5239" s="17"/>
      <c r="E5239" s="7"/>
    </row>
    <row r="5240" spans="3:5">
      <c r="C5240" s="17"/>
      <c r="D5240" s="17"/>
      <c r="E5240" s="7"/>
    </row>
    <row r="5241" spans="3:5">
      <c r="C5241" s="17"/>
      <c r="D5241" s="17"/>
      <c r="E5241" s="7"/>
    </row>
    <row r="5242" spans="3:5">
      <c r="C5242" s="17"/>
      <c r="D5242" s="17"/>
      <c r="E5242" s="7"/>
    </row>
    <row r="5243" spans="3:5">
      <c r="C5243" s="17"/>
      <c r="D5243" s="17"/>
      <c r="E5243" s="7"/>
    </row>
    <row r="5244" spans="3:5">
      <c r="C5244" s="17"/>
      <c r="D5244" s="17"/>
      <c r="E5244" s="7"/>
    </row>
    <row r="5245" spans="3:5">
      <c r="C5245" s="17"/>
      <c r="D5245" s="17"/>
      <c r="E5245" s="7"/>
    </row>
    <row r="5246" spans="3:5">
      <c r="C5246" s="17"/>
      <c r="D5246" s="17"/>
      <c r="E5246" s="7"/>
    </row>
    <row r="5247" spans="3:5">
      <c r="C5247" s="17"/>
      <c r="D5247" s="17"/>
      <c r="E5247" s="7"/>
    </row>
    <row r="5248" spans="3:5">
      <c r="C5248" s="17"/>
      <c r="D5248" s="17"/>
      <c r="E5248" s="7"/>
    </row>
    <row r="5249" spans="3:5">
      <c r="C5249" s="17"/>
      <c r="D5249" s="17"/>
      <c r="E5249" s="7"/>
    </row>
    <row r="5250" spans="3:5">
      <c r="C5250" s="17"/>
      <c r="D5250" s="17"/>
      <c r="E5250" s="7"/>
    </row>
    <row r="5251" spans="3:5">
      <c r="C5251" s="17"/>
      <c r="D5251" s="17"/>
      <c r="E5251" s="7"/>
    </row>
    <row r="5252" spans="3:5">
      <c r="C5252" s="17"/>
      <c r="D5252" s="17"/>
      <c r="E5252" s="7"/>
    </row>
    <row r="5253" spans="3:5">
      <c r="C5253" s="17"/>
      <c r="D5253" s="17"/>
      <c r="E5253" s="7"/>
    </row>
    <row r="5254" spans="3:5">
      <c r="C5254" s="17"/>
      <c r="D5254" s="17"/>
      <c r="E5254" s="7"/>
    </row>
    <row r="5255" spans="3:5">
      <c r="C5255" s="17"/>
      <c r="D5255" s="17"/>
      <c r="E5255" s="7"/>
    </row>
    <row r="5256" spans="3:5">
      <c r="C5256" s="17"/>
      <c r="D5256" s="17"/>
      <c r="E5256" s="7"/>
    </row>
    <row r="5257" spans="3:5">
      <c r="C5257" s="17"/>
      <c r="D5257" s="17"/>
      <c r="E5257" s="7"/>
    </row>
    <row r="5258" spans="3:5">
      <c r="C5258" s="17"/>
      <c r="D5258" s="17"/>
      <c r="E5258" s="7"/>
    </row>
    <row r="5259" spans="3:5">
      <c r="C5259" s="17"/>
      <c r="D5259" s="17"/>
      <c r="E5259" s="7"/>
    </row>
    <row r="5260" spans="3:5">
      <c r="C5260" s="17"/>
      <c r="D5260" s="17"/>
      <c r="E5260" s="7"/>
    </row>
    <row r="5261" spans="3:5">
      <c r="C5261" s="17"/>
      <c r="D5261" s="17"/>
      <c r="E5261" s="7"/>
    </row>
    <row r="5262" spans="3:5">
      <c r="C5262" s="17"/>
      <c r="D5262" s="17"/>
      <c r="E5262" s="7"/>
    </row>
    <row r="5263" spans="3:5">
      <c r="C5263" s="17"/>
      <c r="D5263" s="17"/>
      <c r="E5263" s="7"/>
    </row>
    <row r="5264" spans="3:5">
      <c r="C5264" s="17"/>
      <c r="D5264" s="17"/>
      <c r="E5264" s="7"/>
    </row>
    <row r="5265" spans="3:5">
      <c r="C5265" s="17"/>
      <c r="D5265" s="17"/>
      <c r="E5265" s="7"/>
    </row>
    <row r="5266" spans="3:5">
      <c r="C5266" s="17"/>
      <c r="D5266" s="17"/>
      <c r="E5266" s="7"/>
    </row>
    <row r="5267" spans="3:5">
      <c r="C5267" s="17"/>
      <c r="D5267" s="17"/>
      <c r="E5267" s="7"/>
    </row>
    <row r="5268" spans="3:5">
      <c r="C5268" s="17"/>
      <c r="D5268" s="17"/>
      <c r="E5268" s="7"/>
    </row>
    <row r="5269" spans="3:5">
      <c r="C5269" s="17"/>
      <c r="D5269" s="17"/>
      <c r="E5269" s="7"/>
    </row>
    <row r="5270" spans="3:5">
      <c r="C5270" s="17"/>
      <c r="D5270" s="17"/>
      <c r="E5270" s="7"/>
    </row>
    <row r="5271" spans="3:5">
      <c r="C5271" s="17"/>
      <c r="D5271" s="17"/>
      <c r="E5271" s="7"/>
    </row>
    <row r="5272" spans="3:5">
      <c r="C5272" s="17"/>
      <c r="D5272" s="17"/>
      <c r="E5272" s="7"/>
    </row>
    <row r="5273" spans="3:5">
      <c r="C5273" s="17"/>
      <c r="D5273" s="17"/>
      <c r="E5273" s="7"/>
    </row>
    <row r="5274" spans="3:5">
      <c r="C5274" s="17"/>
      <c r="D5274" s="17"/>
      <c r="E5274" s="7"/>
    </row>
    <row r="5275" spans="3:5">
      <c r="C5275" s="17"/>
      <c r="D5275" s="17"/>
      <c r="E5275" s="7"/>
    </row>
    <row r="5276" spans="3:5">
      <c r="C5276" s="17"/>
      <c r="D5276" s="17"/>
      <c r="E5276" s="7"/>
    </row>
    <row r="5277" spans="3:5">
      <c r="C5277" s="17"/>
      <c r="D5277" s="17"/>
      <c r="E5277" s="7"/>
    </row>
    <row r="5278" spans="3:5">
      <c r="C5278" s="17"/>
      <c r="D5278" s="17"/>
      <c r="E5278" s="7"/>
    </row>
    <row r="5279" spans="3:5">
      <c r="C5279" s="17"/>
      <c r="D5279" s="17"/>
      <c r="E5279" s="7"/>
    </row>
    <row r="5280" spans="3:5">
      <c r="C5280" s="17"/>
      <c r="D5280" s="17"/>
      <c r="E5280" s="7"/>
    </row>
    <row r="5281" spans="3:5">
      <c r="C5281" s="17"/>
      <c r="D5281" s="17"/>
      <c r="E5281" s="7"/>
    </row>
    <row r="5282" spans="3:5">
      <c r="C5282" s="17"/>
      <c r="D5282" s="17"/>
      <c r="E5282" s="7"/>
    </row>
    <row r="5283" spans="3:5">
      <c r="C5283" s="17"/>
      <c r="D5283" s="17"/>
      <c r="E5283" s="7"/>
    </row>
    <row r="5284" spans="3:5">
      <c r="C5284" s="17"/>
      <c r="D5284" s="17"/>
      <c r="E5284" s="7"/>
    </row>
    <row r="5285" spans="3:5">
      <c r="C5285" s="17"/>
      <c r="D5285" s="17"/>
      <c r="E5285" s="7"/>
    </row>
    <row r="5286" spans="3:5">
      <c r="C5286" s="17"/>
      <c r="D5286" s="17"/>
      <c r="E5286" s="7"/>
    </row>
    <row r="5287" spans="3:5">
      <c r="C5287" s="17"/>
      <c r="D5287" s="17"/>
      <c r="E5287" s="7"/>
    </row>
    <row r="5288" spans="3:5">
      <c r="C5288" s="17"/>
      <c r="D5288" s="17"/>
      <c r="E5288" s="7"/>
    </row>
    <row r="5289" spans="3:5">
      <c r="C5289" s="17"/>
      <c r="D5289" s="17"/>
      <c r="E5289" s="7"/>
    </row>
    <row r="5290" spans="3:5">
      <c r="C5290" s="17"/>
      <c r="D5290" s="17"/>
      <c r="E5290" s="7"/>
    </row>
    <row r="5291" spans="3:5">
      <c r="C5291" s="17"/>
      <c r="D5291" s="17"/>
      <c r="E5291" s="7"/>
    </row>
    <row r="5292" spans="3:5">
      <c r="C5292" s="17"/>
      <c r="D5292" s="17"/>
      <c r="E5292" s="7"/>
    </row>
    <row r="5293" spans="3:5">
      <c r="C5293" s="17"/>
      <c r="D5293" s="17"/>
      <c r="E5293" s="7"/>
    </row>
    <row r="5294" spans="3:5">
      <c r="C5294" s="17"/>
      <c r="D5294" s="17"/>
      <c r="E5294" s="7"/>
    </row>
    <row r="5295" spans="3:5">
      <c r="C5295" s="17"/>
      <c r="D5295" s="17"/>
      <c r="E5295" s="7"/>
    </row>
    <row r="5296" spans="3:5">
      <c r="C5296" s="17"/>
      <c r="D5296" s="17"/>
      <c r="E5296" s="7"/>
    </row>
    <row r="5297" spans="3:5">
      <c r="C5297" s="17"/>
      <c r="D5297" s="17"/>
      <c r="E5297" s="7"/>
    </row>
    <row r="5298" spans="3:5">
      <c r="C5298" s="17"/>
      <c r="D5298" s="17"/>
      <c r="E5298" s="7"/>
    </row>
    <row r="5299" spans="3:5">
      <c r="C5299" s="17"/>
      <c r="D5299" s="17"/>
      <c r="E5299" s="7"/>
    </row>
    <row r="5300" spans="3:5">
      <c r="C5300" s="17"/>
      <c r="D5300" s="17"/>
      <c r="E5300" s="7"/>
    </row>
    <row r="5301" spans="3:5">
      <c r="C5301" s="17"/>
      <c r="D5301" s="17"/>
      <c r="E5301" s="7"/>
    </row>
    <row r="5302" spans="3:5">
      <c r="C5302" s="17"/>
      <c r="D5302" s="17"/>
      <c r="E5302" s="7"/>
    </row>
    <row r="5303" spans="3:5">
      <c r="C5303" s="17"/>
      <c r="D5303" s="17"/>
      <c r="E5303" s="7"/>
    </row>
    <row r="5304" spans="3:5">
      <c r="C5304" s="17"/>
      <c r="D5304" s="17"/>
      <c r="E5304" s="7"/>
    </row>
    <row r="5305" spans="3:5">
      <c r="C5305" s="17"/>
      <c r="D5305" s="17"/>
      <c r="E5305" s="7"/>
    </row>
    <row r="5306" spans="3:5">
      <c r="C5306" s="17"/>
      <c r="D5306" s="17"/>
      <c r="E5306" s="7"/>
    </row>
    <row r="5307" spans="3:5">
      <c r="C5307" s="17"/>
      <c r="D5307" s="17"/>
      <c r="E5307" s="7"/>
    </row>
    <row r="5308" spans="3:5">
      <c r="C5308" s="17"/>
      <c r="D5308" s="17"/>
      <c r="E5308" s="7"/>
    </row>
    <row r="5309" spans="3:5">
      <c r="C5309" s="17"/>
      <c r="D5309" s="17"/>
      <c r="E5309" s="7"/>
    </row>
    <row r="5310" spans="3:5">
      <c r="C5310" s="17"/>
      <c r="D5310" s="17"/>
      <c r="E5310" s="7"/>
    </row>
    <row r="5311" spans="3:5">
      <c r="C5311" s="17"/>
      <c r="D5311" s="17"/>
      <c r="E5311" s="7"/>
    </row>
    <row r="5312" spans="3:5">
      <c r="C5312" s="17"/>
      <c r="D5312" s="17"/>
      <c r="E5312" s="7"/>
    </row>
    <row r="5313" spans="3:5">
      <c r="C5313" s="17"/>
      <c r="D5313" s="17"/>
      <c r="E5313" s="7"/>
    </row>
    <row r="5314" spans="3:5">
      <c r="C5314" s="17"/>
      <c r="D5314" s="17"/>
      <c r="E5314" s="7"/>
    </row>
    <row r="5315" spans="3:5">
      <c r="C5315" s="17"/>
      <c r="D5315" s="17"/>
      <c r="E5315" s="7"/>
    </row>
    <row r="5316" spans="3:5">
      <c r="C5316" s="17"/>
      <c r="D5316" s="17"/>
      <c r="E5316" s="7"/>
    </row>
    <row r="5317" spans="3:5">
      <c r="C5317" s="17"/>
      <c r="D5317" s="17"/>
      <c r="E5317" s="7"/>
    </row>
    <row r="5318" spans="3:5">
      <c r="C5318" s="17"/>
      <c r="D5318" s="17"/>
      <c r="E5318" s="7"/>
    </row>
    <row r="5319" spans="3:5">
      <c r="C5319" s="17"/>
      <c r="D5319" s="17"/>
      <c r="E5319" s="7"/>
    </row>
    <row r="5320" spans="3:5">
      <c r="C5320" s="17"/>
      <c r="D5320" s="17"/>
      <c r="E5320" s="7"/>
    </row>
    <row r="5321" spans="3:5">
      <c r="C5321" s="17"/>
      <c r="D5321" s="17"/>
      <c r="E5321" s="7"/>
    </row>
    <row r="5322" spans="3:5">
      <c r="C5322" s="17"/>
      <c r="D5322" s="17"/>
      <c r="E5322" s="7"/>
    </row>
    <row r="5323" spans="3:5">
      <c r="C5323" s="17"/>
      <c r="D5323" s="17"/>
      <c r="E5323" s="7"/>
    </row>
    <row r="5324" spans="3:5">
      <c r="C5324" s="17"/>
      <c r="D5324" s="17"/>
      <c r="E5324" s="7"/>
    </row>
    <row r="5325" spans="3:5">
      <c r="C5325" s="17"/>
      <c r="D5325" s="17"/>
      <c r="E5325" s="7"/>
    </row>
    <row r="5326" spans="3:5">
      <c r="C5326" s="17"/>
      <c r="D5326" s="17"/>
      <c r="E5326" s="7"/>
    </row>
    <row r="5327" spans="3:5">
      <c r="C5327" s="17"/>
      <c r="D5327" s="17"/>
      <c r="E5327" s="7"/>
    </row>
    <row r="5328" spans="3:5">
      <c r="C5328" s="17"/>
      <c r="D5328" s="17"/>
      <c r="E5328" s="7"/>
    </row>
    <row r="5329" spans="3:5">
      <c r="C5329" s="17"/>
      <c r="D5329" s="17"/>
      <c r="E5329" s="7"/>
    </row>
    <row r="5330" spans="3:5">
      <c r="C5330" s="17"/>
      <c r="D5330" s="17"/>
      <c r="E5330" s="7"/>
    </row>
    <row r="5331" spans="3:5">
      <c r="C5331" s="17"/>
      <c r="D5331" s="17"/>
      <c r="E5331" s="7"/>
    </row>
    <row r="5332" spans="3:5">
      <c r="C5332" s="17"/>
      <c r="D5332" s="17"/>
      <c r="E5332" s="7"/>
    </row>
    <row r="5333" spans="3:5">
      <c r="C5333" s="17"/>
      <c r="D5333" s="17"/>
      <c r="E5333" s="7"/>
    </row>
    <row r="5334" spans="3:5">
      <c r="C5334" s="17"/>
      <c r="D5334" s="17"/>
      <c r="E5334" s="7"/>
    </row>
    <row r="5335" spans="3:5">
      <c r="C5335" s="17"/>
      <c r="D5335" s="17"/>
      <c r="E5335" s="7"/>
    </row>
    <row r="5336" spans="3:5">
      <c r="C5336" s="17"/>
      <c r="D5336" s="17"/>
      <c r="E5336" s="7"/>
    </row>
    <row r="5337" spans="3:5">
      <c r="C5337" s="17"/>
      <c r="D5337" s="17"/>
      <c r="E5337" s="7"/>
    </row>
    <row r="5338" spans="3:5">
      <c r="C5338" s="17"/>
      <c r="D5338" s="17"/>
      <c r="E5338" s="7"/>
    </row>
    <row r="5339" spans="3:5">
      <c r="C5339" s="17"/>
      <c r="D5339" s="17"/>
      <c r="E5339" s="7"/>
    </row>
    <row r="5340" spans="3:5">
      <c r="C5340" s="17"/>
      <c r="D5340" s="17"/>
      <c r="E5340" s="7"/>
    </row>
    <row r="5341" spans="3:5">
      <c r="C5341" s="17"/>
      <c r="D5341" s="17"/>
      <c r="E5341" s="7"/>
    </row>
    <row r="5342" spans="3:5">
      <c r="C5342" s="17"/>
      <c r="D5342" s="17"/>
      <c r="E5342" s="7"/>
    </row>
    <row r="5343" spans="3:5">
      <c r="C5343" s="17"/>
      <c r="D5343" s="17"/>
      <c r="E5343" s="7"/>
    </row>
    <row r="5344" spans="3:5">
      <c r="C5344" s="17"/>
      <c r="D5344" s="17"/>
      <c r="E5344" s="7"/>
    </row>
    <row r="5345" spans="3:5">
      <c r="C5345" s="17"/>
      <c r="D5345" s="17"/>
      <c r="E5345" s="7"/>
    </row>
    <row r="5346" spans="3:5">
      <c r="C5346" s="17"/>
      <c r="D5346" s="17"/>
      <c r="E5346" s="7"/>
    </row>
    <row r="5347" spans="3:5">
      <c r="C5347" s="17"/>
      <c r="D5347" s="17"/>
      <c r="E5347" s="7"/>
    </row>
    <row r="5348" spans="3:5">
      <c r="C5348" s="17"/>
      <c r="D5348" s="17"/>
      <c r="E5348" s="7"/>
    </row>
    <row r="5349" spans="3:5">
      <c r="C5349" s="17"/>
      <c r="D5349" s="17"/>
      <c r="E5349" s="7"/>
    </row>
    <row r="5350" spans="3:5">
      <c r="C5350" s="17"/>
      <c r="D5350" s="17"/>
      <c r="E5350" s="7"/>
    </row>
    <row r="5351" spans="3:5">
      <c r="C5351" s="17"/>
      <c r="D5351" s="17"/>
      <c r="E5351" s="7"/>
    </row>
    <row r="5352" spans="3:5">
      <c r="C5352" s="17"/>
      <c r="D5352" s="17"/>
      <c r="E5352" s="7"/>
    </row>
    <row r="5353" spans="3:5">
      <c r="C5353" s="17"/>
      <c r="D5353" s="17"/>
      <c r="E5353" s="7"/>
    </row>
    <row r="5354" spans="3:5">
      <c r="C5354" s="17"/>
      <c r="D5354" s="17"/>
      <c r="E5354" s="7"/>
    </row>
    <row r="5355" spans="3:5">
      <c r="C5355" s="17"/>
      <c r="D5355" s="17"/>
      <c r="E5355" s="7"/>
    </row>
    <row r="5356" spans="3:5">
      <c r="C5356" s="17"/>
      <c r="D5356" s="17"/>
      <c r="E5356" s="7"/>
    </row>
    <row r="5357" spans="3:5">
      <c r="C5357" s="17"/>
      <c r="D5357" s="17"/>
      <c r="E5357" s="7"/>
    </row>
    <row r="5358" spans="3:5">
      <c r="C5358" s="17"/>
      <c r="D5358" s="17"/>
      <c r="E5358" s="7"/>
    </row>
    <row r="5359" spans="3:5">
      <c r="C5359" s="17"/>
      <c r="D5359" s="17"/>
      <c r="E5359" s="7"/>
    </row>
    <row r="5360" spans="3:5">
      <c r="C5360" s="17"/>
      <c r="D5360" s="17"/>
      <c r="E5360" s="7"/>
    </row>
    <row r="5361" spans="3:5">
      <c r="C5361" s="17"/>
      <c r="D5361" s="17"/>
      <c r="E5361" s="7"/>
    </row>
    <row r="5362" spans="3:5">
      <c r="C5362" s="17"/>
      <c r="D5362" s="17"/>
      <c r="E5362" s="7"/>
    </row>
    <row r="5363" spans="3:5">
      <c r="C5363" s="17"/>
      <c r="D5363" s="17"/>
      <c r="E5363" s="7"/>
    </row>
    <row r="5364" spans="3:5">
      <c r="C5364" s="17"/>
      <c r="D5364" s="17"/>
      <c r="E5364" s="7"/>
    </row>
    <row r="5365" spans="3:5">
      <c r="C5365" s="17"/>
      <c r="D5365" s="17"/>
      <c r="E5365" s="7"/>
    </row>
    <row r="5366" spans="3:5">
      <c r="C5366" s="17"/>
      <c r="D5366" s="17"/>
      <c r="E5366" s="7"/>
    </row>
    <row r="5367" spans="3:5">
      <c r="C5367" s="17"/>
      <c r="D5367" s="17"/>
      <c r="E5367" s="7"/>
    </row>
    <row r="5368" spans="3:5">
      <c r="C5368" s="17"/>
      <c r="D5368" s="17"/>
      <c r="E5368" s="7"/>
    </row>
    <row r="5369" spans="3:5">
      <c r="C5369" s="17"/>
      <c r="D5369" s="17"/>
      <c r="E5369" s="7"/>
    </row>
    <row r="5370" spans="3:5">
      <c r="C5370" s="17"/>
      <c r="D5370" s="17"/>
      <c r="E5370" s="7"/>
    </row>
    <row r="5371" spans="3:5">
      <c r="C5371" s="17"/>
      <c r="D5371" s="17"/>
      <c r="E5371" s="7"/>
    </row>
    <row r="5372" spans="3:5">
      <c r="C5372" s="17"/>
      <c r="D5372" s="17"/>
      <c r="E5372" s="7"/>
    </row>
    <row r="5373" spans="3:5">
      <c r="C5373" s="17"/>
      <c r="D5373" s="17"/>
      <c r="E5373" s="7"/>
    </row>
    <row r="5374" spans="3:5">
      <c r="C5374" s="17"/>
      <c r="D5374" s="17"/>
      <c r="E5374" s="7"/>
    </row>
    <row r="5375" spans="3:5">
      <c r="C5375" s="17"/>
      <c r="D5375" s="17"/>
      <c r="E5375" s="7"/>
    </row>
    <row r="5376" spans="3:5">
      <c r="C5376" s="17"/>
      <c r="D5376" s="17"/>
      <c r="E5376" s="7"/>
    </row>
    <row r="5377" spans="3:5">
      <c r="C5377" s="17"/>
      <c r="D5377" s="17"/>
      <c r="E5377" s="7"/>
    </row>
    <row r="5378" spans="3:5">
      <c r="C5378" s="17"/>
      <c r="D5378" s="17"/>
      <c r="E5378" s="7"/>
    </row>
    <row r="5379" spans="3:5">
      <c r="C5379" s="17"/>
      <c r="D5379" s="17"/>
      <c r="E5379" s="7"/>
    </row>
    <row r="5380" spans="3:5">
      <c r="C5380" s="17"/>
      <c r="D5380" s="17"/>
      <c r="E5380" s="7"/>
    </row>
    <row r="5381" spans="3:5">
      <c r="C5381" s="17"/>
      <c r="D5381" s="17"/>
      <c r="E5381" s="7"/>
    </row>
    <row r="5382" spans="3:5">
      <c r="C5382" s="17"/>
      <c r="D5382" s="17"/>
      <c r="E5382" s="7"/>
    </row>
    <row r="5383" spans="3:5">
      <c r="C5383" s="17"/>
      <c r="D5383" s="17"/>
      <c r="E5383" s="7"/>
    </row>
    <row r="5384" spans="3:5">
      <c r="C5384" s="17"/>
      <c r="D5384" s="17"/>
      <c r="E5384" s="7"/>
    </row>
    <row r="5385" spans="3:5">
      <c r="C5385" s="17"/>
      <c r="D5385" s="17"/>
      <c r="E5385" s="7"/>
    </row>
    <row r="5386" spans="3:5">
      <c r="C5386" s="17"/>
      <c r="D5386" s="17"/>
      <c r="E5386" s="7"/>
    </row>
    <row r="5387" spans="3:5">
      <c r="C5387" s="17"/>
      <c r="D5387" s="17"/>
      <c r="E5387" s="7"/>
    </row>
    <row r="5388" spans="3:5">
      <c r="C5388" s="17"/>
      <c r="D5388" s="17"/>
      <c r="E5388" s="7"/>
    </row>
    <row r="5389" spans="3:5">
      <c r="C5389" s="17"/>
      <c r="D5389" s="17"/>
      <c r="E5389" s="7"/>
    </row>
    <row r="5390" spans="3:5">
      <c r="C5390" s="17"/>
      <c r="D5390" s="17"/>
      <c r="E5390" s="7"/>
    </row>
    <row r="5391" spans="3:5">
      <c r="C5391" s="17"/>
      <c r="D5391" s="17"/>
      <c r="E5391" s="7"/>
    </row>
    <row r="5392" spans="3:5">
      <c r="C5392" s="17"/>
      <c r="D5392" s="17"/>
      <c r="E5392" s="7"/>
    </row>
    <row r="5393" spans="3:5">
      <c r="C5393" s="17"/>
      <c r="D5393" s="17"/>
      <c r="E5393" s="7"/>
    </row>
    <row r="5394" spans="3:5">
      <c r="C5394" s="17"/>
      <c r="D5394" s="17"/>
      <c r="E5394" s="7"/>
    </row>
    <row r="5395" spans="3:5">
      <c r="C5395" s="17"/>
      <c r="D5395" s="17"/>
      <c r="E5395" s="7"/>
    </row>
    <row r="5396" spans="3:5">
      <c r="C5396" s="17"/>
      <c r="D5396" s="17"/>
      <c r="E5396" s="7"/>
    </row>
    <row r="5397" spans="3:5">
      <c r="C5397" s="17"/>
      <c r="D5397" s="17"/>
      <c r="E5397" s="7"/>
    </row>
    <row r="5398" spans="3:5">
      <c r="C5398" s="17"/>
      <c r="D5398" s="17"/>
      <c r="E5398" s="7"/>
    </row>
    <row r="5399" spans="3:5">
      <c r="C5399" s="17"/>
      <c r="D5399" s="17"/>
      <c r="E5399" s="7"/>
    </row>
    <row r="5400" spans="3:5">
      <c r="C5400" s="17"/>
      <c r="D5400" s="17"/>
      <c r="E5400" s="7"/>
    </row>
    <row r="5401" spans="3:5">
      <c r="C5401" s="17"/>
      <c r="D5401" s="17"/>
      <c r="E5401" s="7"/>
    </row>
    <row r="5402" spans="3:5">
      <c r="C5402" s="17"/>
      <c r="D5402" s="17"/>
      <c r="E5402" s="7"/>
    </row>
    <row r="5403" spans="3:5">
      <c r="C5403" s="17"/>
      <c r="D5403" s="17"/>
      <c r="E5403" s="7"/>
    </row>
    <row r="5404" spans="3:5">
      <c r="C5404" s="17"/>
      <c r="D5404" s="17"/>
      <c r="E5404" s="7"/>
    </row>
    <row r="5405" spans="3:5">
      <c r="C5405" s="17"/>
      <c r="D5405" s="17"/>
      <c r="E5405" s="7"/>
    </row>
    <row r="5406" spans="3:5">
      <c r="C5406" s="17"/>
      <c r="D5406" s="17"/>
      <c r="E5406" s="7"/>
    </row>
    <row r="5407" spans="3:5">
      <c r="C5407" s="17"/>
      <c r="D5407" s="17"/>
      <c r="E5407" s="7"/>
    </row>
    <row r="5408" spans="3:5">
      <c r="C5408" s="17"/>
      <c r="D5408" s="17"/>
      <c r="E5408" s="7"/>
    </row>
    <row r="5409" spans="3:5">
      <c r="C5409" s="17"/>
      <c r="D5409" s="17"/>
      <c r="E5409" s="7"/>
    </row>
    <row r="5410" spans="3:5">
      <c r="C5410" s="17"/>
      <c r="D5410" s="17"/>
      <c r="E5410" s="7"/>
    </row>
    <row r="5411" spans="3:5">
      <c r="C5411" s="17"/>
      <c r="D5411" s="17"/>
      <c r="E5411" s="7"/>
    </row>
    <row r="5412" spans="3:5">
      <c r="C5412" s="17"/>
      <c r="D5412" s="17"/>
      <c r="E5412" s="7"/>
    </row>
    <row r="5413" spans="3:5">
      <c r="C5413" s="17"/>
      <c r="D5413" s="17"/>
      <c r="E5413" s="7"/>
    </row>
    <row r="5414" spans="3:5">
      <c r="C5414" s="17"/>
      <c r="D5414" s="17"/>
      <c r="E5414" s="7"/>
    </row>
    <row r="5415" spans="3:5">
      <c r="C5415" s="17"/>
      <c r="D5415" s="17"/>
      <c r="E5415" s="7"/>
    </row>
    <row r="5416" spans="3:5">
      <c r="C5416" s="17"/>
      <c r="D5416" s="17"/>
      <c r="E5416" s="7"/>
    </row>
    <row r="5417" spans="3:5">
      <c r="C5417" s="17"/>
      <c r="D5417" s="17"/>
      <c r="E5417" s="7"/>
    </row>
    <row r="5418" spans="3:5">
      <c r="C5418" s="17"/>
      <c r="D5418" s="17"/>
      <c r="E5418" s="7"/>
    </row>
    <row r="5419" spans="3:5">
      <c r="C5419" s="17"/>
      <c r="D5419" s="17"/>
      <c r="E5419" s="7"/>
    </row>
    <row r="5420" spans="3:5">
      <c r="C5420" s="17"/>
      <c r="D5420" s="17"/>
      <c r="E5420" s="7"/>
    </row>
    <row r="5421" spans="3:5">
      <c r="C5421" s="17"/>
      <c r="D5421" s="17"/>
      <c r="E5421" s="7"/>
    </row>
    <row r="5422" spans="3:5">
      <c r="C5422" s="17"/>
      <c r="D5422" s="17"/>
      <c r="E5422" s="7"/>
    </row>
    <row r="5423" spans="3:5">
      <c r="C5423" s="17"/>
      <c r="D5423" s="17"/>
      <c r="E5423" s="7"/>
    </row>
    <row r="5424" spans="3:5">
      <c r="C5424" s="17"/>
      <c r="D5424" s="17"/>
      <c r="E5424" s="7"/>
    </row>
    <row r="5425" spans="3:5">
      <c r="C5425" s="17"/>
      <c r="D5425" s="17"/>
      <c r="E5425" s="7"/>
    </row>
    <row r="5426" spans="3:5">
      <c r="C5426" s="17"/>
      <c r="D5426" s="17"/>
      <c r="E5426" s="7"/>
    </row>
    <row r="5427" spans="3:5">
      <c r="C5427" s="17"/>
      <c r="D5427" s="17"/>
      <c r="E5427" s="7"/>
    </row>
    <row r="5428" spans="3:5">
      <c r="C5428" s="17"/>
      <c r="D5428" s="17"/>
      <c r="E5428" s="7"/>
    </row>
    <row r="5429" spans="3:5">
      <c r="C5429" s="17"/>
      <c r="D5429" s="17"/>
      <c r="E5429" s="7"/>
    </row>
    <row r="5430" spans="3:5">
      <c r="C5430" s="17"/>
      <c r="D5430" s="17"/>
      <c r="E5430" s="7"/>
    </row>
    <row r="5431" spans="3:5">
      <c r="C5431" s="17"/>
      <c r="D5431" s="17"/>
      <c r="E5431" s="7"/>
    </row>
    <row r="5432" spans="3:5">
      <c r="C5432" s="17"/>
      <c r="D5432" s="17"/>
      <c r="E5432" s="7"/>
    </row>
    <row r="5433" spans="3:5">
      <c r="C5433" s="17"/>
      <c r="D5433" s="17"/>
      <c r="E5433" s="7"/>
    </row>
    <row r="5434" spans="3:5">
      <c r="C5434" s="17"/>
      <c r="D5434" s="17"/>
      <c r="E5434" s="7"/>
    </row>
    <row r="5435" spans="3:5">
      <c r="C5435" s="17"/>
      <c r="D5435" s="17"/>
      <c r="E5435" s="7"/>
    </row>
    <row r="5436" spans="3:5">
      <c r="C5436" s="17"/>
      <c r="D5436" s="17"/>
      <c r="E5436" s="7"/>
    </row>
    <row r="5437" spans="3:5">
      <c r="C5437" s="17"/>
      <c r="D5437" s="17"/>
      <c r="E5437" s="7"/>
    </row>
    <row r="5438" spans="3:5">
      <c r="C5438" s="17"/>
      <c r="D5438" s="17"/>
      <c r="E5438" s="7"/>
    </row>
    <row r="5439" spans="3:5">
      <c r="C5439" s="17"/>
      <c r="D5439" s="17"/>
      <c r="E5439" s="7"/>
    </row>
    <row r="5440" spans="3:5">
      <c r="C5440" s="17"/>
      <c r="D5440" s="17"/>
      <c r="E5440" s="7"/>
    </row>
    <row r="5441" spans="3:5">
      <c r="C5441" s="17"/>
      <c r="D5441" s="17"/>
      <c r="E5441" s="7"/>
    </row>
    <row r="5442" spans="3:5">
      <c r="C5442" s="17"/>
      <c r="D5442" s="17"/>
      <c r="E5442" s="7"/>
    </row>
    <row r="5443" spans="3:5">
      <c r="C5443" s="17"/>
      <c r="D5443" s="17"/>
      <c r="E5443" s="7"/>
    </row>
    <row r="5444" spans="3:5">
      <c r="C5444" s="17"/>
      <c r="D5444" s="17"/>
      <c r="E5444" s="7"/>
    </row>
    <row r="5445" spans="3:5">
      <c r="C5445" s="17"/>
      <c r="D5445" s="17"/>
      <c r="E5445" s="7"/>
    </row>
    <row r="5446" spans="3:5">
      <c r="C5446" s="17"/>
      <c r="D5446" s="17"/>
      <c r="E5446" s="7"/>
    </row>
    <row r="5447" spans="3:5">
      <c r="C5447" s="17"/>
      <c r="D5447" s="17"/>
      <c r="E5447" s="7"/>
    </row>
    <row r="5448" spans="3:5">
      <c r="C5448" s="17"/>
      <c r="D5448" s="17"/>
      <c r="E5448" s="7"/>
    </row>
    <row r="5449" spans="3:5">
      <c r="C5449" s="17"/>
      <c r="D5449" s="17"/>
      <c r="E5449" s="7"/>
    </row>
    <row r="5450" spans="3:5">
      <c r="C5450" s="17"/>
      <c r="D5450" s="17"/>
      <c r="E5450" s="7"/>
    </row>
    <row r="5451" spans="3:5">
      <c r="C5451" s="17"/>
      <c r="D5451" s="17"/>
      <c r="E5451" s="7"/>
    </row>
    <row r="5452" spans="3:5">
      <c r="C5452" s="17"/>
      <c r="D5452" s="17"/>
      <c r="E5452" s="7"/>
    </row>
    <row r="5453" spans="3:5">
      <c r="C5453" s="17"/>
      <c r="D5453" s="17"/>
      <c r="E5453" s="7"/>
    </row>
    <row r="5454" spans="3:5">
      <c r="C5454" s="17"/>
      <c r="D5454" s="17"/>
      <c r="E5454" s="7"/>
    </row>
    <row r="5455" spans="3:5">
      <c r="C5455" s="17"/>
      <c r="D5455" s="17"/>
      <c r="E5455" s="7"/>
    </row>
    <row r="5456" spans="3:5">
      <c r="C5456" s="17"/>
      <c r="D5456" s="17"/>
      <c r="E5456" s="7"/>
    </row>
    <row r="5457" spans="3:5">
      <c r="C5457" s="17"/>
      <c r="D5457" s="17"/>
      <c r="E5457" s="7"/>
    </row>
    <row r="5458" spans="3:5">
      <c r="C5458" s="17"/>
      <c r="D5458" s="17"/>
      <c r="E5458" s="7"/>
    </row>
    <row r="5459" spans="3:5">
      <c r="C5459" s="17"/>
      <c r="D5459" s="17"/>
      <c r="E5459" s="7"/>
    </row>
    <row r="5460" spans="3:5">
      <c r="C5460" s="17"/>
      <c r="D5460" s="17"/>
      <c r="E5460" s="7"/>
    </row>
    <row r="5461" spans="3:5">
      <c r="C5461" s="17"/>
      <c r="D5461" s="17"/>
      <c r="E5461" s="7"/>
    </row>
    <row r="5462" spans="3:5">
      <c r="C5462" s="17"/>
      <c r="D5462" s="17"/>
      <c r="E5462" s="7"/>
    </row>
    <row r="5463" spans="3:5">
      <c r="C5463" s="17"/>
      <c r="D5463" s="17"/>
      <c r="E5463" s="7"/>
    </row>
    <row r="5464" spans="3:5">
      <c r="C5464" s="17"/>
      <c r="D5464" s="17"/>
      <c r="E5464" s="7"/>
    </row>
    <row r="5465" spans="3:5">
      <c r="C5465" s="17"/>
      <c r="D5465" s="17"/>
      <c r="E5465" s="7"/>
    </row>
    <row r="5466" spans="3:5">
      <c r="C5466" s="17"/>
      <c r="D5466" s="17"/>
      <c r="E5466" s="7"/>
    </row>
    <row r="5467" spans="3:5">
      <c r="C5467" s="17"/>
      <c r="D5467" s="17"/>
      <c r="E5467" s="7"/>
    </row>
    <row r="5468" spans="3:5">
      <c r="C5468" s="17"/>
      <c r="D5468" s="17"/>
      <c r="E5468" s="7"/>
    </row>
    <row r="5469" spans="3:5">
      <c r="C5469" s="17"/>
      <c r="D5469" s="17"/>
      <c r="E5469" s="7"/>
    </row>
    <row r="5470" spans="3:5">
      <c r="C5470" s="17"/>
      <c r="D5470" s="17"/>
      <c r="E5470" s="7"/>
    </row>
    <row r="5471" spans="3:5">
      <c r="C5471" s="17"/>
      <c r="D5471" s="17"/>
      <c r="E5471" s="7"/>
    </row>
    <row r="5472" spans="3:5">
      <c r="C5472" s="17"/>
      <c r="D5472" s="17"/>
      <c r="E5472" s="7"/>
    </row>
    <row r="5473" spans="3:5">
      <c r="C5473" s="17"/>
      <c r="D5473" s="17"/>
      <c r="E5473" s="7"/>
    </row>
    <row r="5474" spans="3:5">
      <c r="C5474" s="17"/>
      <c r="D5474" s="17"/>
      <c r="E5474" s="7"/>
    </row>
    <row r="5475" spans="3:5">
      <c r="C5475" s="17"/>
      <c r="D5475" s="17"/>
      <c r="E5475" s="7"/>
    </row>
    <row r="5476" spans="3:5">
      <c r="C5476" s="17"/>
      <c r="D5476" s="17"/>
      <c r="E5476" s="7"/>
    </row>
    <row r="5477" spans="3:5">
      <c r="C5477" s="17"/>
      <c r="D5477" s="17"/>
      <c r="E5477" s="7"/>
    </row>
    <row r="5478" spans="3:5">
      <c r="C5478" s="17"/>
      <c r="D5478" s="17"/>
      <c r="E5478" s="7"/>
    </row>
    <row r="5479" spans="3:5">
      <c r="C5479" s="17"/>
      <c r="D5479" s="17"/>
      <c r="E5479" s="7"/>
    </row>
    <row r="5480" spans="3:5">
      <c r="C5480" s="17"/>
      <c r="D5480" s="17"/>
      <c r="E5480" s="7"/>
    </row>
    <row r="5481" spans="3:5">
      <c r="C5481" s="17"/>
      <c r="D5481" s="17"/>
      <c r="E5481" s="7"/>
    </row>
    <row r="5482" spans="3:5">
      <c r="C5482" s="17"/>
      <c r="D5482" s="17"/>
      <c r="E5482" s="7"/>
    </row>
    <row r="5483" spans="3:5">
      <c r="C5483" s="17"/>
      <c r="D5483" s="17"/>
      <c r="E5483" s="7"/>
    </row>
    <row r="5484" spans="3:5">
      <c r="C5484" s="17"/>
      <c r="D5484" s="17"/>
      <c r="E5484" s="7"/>
    </row>
    <row r="5485" spans="3:5">
      <c r="C5485" s="17"/>
      <c r="D5485" s="17"/>
      <c r="E5485" s="7"/>
    </row>
    <row r="5486" spans="3:5">
      <c r="C5486" s="17"/>
      <c r="D5486" s="17"/>
      <c r="E5486" s="7"/>
    </row>
    <row r="5487" spans="3:5">
      <c r="C5487" s="17"/>
      <c r="D5487" s="17"/>
      <c r="E5487" s="7"/>
    </row>
    <row r="5488" spans="3:5">
      <c r="C5488" s="17"/>
      <c r="D5488" s="17"/>
      <c r="E5488" s="7"/>
    </row>
    <row r="5489" spans="3:5">
      <c r="C5489" s="17"/>
      <c r="D5489" s="17"/>
      <c r="E5489" s="7"/>
    </row>
    <row r="5490" spans="3:5">
      <c r="C5490" s="17"/>
      <c r="D5490" s="17"/>
      <c r="E5490" s="7"/>
    </row>
    <row r="5491" spans="3:5">
      <c r="C5491" s="17"/>
      <c r="D5491" s="17"/>
      <c r="E5491" s="7"/>
    </row>
    <row r="5492" spans="3:5">
      <c r="C5492" s="17"/>
      <c r="D5492" s="17"/>
      <c r="E5492" s="7"/>
    </row>
    <row r="5493" spans="3:5">
      <c r="C5493" s="17"/>
      <c r="D5493" s="17"/>
      <c r="E5493" s="7"/>
    </row>
    <row r="5494" spans="3:5">
      <c r="C5494" s="17"/>
      <c r="D5494" s="17"/>
      <c r="E5494" s="7"/>
    </row>
    <row r="5495" spans="3:5">
      <c r="C5495" s="17"/>
      <c r="D5495" s="17"/>
      <c r="E5495" s="7"/>
    </row>
    <row r="5496" spans="3:5">
      <c r="C5496" s="17"/>
      <c r="D5496" s="17"/>
      <c r="E5496" s="7"/>
    </row>
    <row r="5497" spans="3:5">
      <c r="C5497" s="17"/>
      <c r="D5497" s="17"/>
      <c r="E5497" s="7"/>
    </row>
    <row r="5498" spans="3:5">
      <c r="C5498" s="17"/>
      <c r="D5498" s="17"/>
      <c r="E5498" s="7"/>
    </row>
    <row r="5499" spans="3:5">
      <c r="C5499" s="17"/>
      <c r="D5499" s="17"/>
      <c r="E5499" s="7"/>
    </row>
    <row r="5500" spans="3:5">
      <c r="C5500" s="17"/>
      <c r="D5500" s="17"/>
      <c r="E5500" s="7"/>
    </row>
    <row r="5501" spans="3:5">
      <c r="C5501" s="17"/>
      <c r="D5501" s="17"/>
      <c r="E5501" s="7"/>
    </row>
    <row r="5502" spans="3:5">
      <c r="C5502" s="17"/>
      <c r="D5502" s="17"/>
      <c r="E5502" s="7"/>
    </row>
    <row r="5503" spans="3:5">
      <c r="C5503" s="17"/>
      <c r="D5503" s="17"/>
      <c r="E5503" s="7"/>
    </row>
    <row r="5504" spans="3:5">
      <c r="C5504" s="17"/>
      <c r="D5504" s="17"/>
      <c r="E5504" s="7"/>
    </row>
    <row r="5505" spans="3:5">
      <c r="C5505" s="17"/>
      <c r="D5505" s="17"/>
      <c r="E5505" s="7"/>
    </row>
    <row r="5506" spans="3:5">
      <c r="C5506" s="17"/>
      <c r="D5506" s="17"/>
      <c r="E5506" s="7"/>
    </row>
    <row r="5507" spans="3:5">
      <c r="C5507" s="17"/>
      <c r="D5507" s="17"/>
      <c r="E5507" s="7"/>
    </row>
    <row r="5508" spans="3:5">
      <c r="C5508" s="17"/>
      <c r="D5508" s="17"/>
      <c r="E5508" s="7"/>
    </row>
    <row r="5509" spans="3:5">
      <c r="C5509" s="17"/>
      <c r="D5509" s="17"/>
      <c r="E5509" s="7"/>
    </row>
    <row r="5510" spans="3:5">
      <c r="C5510" s="17"/>
      <c r="D5510" s="17"/>
      <c r="E5510" s="7"/>
    </row>
    <row r="5511" spans="3:5">
      <c r="C5511" s="17"/>
      <c r="D5511" s="17"/>
      <c r="E5511" s="7"/>
    </row>
    <row r="5512" spans="3:5">
      <c r="C5512" s="17"/>
      <c r="D5512" s="17"/>
      <c r="E5512" s="7"/>
    </row>
    <row r="5513" spans="3:5">
      <c r="C5513" s="17"/>
      <c r="D5513" s="17"/>
      <c r="E5513" s="7"/>
    </row>
    <row r="5514" spans="3:5">
      <c r="C5514" s="17"/>
      <c r="D5514" s="17"/>
      <c r="E5514" s="7"/>
    </row>
    <row r="5515" spans="3:5">
      <c r="C5515" s="17"/>
      <c r="D5515" s="17"/>
      <c r="E5515" s="7"/>
    </row>
    <row r="5516" spans="3:5">
      <c r="C5516" s="17"/>
      <c r="D5516" s="17"/>
      <c r="E5516" s="7"/>
    </row>
    <row r="5517" spans="3:5">
      <c r="C5517" s="17"/>
      <c r="D5517" s="17"/>
      <c r="E5517" s="7"/>
    </row>
    <row r="5518" spans="3:5">
      <c r="C5518" s="17"/>
      <c r="D5518" s="17"/>
      <c r="E5518" s="7"/>
    </row>
    <row r="5519" spans="3:5">
      <c r="C5519" s="17"/>
      <c r="D5519" s="17"/>
      <c r="E5519" s="7"/>
    </row>
    <row r="5520" spans="3:5">
      <c r="C5520" s="17"/>
      <c r="D5520" s="17"/>
      <c r="E5520" s="7"/>
    </row>
    <row r="5521" spans="3:5">
      <c r="C5521" s="17"/>
      <c r="D5521" s="17"/>
      <c r="E5521" s="7"/>
    </row>
    <row r="5522" spans="3:5">
      <c r="C5522" s="17"/>
      <c r="D5522" s="17"/>
      <c r="E5522" s="7"/>
    </row>
    <row r="5523" spans="3:5">
      <c r="C5523" s="17"/>
      <c r="D5523" s="17"/>
      <c r="E5523" s="7"/>
    </row>
    <row r="5524" spans="3:5">
      <c r="C5524" s="17"/>
      <c r="D5524" s="17"/>
      <c r="E5524" s="7"/>
    </row>
    <row r="5525" spans="3:5">
      <c r="C5525" s="17"/>
      <c r="D5525" s="17"/>
      <c r="E5525" s="7"/>
    </row>
    <row r="5526" spans="3:5">
      <c r="C5526" s="17"/>
      <c r="D5526" s="17"/>
      <c r="E5526" s="7"/>
    </row>
    <row r="5527" spans="3:5">
      <c r="C5527" s="17"/>
      <c r="D5527" s="17"/>
      <c r="E5527" s="7"/>
    </row>
    <row r="5528" spans="3:5">
      <c r="C5528" s="17"/>
      <c r="D5528" s="17"/>
      <c r="E5528" s="7"/>
    </row>
    <row r="5529" spans="3:5">
      <c r="C5529" s="17"/>
      <c r="D5529" s="17"/>
      <c r="E5529" s="7"/>
    </row>
    <row r="5530" spans="3:5">
      <c r="C5530" s="17"/>
      <c r="D5530" s="17"/>
      <c r="E5530" s="7"/>
    </row>
    <row r="5531" spans="3:5">
      <c r="C5531" s="17"/>
      <c r="D5531" s="17"/>
      <c r="E5531" s="7"/>
    </row>
    <row r="5532" spans="3:5">
      <c r="C5532" s="17"/>
      <c r="D5532" s="17"/>
      <c r="E5532" s="7"/>
    </row>
    <row r="5533" spans="3:5">
      <c r="C5533" s="17"/>
      <c r="D5533" s="17"/>
      <c r="E5533" s="7"/>
    </row>
    <row r="5534" spans="3:5">
      <c r="C5534" s="17"/>
      <c r="D5534" s="17"/>
      <c r="E5534" s="7"/>
    </row>
    <row r="5535" spans="3:5">
      <c r="C5535" s="17"/>
      <c r="D5535" s="17"/>
      <c r="E5535" s="7"/>
    </row>
    <row r="5536" spans="3:5">
      <c r="C5536" s="17"/>
      <c r="D5536" s="17"/>
      <c r="E5536" s="7"/>
    </row>
    <row r="5537" spans="3:5">
      <c r="C5537" s="17"/>
      <c r="D5537" s="17"/>
      <c r="E5537" s="7"/>
    </row>
    <row r="5538" spans="3:5">
      <c r="C5538" s="17"/>
      <c r="D5538" s="17"/>
      <c r="E5538" s="7"/>
    </row>
    <row r="5539" spans="3:5">
      <c r="C5539" s="17"/>
      <c r="D5539" s="17"/>
      <c r="E5539" s="7"/>
    </row>
    <row r="5540" spans="3:5">
      <c r="C5540" s="17"/>
      <c r="D5540" s="17"/>
      <c r="E5540" s="7"/>
    </row>
    <row r="5541" spans="3:5">
      <c r="C5541" s="17"/>
      <c r="D5541" s="17"/>
      <c r="E5541" s="7"/>
    </row>
    <row r="5542" spans="3:5">
      <c r="C5542" s="17"/>
      <c r="D5542" s="17"/>
      <c r="E5542" s="7"/>
    </row>
    <row r="5543" spans="3:5">
      <c r="C5543" s="17"/>
      <c r="D5543" s="17"/>
      <c r="E5543" s="7"/>
    </row>
    <row r="5544" spans="3:5">
      <c r="C5544" s="17"/>
      <c r="D5544" s="17"/>
      <c r="E5544" s="7"/>
    </row>
    <row r="5545" spans="3:5">
      <c r="C5545" s="17"/>
      <c r="D5545" s="17"/>
      <c r="E5545" s="7"/>
    </row>
    <row r="5546" spans="3:5">
      <c r="C5546" s="17"/>
      <c r="D5546" s="17"/>
      <c r="E5546" s="7"/>
    </row>
    <row r="5547" spans="3:5">
      <c r="C5547" s="17"/>
      <c r="D5547" s="17"/>
      <c r="E5547" s="7"/>
    </row>
    <row r="5548" spans="3:5">
      <c r="C5548" s="17"/>
      <c r="D5548" s="17"/>
      <c r="E5548" s="7"/>
    </row>
    <row r="5549" spans="3:5">
      <c r="C5549" s="17"/>
      <c r="D5549" s="17"/>
      <c r="E5549" s="7"/>
    </row>
    <row r="5550" spans="3:5">
      <c r="C5550" s="17"/>
      <c r="D5550" s="17"/>
      <c r="E5550" s="7"/>
    </row>
    <row r="5551" spans="3:5">
      <c r="C5551" s="17"/>
      <c r="D5551" s="17"/>
      <c r="E5551" s="7"/>
    </row>
    <row r="5552" spans="3:5">
      <c r="C5552" s="17"/>
      <c r="D5552" s="17"/>
      <c r="E5552" s="7"/>
    </row>
    <row r="5553" spans="3:5">
      <c r="C5553" s="17"/>
      <c r="D5553" s="17"/>
      <c r="E5553" s="7"/>
    </row>
    <row r="5554" spans="3:5">
      <c r="C5554" s="17"/>
      <c r="D5554" s="17"/>
      <c r="E5554" s="7"/>
    </row>
    <row r="5555" spans="3:5">
      <c r="C5555" s="17"/>
      <c r="D5555" s="17"/>
      <c r="E5555" s="7"/>
    </row>
    <row r="5556" spans="3:5">
      <c r="C5556" s="17"/>
      <c r="D5556" s="17"/>
      <c r="E5556" s="7"/>
    </row>
    <row r="5557" spans="3:5">
      <c r="C5557" s="17"/>
      <c r="D5557" s="17"/>
      <c r="E5557" s="7"/>
    </row>
    <row r="5558" spans="3:5">
      <c r="C5558" s="17"/>
      <c r="D5558" s="17"/>
      <c r="E5558" s="7"/>
    </row>
    <row r="5559" spans="3:5">
      <c r="C5559" s="17"/>
      <c r="D5559" s="17"/>
      <c r="E5559" s="7"/>
    </row>
    <row r="5560" spans="3:5">
      <c r="C5560" s="17"/>
      <c r="D5560" s="17"/>
      <c r="E5560" s="7"/>
    </row>
    <row r="5561" spans="3:5">
      <c r="C5561" s="17"/>
      <c r="D5561" s="17"/>
      <c r="E5561" s="7"/>
    </row>
    <row r="5562" spans="3:5">
      <c r="C5562" s="17"/>
      <c r="D5562" s="17"/>
      <c r="E5562" s="7"/>
    </row>
    <row r="5563" spans="3:5">
      <c r="C5563" s="17"/>
      <c r="D5563" s="17"/>
      <c r="E5563" s="7"/>
    </row>
    <row r="5564" spans="3:5">
      <c r="C5564" s="17"/>
      <c r="D5564" s="17"/>
      <c r="E5564" s="7"/>
    </row>
    <row r="5565" spans="3:5">
      <c r="C5565" s="17"/>
      <c r="D5565" s="17"/>
      <c r="E5565" s="7"/>
    </row>
    <row r="5566" spans="3:5">
      <c r="C5566" s="17"/>
      <c r="D5566" s="17"/>
      <c r="E5566" s="7"/>
    </row>
    <row r="5567" spans="3:5">
      <c r="C5567" s="17"/>
      <c r="D5567" s="17"/>
      <c r="E5567" s="7"/>
    </row>
    <row r="5568" spans="3:5">
      <c r="C5568" s="17"/>
      <c r="D5568" s="17"/>
      <c r="E5568" s="7"/>
    </row>
    <row r="5569" spans="3:5">
      <c r="C5569" s="17"/>
      <c r="D5569" s="17"/>
      <c r="E5569" s="7"/>
    </row>
    <row r="5570" spans="3:5">
      <c r="C5570" s="17"/>
      <c r="D5570" s="17"/>
      <c r="E5570" s="7"/>
    </row>
    <row r="5571" spans="3:5">
      <c r="C5571" s="17"/>
      <c r="D5571" s="17"/>
      <c r="E5571" s="7"/>
    </row>
    <row r="5572" spans="3:5">
      <c r="C5572" s="17"/>
      <c r="D5572" s="17"/>
      <c r="E5572" s="7"/>
    </row>
    <row r="5573" spans="3:5">
      <c r="C5573" s="17"/>
      <c r="D5573" s="17"/>
      <c r="E5573" s="7"/>
    </row>
    <row r="5574" spans="3:5">
      <c r="C5574" s="17"/>
      <c r="D5574" s="17"/>
      <c r="E5574" s="7"/>
    </row>
    <row r="5575" spans="3:5">
      <c r="C5575" s="17"/>
      <c r="D5575" s="17"/>
      <c r="E5575" s="7"/>
    </row>
    <row r="5576" spans="3:5">
      <c r="C5576" s="17"/>
      <c r="D5576" s="17"/>
      <c r="E5576" s="7"/>
    </row>
    <row r="5577" spans="3:5">
      <c r="C5577" s="17"/>
      <c r="D5577" s="17"/>
      <c r="E5577" s="7"/>
    </row>
    <row r="5578" spans="3:5">
      <c r="C5578" s="17"/>
      <c r="D5578" s="17"/>
      <c r="E5578" s="7"/>
    </row>
    <row r="5579" spans="3:5">
      <c r="C5579" s="17"/>
      <c r="D5579" s="17"/>
      <c r="E5579" s="7"/>
    </row>
    <row r="5580" spans="3:5">
      <c r="C5580" s="17"/>
      <c r="D5580" s="17"/>
      <c r="E5580" s="7"/>
    </row>
    <row r="5581" spans="3:5">
      <c r="C5581" s="17"/>
      <c r="D5581" s="17"/>
      <c r="E5581" s="7"/>
    </row>
    <row r="5582" spans="3:5">
      <c r="C5582" s="17"/>
      <c r="D5582" s="17"/>
      <c r="E5582" s="7"/>
    </row>
    <row r="5583" spans="3:5">
      <c r="C5583" s="17"/>
      <c r="D5583" s="17"/>
      <c r="E5583" s="7"/>
    </row>
    <row r="5584" spans="3:5">
      <c r="C5584" s="17"/>
      <c r="D5584" s="17"/>
      <c r="E5584" s="7"/>
    </row>
    <row r="5585" spans="3:5">
      <c r="C5585" s="17"/>
      <c r="D5585" s="17"/>
      <c r="E5585" s="7"/>
    </row>
    <row r="5586" spans="3:5">
      <c r="C5586" s="17"/>
      <c r="D5586" s="17"/>
      <c r="E5586" s="7"/>
    </row>
    <row r="5587" spans="3:5">
      <c r="C5587" s="17"/>
      <c r="D5587" s="17"/>
      <c r="E5587" s="7"/>
    </row>
    <row r="5588" spans="3:5">
      <c r="C5588" s="17"/>
      <c r="D5588" s="17"/>
      <c r="E5588" s="7"/>
    </row>
    <row r="5589" spans="3:5">
      <c r="C5589" s="17"/>
      <c r="D5589" s="17"/>
      <c r="E5589" s="7"/>
    </row>
    <row r="5590" spans="3:5">
      <c r="C5590" s="17"/>
      <c r="D5590" s="17"/>
      <c r="E5590" s="7"/>
    </row>
    <row r="5591" spans="3:5">
      <c r="C5591" s="17"/>
      <c r="D5591" s="17"/>
      <c r="E5591" s="7"/>
    </row>
    <row r="5592" spans="3:5">
      <c r="C5592" s="17"/>
      <c r="D5592" s="17"/>
      <c r="E5592" s="7"/>
    </row>
    <row r="5593" spans="3:5">
      <c r="C5593" s="17"/>
      <c r="D5593" s="17"/>
      <c r="E5593" s="7"/>
    </row>
    <row r="5594" spans="3:5">
      <c r="C5594" s="17"/>
      <c r="D5594" s="17"/>
      <c r="E5594" s="7"/>
    </row>
    <row r="5595" spans="3:5">
      <c r="C5595" s="17"/>
      <c r="D5595" s="17"/>
      <c r="E5595" s="7"/>
    </row>
    <row r="5596" spans="3:5">
      <c r="C5596" s="17"/>
      <c r="D5596" s="17"/>
      <c r="E5596" s="7"/>
    </row>
    <row r="5597" spans="3:5">
      <c r="C5597" s="17"/>
      <c r="D5597" s="17"/>
      <c r="E5597" s="7"/>
    </row>
    <row r="5598" spans="3:5">
      <c r="C5598" s="17"/>
      <c r="D5598" s="17"/>
      <c r="E5598" s="7"/>
    </row>
    <row r="5599" spans="3:5">
      <c r="C5599" s="17"/>
      <c r="D5599" s="17"/>
      <c r="E5599" s="7"/>
    </row>
    <row r="5600" spans="3:5">
      <c r="C5600" s="17"/>
      <c r="D5600" s="17"/>
      <c r="E5600" s="7"/>
    </row>
    <row r="5601" spans="3:5">
      <c r="C5601" s="17"/>
      <c r="D5601" s="17"/>
      <c r="E5601" s="7"/>
    </row>
    <row r="5602" spans="3:5">
      <c r="C5602" s="17"/>
      <c r="D5602" s="17"/>
      <c r="E5602" s="7"/>
    </row>
    <row r="5603" spans="3:5">
      <c r="C5603" s="17"/>
      <c r="D5603" s="17"/>
      <c r="E5603" s="7"/>
    </row>
    <row r="5604" spans="3:5">
      <c r="C5604" s="17"/>
      <c r="D5604" s="17"/>
      <c r="E5604" s="7"/>
    </row>
    <row r="5605" spans="3:5">
      <c r="C5605" s="17"/>
      <c r="D5605" s="17"/>
      <c r="E5605" s="7"/>
    </row>
    <row r="5606" spans="3:5">
      <c r="C5606" s="17"/>
      <c r="D5606" s="17"/>
      <c r="E5606" s="7"/>
    </row>
    <row r="5607" spans="3:5">
      <c r="C5607" s="17"/>
      <c r="D5607" s="17"/>
      <c r="E5607" s="7"/>
    </row>
    <row r="5608" spans="3:5">
      <c r="C5608" s="17"/>
      <c r="D5608" s="17"/>
      <c r="E5608" s="7"/>
    </row>
    <row r="5609" spans="3:5">
      <c r="C5609" s="17"/>
      <c r="D5609" s="17"/>
      <c r="E5609" s="7"/>
    </row>
    <row r="5610" spans="3:5">
      <c r="C5610" s="17"/>
      <c r="D5610" s="17"/>
      <c r="E5610" s="7"/>
    </row>
    <row r="5611" spans="3:5">
      <c r="C5611" s="17"/>
      <c r="D5611" s="17"/>
      <c r="E5611" s="7"/>
    </row>
    <row r="5612" spans="3:5">
      <c r="C5612" s="17"/>
      <c r="D5612" s="17"/>
      <c r="E5612" s="7"/>
    </row>
    <row r="5613" spans="3:5">
      <c r="C5613" s="17"/>
      <c r="D5613" s="17"/>
      <c r="E5613" s="7"/>
    </row>
    <row r="5614" spans="3:5">
      <c r="C5614" s="17"/>
      <c r="D5614" s="17"/>
      <c r="E5614" s="7"/>
    </row>
    <row r="5615" spans="3:5">
      <c r="C5615" s="17"/>
      <c r="D5615" s="17"/>
      <c r="E5615" s="7"/>
    </row>
    <row r="5616" spans="3:5">
      <c r="C5616" s="17"/>
      <c r="D5616" s="17"/>
      <c r="E5616" s="7"/>
    </row>
    <row r="5617" spans="3:5">
      <c r="C5617" s="17"/>
      <c r="D5617" s="17"/>
      <c r="E5617" s="7"/>
    </row>
    <row r="5618" spans="3:5">
      <c r="C5618" s="17"/>
      <c r="D5618" s="17"/>
      <c r="E5618" s="7"/>
    </row>
    <row r="5619" spans="3:5">
      <c r="C5619" s="17"/>
      <c r="D5619" s="17"/>
      <c r="E5619" s="7"/>
    </row>
    <row r="5620" spans="3:5">
      <c r="C5620" s="17"/>
      <c r="D5620" s="17"/>
      <c r="E5620" s="7"/>
    </row>
    <row r="5621" spans="3:5">
      <c r="C5621" s="17"/>
      <c r="D5621" s="17"/>
      <c r="E5621" s="7"/>
    </row>
    <row r="5622" spans="3:5">
      <c r="C5622" s="17"/>
      <c r="D5622" s="17"/>
      <c r="E5622" s="7"/>
    </row>
    <row r="5623" spans="3:5">
      <c r="C5623" s="17"/>
      <c r="D5623" s="17"/>
      <c r="E5623" s="7"/>
    </row>
    <row r="5624" spans="3:5">
      <c r="C5624" s="17"/>
      <c r="D5624" s="17"/>
      <c r="E5624" s="7"/>
    </row>
    <row r="5625" spans="3:5">
      <c r="C5625" s="17"/>
      <c r="D5625" s="17"/>
      <c r="E5625" s="7"/>
    </row>
    <row r="5626" spans="3:5">
      <c r="C5626" s="17"/>
      <c r="D5626" s="17"/>
      <c r="E5626" s="7"/>
    </row>
    <row r="5627" spans="3:5">
      <c r="C5627" s="17"/>
      <c r="D5627" s="17"/>
      <c r="E5627" s="7"/>
    </row>
    <row r="5628" spans="3:5">
      <c r="C5628" s="17"/>
      <c r="D5628" s="17"/>
      <c r="E5628" s="7"/>
    </row>
    <row r="5629" spans="3:5">
      <c r="C5629" s="17"/>
      <c r="D5629" s="17"/>
      <c r="E5629" s="7"/>
    </row>
    <row r="5630" spans="3:5">
      <c r="C5630" s="17"/>
      <c r="D5630" s="17"/>
      <c r="E5630" s="7"/>
    </row>
    <row r="5631" spans="3:5">
      <c r="C5631" s="17"/>
      <c r="D5631" s="17"/>
      <c r="E5631" s="7"/>
    </row>
    <row r="5632" spans="3:5">
      <c r="C5632" s="17"/>
      <c r="D5632" s="17"/>
      <c r="E5632" s="7"/>
    </row>
    <row r="5633" spans="3:5">
      <c r="C5633" s="17"/>
      <c r="D5633" s="17"/>
      <c r="E5633" s="7"/>
    </row>
    <row r="5634" spans="3:5">
      <c r="C5634" s="17"/>
      <c r="D5634" s="17"/>
      <c r="E5634" s="7"/>
    </row>
    <row r="5635" spans="3:5">
      <c r="C5635" s="17"/>
      <c r="D5635" s="17"/>
      <c r="E5635" s="7"/>
    </row>
    <row r="5636" spans="3:5">
      <c r="C5636" s="17"/>
      <c r="D5636" s="17"/>
      <c r="E5636" s="7"/>
    </row>
    <row r="5637" spans="3:5">
      <c r="C5637" s="17"/>
      <c r="D5637" s="17"/>
      <c r="E5637" s="7"/>
    </row>
    <row r="5638" spans="3:5">
      <c r="C5638" s="17"/>
      <c r="D5638" s="17"/>
      <c r="E5638" s="7"/>
    </row>
    <row r="5639" spans="3:5">
      <c r="C5639" s="17"/>
      <c r="D5639" s="17"/>
      <c r="E5639" s="7"/>
    </row>
    <row r="5640" spans="3:5">
      <c r="C5640" s="17"/>
      <c r="D5640" s="17"/>
      <c r="E5640" s="7"/>
    </row>
    <row r="5641" spans="3:5">
      <c r="C5641" s="17"/>
      <c r="D5641" s="17"/>
      <c r="E5641" s="7"/>
    </row>
    <row r="5642" spans="3:5">
      <c r="C5642" s="17"/>
      <c r="D5642" s="17"/>
      <c r="E5642" s="7"/>
    </row>
    <row r="5643" spans="3:5">
      <c r="C5643" s="17"/>
      <c r="D5643" s="17"/>
      <c r="E5643" s="7"/>
    </row>
    <row r="5644" spans="3:5">
      <c r="C5644" s="17"/>
      <c r="D5644" s="17"/>
      <c r="E5644" s="7"/>
    </row>
    <row r="5645" spans="3:5">
      <c r="C5645" s="17"/>
      <c r="D5645" s="17"/>
      <c r="E5645" s="7"/>
    </row>
    <row r="5646" spans="3:5">
      <c r="C5646" s="17"/>
      <c r="D5646" s="17"/>
      <c r="E5646" s="7"/>
    </row>
    <row r="5647" spans="3:5">
      <c r="C5647" s="17"/>
      <c r="D5647" s="17"/>
      <c r="E5647" s="7"/>
    </row>
    <row r="5648" spans="3:5">
      <c r="C5648" s="17"/>
      <c r="D5648" s="17"/>
      <c r="E5648" s="7"/>
    </row>
    <row r="5649" spans="3:5">
      <c r="C5649" s="17"/>
      <c r="D5649" s="17"/>
      <c r="E5649" s="7"/>
    </row>
    <row r="5650" spans="3:5">
      <c r="C5650" s="17"/>
      <c r="D5650" s="17"/>
      <c r="E5650" s="7"/>
    </row>
    <row r="5651" spans="3:5">
      <c r="C5651" s="17"/>
      <c r="D5651" s="17"/>
      <c r="E5651" s="7"/>
    </row>
    <row r="5652" spans="3:5">
      <c r="C5652" s="17"/>
      <c r="D5652" s="17"/>
      <c r="E5652" s="7"/>
    </row>
    <row r="5653" spans="3:5">
      <c r="C5653" s="17"/>
      <c r="D5653" s="17"/>
      <c r="E5653" s="7"/>
    </row>
    <row r="5654" spans="3:5">
      <c r="C5654" s="17"/>
      <c r="D5654" s="17"/>
      <c r="E5654" s="7"/>
    </row>
    <row r="5655" spans="3:5">
      <c r="C5655" s="17"/>
      <c r="D5655" s="17"/>
      <c r="E5655" s="7"/>
    </row>
    <row r="5656" spans="3:5">
      <c r="C5656" s="17"/>
      <c r="D5656" s="17"/>
      <c r="E5656" s="7"/>
    </row>
    <row r="5657" spans="3:5">
      <c r="C5657" s="17"/>
      <c r="D5657" s="17"/>
      <c r="E5657" s="7"/>
    </row>
    <row r="5658" spans="3:5">
      <c r="C5658" s="17"/>
      <c r="D5658" s="17"/>
      <c r="E5658" s="7"/>
    </row>
    <row r="5659" spans="3:5">
      <c r="C5659" s="17"/>
      <c r="D5659" s="17"/>
      <c r="E5659" s="7"/>
    </row>
    <row r="5660" spans="3:5">
      <c r="C5660" s="17"/>
      <c r="D5660" s="17"/>
      <c r="E5660" s="7"/>
    </row>
    <row r="5661" spans="3:5">
      <c r="C5661" s="17"/>
      <c r="D5661" s="17"/>
      <c r="E5661" s="7"/>
    </row>
    <row r="5662" spans="3:5">
      <c r="C5662" s="17"/>
      <c r="D5662" s="17"/>
      <c r="E5662" s="7"/>
    </row>
    <row r="5663" spans="3:5">
      <c r="C5663" s="17"/>
      <c r="D5663" s="17"/>
      <c r="E5663" s="7"/>
    </row>
    <row r="5664" spans="3:5">
      <c r="C5664" s="17"/>
      <c r="D5664" s="17"/>
      <c r="E5664" s="7"/>
    </row>
    <row r="5665" spans="3:5">
      <c r="C5665" s="17"/>
      <c r="D5665" s="17"/>
      <c r="E5665" s="7"/>
    </row>
    <row r="5666" spans="3:5">
      <c r="C5666" s="17"/>
      <c r="D5666" s="17"/>
      <c r="E5666" s="7"/>
    </row>
    <row r="5667" spans="3:5">
      <c r="C5667" s="17"/>
      <c r="D5667" s="17"/>
      <c r="E5667" s="7"/>
    </row>
    <row r="5668" spans="3:5">
      <c r="C5668" s="17"/>
      <c r="D5668" s="17"/>
      <c r="E5668" s="7"/>
    </row>
    <row r="5669" spans="3:5">
      <c r="C5669" s="17"/>
      <c r="D5669" s="17"/>
      <c r="E5669" s="7"/>
    </row>
    <row r="5670" spans="3:5">
      <c r="C5670" s="17"/>
      <c r="D5670" s="17"/>
      <c r="E5670" s="7"/>
    </row>
    <row r="5671" spans="3:5">
      <c r="C5671" s="17"/>
      <c r="D5671" s="17"/>
      <c r="E5671" s="7"/>
    </row>
    <row r="5672" spans="3:5">
      <c r="C5672" s="17"/>
      <c r="D5672" s="17"/>
      <c r="E5672" s="7"/>
    </row>
    <row r="5673" spans="3:5">
      <c r="C5673" s="17"/>
      <c r="D5673" s="17"/>
      <c r="E5673" s="7"/>
    </row>
    <row r="5674" spans="3:5">
      <c r="C5674" s="17"/>
      <c r="D5674" s="17"/>
      <c r="E5674" s="7"/>
    </row>
    <row r="5675" spans="3:5">
      <c r="C5675" s="17"/>
      <c r="D5675" s="17"/>
      <c r="E5675" s="7"/>
    </row>
    <row r="5676" spans="3:5">
      <c r="C5676" s="17"/>
      <c r="D5676" s="17"/>
      <c r="E5676" s="7"/>
    </row>
    <row r="5677" spans="3:5">
      <c r="C5677" s="17"/>
      <c r="D5677" s="17"/>
      <c r="E5677" s="7"/>
    </row>
    <row r="5678" spans="3:5">
      <c r="C5678" s="17"/>
      <c r="D5678" s="17"/>
      <c r="E5678" s="7"/>
    </row>
    <row r="5679" spans="3:5">
      <c r="C5679" s="17"/>
      <c r="D5679" s="17"/>
      <c r="E5679" s="7"/>
    </row>
    <row r="5680" spans="3:5">
      <c r="C5680" s="17"/>
      <c r="D5680" s="17"/>
      <c r="E5680" s="7"/>
    </row>
    <row r="5681" spans="3:5">
      <c r="C5681" s="17"/>
      <c r="D5681" s="17"/>
      <c r="E5681" s="7"/>
    </row>
    <row r="5682" spans="3:5">
      <c r="C5682" s="17"/>
      <c r="D5682" s="17"/>
      <c r="E5682" s="7"/>
    </row>
    <row r="5683" spans="3:5">
      <c r="C5683" s="17"/>
      <c r="D5683" s="17"/>
      <c r="E5683" s="7"/>
    </row>
    <row r="5684" spans="3:5">
      <c r="C5684" s="17"/>
      <c r="D5684" s="17"/>
      <c r="E5684" s="7"/>
    </row>
    <row r="5685" spans="3:5">
      <c r="C5685" s="17"/>
      <c r="D5685" s="17"/>
      <c r="E5685" s="7"/>
    </row>
    <row r="5686" spans="3:5">
      <c r="C5686" s="17"/>
      <c r="D5686" s="17"/>
      <c r="E5686" s="7"/>
    </row>
    <row r="5687" spans="3:5">
      <c r="C5687" s="17"/>
      <c r="D5687" s="17"/>
      <c r="E5687" s="7"/>
    </row>
    <row r="5688" spans="3:5">
      <c r="C5688" s="17"/>
      <c r="D5688" s="17"/>
      <c r="E5688" s="7"/>
    </row>
    <row r="5689" spans="3:5">
      <c r="C5689" s="17"/>
      <c r="D5689" s="17"/>
      <c r="E5689" s="7"/>
    </row>
    <row r="5690" spans="3:5">
      <c r="C5690" s="17"/>
      <c r="D5690" s="17"/>
      <c r="E5690" s="7"/>
    </row>
    <row r="5691" spans="3:5">
      <c r="C5691" s="17"/>
      <c r="D5691" s="17"/>
      <c r="E5691" s="7"/>
    </row>
    <row r="5692" spans="3:5">
      <c r="C5692" s="17"/>
      <c r="D5692" s="17"/>
      <c r="E5692" s="7"/>
    </row>
    <row r="5693" spans="3:5">
      <c r="C5693" s="17"/>
      <c r="D5693" s="17"/>
      <c r="E5693" s="7"/>
    </row>
    <row r="5694" spans="3:5">
      <c r="C5694" s="17"/>
      <c r="D5694" s="17"/>
      <c r="E5694" s="7"/>
    </row>
    <row r="5695" spans="3:5">
      <c r="C5695" s="17"/>
      <c r="D5695" s="17"/>
      <c r="E5695" s="7"/>
    </row>
    <row r="5696" spans="3:5">
      <c r="C5696" s="17"/>
      <c r="D5696" s="17"/>
      <c r="E5696" s="7"/>
    </row>
    <row r="5697" spans="3:5">
      <c r="C5697" s="17"/>
      <c r="D5697" s="17"/>
      <c r="E5697" s="7"/>
    </row>
    <row r="5698" spans="3:5">
      <c r="C5698" s="17"/>
      <c r="D5698" s="17"/>
      <c r="E5698" s="7"/>
    </row>
    <row r="5699" spans="3:5">
      <c r="C5699" s="17"/>
      <c r="D5699" s="17"/>
      <c r="E5699" s="7"/>
    </row>
    <row r="5700" spans="3:5">
      <c r="C5700" s="17"/>
      <c r="D5700" s="17"/>
      <c r="E5700" s="7"/>
    </row>
    <row r="5701" spans="3:5">
      <c r="C5701" s="17"/>
      <c r="D5701" s="17"/>
      <c r="E5701" s="7"/>
    </row>
    <row r="5702" spans="3:5">
      <c r="C5702" s="17"/>
      <c r="D5702" s="17"/>
      <c r="E5702" s="7"/>
    </row>
    <row r="5703" spans="3:5">
      <c r="C5703" s="17"/>
      <c r="D5703" s="17"/>
      <c r="E5703" s="7"/>
    </row>
    <row r="5704" spans="3:5">
      <c r="C5704" s="17"/>
      <c r="D5704" s="17"/>
      <c r="E5704" s="7"/>
    </row>
    <row r="5705" spans="3:5">
      <c r="C5705" s="17"/>
      <c r="D5705" s="17"/>
      <c r="E5705" s="7"/>
    </row>
    <row r="5706" spans="3:5">
      <c r="C5706" s="17"/>
      <c r="D5706" s="17"/>
      <c r="E5706" s="7"/>
    </row>
    <row r="5707" spans="3:5">
      <c r="C5707" s="17"/>
      <c r="D5707" s="17"/>
      <c r="E5707" s="7"/>
    </row>
    <row r="5708" spans="3:5">
      <c r="C5708" s="17"/>
      <c r="D5708" s="17"/>
      <c r="E5708" s="7"/>
    </row>
    <row r="5709" spans="3:5">
      <c r="C5709" s="17"/>
      <c r="D5709" s="17"/>
      <c r="E5709" s="7"/>
    </row>
    <row r="5710" spans="3:5">
      <c r="C5710" s="17"/>
      <c r="D5710" s="17"/>
      <c r="E5710" s="7"/>
    </row>
    <row r="5711" spans="3:5">
      <c r="C5711" s="17"/>
      <c r="D5711" s="17"/>
      <c r="E5711" s="7"/>
    </row>
    <row r="5712" spans="3:5">
      <c r="C5712" s="17"/>
      <c r="D5712" s="17"/>
      <c r="E5712" s="7"/>
    </row>
    <row r="5713" spans="3:5">
      <c r="C5713" s="17"/>
      <c r="D5713" s="17"/>
      <c r="E5713" s="7"/>
    </row>
    <row r="5714" spans="3:5">
      <c r="C5714" s="17"/>
      <c r="D5714" s="17"/>
      <c r="E5714" s="7"/>
    </row>
    <row r="5715" spans="3:5">
      <c r="C5715" s="17"/>
      <c r="D5715" s="17"/>
      <c r="E5715" s="7"/>
    </row>
    <row r="5716" spans="3:5">
      <c r="C5716" s="17"/>
      <c r="D5716" s="17"/>
      <c r="E5716" s="7"/>
    </row>
    <row r="5717" spans="3:5">
      <c r="C5717" s="17"/>
      <c r="D5717" s="17"/>
      <c r="E5717" s="7"/>
    </row>
    <row r="5718" spans="3:5">
      <c r="C5718" s="17"/>
      <c r="D5718" s="17"/>
      <c r="E5718" s="7"/>
    </row>
    <row r="5719" spans="3:5">
      <c r="C5719" s="17"/>
      <c r="D5719" s="17"/>
      <c r="E5719" s="7"/>
    </row>
    <row r="5720" spans="3:5">
      <c r="C5720" s="17"/>
      <c r="D5720" s="17"/>
      <c r="E5720" s="7"/>
    </row>
    <row r="5721" spans="3:5">
      <c r="C5721" s="17"/>
      <c r="D5721" s="17"/>
      <c r="E5721" s="7"/>
    </row>
    <row r="5722" spans="3:5">
      <c r="C5722" s="17"/>
      <c r="D5722" s="17"/>
      <c r="E5722" s="7"/>
    </row>
    <row r="5723" spans="3:5">
      <c r="C5723" s="17"/>
      <c r="D5723" s="17"/>
      <c r="E5723" s="7"/>
    </row>
    <row r="5724" spans="3:5">
      <c r="C5724" s="17"/>
      <c r="D5724" s="17"/>
      <c r="E5724" s="7"/>
    </row>
    <row r="5725" spans="3:5">
      <c r="C5725" s="17"/>
      <c r="D5725" s="17"/>
      <c r="E5725" s="7"/>
    </row>
    <row r="5726" spans="3:5">
      <c r="C5726" s="17"/>
      <c r="D5726" s="17"/>
      <c r="E5726" s="7"/>
    </row>
    <row r="5727" spans="3:5">
      <c r="C5727" s="17"/>
      <c r="D5727" s="17"/>
      <c r="E5727" s="7"/>
    </row>
    <row r="5728" spans="3:5">
      <c r="C5728" s="17"/>
      <c r="D5728" s="17"/>
      <c r="E5728" s="7"/>
    </row>
    <row r="5729" spans="3:5">
      <c r="C5729" s="17"/>
      <c r="D5729" s="17"/>
      <c r="E5729" s="7"/>
    </row>
    <row r="5730" spans="3:5">
      <c r="C5730" s="17"/>
      <c r="D5730" s="17"/>
      <c r="E5730" s="7"/>
    </row>
    <row r="5731" spans="3:5">
      <c r="C5731" s="17"/>
      <c r="D5731" s="17"/>
      <c r="E5731" s="7"/>
    </row>
    <row r="5732" spans="3:5">
      <c r="C5732" s="17"/>
      <c r="D5732" s="17"/>
      <c r="E5732" s="7"/>
    </row>
    <row r="5733" spans="3:5">
      <c r="C5733" s="17"/>
      <c r="D5733" s="17"/>
      <c r="E5733" s="7"/>
    </row>
    <row r="5734" spans="3:5">
      <c r="C5734" s="17"/>
      <c r="D5734" s="17"/>
      <c r="E5734" s="7"/>
    </row>
    <row r="5735" spans="3:5">
      <c r="C5735" s="17"/>
      <c r="D5735" s="17"/>
      <c r="E5735" s="7"/>
    </row>
    <row r="5736" spans="3:5">
      <c r="C5736" s="17"/>
      <c r="D5736" s="17"/>
      <c r="E5736" s="7"/>
    </row>
    <row r="5737" spans="3:5">
      <c r="C5737" s="17"/>
      <c r="D5737" s="17"/>
      <c r="E5737" s="7"/>
    </row>
    <row r="5738" spans="3:5">
      <c r="C5738" s="17"/>
      <c r="D5738" s="17"/>
      <c r="E5738" s="7"/>
    </row>
    <row r="5739" spans="3:5">
      <c r="C5739" s="17"/>
      <c r="D5739" s="17"/>
      <c r="E5739" s="7"/>
    </row>
    <row r="5740" spans="3:5">
      <c r="C5740" s="17"/>
      <c r="D5740" s="17"/>
      <c r="E5740" s="7"/>
    </row>
    <row r="5741" spans="3:5">
      <c r="C5741" s="17"/>
      <c r="D5741" s="17"/>
      <c r="E5741" s="7"/>
    </row>
    <row r="5742" spans="3:5">
      <c r="C5742" s="17"/>
      <c r="D5742" s="17"/>
      <c r="E5742" s="7"/>
    </row>
    <row r="5743" spans="3:5">
      <c r="C5743" s="17"/>
      <c r="D5743" s="17"/>
      <c r="E5743" s="7"/>
    </row>
    <row r="5744" spans="3:5">
      <c r="C5744" s="17"/>
      <c r="D5744" s="17"/>
      <c r="E5744" s="7"/>
    </row>
    <row r="5745" spans="3:5">
      <c r="C5745" s="17"/>
      <c r="D5745" s="17"/>
      <c r="E5745" s="7"/>
    </row>
    <row r="5746" spans="3:5">
      <c r="C5746" s="17"/>
      <c r="D5746" s="17"/>
      <c r="E5746" s="7"/>
    </row>
    <row r="5747" spans="3:5">
      <c r="C5747" s="17"/>
      <c r="D5747" s="17"/>
      <c r="E5747" s="7"/>
    </row>
    <row r="5748" spans="3:5">
      <c r="C5748" s="17"/>
      <c r="D5748" s="17"/>
      <c r="E5748" s="7"/>
    </row>
    <row r="5749" spans="3:5">
      <c r="C5749" s="17"/>
      <c r="D5749" s="17"/>
      <c r="E5749" s="7"/>
    </row>
    <row r="5750" spans="3:5">
      <c r="C5750" s="17"/>
      <c r="D5750" s="17"/>
      <c r="E5750" s="7"/>
    </row>
    <row r="5751" spans="3:5">
      <c r="C5751" s="17"/>
      <c r="D5751" s="17"/>
      <c r="E5751" s="7"/>
    </row>
    <row r="5752" spans="3:5">
      <c r="C5752" s="17"/>
      <c r="D5752" s="17"/>
      <c r="E5752" s="7"/>
    </row>
    <row r="5753" spans="3:5">
      <c r="C5753" s="17"/>
      <c r="D5753" s="17"/>
      <c r="E5753" s="7"/>
    </row>
    <row r="5754" spans="3:5">
      <c r="C5754" s="17"/>
      <c r="D5754" s="17"/>
      <c r="E5754" s="7"/>
    </row>
    <row r="5755" spans="3:5">
      <c r="C5755" s="17"/>
      <c r="D5755" s="17"/>
      <c r="E5755" s="7"/>
    </row>
    <row r="5756" spans="3:5">
      <c r="C5756" s="17"/>
      <c r="D5756" s="17"/>
      <c r="E5756" s="7"/>
    </row>
    <row r="5757" spans="3:5">
      <c r="C5757" s="17"/>
      <c r="D5757" s="17"/>
      <c r="E5757" s="7"/>
    </row>
    <row r="5758" spans="3:5">
      <c r="C5758" s="17"/>
      <c r="D5758" s="17"/>
      <c r="E5758" s="7"/>
    </row>
    <row r="5759" spans="3:5">
      <c r="C5759" s="17"/>
      <c r="D5759" s="17"/>
      <c r="E5759" s="7"/>
    </row>
    <row r="5760" spans="3:5">
      <c r="C5760" s="17"/>
      <c r="D5760" s="17"/>
      <c r="E5760" s="7"/>
    </row>
    <row r="5761" spans="3:5">
      <c r="C5761" s="17"/>
      <c r="D5761" s="17"/>
      <c r="E5761" s="7"/>
    </row>
    <row r="5762" spans="3:5">
      <c r="C5762" s="17"/>
      <c r="D5762" s="17"/>
      <c r="E5762" s="7"/>
    </row>
    <row r="5763" spans="3:5">
      <c r="C5763" s="17"/>
      <c r="D5763" s="17"/>
      <c r="E5763" s="7"/>
    </row>
    <row r="5764" spans="3:5">
      <c r="C5764" s="17"/>
      <c r="D5764" s="17"/>
      <c r="E5764" s="7"/>
    </row>
    <row r="5765" spans="3:5">
      <c r="C5765" s="17"/>
      <c r="D5765" s="17"/>
      <c r="E5765" s="7"/>
    </row>
    <row r="5766" spans="3:5">
      <c r="C5766" s="17"/>
      <c r="D5766" s="17"/>
      <c r="E5766" s="7"/>
    </row>
    <row r="5767" spans="3:5">
      <c r="C5767" s="17"/>
      <c r="D5767" s="17"/>
      <c r="E5767" s="7"/>
    </row>
    <row r="5768" spans="3:5">
      <c r="C5768" s="17"/>
      <c r="D5768" s="17"/>
      <c r="E5768" s="7"/>
    </row>
    <row r="5769" spans="3:5">
      <c r="C5769" s="17"/>
      <c r="D5769" s="17"/>
      <c r="E5769" s="7"/>
    </row>
    <row r="5770" spans="3:5">
      <c r="C5770" s="17"/>
      <c r="D5770" s="17"/>
      <c r="E5770" s="7"/>
    </row>
    <row r="5771" spans="3:5">
      <c r="C5771" s="17"/>
      <c r="D5771" s="17"/>
      <c r="E5771" s="7"/>
    </row>
    <row r="5772" spans="3:5">
      <c r="C5772" s="17"/>
      <c r="D5772" s="17"/>
      <c r="E5772" s="7"/>
    </row>
    <row r="5773" spans="3:5">
      <c r="C5773" s="17"/>
      <c r="D5773" s="17"/>
      <c r="E5773" s="7"/>
    </row>
    <row r="5774" spans="3:5">
      <c r="C5774" s="17"/>
      <c r="D5774" s="17"/>
      <c r="E5774" s="7"/>
    </row>
    <row r="5775" spans="3:5">
      <c r="C5775" s="17"/>
      <c r="D5775" s="17"/>
      <c r="E5775" s="7"/>
    </row>
    <row r="5776" spans="3:5">
      <c r="C5776" s="17"/>
      <c r="D5776" s="17"/>
      <c r="E5776" s="7"/>
    </row>
    <row r="5777" spans="3:5">
      <c r="C5777" s="17"/>
      <c r="D5777" s="17"/>
      <c r="E5777" s="7"/>
    </row>
    <row r="5778" spans="3:5">
      <c r="C5778" s="17"/>
      <c r="D5778" s="17"/>
      <c r="E5778" s="7"/>
    </row>
    <row r="5779" spans="3:5">
      <c r="C5779" s="17"/>
      <c r="D5779" s="17"/>
      <c r="E5779" s="7"/>
    </row>
    <row r="5780" spans="3:5">
      <c r="C5780" s="17"/>
      <c r="D5780" s="17"/>
      <c r="E5780" s="7"/>
    </row>
    <row r="5781" spans="3:5">
      <c r="C5781" s="17"/>
      <c r="D5781" s="17"/>
      <c r="E5781" s="7"/>
    </row>
    <row r="5782" spans="3:5">
      <c r="C5782" s="17"/>
      <c r="D5782" s="17"/>
      <c r="E5782" s="7"/>
    </row>
    <row r="5783" spans="3:5">
      <c r="C5783" s="17"/>
      <c r="D5783" s="17"/>
      <c r="E5783" s="7"/>
    </row>
    <row r="5784" spans="3:5">
      <c r="C5784" s="17"/>
      <c r="D5784" s="17"/>
      <c r="E5784" s="7"/>
    </row>
    <row r="5785" spans="3:5">
      <c r="C5785" s="17"/>
      <c r="D5785" s="17"/>
      <c r="E5785" s="7"/>
    </row>
    <row r="5786" spans="3:5">
      <c r="C5786" s="17"/>
      <c r="D5786" s="17"/>
      <c r="E5786" s="7"/>
    </row>
    <row r="5787" spans="3:5">
      <c r="C5787" s="17"/>
      <c r="D5787" s="17"/>
      <c r="E5787" s="7"/>
    </row>
    <row r="5788" spans="3:5">
      <c r="C5788" s="17"/>
      <c r="D5788" s="17"/>
      <c r="E5788" s="7"/>
    </row>
    <row r="5789" spans="3:5">
      <c r="C5789" s="17"/>
      <c r="D5789" s="17"/>
      <c r="E5789" s="7"/>
    </row>
    <row r="5790" spans="3:5">
      <c r="C5790" s="17"/>
      <c r="D5790" s="17"/>
      <c r="E5790" s="7"/>
    </row>
    <row r="5791" spans="3:5">
      <c r="C5791" s="17"/>
      <c r="D5791" s="17"/>
      <c r="E5791" s="7"/>
    </row>
    <row r="5792" spans="3:5">
      <c r="C5792" s="17"/>
      <c r="D5792" s="17"/>
      <c r="E5792" s="7"/>
    </row>
    <row r="5793" spans="3:5">
      <c r="C5793" s="17"/>
      <c r="D5793" s="17"/>
      <c r="E5793" s="7"/>
    </row>
    <row r="5794" spans="3:5">
      <c r="C5794" s="17"/>
      <c r="D5794" s="17"/>
      <c r="E5794" s="7"/>
    </row>
    <row r="5795" spans="3:5">
      <c r="C5795" s="17"/>
      <c r="D5795" s="17"/>
      <c r="E5795" s="7"/>
    </row>
    <row r="5796" spans="3:5">
      <c r="C5796" s="17"/>
      <c r="D5796" s="17"/>
      <c r="E5796" s="7"/>
    </row>
    <row r="5797" spans="3:5">
      <c r="C5797" s="17"/>
      <c r="D5797" s="17"/>
      <c r="E5797" s="7"/>
    </row>
    <row r="5798" spans="3:5">
      <c r="C5798" s="17"/>
      <c r="D5798" s="17"/>
      <c r="E5798" s="7"/>
    </row>
    <row r="5799" spans="3:5">
      <c r="C5799" s="17"/>
      <c r="D5799" s="17"/>
      <c r="E5799" s="7"/>
    </row>
    <row r="5800" spans="3:5">
      <c r="C5800" s="17"/>
      <c r="D5800" s="17"/>
      <c r="E5800" s="7"/>
    </row>
    <row r="5801" spans="3:5">
      <c r="C5801" s="17"/>
      <c r="D5801" s="17"/>
      <c r="E5801" s="7"/>
    </row>
    <row r="5802" spans="3:5">
      <c r="C5802" s="17"/>
      <c r="D5802" s="17"/>
      <c r="E5802" s="7"/>
    </row>
    <row r="5803" spans="3:5">
      <c r="C5803" s="17"/>
      <c r="D5803" s="17"/>
      <c r="E5803" s="7"/>
    </row>
    <row r="5804" spans="3:5">
      <c r="C5804" s="17"/>
      <c r="D5804" s="17"/>
      <c r="E5804" s="7"/>
    </row>
    <row r="5805" spans="3:5">
      <c r="C5805" s="17"/>
      <c r="D5805" s="17"/>
      <c r="E5805" s="7"/>
    </row>
    <row r="5806" spans="3:5">
      <c r="C5806" s="17"/>
      <c r="D5806" s="17"/>
      <c r="E5806" s="7"/>
    </row>
    <row r="5807" spans="3:5">
      <c r="C5807" s="17"/>
      <c r="D5807" s="17"/>
      <c r="E5807" s="7"/>
    </row>
    <row r="5808" spans="3:5">
      <c r="C5808" s="17"/>
      <c r="D5808" s="17"/>
      <c r="E5808" s="7"/>
    </row>
    <row r="5809" spans="3:5">
      <c r="C5809" s="17"/>
      <c r="D5809" s="17"/>
      <c r="E5809" s="7"/>
    </row>
    <row r="5810" spans="3:5">
      <c r="C5810" s="17"/>
      <c r="D5810" s="17"/>
      <c r="E5810" s="7"/>
    </row>
    <row r="5811" spans="3:5">
      <c r="C5811" s="17"/>
      <c r="D5811" s="17"/>
      <c r="E5811" s="7"/>
    </row>
    <row r="5812" spans="3:5">
      <c r="C5812" s="17"/>
      <c r="D5812" s="17"/>
      <c r="E5812" s="7"/>
    </row>
    <row r="5813" spans="3:5">
      <c r="C5813" s="17"/>
      <c r="D5813" s="17"/>
      <c r="E5813" s="7"/>
    </row>
    <row r="5814" spans="3:5">
      <c r="C5814" s="17"/>
      <c r="D5814" s="17"/>
      <c r="E5814" s="7"/>
    </row>
    <row r="5815" spans="3:5">
      <c r="C5815" s="17"/>
      <c r="D5815" s="17"/>
      <c r="E5815" s="7"/>
    </row>
    <row r="5816" spans="3:5">
      <c r="C5816" s="17"/>
      <c r="D5816" s="17"/>
      <c r="E5816" s="7"/>
    </row>
    <row r="5817" spans="3:5">
      <c r="C5817" s="17"/>
      <c r="D5817" s="17"/>
      <c r="E5817" s="7"/>
    </row>
    <row r="5818" spans="3:5">
      <c r="C5818" s="17"/>
      <c r="D5818" s="17"/>
      <c r="E5818" s="7"/>
    </row>
    <row r="5819" spans="3:5">
      <c r="C5819" s="17"/>
      <c r="D5819" s="17"/>
      <c r="E5819" s="7"/>
    </row>
    <row r="5820" spans="3:5">
      <c r="C5820" s="17"/>
      <c r="D5820" s="17"/>
      <c r="E5820" s="7"/>
    </row>
    <row r="5821" spans="3:5">
      <c r="C5821" s="17"/>
      <c r="D5821" s="17"/>
      <c r="E5821" s="7"/>
    </row>
    <row r="5822" spans="3:5">
      <c r="C5822" s="17"/>
      <c r="D5822" s="17"/>
      <c r="E5822" s="7"/>
    </row>
    <row r="5823" spans="3:5">
      <c r="C5823" s="17"/>
      <c r="D5823" s="17"/>
      <c r="E5823" s="7"/>
    </row>
    <row r="5824" spans="3:5">
      <c r="C5824" s="17"/>
      <c r="D5824" s="17"/>
      <c r="E5824" s="7"/>
    </row>
    <row r="5825" spans="3:5">
      <c r="C5825" s="17"/>
      <c r="D5825" s="17"/>
      <c r="E5825" s="7"/>
    </row>
    <row r="5826" spans="3:5">
      <c r="C5826" s="17"/>
      <c r="D5826" s="17"/>
      <c r="E5826" s="7"/>
    </row>
    <row r="5827" spans="3:5">
      <c r="C5827" s="17"/>
      <c r="D5827" s="17"/>
      <c r="E5827" s="7"/>
    </row>
    <row r="5828" spans="3:5">
      <c r="C5828" s="17"/>
      <c r="D5828" s="17"/>
      <c r="E5828" s="7"/>
    </row>
    <row r="5829" spans="3:5">
      <c r="C5829" s="17"/>
      <c r="D5829" s="17"/>
      <c r="E5829" s="7"/>
    </row>
    <row r="5830" spans="3:5">
      <c r="C5830" s="17"/>
      <c r="D5830" s="17"/>
      <c r="E5830" s="7"/>
    </row>
    <row r="5831" spans="3:5">
      <c r="C5831" s="17"/>
      <c r="D5831" s="17"/>
      <c r="E5831" s="7"/>
    </row>
    <row r="5832" spans="3:5">
      <c r="C5832" s="17"/>
      <c r="D5832" s="17"/>
      <c r="E5832" s="7"/>
    </row>
    <row r="5833" spans="3:5">
      <c r="C5833" s="17"/>
      <c r="D5833" s="17"/>
      <c r="E5833" s="7"/>
    </row>
    <row r="5834" spans="3:5">
      <c r="C5834" s="17"/>
      <c r="D5834" s="17"/>
      <c r="E5834" s="7"/>
    </row>
    <row r="5835" spans="3:5">
      <c r="C5835" s="17"/>
      <c r="D5835" s="17"/>
      <c r="E5835" s="7"/>
    </row>
    <row r="5836" spans="3:5">
      <c r="C5836" s="17"/>
      <c r="D5836" s="17"/>
      <c r="E5836" s="7"/>
    </row>
    <row r="5837" spans="3:5">
      <c r="C5837" s="17"/>
      <c r="D5837" s="17"/>
      <c r="E5837" s="7"/>
    </row>
    <row r="5838" spans="3:5">
      <c r="C5838" s="17"/>
      <c r="D5838" s="17"/>
      <c r="E5838" s="7"/>
    </row>
    <row r="5839" spans="3:5">
      <c r="C5839" s="17"/>
      <c r="D5839" s="17"/>
      <c r="E5839" s="7"/>
    </row>
    <row r="5840" spans="3:5">
      <c r="C5840" s="17"/>
      <c r="D5840" s="17"/>
      <c r="E5840" s="7"/>
    </row>
    <row r="5841" spans="3:5">
      <c r="C5841" s="17"/>
      <c r="D5841" s="17"/>
      <c r="E5841" s="7"/>
    </row>
    <row r="5842" spans="3:5">
      <c r="C5842" s="17"/>
      <c r="D5842" s="17"/>
      <c r="E5842" s="7"/>
    </row>
    <row r="5843" spans="3:5">
      <c r="C5843" s="17"/>
      <c r="D5843" s="17"/>
      <c r="E5843" s="7"/>
    </row>
    <row r="5844" spans="3:5">
      <c r="C5844" s="17"/>
      <c r="D5844" s="17"/>
      <c r="E5844" s="7"/>
    </row>
    <row r="5845" spans="3:5">
      <c r="C5845" s="17"/>
      <c r="D5845" s="17"/>
      <c r="E5845" s="7"/>
    </row>
    <row r="5846" spans="3:5">
      <c r="C5846" s="17"/>
      <c r="D5846" s="17"/>
      <c r="E5846" s="7"/>
    </row>
    <row r="5847" spans="3:5">
      <c r="C5847" s="17"/>
      <c r="D5847" s="17"/>
      <c r="E5847" s="7"/>
    </row>
    <row r="5848" spans="3:5">
      <c r="C5848" s="17"/>
      <c r="D5848" s="17"/>
      <c r="E5848" s="7"/>
    </row>
    <row r="5849" spans="3:5">
      <c r="C5849" s="17"/>
      <c r="D5849" s="17"/>
      <c r="E5849" s="7"/>
    </row>
    <row r="5850" spans="3:5">
      <c r="C5850" s="17"/>
      <c r="D5850" s="17"/>
      <c r="E5850" s="7"/>
    </row>
    <row r="5851" spans="3:5">
      <c r="C5851" s="17"/>
      <c r="D5851" s="17"/>
      <c r="E5851" s="7"/>
    </row>
    <row r="5852" spans="3:5">
      <c r="C5852" s="17"/>
      <c r="D5852" s="17"/>
      <c r="E5852" s="7"/>
    </row>
    <row r="5853" spans="3:5">
      <c r="C5853" s="17"/>
      <c r="D5853" s="17"/>
      <c r="E5853" s="7"/>
    </row>
    <row r="5854" spans="3:5">
      <c r="C5854" s="17"/>
      <c r="D5854" s="17"/>
      <c r="E5854" s="7"/>
    </row>
    <row r="5855" spans="3:5">
      <c r="C5855" s="17"/>
      <c r="D5855" s="17"/>
      <c r="E5855" s="7"/>
    </row>
    <row r="5856" spans="3:5">
      <c r="C5856" s="17"/>
      <c r="D5856" s="17"/>
      <c r="E5856" s="7"/>
    </row>
    <row r="5857" spans="3:5">
      <c r="C5857" s="17"/>
      <c r="D5857" s="17"/>
      <c r="E5857" s="7"/>
    </row>
    <row r="5858" spans="3:5">
      <c r="C5858" s="17"/>
      <c r="D5858" s="17"/>
      <c r="E5858" s="7"/>
    </row>
    <row r="5859" spans="3:5">
      <c r="C5859" s="17"/>
      <c r="D5859" s="17"/>
      <c r="E5859" s="7"/>
    </row>
    <row r="5860" spans="3:5">
      <c r="C5860" s="17"/>
      <c r="D5860" s="17"/>
      <c r="E5860" s="7"/>
    </row>
    <row r="5861" spans="3:5">
      <c r="C5861" s="17"/>
      <c r="D5861" s="17"/>
      <c r="E5861" s="7"/>
    </row>
    <row r="5862" spans="3:5">
      <c r="C5862" s="17"/>
      <c r="D5862" s="17"/>
      <c r="E5862" s="7"/>
    </row>
    <row r="5863" spans="3:5">
      <c r="C5863" s="17"/>
      <c r="D5863" s="17"/>
      <c r="E5863" s="7"/>
    </row>
    <row r="5864" spans="3:5">
      <c r="C5864" s="17"/>
      <c r="D5864" s="17"/>
      <c r="E5864" s="7"/>
    </row>
    <row r="5865" spans="3:5">
      <c r="C5865" s="17"/>
      <c r="D5865" s="17"/>
      <c r="E5865" s="7"/>
    </row>
    <row r="5866" spans="3:5">
      <c r="C5866" s="17"/>
      <c r="D5866" s="17"/>
      <c r="E5866" s="7"/>
    </row>
    <row r="5867" spans="3:5">
      <c r="C5867" s="17"/>
      <c r="D5867" s="17"/>
      <c r="E5867" s="7"/>
    </row>
    <row r="5868" spans="3:5">
      <c r="C5868" s="17"/>
      <c r="D5868" s="17"/>
      <c r="E5868" s="7"/>
    </row>
    <row r="5869" spans="3:5">
      <c r="C5869" s="17"/>
      <c r="D5869" s="17"/>
      <c r="E5869" s="7"/>
    </row>
    <row r="5870" spans="3:5">
      <c r="C5870" s="17"/>
      <c r="D5870" s="17"/>
      <c r="E5870" s="7"/>
    </row>
    <row r="5871" spans="3:5">
      <c r="C5871" s="17"/>
      <c r="D5871" s="17"/>
      <c r="E5871" s="7"/>
    </row>
    <row r="5872" spans="3:5">
      <c r="C5872" s="17"/>
      <c r="D5872" s="17"/>
      <c r="E5872" s="7"/>
    </row>
    <row r="5873" spans="3:5">
      <c r="C5873" s="17"/>
      <c r="D5873" s="17"/>
      <c r="E5873" s="7"/>
    </row>
    <row r="5874" spans="3:5">
      <c r="C5874" s="17"/>
      <c r="D5874" s="17"/>
      <c r="E5874" s="7"/>
    </row>
    <row r="5875" spans="3:5">
      <c r="C5875" s="17"/>
      <c r="D5875" s="17"/>
      <c r="E5875" s="7"/>
    </row>
    <row r="5876" spans="3:5">
      <c r="C5876" s="17"/>
      <c r="D5876" s="17"/>
      <c r="E5876" s="7"/>
    </row>
    <row r="5877" spans="3:5">
      <c r="C5877" s="17"/>
      <c r="D5877" s="17"/>
      <c r="E5877" s="7"/>
    </row>
    <row r="5878" spans="3:5">
      <c r="C5878" s="17"/>
      <c r="D5878" s="17"/>
      <c r="E5878" s="7"/>
    </row>
    <row r="5879" spans="3:5">
      <c r="C5879" s="17"/>
      <c r="D5879" s="17"/>
      <c r="E5879" s="7"/>
    </row>
    <row r="5880" spans="3:5">
      <c r="C5880" s="17"/>
      <c r="D5880" s="17"/>
      <c r="E5880" s="7"/>
    </row>
    <row r="5881" spans="3:5">
      <c r="C5881" s="17"/>
      <c r="D5881" s="17"/>
      <c r="E5881" s="7"/>
    </row>
    <row r="5882" spans="3:5">
      <c r="C5882" s="17"/>
      <c r="D5882" s="17"/>
      <c r="E5882" s="7"/>
    </row>
    <row r="5883" spans="3:5">
      <c r="C5883" s="17"/>
      <c r="D5883" s="17"/>
      <c r="E5883" s="7"/>
    </row>
    <row r="5884" spans="3:5">
      <c r="C5884" s="17"/>
      <c r="D5884" s="17"/>
      <c r="E5884" s="7"/>
    </row>
    <row r="5885" spans="3:5">
      <c r="C5885" s="17"/>
      <c r="D5885" s="17"/>
      <c r="E5885" s="7"/>
    </row>
    <row r="5886" spans="3:5">
      <c r="C5886" s="17"/>
      <c r="D5886" s="17"/>
      <c r="E5886" s="7"/>
    </row>
    <row r="5887" spans="3:5">
      <c r="C5887" s="17"/>
      <c r="D5887" s="17"/>
      <c r="E5887" s="7"/>
    </row>
    <row r="5888" spans="3:5">
      <c r="C5888" s="17"/>
      <c r="D5888" s="17"/>
      <c r="E5888" s="7"/>
    </row>
    <row r="5889" spans="3:5">
      <c r="C5889" s="17"/>
      <c r="D5889" s="17"/>
      <c r="E5889" s="7"/>
    </row>
    <row r="5890" spans="3:5">
      <c r="C5890" s="17"/>
      <c r="D5890" s="17"/>
      <c r="E5890" s="7"/>
    </row>
    <row r="5891" spans="3:5">
      <c r="C5891" s="17"/>
      <c r="D5891" s="17"/>
      <c r="E5891" s="7"/>
    </row>
    <row r="5892" spans="3:5">
      <c r="C5892" s="17"/>
      <c r="D5892" s="17"/>
      <c r="E5892" s="7"/>
    </row>
    <row r="5893" spans="3:5">
      <c r="C5893" s="17"/>
      <c r="D5893" s="17"/>
      <c r="E5893" s="7"/>
    </row>
    <row r="5894" spans="3:5">
      <c r="C5894" s="17"/>
      <c r="D5894" s="17"/>
      <c r="E5894" s="7"/>
    </row>
    <row r="5895" spans="3:5">
      <c r="C5895" s="17"/>
      <c r="D5895" s="17"/>
      <c r="E5895" s="7"/>
    </row>
    <row r="5896" spans="3:5">
      <c r="C5896" s="17"/>
      <c r="D5896" s="17"/>
      <c r="E5896" s="7"/>
    </row>
    <row r="5897" spans="3:5">
      <c r="C5897" s="17"/>
      <c r="D5897" s="17"/>
      <c r="E5897" s="7"/>
    </row>
    <row r="5898" spans="3:5">
      <c r="C5898" s="17"/>
      <c r="D5898" s="17"/>
      <c r="E5898" s="7"/>
    </row>
    <row r="5899" spans="3:5">
      <c r="C5899" s="17"/>
      <c r="D5899" s="17"/>
      <c r="E5899" s="7"/>
    </row>
    <row r="5900" spans="3:5">
      <c r="C5900" s="17"/>
      <c r="D5900" s="17"/>
      <c r="E5900" s="7"/>
    </row>
    <row r="5901" spans="3:5">
      <c r="C5901" s="17"/>
      <c r="D5901" s="17"/>
      <c r="E5901" s="7"/>
    </row>
    <row r="5902" spans="3:5">
      <c r="C5902" s="17"/>
      <c r="D5902" s="17"/>
      <c r="E5902" s="7"/>
    </row>
    <row r="5903" spans="3:5">
      <c r="C5903" s="17"/>
      <c r="D5903" s="17"/>
      <c r="E5903" s="7"/>
    </row>
    <row r="5904" spans="3:5">
      <c r="C5904" s="17"/>
      <c r="D5904" s="17"/>
      <c r="E5904" s="7"/>
    </row>
    <row r="5905" spans="3:5">
      <c r="C5905" s="17"/>
      <c r="D5905" s="17"/>
      <c r="E5905" s="7"/>
    </row>
    <row r="5906" spans="3:5">
      <c r="C5906" s="17"/>
      <c r="D5906" s="17"/>
      <c r="E5906" s="7"/>
    </row>
    <row r="5907" spans="3:5">
      <c r="C5907" s="17"/>
      <c r="D5907" s="17"/>
      <c r="E5907" s="7"/>
    </row>
    <row r="5908" spans="3:5">
      <c r="C5908" s="17"/>
      <c r="D5908" s="17"/>
      <c r="E5908" s="7"/>
    </row>
    <row r="5909" spans="3:5">
      <c r="C5909" s="17"/>
      <c r="D5909" s="17"/>
      <c r="E5909" s="7"/>
    </row>
    <row r="5910" spans="3:5">
      <c r="C5910" s="17"/>
      <c r="D5910" s="17"/>
      <c r="E5910" s="7"/>
    </row>
    <row r="5911" spans="3:5">
      <c r="C5911" s="17"/>
      <c r="D5911" s="17"/>
      <c r="E5911" s="7"/>
    </row>
    <row r="5912" spans="3:5">
      <c r="C5912" s="17"/>
      <c r="D5912" s="17"/>
      <c r="E5912" s="7"/>
    </row>
    <row r="5913" spans="3:5">
      <c r="C5913" s="17"/>
      <c r="D5913" s="17"/>
      <c r="E5913" s="7"/>
    </row>
    <row r="5914" spans="3:5">
      <c r="C5914" s="17"/>
      <c r="D5914" s="17"/>
      <c r="E5914" s="7"/>
    </row>
    <row r="5915" spans="3:5">
      <c r="C5915" s="17"/>
      <c r="D5915" s="17"/>
      <c r="E5915" s="7"/>
    </row>
    <row r="5916" spans="3:5">
      <c r="C5916" s="17"/>
      <c r="D5916" s="17"/>
      <c r="E5916" s="7"/>
    </row>
    <row r="5917" spans="3:5">
      <c r="C5917" s="17"/>
      <c r="D5917" s="17"/>
      <c r="E5917" s="7"/>
    </row>
    <row r="5918" spans="3:5">
      <c r="C5918" s="17"/>
      <c r="D5918" s="17"/>
      <c r="E5918" s="7"/>
    </row>
    <row r="5919" spans="3:5">
      <c r="C5919" s="17"/>
      <c r="D5919" s="17"/>
      <c r="E5919" s="7"/>
    </row>
    <row r="5920" spans="3:5">
      <c r="C5920" s="17"/>
      <c r="D5920" s="17"/>
      <c r="E5920" s="7"/>
    </row>
    <row r="5921" spans="3:5">
      <c r="C5921" s="17"/>
      <c r="D5921" s="17"/>
      <c r="E5921" s="7"/>
    </row>
    <row r="5922" spans="3:5">
      <c r="C5922" s="17"/>
      <c r="D5922" s="17"/>
      <c r="E5922" s="7"/>
    </row>
    <row r="5923" spans="3:5">
      <c r="C5923" s="17"/>
      <c r="D5923" s="17"/>
      <c r="E5923" s="7"/>
    </row>
    <row r="5924" spans="3:5">
      <c r="C5924" s="17"/>
      <c r="D5924" s="17"/>
      <c r="E5924" s="7"/>
    </row>
    <row r="5925" spans="3:5">
      <c r="C5925" s="17"/>
      <c r="D5925" s="17"/>
      <c r="E5925" s="7"/>
    </row>
    <row r="5926" spans="3:5">
      <c r="C5926" s="17"/>
      <c r="D5926" s="17"/>
      <c r="E5926" s="7"/>
    </row>
    <row r="5927" spans="3:5">
      <c r="C5927" s="17"/>
      <c r="D5927" s="17"/>
      <c r="E5927" s="7"/>
    </row>
    <row r="5928" spans="3:5">
      <c r="C5928" s="17"/>
      <c r="D5928" s="17"/>
      <c r="E5928" s="7"/>
    </row>
    <row r="5929" spans="3:5">
      <c r="C5929" s="17"/>
      <c r="D5929" s="17"/>
      <c r="E5929" s="7"/>
    </row>
    <row r="5930" spans="3:5">
      <c r="C5930" s="17"/>
      <c r="D5930" s="17"/>
      <c r="E5930" s="7"/>
    </row>
    <row r="5931" spans="3:5">
      <c r="C5931" s="17"/>
      <c r="D5931" s="17"/>
      <c r="E5931" s="7"/>
    </row>
    <row r="5932" spans="3:5">
      <c r="C5932" s="17"/>
      <c r="D5932" s="17"/>
      <c r="E5932" s="7"/>
    </row>
    <row r="5933" spans="3:5">
      <c r="C5933" s="17"/>
      <c r="D5933" s="17"/>
      <c r="E5933" s="7"/>
    </row>
    <row r="5934" spans="3:5">
      <c r="C5934" s="17"/>
      <c r="D5934" s="17"/>
      <c r="E5934" s="7"/>
    </row>
    <row r="5935" spans="3:5">
      <c r="C5935" s="17"/>
      <c r="D5935" s="17"/>
      <c r="E5935" s="7"/>
    </row>
    <row r="5936" spans="3:5">
      <c r="C5936" s="17"/>
      <c r="D5936" s="17"/>
      <c r="E5936" s="7"/>
    </row>
    <row r="5937" spans="3:5">
      <c r="C5937" s="17"/>
      <c r="D5937" s="17"/>
      <c r="E5937" s="7"/>
    </row>
    <row r="5938" spans="3:5">
      <c r="C5938" s="17"/>
      <c r="D5938" s="17"/>
      <c r="E5938" s="7"/>
    </row>
    <row r="5939" spans="3:5">
      <c r="C5939" s="17"/>
      <c r="D5939" s="17"/>
      <c r="E5939" s="7"/>
    </row>
    <row r="5940" spans="3:5">
      <c r="C5940" s="17"/>
      <c r="D5940" s="17"/>
      <c r="E5940" s="7"/>
    </row>
    <row r="5941" spans="3:5">
      <c r="C5941" s="17"/>
      <c r="D5941" s="17"/>
      <c r="E5941" s="7"/>
    </row>
    <row r="5942" spans="3:5">
      <c r="C5942" s="17"/>
      <c r="D5942" s="17"/>
      <c r="E5942" s="7"/>
    </row>
    <row r="5943" spans="3:5">
      <c r="C5943" s="17"/>
      <c r="D5943" s="17"/>
      <c r="E5943" s="7"/>
    </row>
    <row r="5944" spans="3:5">
      <c r="C5944" s="17"/>
      <c r="D5944" s="17"/>
      <c r="E5944" s="7"/>
    </row>
    <row r="5945" spans="3:5">
      <c r="C5945" s="17"/>
      <c r="D5945" s="17"/>
      <c r="E5945" s="7"/>
    </row>
    <row r="5946" spans="3:5">
      <c r="C5946" s="17"/>
      <c r="D5946" s="17"/>
      <c r="E5946" s="7"/>
    </row>
    <row r="5947" spans="3:5">
      <c r="C5947" s="17"/>
      <c r="D5947" s="17"/>
      <c r="E5947" s="7"/>
    </row>
    <row r="5948" spans="3:5">
      <c r="C5948" s="17"/>
      <c r="D5948" s="17"/>
      <c r="E5948" s="7"/>
    </row>
    <row r="5949" spans="3:5">
      <c r="C5949" s="17"/>
      <c r="D5949" s="17"/>
      <c r="E5949" s="7"/>
    </row>
    <row r="5950" spans="3:5">
      <c r="C5950" s="17"/>
      <c r="D5950" s="17"/>
      <c r="E5950" s="7"/>
    </row>
    <row r="5951" spans="3:5">
      <c r="C5951" s="17"/>
      <c r="D5951" s="17"/>
      <c r="E5951" s="7"/>
    </row>
    <row r="5952" spans="3:5">
      <c r="C5952" s="17"/>
      <c r="D5952" s="17"/>
      <c r="E5952" s="7"/>
    </row>
    <row r="5953" spans="3:5">
      <c r="C5953" s="17"/>
      <c r="D5953" s="17"/>
      <c r="E5953" s="7"/>
    </row>
    <row r="5954" spans="3:5">
      <c r="C5954" s="17"/>
      <c r="D5954" s="17"/>
      <c r="E5954" s="7"/>
    </row>
    <row r="5955" spans="3:5">
      <c r="C5955" s="17"/>
      <c r="D5955" s="17"/>
      <c r="E5955" s="7"/>
    </row>
    <row r="5956" spans="3:5">
      <c r="C5956" s="17"/>
      <c r="D5956" s="17"/>
      <c r="E5956" s="7"/>
    </row>
    <row r="5957" spans="3:5">
      <c r="C5957" s="17"/>
      <c r="D5957" s="17"/>
      <c r="E5957" s="7"/>
    </row>
    <row r="5958" spans="3:5">
      <c r="C5958" s="17"/>
      <c r="D5958" s="17"/>
      <c r="E5958" s="7"/>
    </row>
    <row r="5959" spans="3:5">
      <c r="C5959" s="17"/>
      <c r="D5959" s="17"/>
      <c r="E5959" s="7"/>
    </row>
    <row r="5960" spans="3:5">
      <c r="C5960" s="17"/>
      <c r="D5960" s="17"/>
      <c r="E5960" s="7"/>
    </row>
    <row r="5961" spans="3:5">
      <c r="C5961" s="17"/>
      <c r="D5961" s="17"/>
      <c r="E5961" s="7"/>
    </row>
    <row r="5962" spans="3:5">
      <c r="C5962" s="17"/>
      <c r="D5962" s="17"/>
      <c r="E5962" s="7"/>
    </row>
    <row r="5963" spans="3:5">
      <c r="C5963" s="17"/>
      <c r="D5963" s="17"/>
      <c r="E5963" s="7"/>
    </row>
    <row r="5964" spans="3:5">
      <c r="C5964" s="17"/>
      <c r="D5964" s="17"/>
      <c r="E5964" s="7"/>
    </row>
    <row r="5965" spans="3:5">
      <c r="C5965" s="17"/>
      <c r="D5965" s="17"/>
      <c r="E5965" s="7"/>
    </row>
    <row r="5966" spans="3:5">
      <c r="C5966" s="17"/>
      <c r="D5966" s="17"/>
      <c r="E5966" s="7"/>
    </row>
    <row r="5967" spans="3:5">
      <c r="C5967" s="17"/>
      <c r="D5967" s="17"/>
      <c r="E5967" s="7"/>
    </row>
    <row r="5968" spans="3:5">
      <c r="C5968" s="17"/>
      <c r="D5968" s="17"/>
      <c r="E5968" s="7"/>
    </row>
    <row r="5969" spans="3:5">
      <c r="C5969" s="17"/>
      <c r="D5969" s="17"/>
      <c r="E5969" s="7"/>
    </row>
    <row r="5970" spans="3:5">
      <c r="C5970" s="17"/>
      <c r="D5970" s="17"/>
      <c r="E5970" s="7"/>
    </row>
    <row r="5971" spans="3:5">
      <c r="C5971" s="17"/>
      <c r="D5971" s="17"/>
      <c r="E5971" s="7"/>
    </row>
    <row r="5972" spans="3:5">
      <c r="C5972" s="17"/>
      <c r="D5972" s="17"/>
      <c r="E5972" s="7"/>
    </row>
    <row r="5973" spans="3:5">
      <c r="C5973" s="17"/>
      <c r="D5973" s="17"/>
      <c r="E5973" s="7"/>
    </row>
    <row r="5974" spans="3:5">
      <c r="C5974" s="17"/>
      <c r="D5974" s="17"/>
      <c r="E5974" s="7"/>
    </row>
    <row r="5975" spans="3:5">
      <c r="C5975" s="17"/>
      <c r="D5975" s="17"/>
      <c r="E5975" s="7"/>
    </row>
    <row r="5976" spans="3:5">
      <c r="C5976" s="17"/>
      <c r="D5976" s="17"/>
      <c r="E5976" s="7"/>
    </row>
    <row r="5977" spans="3:5">
      <c r="C5977" s="17"/>
      <c r="D5977" s="17"/>
      <c r="E5977" s="7"/>
    </row>
    <row r="5978" spans="3:5">
      <c r="C5978" s="17"/>
      <c r="D5978" s="17"/>
      <c r="E5978" s="7"/>
    </row>
    <row r="5979" spans="3:5">
      <c r="C5979" s="17"/>
      <c r="D5979" s="17"/>
      <c r="E5979" s="7"/>
    </row>
    <row r="5980" spans="3:5">
      <c r="C5980" s="17"/>
      <c r="D5980" s="17"/>
      <c r="E5980" s="7"/>
    </row>
    <row r="5981" spans="3:5">
      <c r="C5981" s="17"/>
      <c r="D5981" s="17"/>
      <c r="E5981" s="7"/>
    </row>
    <row r="5982" spans="3:5">
      <c r="C5982" s="17"/>
      <c r="D5982" s="17"/>
      <c r="E5982" s="7"/>
    </row>
    <row r="5983" spans="3:5">
      <c r="C5983" s="17"/>
      <c r="D5983" s="17"/>
      <c r="E5983" s="7"/>
    </row>
    <row r="5984" spans="3:5">
      <c r="C5984" s="17"/>
      <c r="D5984" s="17"/>
      <c r="E5984" s="7"/>
    </row>
    <row r="5985" spans="3:5">
      <c r="C5985" s="17"/>
      <c r="D5985" s="17"/>
      <c r="E5985" s="7"/>
    </row>
    <row r="5986" spans="3:5">
      <c r="C5986" s="17"/>
      <c r="D5986" s="17"/>
      <c r="E5986" s="7"/>
    </row>
    <row r="5987" spans="3:5">
      <c r="C5987" s="17"/>
      <c r="D5987" s="17"/>
      <c r="E5987" s="7"/>
    </row>
    <row r="5988" spans="3:5">
      <c r="C5988" s="17"/>
      <c r="D5988" s="17"/>
      <c r="E5988" s="7"/>
    </row>
    <row r="5989" spans="3:5">
      <c r="C5989" s="17"/>
      <c r="D5989" s="17"/>
      <c r="E5989" s="7"/>
    </row>
    <row r="5990" spans="3:5">
      <c r="C5990" s="17"/>
      <c r="D5990" s="17"/>
      <c r="E5990" s="7"/>
    </row>
    <row r="5991" spans="3:5">
      <c r="C5991" s="17"/>
      <c r="D5991" s="17"/>
      <c r="E5991" s="7"/>
    </row>
    <row r="5992" spans="3:5">
      <c r="C5992" s="17"/>
      <c r="D5992" s="17"/>
      <c r="E5992" s="7"/>
    </row>
    <row r="5993" spans="3:5">
      <c r="C5993" s="17"/>
      <c r="D5993" s="17"/>
      <c r="E5993" s="7"/>
    </row>
    <row r="5994" spans="3:5">
      <c r="C5994" s="17"/>
      <c r="D5994" s="17"/>
      <c r="E5994" s="7"/>
    </row>
    <row r="5995" spans="3:5">
      <c r="C5995" s="17"/>
      <c r="D5995" s="17"/>
      <c r="E5995" s="7"/>
    </row>
    <row r="5996" spans="3:5">
      <c r="C5996" s="17"/>
      <c r="D5996" s="17"/>
      <c r="E5996" s="7"/>
    </row>
    <row r="5997" spans="3:5">
      <c r="C5997" s="17"/>
      <c r="D5997" s="17"/>
      <c r="E5997" s="7"/>
    </row>
    <row r="5998" spans="3:5">
      <c r="C5998" s="17"/>
      <c r="D5998" s="17"/>
      <c r="E5998" s="7"/>
    </row>
    <row r="5999" spans="3:5">
      <c r="C5999" s="17"/>
      <c r="D5999" s="17"/>
      <c r="E5999" s="7"/>
    </row>
    <row r="6000" spans="3:5">
      <c r="C6000" s="17"/>
      <c r="D6000" s="17"/>
      <c r="E6000" s="7"/>
    </row>
    <row r="6001" spans="3:5">
      <c r="C6001" s="17"/>
      <c r="D6001" s="17"/>
      <c r="E6001" s="7"/>
    </row>
    <row r="6002" spans="3:5">
      <c r="C6002" s="17"/>
      <c r="D6002" s="17"/>
      <c r="E6002" s="7"/>
    </row>
    <row r="6003" spans="3:5">
      <c r="C6003" s="17"/>
      <c r="D6003" s="17"/>
      <c r="E6003" s="7"/>
    </row>
    <row r="6004" spans="3:5">
      <c r="C6004" s="17"/>
      <c r="D6004" s="17"/>
      <c r="E6004" s="7"/>
    </row>
    <row r="6005" spans="3:5">
      <c r="C6005" s="17"/>
      <c r="D6005" s="17"/>
      <c r="E6005" s="7"/>
    </row>
    <row r="6006" spans="3:5">
      <c r="C6006" s="17"/>
      <c r="D6006" s="17"/>
      <c r="E6006" s="7"/>
    </row>
    <row r="6007" spans="3:5">
      <c r="C6007" s="17"/>
      <c r="D6007" s="17"/>
      <c r="E6007" s="7"/>
    </row>
    <row r="6008" spans="3:5">
      <c r="C6008" s="17"/>
      <c r="D6008" s="17"/>
      <c r="E6008" s="7"/>
    </row>
    <row r="6009" spans="3:5">
      <c r="C6009" s="17"/>
      <c r="D6009" s="17"/>
      <c r="E6009" s="7"/>
    </row>
    <row r="6010" spans="3:5">
      <c r="C6010" s="17"/>
      <c r="D6010" s="17"/>
      <c r="E6010" s="7"/>
    </row>
    <row r="6011" spans="3:5">
      <c r="C6011" s="17"/>
      <c r="D6011" s="17"/>
      <c r="E6011" s="7"/>
    </row>
    <row r="6012" spans="3:5">
      <c r="C6012" s="17"/>
      <c r="D6012" s="17"/>
      <c r="E6012" s="7"/>
    </row>
    <row r="6013" spans="3:5">
      <c r="C6013" s="17"/>
      <c r="D6013" s="17"/>
      <c r="E6013" s="7"/>
    </row>
    <row r="6014" spans="3:5">
      <c r="C6014" s="17"/>
      <c r="D6014" s="17"/>
      <c r="E6014" s="7"/>
    </row>
    <row r="6015" spans="3:5">
      <c r="C6015" s="17"/>
      <c r="D6015" s="17"/>
      <c r="E6015" s="7"/>
    </row>
    <row r="6016" spans="3:5">
      <c r="C6016" s="17"/>
      <c r="D6016" s="17"/>
      <c r="E6016" s="7"/>
    </row>
    <row r="6017" spans="3:5">
      <c r="C6017" s="17"/>
      <c r="D6017" s="17"/>
      <c r="E6017" s="7"/>
    </row>
    <row r="6018" spans="3:5">
      <c r="C6018" s="17"/>
      <c r="D6018" s="17"/>
      <c r="E6018" s="7"/>
    </row>
    <row r="6019" spans="3:5">
      <c r="C6019" s="17"/>
      <c r="D6019" s="17"/>
      <c r="E6019" s="7"/>
    </row>
    <row r="6020" spans="3:5">
      <c r="C6020" s="17"/>
      <c r="D6020" s="17"/>
      <c r="E6020" s="7"/>
    </row>
    <row r="6021" spans="3:5">
      <c r="C6021" s="17"/>
      <c r="D6021" s="17"/>
      <c r="E6021" s="7"/>
    </row>
    <row r="6022" spans="3:5">
      <c r="C6022" s="17"/>
      <c r="D6022" s="17"/>
      <c r="E6022" s="7"/>
    </row>
    <row r="6023" spans="3:5">
      <c r="C6023" s="17"/>
      <c r="D6023" s="17"/>
      <c r="E6023" s="7"/>
    </row>
    <row r="6024" spans="3:5">
      <c r="C6024" s="17"/>
      <c r="D6024" s="17"/>
      <c r="E6024" s="7"/>
    </row>
    <row r="6025" spans="3:5">
      <c r="C6025" s="17"/>
      <c r="D6025" s="17"/>
      <c r="E6025" s="7"/>
    </row>
    <row r="6026" spans="3:5">
      <c r="C6026" s="17"/>
      <c r="D6026" s="17"/>
      <c r="E6026" s="7"/>
    </row>
    <row r="6027" spans="3:5">
      <c r="C6027" s="17"/>
      <c r="D6027" s="17"/>
      <c r="E6027" s="7"/>
    </row>
    <row r="6028" spans="3:5">
      <c r="C6028" s="17"/>
      <c r="D6028" s="17"/>
      <c r="E6028" s="7"/>
    </row>
    <row r="6029" spans="3:5">
      <c r="C6029" s="17"/>
      <c r="D6029" s="17"/>
      <c r="E6029" s="7"/>
    </row>
    <row r="6030" spans="3:5">
      <c r="C6030" s="17"/>
      <c r="D6030" s="17"/>
      <c r="E6030" s="7"/>
    </row>
    <row r="6031" spans="3:5">
      <c r="C6031" s="17"/>
      <c r="D6031" s="17"/>
      <c r="E6031" s="7"/>
    </row>
    <row r="6032" spans="3:5">
      <c r="C6032" s="17"/>
      <c r="D6032" s="17"/>
      <c r="E6032" s="7"/>
    </row>
    <row r="6033" spans="3:5">
      <c r="C6033" s="17"/>
      <c r="D6033" s="17"/>
      <c r="E6033" s="7"/>
    </row>
    <row r="6034" spans="3:5">
      <c r="C6034" s="17"/>
      <c r="D6034" s="17"/>
      <c r="E6034" s="7"/>
    </row>
    <row r="6035" spans="3:5">
      <c r="C6035" s="17"/>
      <c r="D6035" s="17"/>
      <c r="E6035" s="7"/>
    </row>
    <row r="6036" spans="3:5">
      <c r="C6036" s="17"/>
      <c r="D6036" s="17"/>
      <c r="E6036" s="7"/>
    </row>
    <row r="6037" spans="3:5">
      <c r="C6037" s="17"/>
      <c r="D6037" s="17"/>
      <c r="E6037" s="7"/>
    </row>
    <row r="6038" spans="3:5">
      <c r="C6038" s="17"/>
      <c r="D6038" s="17"/>
      <c r="E6038" s="7"/>
    </row>
    <row r="6039" spans="3:5">
      <c r="C6039" s="17"/>
      <c r="D6039" s="17"/>
      <c r="E6039" s="7"/>
    </row>
    <row r="6040" spans="3:5">
      <c r="C6040" s="17"/>
      <c r="D6040" s="17"/>
      <c r="E6040" s="7"/>
    </row>
    <row r="6041" spans="3:5">
      <c r="C6041" s="17"/>
      <c r="D6041" s="17"/>
      <c r="E6041" s="7"/>
    </row>
    <row r="6042" spans="3:5">
      <c r="C6042" s="17"/>
      <c r="D6042" s="17"/>
      <c r="E6042" s="7"/>
    </row>
    <row r="6043" spans="3:5">
      <c r="C6043" s="17"/>
      <c r="D6043" s="17"/>
      <c r="E6043" s="7"/>
    </row>
    <row r="6044" spans="3:5">
      <c r="C6044" s="17"/>
      <c r="D6044" s="17"/>
      <c r="E6044" s="7"/>
    </row>
    <row r="6045" spans="3:5">
      <c r="C6045" s="17"/>
      <c r="D6045" s="17"/>
      <c r="E6045" s="7"/>
    </row>
    <row r="6046" spans="3:5">
      <c r="C6046" s="17"/>
      <c r="D6046" s="17"/>
      <c r="E6046" s="7"/>
    </row>
    <row r="6047" spans="3:5">
      <c r="C6047" s="17"/>
      <c r="D6047" s="17"/>
      <c r="E6047" s="7"/>
    </row>
    <row r="6048" spans="3:5">
      <c r="C6048" s="17"/>
      <c r="D6048" s="17"/>
      <c r="E6048" s="7"/>
    </row>
    <row r="6049" spans="3:5">
      <c r="C6049" s="17"/>
      <c r="D6049" s="17"/>
      <c r="E6049" s="7"/>
    </row>
    <row r="6050" spans="3:5">
      <c r="C6050" s="17"/>
      <c r="D6050" s="17"/>
      <c r="E6050" s="7"/>
    </row>
    <row r="6051" spans="3:5">
      <c r="C6051" s="17"/>
      <c r="D6051" s="17"/>
      <c r="E6051" s="7"/>
    </row>
    <row r="6052" spans="3:5">
      <c r="C6052" s="17"/>
      <c r="D6052" s="17"/>
      <c r="E6052" s="7"/>
    </row>
    <row r="6053" spans="3:5">
      <c r="C6053" s="17"/>
      <c r="D6053" s="17"/>
      <c r="E6053" s="7"/>
    </row>
    <row r="6054" spans="3:5">
      <c r="C6054" s="17"/>
      <c r="D6054" s="17"/>
      <c r="E6054" s="7"/>
    </row>
    <row r="6055" spans="3:5">
      <c r="C6055" s="17"/>
      <c r="D6055" s="17"/>
      <c r="E6055" s="7"/>
    </row>
    <row r="6056" spans="3:5">
      <c r="C6056" s="17"/>
      <c r="D6056" s="17"/>
      <c r="E6056" s="7"/>
    </row>
    <row r="6057" spans="3:5">
      <c r="C6057" s="17"/>
      <c r="D6057" s="17"/>
      <c r="E6057" s="7"/>
    </row>
    <row r="6058" spans="3:5">
      <c r="C6058" s="17"/>
      <c r="D6058" s="17"/>
      <c r="E6058" s="7"/>
    </row>
    <row r="6059" spans="3:5">
      <c r="C6059" s="17"/>
      <c r="D6059" s="17"/>
      <c r="E6059" s="7"/>
    </row>
    <row r="6060" spans="3:5">
      <c r="C6060" s="17"/>
      <c r="D6060" s="17"/>
      <c r="E6060" s="7"/>
    </row>
    <row r="6061" spans="3:5">
      <c r="C6061" s="17"/>
      <c r="D6061" s="17"/>
      <c r="E6061" s="7"/>
    </row>
    <row r="6062" spans="3:5">
      <c r="C6062" s="17"/>
      <c r="D6062" s="17"/>
      <c r="E6062" s="7"/>
    </row>
    <row r="6063" spans="3:5">
      <c r="C6063" s="17"/>
      <c r="D6063" s="17"/>
      <c r="E6063" s="7"/>
    </row>
    <row r="6064" spans="3:5">
      <c r="C6064" s="17"/>
      <c r="D6064" s="17"/>
      <c r="E6064" s="7"/>
    </row>
    <row r="6065" spans="3:5">
      <c r="C6065" s="17"/>
      <c r="D6065" s="17"/>
      <c r="E6065" s="7"/>
    </row>
    <row r="6066" spans="3:5">
      <c r="C6066" s="17"/>
      <c r="D6066" s="17"/>
      <c r="E6066" s="7"/>
    </row>
    <row r="6067" spans="3:5">
      <c r="C6067" s="17"/>
      <c r="D6067" s="17"/>
      <c r="E6067" s="7"/>
    </row>
    <row r="6068" spans="3:5">
      <c r="C6068" s="17"/>
      <c r="D6068" s="17"/>
      <c r="E6068" s="7"/>
    </row>
    <row r="6069" spans="3:5">
      <c r="C6069" s="17"/>
      <c r="D6069" s="17"/>
      <c r="E6069" s="7"/>
    </row>
    <row r="6070" spans="3:5">
      <c r="C6070" s="17"/>
      <c r="D6070" s="17"/>
      <c r="E6070" s="7"/>
    </row>
    <row r="6071" spans="3:5">
      <c r="C6071" s="17"/>
      <c r="D6071" s="17"/>
      <c r="E6071" s="7"/>
    </row>
    <row r="6072" spans="3:5">
      <c r="C6072" s="17"/>
      <c r="D6072" s="17"/>
      <c r="E6072" s="7"/>
    </row>
    <row r="6073" spans="3:5">
      <c r="C6073" s="17"/>
      <c r="D6073" s="17"/>
      <c r="E6073" s="7"/>
    </row>
    <row r="6074" spans="3:5">
      <c r="C6074" s="17"/>
      <c r="D6074" s="17"/>
      <c r="E6074" s="7"/>
    </row>
    <row r="6075" spans="3:5">
      <c r="C6075" s="17"/>
      <c r="D6075" s="17"/>
      <c r="E6075" s="7"/>
    </row>
    <row r="6076" spans="3:5">
      <c r="C6076" s="17"/>
      <c r="D6076" s="17"/>
      <c r="E6076" s="7"/>
    </row>
    <row r="6077" spans="3:5">
      <c r="C6077" s="17"/>
      <c r="D6077" s="17"/>
      <c r="E6077" s="7"/>
    </row>
    <row r="6078" spans="3:5">
      <c r="C6078" s="17"/>
      <c r="D6078" s="17"/>
      <c r="E6078" s="7"/>
    </row>
    <row r="6079" spans="3:5">
      <c r="C6079" s="17"/>
      <c r="D6079" s="17"/>
      <c r="E6079" s="7"/>
    </row>
    <row r="6080" spans="3:5">
      <c r="C6080" s="17"/>
      <c r="D6080" s="17"/>
      <c r="E6080" s="7"/>
    </row>
    <row r="6081" spans="3:5">
      <c r="C6081" s="17"/>
      <c r="D6081" s="17"/>
      <c r="E6081" s="7"/>
    </row>
    <row r="6082" spans="3:5">
      <c r="C6082" s="17"/>
      <c r="D6082" s="17"/>
      <c r="E6082" s="7"/>
    </row>
    <row r="6083" spans="3:5">
      <c r="C6083" s="17"/>
      <c r="D6083" s="17"/>
      <c r="E6083" s="7"/>
    </row>
    <row r="6084" spans="3:5">
      <c r="C6084" s="17"/>
      <c r="D6084" s="17"/>
      <c r="E6084" s="7"/>
    </row>
    <row r="6085" spans="3:5">
      <c r="C6085" s="17"/>
      <c r="D6085" s="17"/>
      <c r="E6085" s="7"/>
    </row>
    <row r="6086" spans="3:5">
      <c r="C6086" s="17"/>
      <c r="D6086" s="17"/>
      <c r="E6086" s="7"/>
    </row>
    <row r="6087" spans="3:5">
      <c r="C6087" s="17"/>
      <c r="D6087" s="17"/>
      <c r="E6087" s="7"/>
    </row>
    <row r="6088" spans="3:5">
      <c r="C6088" s="17"/>
      <c r="D6088" s="17"/>
      <c r="E6088" s="7"/>
    </row>
    <row r="6089" spans="3:5">
      <c r="C6089" s="17"/>
      <c r="D6089" s="17"/>
      <c r="E6089" s="7"/>
    </row>
    <row r="6090" spans="3:5">
      <c r="C6090" s="17"/>
      <c r="D6090" s="17"/>
      <c r="E6090" s="7"/>
    </row>
    <row r="6091" spans="3:5">
      <c r="C6091" s="17"/>
      <c r="D6091" s="17"/>
      <c r="E6091" s="7"/>
    </row>
    <row r="6092" spans="3:5">
      <c r="C6092" s="17"/>
      <c r="D6092" s="17"/>
      <c r="E6092" s="7"/>
    </row>
    <row r="6093" spans="3:5">
      <c r="C6093" s="17"/>
      <c r="D6093" s="17"/>
      <c r="E6093" s="7"/>
    </row>
    <row r="6094" spans="3:5">
      <c r="C6094" s="17"/>
      <c r="D6094" s="17"/>
      <c r="E6094" s="7"/>
    </row>
    <row r="6095" spans="3:5">
      <c r="C6095" s="17"/>
      <c r="D6095" s="17"/>
      <c r="E6095" s="7"/>
    </row>
    <row r="6096" spans="3:5">
      <c r="C6096" s="17"/>
      <c r="D6096" s="17"/>
      <c r="E6096" s="7"/>
    </row>
    <row r="6097" spans="3:5">
      <c r="C6097" s="17"/>
      <c r="D6097" s="17"/>
      <c r="E6097" s="7"/>
    </row>
    <row r="6098" spans="3:5">
      <c r="C6098" s="17"/>
      <c r="D6098" s="17"/>
      <c r="E6098" s="7"/>
    </row>
    <row r="6099" spans="3:5">
      <c r="C6099" s="17"/>
      <c r="D6099" s="17"/>
      <c r="E6099" s="7"/>
    </row>
    <row r="6100" spans="3:5">
      <c r="C6100" s="17"/>
      <c r="D6100" s="17"/>
      <c r="E6100" s="7"/>
    </row>
    <row r="6101" spans="3:5">
      <c r="C6101" s="17"/>
      <c r="D6101" s="17"/>
      <c r="E6101" s="7"/>
    </row>
    <row r="6102" spans="3:5">
      <c r="C6102" s="17"/>
      <c r="D6102" s="17"/>
      <c r="E6102" s="7"/>
    </row>
    <row r="6103" spans="3:5">
      <c r="C6103" s="17"/>
      <c r="D6103" s="17"/>
      <c r="E6103" s="7"/>
    </row>
    <row r="6104" spans="3:5">
      <c r="C6104" s="17"/>
      <c r="D6104" s="17"/>
      <c r="E6104" s="7"/>
    </row>
    <row r="6105" spans="3:5">
      <c r="C6105" s="17"/>
      <c r="D6105" s="17"/>
      <c r="E6105" s="7"/>
    </row>
    <row r="6106" spans="3:5">
      <c r="C6106" s="17"/>
      <c r="D6106" s="17"/>
      <c r="E6106" s="7"/>
    </row>
    <row r="6107" spans="3:5">
      <c r="C6107" s="17"/>
      <c r="D6107" s="17"/>
      <c r="E6107" s="7"/>
    </row>
    <row r="6108" spans="3:5">
      <c r="C6108" s="17"/>
      <c r="D6108" s="17"/>
      <c r="E6108" s="7"/>
    </row>
    <row r="6109" spans="3:5">
      <c r="C6109" s="17"/>
      <c r="D6109" s="17"/>
      <c r="E6109" s="7"/>
    </row>
    <row r="6110" spans="3:5">
      <c r="C6110" s="17"/>
      <c r="D6110" s="17"/>
      <c r="E6110" s="7"/>
    </row>
    <row r="6111" spans="3:5">
      <c r="C6111" s="17"/>
      <c r="D6111" s="17"/>
      <c r="E6111" s="7"/>
    </row>
    <row r="6112" spans="3:5">
      <c r="C6112" s="17"/>
      <c r="D6112" s="17"/>
      <c r="E6112" s="7"/>
    </row>
    <row r="6113" spans="3:5">
      <c r="C6113" s="17"/>
      <c r="D6113" s="17"/>
      <c r="E6113" s="7"/>
    </row>
    <row r="6114" spans="3:5">
      <c r="C6114" s="17"/>
      <c r="D6114" s="17"/>
      <c r="E6114" s="7"/>
    </row>
    <row r="6115" spans="3:5">
      <c r="C6115" s="17"/>
      <c r="D6115" s="17"/>
      <c r="E6115" s="7"/>
    </row>
    <row r="6116" spans="3:5">
      <c r="C6116" s="17"/>
      <c r="D6116" s="17"/>
      <c r="E6116" s="7"/>
    </row>
    <row r="6117" spans="3:5">
      <c r="C6117" s="17"/>
      <c r="D6117" s="17"/>
      <c r="E6117" s="7"/>
    </row>
    <row r="6118" spans="3:5">
      <c r="C6118" s="17"/>
      <c r="D6118" s="17"/>
      <c r="E6118" s="7"/>
    </row>
    <row r="6119" spans="3:5">
      <c r="C6119" s="17"/>
      <c r="D6119" s="17"/>
      <c r="E6119" s="7"/>
    </row>
    <row r="6120" spans="3:5">
      <c r="C6120" s="17"/>
      <c r="D6120" s="17"/>
      <c r="E6120" s="7"/>
    </row>
    <row r="6121" spans="3:5">
      <c r="C6121" s="17"/>
      <c r="D6121" s="17"/>
      <c r="E6121" s="7"/>
    </row>
    <row r="6122" spans="3:5">
      <c r="C6122" s="17"/>
      <c r="D6122" s="17"/>
      <c r="E6122" s="7"/>
    </row>
    <row r="6123" spans="3:5">
      <c r="C6123" s="17"/>
      <c r="D6123" s="17"/>
      <c r="E6123" s="7"/>
    </row>
    <row r="6124" spans="3:5">
      <c r="C6124" s="17"/>
      <c r="D6124" s="17"/>
      <c r="E6124" s="7"/>
    </row>
    <row r="6125" spans="3:5">
      <c r="C6125" s="17"/>
      <c r="D6125" s="17"/>
      <c r="E6125" s="7"/>
    </row>
    <row r="6126" spans="3:5">
      <c r="C6126" s="17"/>
      <c r="D6126" s="17"/>
      <c r="E6126" s="7"/>
    </row>
    <row r="6127" spans="3:5">
      <c r="C6127" s="17"/>
      <c r="D6127" s="17"/>
      <c r="E6127" s="7"/>
    </row>
    <row r="6128" spans="3:5">
      <c r="C6128" s="17"/>
      <c r="D6128" s="17"/>
      <c r="E6128" s="7"/>
    </row>
    <row r="6129" spans="3:5">
      <c r="C6129" s="17"/>
      <c r="D6129" s="17"/>
      <c r="E6129" s="7"/>
    </row>
    <row r="6130" spans="3:5">
      <c r="C6130" s="17"/>
      <c r="D6130" s="17"/>
      <c r="E6130" s="7"/>
    </row>
    <row r="6131" spans="3:5">
      <c r="C6131" s="17"/>
      <c r="D6131" s="17"/>
      <c r="E6131" s="7"/>
    </row>
    <row r="6132" spans="3:5">
      <c r="C6132" s="17"/>
      <c r="D6132" s="17"/>
      <c r="E6132" s="7"/>
    </row>
    <row r="6133" spans="3:5">
      <c r="C6133" s="17"/>
      <c r="D6133" s="17"/>
      <c r="E6133" s="7"/>
    </row>
    <row r="6134" spans="3:5">
      <c r="C6134" s="17"/>
      <c r="D6134" s="17"/>
      <c r="E6134" s="7"/>
    </row>
    <row r="6135" spans="3:5">
      <c r="C6135" s="17"/>
      <c r="D6135" s="17"/>
      <c r="E6135" s="7"/>
    </row>
    <row r="6136" spans="3:5">
      <c r="C6136" s="17"/>
      <c r="D6136" s="17"/>
      <c r="E6136" s="7"/>
    </row>
    <row r="6137" spans="3:5">
      <c r="C6137" s="17"/>
      <c r="D6137" s="17"/>
      <c r="E6137" s="7"/>
    </row>
    <row r="6138" spans="3:5">
      <c r="C6138" s="17"/>
      <c r="D6138" s="17"/>
      <c r="E6138" s="7"/>
    </row>
    <row r="6139" spans="3:5">
      <c r="C6139" s="17"/>
      <c r="D6139" s="17"/>
      <c r="E6139" s="7"/>
    </row>
    <row r="6140" spans="3:5">
      <c r="C6140" s="17"/>
      <c r="D6140" s="17"/>
      <c r="E6140" s="7"/>
    </row>
    <row r="6141" spans="3:5">
      <c r="C6141" s="17"/>
      <c r="D6141" s="17"/>
      <c r="E6141" s="7"/>
    </row>
    <row r="6142" spans="3:5">
      <c r="C6142" s="17"/>
      <c r="D6142" s="17"/>
      <c r="E6142" s="7"/>
    </row>
    <row r="6143" spans="3:5">
      <c r="C6143" s="17"/>
      <c r="D6143" s="17"/>
      <c r="E6143" s="7"/>
    </row>
    <row r="6144" spans="3:5">
      <c r="C6144" s="17"/>
      <c r="D6144" s="17"/>
      <c r="E6144" s="7"/>
    </row>
    <row r="6145" spans="3:5">
      <c r="C6145" s="17"/>
      <c r="D6145" s="17"/>
      <c r="E6145" s="7"/>
    </row>
    <row r="6146" spans="3:5">
      <c r="C6146" s="17"/>
      <c r="D6146" s="17"/>
      <c r="E6146" s="7"/>
    </row>
    <row r="6147" spans="3:5">
      <c r="C6147" s="17"/>
      <c r="D6147" s="17"/>
      <c r="E6147" s="7"/>
    </row>
    <row r="6148" spans="3:5">
      <c r="C6148" s="17"/>
      <c r="D6148" s="17"/>
      <c r="E6148" s="7"/>
    </row>
    <row r="6149" spans="3:5">
      <c r="C6149" s="17"/>
      <c r="D6149" s="17"/>
      <c r="E6149" s="7"/>
    </row>
    <row r="6150" spans="3:5">
      <c r="C6150" s="17"/>
      <c r="D6150" s="17"/>
      <c r="E6150" s="7"/>
    </row>
    <row r="6151" spans="3:5">
      <c r="C6151" s="17"/>
      <c r="D6151" s="17"/>
      <c r="E6151" s="7"/>
    </row>
    <row r="6152" spans="3:5">
      <c r="C6152" s="17"/>
      <c r="D6152" s="17"/>
      <c r="E6152" s="7"/>
    </row>
    <row r="6153" spans="3:5">
      <c r="C6153" s="17"/>
      <c r="D6153" s="17"/>
      <c r="E6153" s="7"/>
    </row>
    <row r="6154" spans="3:5">
      <c r="C6154" s="17"/>
      <c r="D6154" s="17"/>
      <c r="E6154" s="7"/>
    </row>
    <row r="6155" spans="3:5">
      <c r="C6155" s="17"/>
      <c r="D6155" s="17"/>
      <c r="E6155" s="7"/>
    </row>
    <row r="6156" spans="3:5">
      <c r="C6156" s="17"/>
      <c r="D6156" s="17"/>
      <c r="E6156" s="7"/>
    </row>
    <row r="6157" spans="3:5">
      <c r="C6157" s="17"/>
      <c r="D6157" s="17"/>
      <c r="E6157" s="7"/>
    </row>
    <row r="6158" spans="3:5">
      <c r="C6158" s="17"/>
      <c r="D6158" s="17"/>
      <c r="E6158" s="7"/>
    </row>
    <row r="6159" spans="3:5">
      <c r="C6159" s="17"/>
      <c r="D6159" s="17"/>
      <c r="E6159" s="7"/>
    </row>
    <row r="6160" spans="3:5">
      <c r="C6160" s="17"/>
      <c r="D6160" s="17"/>
      <c r="E6160" s="7"/>
    </row>
    <row r="6161" spans="3:5">
      <c r="C6161" s="17"/>
      <c r="D6161" s="17"/>
      <c r="E6161" s="7"/>
    </row>
    <row r="6162" spans="3:5">
      <c r="C6162" s="17"/>
      <c r="D6162" s="17"/>
      <c r="E6162" s="7"/>
    </row>
    <row r="6163" spans="3:5">
      <c r="C6163" s="17"/>
      <c r="D6163" s="17"/>
      <c r="E6163" s="7"/>
    </row>
    <row r="6164" spans="3:5">
      <c r="C6164" s="17"/>
      <c r="D6164" s="17"/>
      <c r="E6164" s="7"/>
    </row>
    <row r="6165" spans="3:5">
      <c r="C6165" s="17"/>
      <c r="D6165" s="17"/>
      <c r="E6165" s="7"/>
    </row>
    <row r="6166" spans="3:5">
      <c r="C6166" s="17"/>
      <c r="D6166" s="17"/>
      <c r="E6166" s="7"/>
    </row>
    <row r="6167" spans="3:5">
      <c r="C6167" s="17"/>
      <c r="D6167" s="17"/>
      <c r="E6167" s="7"/>
    </row>
    <row r="6168" spans="3:5">
      <c r="C6168" s="17"/>
      <c r="D6168" s="17"/>
      <c r="E6168" s="7"/>
    </row>
    <row r="6169" spans="3:5">
      <c r="C6169" s="17"/>
      <c r="D6169" s="17"/>
      <c r="E6169" s="7"/>
    </row>
    <row r="6170" spans="3:5">
      <c r="C6170" s="17"/>
      <c r="D6170" s="17"/>
      <c r="E6170" s="7"/>
    </row>
    <row r="6171" spans="3:5">
      <c r="C6171" s="17"/>
      <c r="D6171" s="17"/>
      <c r="E6171" s="7"/>
    </row>
    <row r="6172" spans="3:5">
      <c r="C6172" s="17"/>
      <c r="D6172" s="17"/>
      <c r="E6172" s="7"/>
    </row>
    <row r="6173" spans="3:5">
      <c r="C6173" s="17"/>
      <c r="D6173" s="17"/>
      <c r="E6173" s="7"/>
    </row>
    <row r="6174" spans="3:5">
      <c r="C6174" s="17"/>
      <c r="D6174" s="17"/>
      <c r="E6174" s="7"/>
    </row>
    <row r="6175" spans="3:5">
      <c r="C6175" s="17"/>
      <c r="D6175" s="17"/>
      <c r="E6175" s="7"/>
    </row>
    <row r="6176" spans="3:5">
      <c r="C6176" s="17"/>
      <c r="D6176" s="17"/>
      <c r="E6176" s="7"/>
    </row>
    <row r="6177" spans="3:5">
      <c r="C6177" s="17"/>
      <c r="D6177" s="17"/>
      <c r="E6177" s="7"/>
    </row>
    <row r="6178" spans="3:5">
      <c r="C6178" s="17"/>
      <c r="D6178" s="17"/>
      <c r="E6178" s="7"/>
    </row>
    <row r="6179" spans="3:5">
      <c r="C6179" s="17"/>
      <c r="D6179" s="17"/>
      <c r="E6179" s="7"/>
    </row>
    <row r="6180" spans="3:5">
      <c r="C6180" s="17"/>
      <c r="D6180" s="17"/>
      <c r="E6180" s="7"/>
    </row>
    <row r="6181" spans="3:5">
      <c r="C6181" s="17"/>
      <c r="D6181" s="17"/>
      <c r="E6181" s="7"/>
    </row>
    <row r="6182" spans="3:5">
      <c r="C6182" s="17"/>
      <c r="D6182" s="17"/>
      <c r="E6182" s="7"/>
    </row>
    <row r="6183" spans="3:5">
      <c r="C6183" s="17"/>
      <c r="D6183" s="17"/>
      <c r="E6183" s="7"/>
    </row>
    <row r="6184" spans="3:5">
      <c r="C6184" s="17"/>
      <c r="D6184" s="17"/>
      <c r="E6184" s="7"/>
    </row>
    <row r="6185" spans="3:5">
      <c r="C6185" s="17"/>
      <c r="D6185" s="17"/>
      <c r="E6185" s="7"/>
    </row>
    <row r="6186" spans="3:5">
      <c r="C6186" s="17"/>
      <c r="D6186" s="17"/>
      <c r="E6186" s="7"/>
    </row>
    <row r="6187" spans="3:5">
      <c r="C6187" s="17"/>
      <c r="D6187" s="17"/>
      <c r="E6187" s="7"/>
    </row>
    <row r="6188" spans="3:5">
      <c r="C6188" s="17"/>
      <c r="D6188" s="17"/>
      <c r="E6188" s="7"/>
    </row>
    <row r="6189" spans="3:5">
      <c r="C6189" s="17"/>
      <c r="D6189" s="17"/>
      <c r="E6189" s="7"/>
    </row>
    <row r="6190" spans="3:5">
      <c r="C6190" s="17"/>
      <c r="D6190" s="17"/>
      <c r="E6190" s="7"/>
    </row>
    <row r="6191" spans="3:5">
      <c r="C6191" s="17"/>
      <c r="D6191" s="17"/>
      <c r="E6191" s="7"/>
    </row>
    <row r="6192" spans="3:5">
      <c r="C6192" s="17"/>
      <c r="D6192" s="17"/>
      <c r="E6192" s="7"/>
    </row>
    <row r="6193" spans="3:5">
      <c r="C6193" s="17"/>
      <c r="D6193" s="17"/>
      <c r="E6193" s="7"/>
    </row>
    <row r="6194" spans="3:5">
      <c r="C6194" s="17"/>
      <c r="D6194" s="17"/>
      <c r="E6194" s="7"/>
    </row>
    <row r="6195" spans="3:5">
      <c r="C6195" s="17"/>
      <c r="D6195" s="17"/>
      <c r="E6195" s="7"/>
    </row>
    <row r="6196" spans="3:5">
      <c r="C6196" s="17"/>
      <c r="D6196" s="17"/>
      <c r="E6196" s="7"/>
    </row>
    <row r="6197" spans="3:5">
      <c r="C6197" s="17"/>
      <c r="D6197" s="17"/>
      <c r="E6197" s="7"/>
    </row>
    <row r="6198" spans="3:5">
      <c r="C6198" s="17"/>
      <c r="D6198" s="17"/>
      <c r="E6198" s="7"/>
    </row>
    <row r="6199" spans="3:5">
      <c r="C6199" s="17"/>
      <c r="D6199" s="17"/>
      <c r="E6199" s="7"/>
    </row>
    <row r="6200" spans="3:5">
      <c r="C6200" s="17"/>
      <c r="D6200" s="17"/>
      <c r="E6200" s="7"/>
    </row>
    <row r="6201" spans="3:5">
      <c r="C6201" s="17"/>
      <c r="D6201" s="17"/>
      <c r="E6201" s="7"/>
    </row>
    <row r="6202" spans="3:5">
      <c r="C6202" s="17"/>
      <c r="D6202" s="17"/>
      <c r="E6202" s="7"/>
    </row>
    <row r="6203" spans="3:5">
      <c r="C6203" s="17"/>
      <c r="D6203" s="17"/>
      <c r="E6203" s="7"/>
    </row>
    <row r="6204" spans="3:5">
      <c r="C6204" s="17"/>
      <c r="D6204" s="17"/>
      <c r="E6204" s="7"/>
    </row>
    <row r="6205" spans="3:5">
      <c r="C6205" s="17"/>
      <c r="D6205" s="17"/>
      <c r="E6205" s="7"/>
    </row>
    <row r="6206" spans="3:5">
      <c r="C6206" s="17"/>
      <c r="D6206" s="17"/>
      <c r="E6206" s="7"/>
    </row>
    <row r="6207" spans="3:5">
      <c r="C6207" s="17"/>
      <c r="D6207" s="17"/>
      <c r="E6207" s="7"/>
    </row>
    <row r="6208" spans="3:5">
      <c r="C6208" s="17"/>
      <c r="D6208" s="17"/>
      <c r="E6208" s="7"/>
    </row>
    <row r="6209" spans="3:5">
      <c r="C6209" s="17"/>
      <c r="D6209" s="17"/>
      <c r="E6209" s="7"/>
    </row>
    <row r="6210" spans="3:5">
      <c r="C6210" s="17"/>
      <c r="D6210" s="17"/>
      <c r="E6210" s="7"/>
    </row>
    <row r="6211" spans="3:5">
      <c r="C6211" s="17"/>
      <c r="D6211" s="17"/>
      <c r="E6211" s="7"/>
    </row>
    <row r="6212" spans="3:5">
      <c r="C6212" s="17"/>
      <c r="D6212" s="17"/>
      <c r="E6212" s="7"/>
    </row>
    <row r="6213" spans="3:5">
      <c r="C6213" s="17"/>
      <c r="D6213" s="17"/>
      <c r="E6213" s="7"/>
    </row>
    <row r="6214" spans="3:5">
      <c r="C6214" s="17"/>
      <c r="D6214" s="17"/>
      <c r="E6214" s="7"/>
    </row>
    <row r="6215" spans="3:5">
      <c r="C6215" s="17"/>
      <c r="D6215" s="17"/>
      <c r="E6215" s="7"/>
    </row>
    <row r="6216" spans="3:5">
      <c r="C6216" s="17"/>
      <c r="D6216" s="17"/>
      <c r="E6216" s="7"/>
    </row>
    <row r="6217" spans="3:5">
      <c r="C6217" s="17"/>
      <c r="D6217" s="17"/>
      <c r="E6217" s="7"/>
    </row>
    <row r="6218" spans="3:5">
      <c r="C6218" s="17"/>
      <c r="D6218" s="17"/>
      <c r="E6218" s="7"/>
    </row>
    <row r="6219" spans="3:5">
      <c r="C6219" s="17"/>
      <c r="D6219" s="17"/>
      <c r="E6219" s="7"/>
    </row>
    <row r="6220" spans="3:5">
      <c r="C6220" s="17"/>
      <c r="D6220" s="17"/>
      <c r="E6220" s="7"/>
    </row>
    <row r="6221" spans="3:5">
      <c r="C6221" s="17"/>
      <c r="D6221" s="17"/>
      <c r="E6221" s="7"/>
    </row>
    <row r="6222" spans="3:5">
      <c r="C6222" s="17"/>
      <c r="D6222" s="17"/>
      <c r="E6222" s="7"/>
    </row>
    <row r="6223" spans="3:5">
      <c r="C6223" s="17"/>
      <c r="D6223" s="17"/>
      <c r="E6223" s="7"/>
    </row>
    <row r="6224" spans="3:5">
      <c r="C6224" s="17"/>
      <c r="D6224" s="17"/>
      <c r="E6224" s="7"/>
    </row>
    <row r="6225" spans="3:5">
      <c r="C6225" s="17"/>
      <c r="D6225" s="17"/>
      <c r="E6225" s="7"/>
    </row>
    <row r="6226" spans="3:5">
      <c r="C6226" s="17"/>
      <c r="D6226" s="17"/>
      <c r="E6226" s="7"/>
    </row>
    <row r="6227" spans="3:5">
      <c r="C6227" s="17"/>
      <c r="D6227" s="17"/>
      <c r="E6227" s="7"/>
    </row>
    <row r="6228" spans="3:5">
      <c r="C6228" s="17"/>
      <c r="D6228" s="17"/>
      <c r="E6228" s="7"/>
    </row>
    <row r="6229" spans="3:5">
      <c r="C6229" s="17"/>
      <c r="D6229" s="17"/>
      <c r="E6229" s="7"/>
    </row>
    <row r="6230" spans="3:5">
      <c r="C6230" s="17"/>
      <c r="D6230" s="17"/>
      <c r="E6230" s="7"/>
    </row>
    <row r="6231" spans="3:5">
      <c r="C6231" s="17"/>
      <c r="D6231" s="17"/>
      <c r="E6231" s="7"/>
    </row>
    <row r="6232" spans="3:5">
      <c r="C6232" s="17"/>
      <c r="D6232" s="17"/>
      <c r="E6232" s="7"/>
    </row>
    <row r="6233" spans="3:5">
      <c r="C6233" s="17"/>
      <c r="D6233" s="17"/>
      <c r="E6233" s="7"/>
    </row>
    <row r="6234" spans="3:5">
      <c r="C6234" s="17"/>
      <c r="D6234" s="17"/>
      <c r="E6234" s="7"/>
    </row>
    <row r="6235" spans="3:5">
      <c r="C6235" s="17"/>
      <c r="D6235" s="17"/>
      <c r="E6235" s="7"/>
    </row>
    <row r="6236" spans="3:5">
      <c r="C6236" s="17"/>
      <c r="D6236" s="17"/>
      <c r="E6236" s="7"/>
    </row>
    <row r="6237" spans="3:5">
      <c r="C6237" s="17"/>
      <c r="D6237" s="17"/>
      <c r="E6237" s="7"/>
    </row>
    <row r="6238" spans="3:5">
      <c r="C6238" s="17"/>
      <c r="D6238" s="17"/>
      <c r="E6238" s="7"/>
    </row>
    <row r="6239" spans="3:5">
      <c r="C6239" s="17"/>
      <c r="D6239" s="17"/>
      <c r="E6239" s="7"/>
    </row>
    <row r="6240" spans="3:5">
      <c r="C6240" s="17"/>
      <c r="D6240" s="17"/>
      <c r="E6240" s="7"/>
    </row>
    <row r="6241" spans="3:5">
      <c r="C6241" s="17"/>
      <c r="D6241" s="17"/>
      <c r="E6241" s="7"/>
    </row>
    <row r="6242" spans="3:5">
      <c r="C6242" s="17"/>
      <c r="D6242" s="17"/>
      <c r="E6242" s="7"/>
    </row>
    <row r="6243" spans="3:5">
      <c r="C6243" s="17"/>
      <c r="D6243" s="17"/>
      <c r="E6243" s="7"/>
    </row>
    <row r="6244" spans="3:5">
      <c r="C6244" s="17"/>
      <c r="D6244" s="17"/>
      <c r="E6244" s="7"/>
    </row>
    <row r="6245" spans="3:5">
      <c r="C6245" s="17"/>
      <c r="D6245" s="17"/>
      <c r="E6245" s="7"/>
    </row>
    <row r="6246" spans="3:5">
      <c r="C6246" s="17"/>
      <c r="D6246" s="17"/>
      <c r="E6246" s="7"/>
    </row>
    <row r="6247" spans="3:5">
      <c r="C6247" s="17"/>
      <c r="D6247" s="17"/>
      <c r="E6247" s="7"/>
    </row>
    <row r="6248" spans="3:5">
      <c r="C6248" s="17"/>
      <c r="D6248" s="17"/>
      <c r="E6248" s="7"/>
    </row>
    <row r="6249" spans="3:5">
      <c r="C6249" s="17"/>
      <c r="D6249" s="17"/>
      <c r="E6249" s="7"/>
    </row>
    <row r="6250" spans="3:5">
      <c r="C6250" s="17"/>
      <c r="D6250" s="17"/>
      <c r="E6250" s="7"/>
    </row>
    <row r="6251" spans="3:5">
      <c r="C6251" s="17"/>
      <c r="D6251" s="17"/>
      <c r="E6251" s="7"/>
    </row>
    <row r="6252" spans="3:5">
      <c r="C6252" s="17"/>
      <c r="D6252" s="17"/>
      <c r="E6252" s="7"/>
    </row>
    <row r="6253" spans="3:5">
      <c r="C6253" s="17"/>
      <c r="D6253" s="17"/>
      <c r="E6253" s="7"/>
    </row>
    <row r="6254" spans="3:5">
      <c r="C6254" s="17"/>
      <c r="D6254" s="17"/>
      <c r="E6254" s="7"/>
    </row>
    <row r="6255" spans="3:5">
      <c r="C6255" s="17"/>
      <c r="D6255" s="17"/>
      <c r="E6255" s="7"/>
    </row>
    <row r="6256" spans="3:5">
      <c r="C6256" s="17"/>
      <c r="D6256" s="17"/>
      <c r="E6256" s="7"/>
    </row>
    <row r="6257" spans="3:5">
      <c r="C6257" s="17"/>
      <c r="D6257" s="17"/>
      <c r="E6257" s="7"/>
    </row>
    <row r="6258" spans="3:5">
      <c r="C6258" s="17"/>
      <c r="D6258" s="17"/>
      <c r="E6258" s="7"/>
    </row>
    <row r="6259" spans="3:5">
      <c r="C6259" s="17"/>
      <c r="D6259" s="17"/>
      <c r="E6259" s="7"/>
    </row>
    <row r="6260" spans="3:5">
      <c r="C6260" s="17"/>
      <c r="D6260" s="17"/>
      <c r="E6260" s="7"/>
    </row>
    <row r="6261" spans="3:5">
      <c r="C6261" s="17"/>
      <c r="D6261" s="17"/>
      <c r="E6261" s="7"/>
    </row>
    <row r="6262" spans="3:5">
      <c r="C6262" s="17"/>
      <c r="D6262" s="17"/>
      <c r="E6262" s="7"/>
    </row>
    <row r="6263" spans="3:5">
      <c r="C6263" s="17"/>
      <c r="D6263" s="17"/>
      <c r="E6263" s="7"/>
    </row>
    <row r="6264" spans="3:5">
      <c r="C6264" s="17"/>
      <c r="D6264" s="17"/>
      <c r="E6264" s="7"/>
    </row>
    <row r="6265" spans="3:5">
      <c r="C6265" s="17"/>
      <c r="D6265" s="17"/>
      <c r="E6265" s="7"/>
    </row>
    <row r="6266" spans="3:5">
      <c r="C6266" s="17"/>
      <c r="D6266" s="17"/>
      <c r="E6266" s="7"/>
    </row>
    <row r="6267" spans="3:5">
      <c r="C6267" s="17"/>
      <c r="D6267" s="17"/>
      <c r="E6267" s="7"/>
    </row>
    <row r="6268" spans="3:5">
      <c r="C6268" s="17"/>
      <c r="D6268" s="17"/>
      <c r="E6268" s="7"/>
    </row>
    <row r="6269" spans="3:5">
      <c r="C6269" s="17"/>
      <c r="D6269" s="17"/>
      <c r="E6269" s="7"/>
    </row>
    <row r="6270" spans="3:5">
      <c r="C6270" s="17"/>
      <c r="D6270" s="17"/>
      <c r="E6270" s="7"/>
    </row>
    <row r="6271" spans="3:5">
      <c r="C6271" s="17"/>
      <c r="D6271" s="17"/>
      <c r="E6271" s="7"/>
    </row>
    <row r="6272" spans="3:5">
      <c r="C6272" s="17"/>
      <c r="D6272" s="17"/>
      <c r="E6272" s="7"/>
    </row>
    <row r="6273" spans="3:5">
      <c r="C6273" s="17"/>
      <c r="D6273" s="17"/>
      <c r="E6273" s="7"/>
    </row>
    <row r="6274" spans="3:5">
      <c r="C6274" s="17"/>
      <c r="D6274" s="17"/>
      <c r="E6274" s="7"/>
    </row>
    <row r="6275" spans="3:5">
      <c r="C6275" s="17"/>
      <c r="D6275" s="17"/>
      <c r="E6275" s="7"/>
    </row>
    <row r="6276" spans="3:5">
      <c r="C6276" s="17"/>
      <c r="D6276" s="17"/>
      <c r="E6276" s="7"/>
    </row>
    <row r="6277" spans="3:5">
      <c r="C6277" s="17"/>
      <c r="D6277" s="17"/>
      <c r="E6277" s="7"/>
    </row>
    <row r="6278" spans="3:5">
      <c r="C6278" s="17"/>
      <c r="D6278" s="17"/>
      <c r="E6278" s="7"/>
    </row>
    <row r="6279" spans="3:5">
      <c r="C6279" s="17"/>
      <c r="D6279" s="17"/>
      <c r="E6279" s="7"/>
    </row>
    <row r="6280" spans="3:5">
      <c r="C6280" s="17"/>
      <c r="D6280" s="17"/>
      <c r="E6280" s="7"/>
    </row>
    <row r="6281" spans="3:5">
      <c r="C6281" s="17"/>
      <c r="D6281" s="17"/>
      <c r="E6281" s="7"/>
    </row>
    <row r="6282" spans="3:5">
      <c r="C6282" s="17"/>
      <c r="D6282" s="17"/>
      <c r="E6282" s="7"/>
    </row>
    <row r="6283" spans="3:5">
      <c r="C6283" s="17"/>
      <c r="D6283" s="17"/>
      <c r="E6283" s="7"/>
    </row>
    <row r="6284" spans="3:5">
      <c r="C6284" s="17"/>
      <c r="D6284" s="17"/>
      <c r="E6284" s="7"/>
    </row>
    <row r="6285" spans="3:5">
      <c r="C6285" s="17"/>
      <c r="D6285" s="17"/>
      <c r="E6285" s="7"/>
    </row>
    <row r="6286" spans="3:5">
      <c r="C6286" s="17"/>
      <c r="D6286" s="17"/>
      <c r="E6286" s="7"/>
    </row>
    <row r="6287" spans="3:5">
      <c r="C6287" s="17"/>
      <c r="D6287" s="17"/>
      <c r="E6287" s="7"/>
    </row>
    <row r="6288" spans="3:5">
      <c r="C6288" s="17"/>
      <c r="D6288" s="17"/>
      <c r="E6288" s="7"/>
    </row>
    <row r="6289" spans="3:5">
      <c r="C6289" s="17"/>
      <c r="D6289" s="17"/>
      <c r="E6289" s="7"/>
    </row>
    <row r="6290" spans="3:5">
      <c r="C6290" s="17"/>
      <c r="D6290" s="17"/>
      <c r="E6290" s="7"/>
    </row>
    <row r="6291" spans="3:5">
      <c r="C6291" s="17"/>
      <c r="D6291" s="17"/>
      <c r="E6291" s="7"/>
    </row>
    <row r="6292" spans="3:5">
      <c r="C6292" s="17"/>
      <c r="D6292" s="17"/>
      <c r="E6292" s="7"/>
    </row>
    <row r="6293" spans="3:5">
      <c r="C6293" s="17"/>
      <c r="D6293" s="17"/>
      <c r="E6293" s="7"/>
    </row>
    <row r="6294" spans="3:5">
      <c r="C6294" s="17"/>
      <c r="D6294" s="17"/>
      <c r="E6294" s="7"/>
    </row>
    <row r="6295" spans="3:5">
      <c r="C6295" s="17"/>
      <c r="D6295" s="17"/>
      <c r="E6295" s="7"/>
    </row>
    <row r="6296" spans="3:5">
      <c r="C6296" s="17"/>
      <c r="D6296" s="17"/>
      <c r="E6296" s="7"/>
    </row>
    <row r="6297" spans="3:5">
      <c r="C6297" s="17"/>
      <c r="D6297" s="17"/>
      <c r="E6297" s="7"/>
    </row>
    <row r="6298" spans="3:5">
      <c r="C6298" s="17"/>
      <c r="D6298" s="17"/>
      <c r="E6298" s="7"/>
    </row>
    <row r="6299" spans="3:5">
      <c r="C6299" s="17"/>
      <c r="D6299" s="17"/>
      <c r="E6299" s="7"/>
    </row>
    <row r="6300" spans="3:5">
      <c r="C6300" s="17"/>
      <c r="D6300" s="17"/>
      <c r="E6300" s="7"/>
    </row>
    <row r="6301" spans="3:5">
      <c r="C6301" s="17"/>
      <c r="D6301" s="17"/>
      <c r="E6301" s="7"/>
    </row>
    <row r="6302" spans="3:5">
      <c r="C6302" s="17"/>
      <c r="D6302" s="17"/>
      <c r="E6302" s="7"/>
    </row>
    <row r="6303" spans="3:5">
      <c r="C6303" s="17"/>
      <c r="D6303" s="17"/>
      <c r="E6303" s="7"/>
    </row>
    <row r="6304" spans="3:5">
      <c r="C6304" s="17"/>
      <c r="D6304" s="17"/>
      <c r="E6304" s="7"/>
    </row>
    <row r="6305" spans="3:5">
      <c r="C6305" s="17"/>
      <c r="D6305" s="17"/>
      <c r="E6305" s="7"/>
    </row>
    <row r="6306" spans="3:5">
      <c r="C6306" s="17"/>
      <c r="D6306" s="17"/>
      <c r="E6306" s="7"/>
    </row>
    <row r="6307" spans="3:5">
      <c r="C6307" s="17"/>
      <c r="D6307" s="17"/>
      <c r="E6307" s="7"/>
    </row>
    <row r="6308" spans="3:5">
      <c r="C6308" s="17"/>
      <c r="D6308" s="17"/>
      <c r="E6308" s="7"/>
    </row>
    <row r="6309" spans="3:5">
      <c r="C6309" s="17"/>
      <c r="D6309" s="17"/>
      <c r="E6309" s="7"/>
    </row>
    <row r="6310" spans="3:5">
      <c r="C6310" s="17"/>
      <c r="D6310" s="17"/>
      <c r="E6310" s="7"/>
    </row>
    <row r="6311" spans="3:5">
      <c r="C6311" s="17"/>
      <c r="D6311" s="17"/>
      <c r="E6311" s="7"/>
    </row>
    <row r="6312" spans="3:5">
      <c r="C6312" s="17"/>
      <c r="D6312" s="17"/>
      <c r="E6312" s="7"/>
    </row>
    <row r="6313" spans="3:5">
      <c r="C6313" s="17"/>
      <c r="D6313" s="17"/>
      <c r="E6313" s="7"/>
    </row>
    <row r="6314" spans="3:5">
      <c r="C6314" s="17"/>
      <c r="D6314" s="17"/>
      <c r="E6314" s="7"/>
    </row>
    <row r="6315" spans="3:5">
      <c r="C6315" s="17"/>
      <c r="D6315" s="17"/>
      <c r="E6315" s="7"/>
    </row>
    <row r="6316" spans="3:5">
      <c r="C6316" s="17"/>
      <c r="D6316" s="17"/>
      <c r="E6316" s="7"/>
    </row>
    <row r="6317" spans="3:5">
      <c r="C6317" s="17"/>
      <c r="D6317" s="17"/>
      <c r="E6317" s="7"/>
    </row>
    <row r="6318" spans="3:5">
      <c r="C6318" s="17"/>
      <c r="D6318" s="17"/>
      <c r="E6318" s="7"/>
    </row>
    <row r="6319" spans="3:5">
      <c r="C6319" s="17"/>
      <c r="D6319" s="17"/>
      <c r="E6319" s="7"/>
    </row>
    <row r="6320" spans="3:5">
      <c r="C6320" s="17"/>
      <c r="D6320" s="17"/>
      <c r="E6320" s="7"/>
    </row>
    <row r="6321" spans="3:5">
      <c r="C6321" s="17"/>
      <c r="D6321" s="17"/>
      <c r="E6321" s="7"/>
    </row>
    <row r="6322" spans="3:5">
      <c r="C6322" s="17"/>
      <c r="D6322" s="17"/>
      <c r="E6322" s="7"/>
    </row>
    <row r="6323" spans="3:5">
      <c r="C6323" s="17"/>
      <c r="D6323" s="17"/>
      <c r="E6323" s="7"/>
    </row>
    <row r="6324" spans="3:5">
      <c r="C6324" s="17"/>
      <c r="D6324" s="17"/>
      <c r="E6324" s="7"/>
    </row>
    <row r="6325" spans="3:5">
      <c r="C6325" s="17"/>
      <c r="D6325" s="17"/>
      <c r="E6325" s="7"/>
    </row>
    <row r="6326" spans="3:5">
      <c r="C6326" s="17"/>
      <c r="D6326" s="17"/>
      <c r="E6326" s="7"/>
    </row>
    <row r="6327" spans="3:5">
      <c r="C6327" s="17"/>
      <c r="D6327" s="17"/>
      <c r="E6327" s="7"/>
    </row>
    <row r="6328" spans="3:5">
      <c r="C6328" s="17"/>
      <c r="D6328" s="17"/>
      <c r="E6328" s="7"/>
    </row>
    <row r="6329" spans="3:5">
      <c r="C6329" s="17"/>
      <c r="D6329" s="17"/>
      <c r="E6329" s="7"/>
    </row>
    <row r="6330" spans="3:5">
      <c r="C6330" s="17"/>
      <c r="D6330" s="17"/>
      <c r="E6330" s="7"/>
    </row>
    <row r="6331" spans="3:5">
      <c r="C6331" s="17"/>
      <c r="D6331" s="17"/>
      <c r="E6331" s="7"/>
    </row>
    <row r="6332" spans="3:5">
      <c r="C6332" s="17"/>
      <c r="D6332" s="17"/>
      <c r="E6332" s="7"/>
    </row>
    <row r="6333" spans="3:5">
      <c r="C6333" s="17"/>
      <c r="D6333" s="17"/>
      <c r="E6333" s="7"/>
    </row>
    <row r="6334" spans="3:5">
      <c r="C6334" s="17"/>
      <c r="D6334" s="17"/>
      <c r="E6334" s="7"/>
    </row>
    <row r="6335" spans="3:5">
      <c r="C6335" s="17"/>
      <c r="D6335" s="17"/>
      <c r="E6335" s="7"/>
    </row>
    <row r="6336" spans="3:5">
      <c r="C6336" s="17"/>
      <c r="D6336" s="17"/>
      <c r="E6336" s="7"/>
    </row>
    <row r="6337" spans="3:5">
      <c r="C6337" s="17"/>
      <c r="D6337" s="17"/>
      <c r="E6337" s="7"/>
    </row>
    <row r="6338" spans="3:5">
      <c r="C6338" s="17"/>
      <c r="D6338" s="17"/>
      <c r="E6338" s="7"/>
    </row>
    <row r="6339" spans="3:5">
      <c r="C6339" s="17"/>
      <c r="D6339" s="17"/>
      <c r="E6339" s="7"/>
    </row>
    <row r="6340" spans="3:5">
      <c r="C6340" s="17"/>
      <c r="D6340" s="17"/>
      <c r="E6340" s="7"/>
    </row>
    <row r="6341" spans="3:5">
      <c r="C6341" s="17"/>
      <c r="D6341" s="17"/>
      <c r="E6341" s="7"/>
    </row>
    <row r="6342" spans="3:5">
      <c r="C6342" s="17"/>
      <c r="D6342" s="17"/>
      <c r="E6342" s="7"/>
    </row>
    <row r="6343" spans="3:5">
      <c r="C6343" s="17"/>
      <c r="D6343" s="17"/>
      <c r="E6343" s="7"/>
    </row>
    <row r="6344" spans="3:5">
      <c r="C6344" s="17"/>
      <c r="D6344" s="17"/>
      <c r="E6344" s="7"/>
    </row>
    <row r="6345" spans="3:5">
      <c r="C6345" s="17"/>
      <c r="D6345" s="17"/>
      <c r="E6345" s="7"/>
    </row>
    <row r="6346" spans="3:5">
      <c r="C6346" s="17"/>
      <c r="D6346" s="17"/>
      <c r="E6346" s="7"/>
    </row>
    <row r="6347" spans="3:5">
      <c r="C6347" s="17"/>
      <c r="D6347" s="17"/>
      <c r="E6347" s="7"/>
    </row>
    <row r="6348" spans="3:5">
      <c r="C6348" s="17"/>
      <c r="D6348" s="17"/>
      <c r="E6348" s="7"/>
    </row>
    <row r="6349" spans="3:5">
      <c r="C6349" s="17"/>
      <c r="D6349" s="17"/>
      <c r="E6349" s="7"/>
    </row>
    <row r="6350" spans="3:5">
      <c r="C6350" s="17"/>
      <c r="D6350" s="17"/>
      <c r="E6350" s="7"/>
    </row>
    <row r="6351" spans="3:5">
      <c r="C6351" s="17"/>
      <c r="D6351" s="17"/>
      <c r="E6351" s="7"/>
    </row>
    <row r="6352" spans="3:5">
      <c r="C6352" s="17"/>
      <c r="D6352" s="17"/>
      <c r="E6352" s="7"/>
    </row>
    <row r="6353" spans="3:5">
      <c r="C6353" s="17"/>
      <c r="D6353" s="17"/>
      <c r="E6353" s="7"/>
    </row>
    <row r="6354" spans="3:5">
      <c r="C6354" s="17"/>
      <c r="D6354" s="17"/>
      <c r="E6354" s="7"/>
    </row>
    <row r="6355" spans="3:5">
      <c r="C6355" s="17"/>
      <c r="D6355" s="17"/>
      <c r="E6355" s="7"/>
    </row>
    <row r="6356" spans="3:5">
      <c r="C6356" s="17"/>
      <c r="D6356" s="17"/>
      <c r="E6356" s="7"/>
    </row>
    <row r="6357" spans="3:5">
      <c r="C6357" s="17"/>
      <c r="D6357" s="17"/>
      <c r="E6357" s="7"/>
    </row>
    <row r="6358" spans="3:5">
      <c r="C6358" s="17"/>
      <c r="D6358" s="17"/>
      <c r="E6358" s="7"/>
    </row>
    <row r="6359" spans="3:5">
      <c r="C6359" s="17"/>
      <c r="D6359" s="17"/>
      <c r="E6359" s="7"/>
    </row>
    <row r="6360" spans="3:5">
      <c r="C6360" s="17"/>
      <c r="D6360" s="17"/>
      <c r="E6360" s="7"/>
    </row>
    <row r="6361" spans="3:5">
      <c r="C6361" s="17"/>
      <c r="D6361" s="17"/>
      <c r="E6361" s="7"/>
    </row>
    <row r="6362" spans="3:5">
      <c r="C6362" s="17"/>
      <c r="D6362" s="17"/>
      <c r="E6362" s="7"/>
    </row>
    <row r="6363" spans="3:5">
      <c r="C6363" s="17"/>
      <c r="D6363" s="17"/>
      <c r="E6363" s="7"/>
    </row>
    <row r="6364" spans="3:5">
      <c r="C6364" s="17"/>
      <c r="D6364" s="17"/>
      <c r="E6364" s="7"/>
    </row>
    <row r="6365" spans="3:5">
      <c r="C6365" s="17"/>
      <c r="D6365" s="17"/>
      <c r="E6365" s="7"/>
    </row>
    <row r="6366" spans="3:5">
      <c r="C6366" s="17"/>
      <c r="D6366" s="17"/>
      <c r="E6366" s="7"/>
    </row>
    <row r="6367" spans="3:5">
      <c r="C6367" s="17"/>
      <c r="D6367" s="17"/>
      <c r="E6367" s="7"/>
    </row>
    <row r="6368" spans="3:5">
      <c r="C6368" s="17"/>
      <c r="D6368" s="17"/>
      <c r="E6368" s="7"/>
    </row>
    <row r="6369" spans="3:5">
      <c r="C6369" s="17"/>
      <c r="D6369" s="17"/>
      <c r="E6369" s="7"/>
    </row>
    <row r="6370" spans="3:5">
      <c r="C6370" s="17"/>
      <c r="D6370" s="17"/>
      <c r="E6370" s="7"/>
    </row>
    <row r="6371" spans="3:5">
      <c r="C6371" s="17"/>
      <c r="D6371" s="17"/>
      <c r="E6371" s="7"/>
    </row>
    <row r="6372" spans="3:5">
      <c r="C6372" s="17"/>
      <c r="D6372" s="17"/>
      <c r="E6372" s="7"/>
    </row>
    <row r="6373" spans="3:5">
      <c r="C6373" s="17"/>
      <c r="D6373" s="17"/>
      <c r="E6373" s="7"/>
    </row>
    <row r="6374" spans="3:5">
      <c r="C6374" s="17"/>
      <c r="D6374" s="17"/>
      <c r="E6374" s="7"/>
    </row>
    <row r="6375" spans="3:5">
      <c r="C6375" s="17"/>
      <c r="D6375" s="17"/>
      <c r="E6375" s="7"/>
    </row>
    <row r="6376" spans="3:5">
      <c r="C6376" s="17"/>
      <c r="D6376" s="17"/>
      <c r="E6376" s="7"/>
    </row>
    <row r="6377" spans="3:5">
      <c r="C6377" s="17"/>
      <c r="D6377" s="17"/>
      <c r="E6377" s="7"/>
    </row>
    <row r="6378" spans="3:5">
      <c r="C6378" s="17"/>
      <c r="D6378" s="17"/>
      <c r="E6378" s="7"/>
    </row>
    <row r="6379" spans="3:5">
      <c r="C6379" s="17"/>
      <c r="D6379" s="17"/>
      <c r="E6379" s="7"/>
    </row>
    <row r="6380" spans="3:5">
      <c r="C6380" s="17"/>
      <c r="D6380" s="17"/>
      <c r="E6380" s="7"/>
    </row>
    <row r="6381" spans="3:5">
      <c r="C6381" s="17"/>
      <c r="D6381" s="17"/>
      <c r="E6381" s="7"/>
    </row>
    <row r="6382" spans="3:5">
      <c r="C6382" s="17"/>
      <c r="D6382" s="17"/>
      <c r="E6382" s="7"/>
    </row>
    <row r="6383" spans="3:5">
      <c r="C6383" s="17"/>
      <c r="D6383" s="17"/>
      <c r="E6383" s="7"/>
    </row>
    <row r="6384" spans="3:5">
      <c r="C6384" s="17"/>
      <c r="D6384" s="17"/>
      <c r="E6384" s="7"/>
    </row>
    <row r="6385" spans="3:5">
      <c r="C6385" s="17"/>
      <c r="D6385" s="17"/>
      <c r="E6385" s="7"/>
    </row>
    <row r="6386" spans="3:5">
      <c r="C6386" s="17"/>
      <c r="D6386" s="17"/>
      <c r="E6386" s="7"/>
    </row>
    <row r="6387" spans="3:5">
      <c r="C6387" s="17"/>
      <c r="D6387" s="17"/>
      <c r="E6387" s="7"/>
    </row>
    <row r="6388" spans="3:5">
      <c r="C6388" s="17"/>
      <c r="D6388" s="17"/>
      <c r="E6388" s="7"/>
    </row>
    <row r="6389" spans="3:5">
      <c r="C6389" s="17"/>
      <c r="D6389" s="17"/>
      <c r="E6389" s="7"/>
    </row>
    <row r="6390" spans="3:5">
      <c r="C6390" s="17"/>
      <c r="D6390" s="17"/>
      <c r="E6390" s="7"/>
    </row>
    <row r="6391" spans="3:5">
      <c r="C6391" s="17"/>
      <c r="D6391" s="17"/>
      <c r="E6391" s="7"/>
    </row>
    <row r="6392" spans="3:5">
      <c r="C6392" s="17"/>
      <c r="D6392" s="17"/>
      <c r="E6392" s="7"/>
    </row>
    <row r="6393" spans="3:5">
      <c r="C6393" s="17"/>
      <c r="D6393" s="17"/>
      <c r="E6393" s="7"/>
    </row>
    <row r="6394" spans="3:5">
      <c r="C6394" s="17"/>
      <c r="D6394" s="17"/>
      <c r="E6394" s="7"/>
    </row>
    <row r="6395" spans="3:5">
      <c r="C6395" s="17"/>
      <c r="D6395" s="17"/>
      <c r="E6395" s="7"/>
    </row>
    <row r="6396" spans="3:5">
      <c r="C6396" s="17"/>
      <c r="D6396" s="17"/>
      <c r="E6396" s="7"/>
    </row>
    <row r="6397" spans="3:5">
      <c r="C6397" s="17"/>
      <c r="D6397" s="17"/>
      <c r="E6397" s="7"/>
    </row>
    <row r="6398" spans="3:5">
      <c r="C6398" s="17"/>
      <c r="D6398" s="17"/>
      <c r="E6398" s="7"/>
    </row>
    <row r="6399" spans="3:5">
      <c r="C6399" s="17"/>
      <c r="D6399" s="17"/>
      <c r="E6399" s="7"/>
    </row>
    <row r="6400" spans="3:5">
      <c r="C6400" s="17"/>
      <c r="D6400" s="17"/>
      <c r="E6400" s="7"/>
    </row>
    <row r="6401" spans="3:5">
      <c r="C6401" s="17"/>
      <c r="D6401" s="17"/>
      <c r="E6401" s="7"/>
    </row>
    <row r="6402" spans="3:5">
      <c r="C6402" s="17"/>
      <c r="D6402" s="17"/>
      <c r="E6402" s="7"/>
    </row>
    <row r="6403" spans="3:5">
      <c r="C6403" s="17"/>
      <c r="D6403" s="17"/>
      <c r="E6403" s="7"/>
    </row>
    <row r="6404" spans="3:5">
      <c r="C6404" s="17"/>
      <c r="D6404" s="17"/>
      <c r="E6404" s="7"/>
    </row>
    <row r="6405" spans="3:5">
      <c r="C6405" s="17"/>
      <c r="D6405" s="17"/>
      <c r="E6405" s="7"/>
    </row>
    <row r="6406" spans="3:5">
      <c r="C6406" s="17"/>
      <c r="D6406" s="17"/>
      <c r="E6406" s="7"/>
    </row>
    <row r="6407" spans="3:5">
      <c r="C6407" s="17"/>
      <c r="D6407" s="17"/>
      <c r="E6407" s="7"/>
    </row>
    <row r="6408" spans="3:5">
      <c r="C6408" s="17"/>
      <c r="D6408" s="17"/>
      <c r="E6408" s="7"/>
    </row>
    <row r="6409" spans="3:5">
      <c r="C6409" s="17"/>
      <c r="D6409" s="17"/>
      <c r="E6409" s="7"/>
    </row>
    <row r="6410" spans="3:5">
      <c r="C6410" s="17"/>
      <c r="D6410" s="17"/>
      <c r="E6410" s="7"/>
    </row>
    <row r="6411" spans="3:5">
      <c r="C6411" s="17"/>
      <c r="D6411" s="17"/>
      <c r="E6411" s="7"/>
    </row>
    <row r="6412" spans="3:5">
      <c r="C6412" s="17"/>
      <c r="D6412" s="17"/>
      <c r="E6412" s="7"/>
    </row>
    <row r="6413" spans="3:5">
      <c r="C6413" s="17"/>
      <c r="D6413" s="17"/>
      <c r="E6413" s="7"/>
    </row>
    <row r="6414" spans="3:5">
      <c r="C6414" s="17"/>
      <c r="D6414" s="17"/>
      <c r="E6414" s="7"/>
    </row>
    <row r="6415" spans="3:5">
      <c r="C6415" s="17"/>
      <c r="D6415" s="17"/>
      <c r="E6415" s="7"/>
    </row>
    <row r="6416" spans="3:5">
      <c r="C6416" s="17"/>
      <c r="D6416" s="17"/>
      <c r="E6416" s="7"/>
    </row>
    <row r="6417" spans="3:5">
      <c r="C6417" s="17"/>
      <c r="D6417" s="17"/>
      <c r="E6417" s="7"/>
    </row>
    <row r="6418" spans="3:5">
      <c r="C6418" s="17"/>
      <c r="D6418" s="17"/>
      <c r="E6418" s="7"/>
    </row>
    <row r="6419" spans="3:5">
      <c r="C6419" s="17"/>
      <c r="D6419" s="17"/>
      <c r="E6419" s="7"/>
    </row>
    <row r="6420" spans="3:5">
      <c r="C6420" s="17"/>
      <c r="D6420" s="17"/>
      <c r="E6420" s="7"/>
    </row>
    <row r="6421" spans="3:5">
      <c r="C6421" s="17"/>
      <c r="D6421" s="17"/>
      <c r="E6421" s="7"/>
    </row>
    <row r="6422" spans="3:5">
      <c r="C6422" s="17"/>
      <c r="D6422" s="17"/>
      <c r="E6422" s="7"/>
    </row>
    <row r="6423" spans="3:5">
      <c r="C6423" s="17"/>
      <c r="D6423" s="17"/>
      <c r="E6423" s="7"/>
    </row>
    <row r="6424" spans="3:5">
      <c r="C6424" s="17"/>
      <c r="D6424" s="17"/>
      <c r="E6424" s="7"/>
    </row>
    <row r="6425" spans="3:5">
      <c r="C6425" s="17"/>
      <c r="D6425" s="17"/>
      <c r="E6425" s="7"/>
    </row>
    <row r="6426" spans="3:5">
      <c r="C6426" s="17"/>
      <c r="D6426" s="17"/>
      <c r="E6426" s="7"/>
    </row>
    <row r="6427" spans="3:5">
      <c r="C6427" s="17"/>
      <c r="D6427" s="17"/>
      <c r="E6427" s="7"/>
    </row>
    <row r="6428" spans="3:5">
      <c r="C6428" s="17"/>
      <c r="D6428" s="17"/>
      <c r="E6428" s="7"/>
    </row>
    <row r="6429" spans="3:5">
      <c r="C6429" s="17"/>
      <c r="D6429" s="17"/>
      <c r="E6429" s="7"/>
    </row>
    <row r="6430" spans="3:5">
      <c r="C6430" s="17"/>
      <c r="D6430" s="17"/>
      <c r="E6430" s="7"/>
    </row>
    <row r="6431" spans="3:5">
      <c r="C6431" s="17"/>
      <c r="D6431" s="17"/>
      <c r="E6431" s="7"/>
    </row>
    <row r="6432" spans="3:5">
      <c r="C6432" s="17"/>
      <c r="D6432" s="17"/>
      <c r="E6432" s="7"/>
    </row>
    <row r="6433" spans="3:5">
      <c r="C6433" s="17"/>
      <c r="D6433" s="17"/>
      <c r="E6433" s="7"/>
    </row>
    <row r="6434" spans="3:5">
      <c r="C6434" s="17"/>
      <c r="D6434" s="17"/>
      <c r="E6434" s="7"/>
    </row>
    <row r="6435" spans="3:5">
      <c r="C6435" s="17"/>
      <c r="D6435" s="17"/>
      <c r="E6435" s="7"/>
    </row>
    <row r="6436" spans="3:5">
      <c r="C6436" s="17"/>
      <c r="D6436" s="17"/>
      <c r="E6436" s="7"/>
    </row>
    <row r="6437" spans="3:5">
      <c r="C6437" s="17"/>
      <c r="D6437" s="17"/>
      <c r="E6437" s="7"/>
    </row>
    <row r="6438" spans="3:5">
      <c r="C6438" s="17"/>
      <c r="D6438" s="17"/>
      <c r="E6438" s="7"/>
    </row>
    <row r="6439" spans="3:5">
      <c r="C6439" s="17"/>
      <c r="D6439" s="17"/>
      <c r="E6439" s="7"/>
    </row>
    <row r="6440" spans="3:5">
      <c r="C6440" s="17"/>
      <c r="D6440" s="17"/>
      <c r="E6440" s="7"/>
    </row>
    <row r="6441" spans="3:5">
      <c r="C6441" s="17"/>
      <c r="D6441" s="17"/>
      <c r="E6441" s="7"/>
    </row>
    <row r="6442" spans="3:5">
      <c r="C6442" s="17"/>
      <c r="D6442" s="17"/>
      <c r="E6442" s="7"/>
    </row>
    <row r="6443" spans="3:5">
      <c r="C6443" s="17"/>
      <c r="D6443" s="17"/>
      <c r="E6443" s="7"/>
    </row>
    <row r="6444" spans="3:5">
      <c r="C6444" s="17"/>
      <c r="D6444" s="17"/>
      <c r="E6444" s="7"/>
    </row>
    <row r="6445" spans="3:5">
      <c r="C6445" s="17"/>
      <c r="D6445" s="17"/>
      <c r="E6445" s="7"/>
    </row>
    <row r="6446" spans="3:5">
      <c r="C6446" s="17"/>
      <c r="D6446" s="17"/>
      <c r="E6446" s="7"/>
    </row>
    <row r="6447" spans="3:5">
      <c r="C6447" s="17"/>
      <c r="D6447" s="17"/>
      <c r="E6447" s="7"/>
    </row>
    <row r="6448" spans="3:5">
      <c r="C6448" s="17"/>
      <c r="D6448" s="17"/>
      <c r="E6448" s="7"/>
    </row>
    <row r="6449" spans="3:5">
      <c r="C6449" s="17"/>
      <c r="D6449" s="17"/>
      <c r="E6449" s="7"/>
    </row>
    <row r="6450" spans="3:5">
      <c r="C6450" s="17"/>
      <c r="D6450" s="17"/>
      <c r="E6450" s="7"/>
    </row>
    <row r="6451" spans="3:5">
      <c r="C6451" s="17"/>
      <c r="D6451" s="17"/>
      <c r="E6451" s="7"/>
    </row>
    <row r="6452" spans="3:5">
      <c r="C6452" s="17"/>
      <c r="D6452" s="17"/>
      <c r="E6452" s="7"/>
    </row>
    <row r="6453" spans="3:5">
      <c r="C6453" s="17"/>
      <c r="D6453" s="17"/>
      <c r="E6453" s="7"/>
    </row>
    <row r="6454" spans="3:5">
      <c r="C6454" s="17"/>
      <c r="D6454" s="17"/>
      <c r="E6454" s="7"/>
    </row>
    <row r="6455" spans="3:5">
      <c r="C6455" s="17"/>
      <c r="D6455" s="17"/>
      <c r="E6455" s="7"/>
    </row>
    <row r="6456" spans="3:5">
      <c r="C6456" s="17"/>
      <c r="D6456" s="17"/>
      <c r="E6456" s="7"/>
    </row>
    <row r="6457" spans="3:5">
      <c r="C6457" s="17"/>
      <c r="D6457" s="17"/>
      <c r="E6457" s="7"/>
    </row>
    <row r="6458" spans="3:5">
      <c r="C6458" s="17"/>
      <c r="D6458" s="17"/>
      <c r="E6458" s="7"/>
    </row>
    <row r="6459" spans="3:5">
      <c r="C6459" s="17"/>
      <c r="D6459" s="17"/>
      <c r="E6459" s="7"/>
    </row>
    <row r="6460" spans="3:5">
      <c r="C6460" s="17"/>
      <c r="D6460" s="17"/>
      <c r="E6460" s="7"/>
    </row>
    <row r="6461" spans="3:5">
      <c r="C6461" s="17"/>
      <c r="D6461" s="17"/>
      <c r="E6461" s="7"/>
    </row>
    <row r="6462" spans="3:5">
      <c r="C6462" s="17"/>
      <c r="D6462" s="17"/>
      <c r="E6462" s="7"/>
    </row>
    <row r="6463" spans="3:5">
      <c r="C6463" s="17"/>
      <c r="D6463" s="17"/>
      <c r="E6463" s="7"/>
    </row>
    <row r="6464" spans="3:5">
      <c r="C6464" s="17"/>
      <c r="D6464" s="17"/>
      <c r="E6464" s="7"/>
    </row>
    <row r="6465" spans="3:5">
      <c r="C6465" s="17"/>
      <c r="D6465" s="17"/>
      <c r="E6465" s="7"/>
    </row>
    <row r="6466" spans="3:5">
      <c r="C6466" s="17"/>
      <c r="D6466" s="17"/>
      <c r="E6466" s="7"/>
    </row>
    <row r="6467" spans="3:5">
      <c r="C6467" s="17"/>
      <c r="D6467" s="17"/>
      <c r="E6467" s="7"/>
    </row>
    <row r="6468" spans="3:5">
      <c r="C6468" s="17"/>
      <c r="D6468" s="17"/>
      <c r="E6468" s="7"/>
    </row>
    <row r="6469" spans="3:5">
      <c r="C6469" s="17"/>
      <c r="D6469" s="17"/>
      <c r="E6469" s="7"/>
    </row>
    <row r="6470" spans="3:5">
      <c r="C6470" s="17"/>
      <c r="D6470" s="17"/>
      <c r="E6470" s="7"/>
    </row>
    <row r="6471" spans="3:5">
      <c r="C6471" s="17"/>
      <c r="D6471" s="17"/>
      <c r="E6471" s="7"/>
    </row>
    <row r="6472" spans="3:5">
      <c r="C6472" s="17"/>
      <c r="D6472" s="17"/>
      <c r="E6472" s="7"/>
    </row>
    <row r="6473" spans="3:5">
      <c r="C6473" s="17"/>
      <c r="D6473" s="17"/>
      <c r="E6473" s="7"/>
    </row>
    <row r="6474" spans="3:5">
      <c r="C6474" s="17"/>
      <c r="D6474" s="17"/>
      <c r="E6474" s="7"/>
    </row>
    <row r="6475" spans="3:5">
      <c r="C6475" s="17"/>
      <c r="D6475" s="17"/>
      <c r="E6475" s="7"/>
    </row>
    <row r="6476" spans="3:5">
      <c r="C6476" s="17"/>
      <c r="D6476" s="17"/>
      <c r="E6476" s="7"/>
    </row>
    <row r="6477" spans="3:5">
      <c r="C6477" s="17"/>
      <c r="D6477" s="17"/>
      <c r="E6477" s="7"/>
    </row>
    <row r="6478" spans="3:5">
      <c r="C6478" s="17"/>
      <c r="D6478" s="17"/>
      <c r="E6478" s="7"/>
    </row>
    <row r="6479" spans="3:5">
      <c r="C6479" s="17"/>
      <c r="D6479" s="17"/>
      <c r="E6479" s="7"/>
    </row>
    <row r="6480" spans="3:5">
      <c r="C6480" s="17"/>
      <c r="D6480" s="17"/>
      <c r="E6480" s="7"/>
    </row>
    <row r="6481" spans="3:5">
      <c r="C6481" s="17"/>
      <c r="D6481" s="17"/>
      <c r="E6481" s="7"/>
    </row>
    <row r="6482" spans="3:5">
      <c r="C6482" s="17"/>
      <c r="D6482" s="17"/>
      <c r="E6482" s="7"/>
    </row>
    <row r="6483" spans="3:5">
      <c r="C6483" s="17"/>
      <c r="D6483" s="17"/>
      <c r="E6483" s="7"/>
    </row>
    <row r="6484" spans="3:5">
      <c r="C6484" s="17"/>
      <c r="D6484" s="17"/>
      <c r="E6484" s="7"/>
    </row>
    <row r="6485" spans="3:5">
      <c r="C6485" s="17"/>
      <c r="D6485" s="17"/>
      <c r="E6485" s="7"/>
    </row>
    <row r="6486" spans="3:5">
      <c r="C6486" s="17"/>
      <c r="D6486" s="17"/>
      <c r="E6486" s="7"/>
    </row>
    <row r="6487" spans="3:5">
      <c r="C6487" s="17"/>
      <c r="D6487" s="17"/>
      <c r="E6487" s="7"/>
    </row>
    <row r="6488" spans="3:5">
      <c r="C6488" s="17"/>
      <c r="D6488" s="17"/>
      <c r="E6488" s="7"/>
    </row>
    <row r="6489" spans="3:5">
      <c r="C6489" s="17"/>
      <c r="D6489" s="17"/>
      <c r="E6489" s="7"/>
    </row>
    <row r="6490" spans="3:5">
      <c r="C6490" s="17"/>
      <c r="D6490" s="17"/>
      <c r="E6490" s="7"/>
    </row>
    <row r="6491" spans="3:5">
      <c r="C6491" s="17"/>
      <c r="D6491" s="17"/>
      <c r="E6491" s="7"/>
    </row>
    <row r="6492" spans="3:5">
      <c r="C6492" s="17"/>
      <c r="D6492" s="17"/>
      <c r="E6492" s="7"/>
    </row>
    <row r="6493" spans="3:5">
      <c r="C6493" s="17"/>
      <c r="D6493" s="17"/>
      <c r="E6493" s="7"/>
    </row>
    <row r="6494" spans="3:5">
      <c r="C6494" s="17"/>
      <c r="D6494" s="17"/>
      <c r="E6494" s="7"/>
    </row>
    <row r="6495" spans="3:5">
      <c r="C6495" s="17"/>
      <c r="D6495" s="17"/>
      <c r="E6495" s="7"/>
    </row>
    <row r="6496" spans="3:5">
      <c r="C6496" s="17"/>
      <c r="D6496" s="17"/>
      <c r="E6496" s="7"/>
    </row>
    <row r="6497" spans="3:5">
      <c r="C6497" s="17"/>
      <c r="D6497" s="17"/>
      <c r="E6497" s="7"/>
    </row>
    <row r="6498" spans="3:5">
      <c r="C6498" s="17"/>
      <c r="D6498" s="17"/>
      <c r="E6498" s="7"/>
    </row>
    <row r="6499" spans="3:5">
      <c r="C6499" s="17"/>
      <c r="D6499" s="17"/>
      <c r="E6499" s="7"/>
    </row>
    <row r="6500" spans="3:5">
      <c r="C6500" s="17"/>
      <c r="D6500" s="17"/>
      <c r="E6500" s="7"/>
    </row>
    <row r="6501" spans="3:5">
      <c r="C6501" s="17"/>
      <c r="D6501" s="17"/>
      <c r="E6501" s="7"/>
    </row>
    <row r="6502" spans="3:5">
      <c r="C6502" s="17"/>
      <c r="D6502" s="17"/>
      <c r="E6502" s="7"/>
    </row>
    <row r="6503" spans="3:5">
      <c r="C6503" s="17"/>
      <c r="D6503" s="17"/>
      <c r="E6503" s="7"/>
    </row>
    <row r="6504" spans="3:5">
      <c r="C6504" s="17"/>
      <c r="D6504" s="17"/>
      <c r="E6504" s="7"/>
    </row>
    <row r="6505" spans="3:5">
      <c r="C6505" s="17"/>
      <c r="D6505" s="17"/>
      <c r="E6505" s="7"/>
    </row>
    <row r="6506" spans="3:5">
      <c r="C6506" s="17"/>
      <c r="D6506" s="17"/>
      <c r="E6506" s="7"/>
    </row>
    <row r="6507" spans="3:5">
      <c r="C6507" s="17"/>
      <c r="D6507" s="17"/>
      <c r="E6507" s="7"/>
    </row>
    <row r="6508" spans="3:5">
      <c r="C6508" s="17"/>
      <c r="D6508" s="17"/>
      <c r="E6508" s="7"/>
    </row>
    <row r="6509" spans="3:5">
      <c r="C6509" s="17"/>
      <c r="D6509" s="17"/>
      <c r="E6509" s="7"/>
    </row>
    <row r="6510" spans="3:5">
      <c r="C6510" s="17"/>
      <c r="D6510" s="17"/>
      <c r="E6510" s="7"/>
    </row>
    <row r="6511" spans="3:5">
      <c r="C6511" s="17"/>
      <c r="D6511" s="17"/>
      <c r="E6511" s="7"/>
    </row>
    <row r="6512" spans="3:5">
      <c r="C6512" s="17"/>
      <c r="D6512" s="17"/>
      <c r="E6512" s="7"/>
    </row>
    <row r="6513" spans="3:5">
      <c r="C6513" s="17"/>
      <c r="D6513" s="17"/>
      <c r="E6513" s="7"/>
    </row>
    <row r="6514" spans="3:5">
      <c r="C6514" s="17"/>
      <c r="D6514" s="17"/>
      <c r="E6514" s="7"/>
    </row>
    <row r="6515" spans="3:5">
      <c r="C6515" s="17"/>
      <c r="D6515" s="17"/>
      <c r="E6515" s="7"/>
    </row>
    <row r="6516" spans="3:5">
      <c r="C6516" s="17"/>
      <c r="D6516" s="17"/>
      <c r="E6516" s="7"/>
    </row>
    <row r="6517" spans="3:5">
      <c r="C6517" s="17"/>
      <c r="D6517" s="17"/>
      <c r="E6517" s="7"/>
    </row>
    <row r="6518" spans="3:5">
      <c r="C6518" s="17"/>
      <c r="D6518" s="17"/>
      <c r="E6518" s="7"/>
    </row>
    <row r="6519" spans="3:5">
      <c r="C6519" s="17"/>
      <c r="D6519" s="17"/>
      <c r="E6519" s="7"/>
    </row>
    <row r="6520" spans="3:5">
      <c r="C6520" s="17"/>
      <c r="D6520" s="17"/>
      <c r="E6520" s="7"/>
    </row>
    <row r="6521" spans="3:5">
      <c r="C6521" s="17"/>
      <c r="D6521" s="17"/>
      <c r="E6521" s="7"/>
    </row>
    <row r="6522" spans="3:5">
      <c r="C6522" s="17"/>
      <c r="D6522" s="17"/>
      <c r="E6522" s="7"/>
    </row>
    <row r="6523" spans="3:5">
      <c r="C6523" s="17"/>
      <c r="D6523" s="17"/>
      <c r="E6523" s="7"/>
    </row>
    <row r="6524" spans="3:5">
      <c r="C6524" s="17"/>
      <c r="D6524" s="17"/>
      <c r="E6524" s="7"/>
    </row>
    <row r="6525" spans="3:5">
      <c r="C6525" s="17"/>
      <c r="D6525" s="17"/>
      <c r="E6525" s="7"/>
    </row>
    <row r="6526" spans="3:5">
      <c r="C6526" s="17"/>
      <c r="D6526" s="17"/>
      <c r="E6526" s="7"/>
    </row>
    <row r="6527" spans="3:5">
      <c r="C6527" s="17"/>
      <c r="D6527" s="17"/>
      <c r="E6527" s="7"/>
    </row>
    <row r="6528" spans="3:5">
      <c r="C6528" s="17"/>
      <c r="D6528" s="17"/>
      <c r="E6528" s="7"/>
    </row>
    <row r="6529" spans="3:5">
      <c r="C6529" s="17"/>
      <c r="D6529" s="17"/>
      <c r="E6529" s="7"/>
    </row>
    <row r="6530" spans="3:5">
      <c r="C6530" s="17"/>
      <c r="D6530" s="17"/>
      <c r="E6530" s="7"/>
    </row>
    <row r="6531" spans="3:5">
      <c r="C6531" s="17"/>
      <c r="D6531" s="17"/>
      <c r="E6531" s="7"/>
    </row>
    <row r="6532" spans="3:5">
      <c r="C6532" s="17"/>
      <c r="D6532" s="17"/>
      <c r="E6532" s="7"/>
    </row>
    <row r="6533" spans="3:5">
      <c r="C6533" s="17"/>
      <c r="D6533" s="17"/>
      <c r="E6533" s="7"/>
    </row>
    <row r="6534" spans="3:5">
      <c r="C6534" s="17"/>
      <c r="D6534" s="17"/>
      <c r="E6534" s="7"/>
    </row>
    <row r="6535" spans="3:5">
      <c r="C6535" s="17"/>
      <c r="D6535" s="17"/>
      <c r="E6535" s="7"/>
    </row>
    <row r="6536" spans="3:5">
      <c r="C6536" s="17"/>
      <c r="D6536" s="17"/>
      <c r="E6536" s="7"/>
    </row>
    <row r="6537" spans="3:5">
      <c r="C6537" s="17"/>
      <c r="D6537" s="17"/>
      <c r="E6537" s="7"/>
    </row>
    <row r="6538" spans="3:5">
      <c r="C6538" s="17"/>
      <c r="D6538" s="17"/>
      <c r="E6538" s="7"/>
    </row>
    <row r="6539" spans="3:5">
      <c r="C6539" s="17"/>
      <c r="D6539" s="17"/>
      <c r="E6539" s="7"/>
    </row>
    <row r="6540" spans="3:5">
      <c r="C6540" s="17"/>
      <c r="D6540" s="17"/>
      <c r="E6540" s="7"/>
    </row>
    <row r="6541" spans="3:5">
      <c r="C6541" s="17"/>
      <c r="D6541" s="17"/>
      <c r="E6541" s="7"/>
    </row>
    <row r="6542" spans="3:5">
      <c r="C6542" s="17"/>
      <c r="D6542" s="17"/>
      <c r="E6542" s="7"/>
    </row>
    <row r="6543" spans="3:5">
      <c r="C6543" s="17"/>
      <c r="D6543" s="17"/>
      <c r="E6543" s="7"/>
    </row>
    <row r="6544" spans="3:5">
      <c r="C6544" s="17"/>
      <c r="D6544" s="17"/>
      <c r="E6544" s="7"/>
    </row>
    <row r="6545" spans="3:5">
      <c r="C6545" s="17"/>
      <c r="D6545" s="17"/>
      <c r="E6545" s="7"/>
    </row>
    <row r="6546" spans="3:5">
      <c r="C6546" s="17"/>
      <c r="D6546" s="17"/>
      <c r="E6546" s="7"/>
    </row>
    <row r="6547" spans="3:5">
      <c r="C6547" s="17"/>
      <c r="D6547" s="17"/>
      <c r="E6547" s="7"/>
    </row>
    <row r="6548" spans="3:5">
      <c r="C6548" s="17"/>
      <c r="D6548" s="17"/>
      <c r="E6548" s="7"/>
    </row>
    <row r="6549" spans="3:5">
      <c r="C6549" s="17"/>
      <c r="D6549" s="17"/>
      <c r="E6549" s="7"/>
    </row>
    <row r="6550" spans="3:5">
      <c r="C6550" s="17"/>
      <c r="D6550" s="17"/>
      <c r="E6550" s="7"/>
    </row>
    <row r="6551" spans="3:5">
      <c r="C6551" s="17"/>
      <c r="D6551" s="17"/>
      <c r="E6551" s="7"/>
    </row>
    <row r="6552" spans="3:5">
      <c r="C6552" s="17"/>
      <c r="D6552" s="17"/>
      <c r="E6552" s="7"/>
    </row>
    <row r="6553" spans="3:5">
      <c r="C6553" s="17"/>
      <c r="D6553" s="17"/>
      <c r="E6553" s="7"/>
    </row>
    <row r="6554" spans="3:5">
      <c r="C6554" s="17"/>
      <c r="D6554" s="17"/>
      <c r="E6554" s="7"/>
    </row>
    <row r="6555" spans="3:5">
      <c r="C6555" s="17"/>
      <c r="D6555" s="17"/>
      <c r="E6555" s="7"/>
    </row>
    <row r="6556" spans="3:5">
      <c r="C6556" s="17"/>
      <c r="D6556" s="17"/>
      <c r="E6556" s="7"/>
    </row>
    <row r="6557" spans="3:5">
      <c r="C6557" s="17"/>
      <c r="D6557" s="17"/>
      <c r="E6557" s="7"/>
    </row>
    <row r="6558" spans="3:5">
      <c r="C6558" s="17"/>
      <c r="D6558" s="17"/>
      <c r="E6558" s="7"/>
    </row>
    <row r="6559" spans="3:5">
      <c r="C6559" s="17"/>
      <c r="D6559" s="17"/>
      <c r="E6559" s="7"/>
    </row>
    <row r="6560" spans="3:5">
      <c r="C6560" s="17"/>
      <c r="D6560" s="17"/>
      <c r="E6560" s="7"/>
    </row>
    <row r="6561" spans="3:5">
      <c r="C6561" s="17"/>
      <c r="D6561" s="17"/>
      <c r="E6561" s="7"/>
    </row>
    <row r="6562" spans="3:5">
      <c r="C6562" s="17"/>
      <c r="D6562" s="17"/>
      <c r="E6562" s="7"/>
    </row>
    <row r="6563" spans="3:5">
      <c r="C6563" s="17"/>
      <c r="D6563" s="17"/>
      <c r="E6563" s="7"/>
    </row>
    <row r="6564" spans="3:5">
      <c r="C6564" s="17"/>
      <c r="D6564" s="17"/>
      <c r="E6564" s="7"/>
    </row>
    <row r="6565" spans="3:5">
      <c r="C6565" s="17"/>
      <c r="D6565" s="17"/>
      <c r="E6565" s="7"/>
    </row>
    <row r="6566" spans="3:5">
      <c r="C6566" s="17"/>
      <c r="D6566" s="17"/>
      <c r="E6566" s="7"/>
    </row>
    <row r="6567" spans="3:5">
      <c r="C6567" s="17"/>
      <c r="D6567" s="17"/>
      <c r="E6567" s="7"/>
    </row>
    <row r="6568" spans="3:5">
      <c r="C6568" s="17"/>
      <c r="D6568" s="17"/>
      <c r="E6568" s="7"/>
    </row>
    <row r="6569" spans="3:5">
      <c r="C6569" s="17"/>
      <c r="D6569" s="17"/>
      <c r="E6569" s="7"/>
    </row>
    <row r="6570" spans="3:5">
      <c r="C6570" s="17"/>
      <c r="D6570" s="17"/>
      <c r="E6570" s="7"/>
    </row>
    <row r="6571" spans="3:5">
      <c r="C6571" s="17"/>
      <c r="D6571" s="17"/>
      <c r="E6571" s="7"/>
    </row>
    <row r="6572" spans="3:5">
      <c r="C6572" s="17"/>
      <c r="D6572" s="17"/>
      <c r="E6572" s="7"/>
    </row>
    <row r="6573" spans="3:5">
      <c r="C6573" s="17"/>
      <c r="D6573" s="17"/>
      <c r="E6573" s="7"/>
    </row>
    <row r="6574" spans="3:5">
      <c r="C6574" s="17"/>
      <c r="D6574" s="17"/>
      <c r="E6574" s="7"/>
    </row>
    <row r="6575" spans="3:5">
      <c r="C6575" s="17"/>
      <c r="D6575" s="17"/>
      <c r="E6575" s="7"/>
    </row>
    <row r="6576" spans="3:5">
      <c r="C6576" s="17"/>
      <c r="D6576" s="17"/>
      <c r="E6576" s="7"/>
    </row>
    <row r="6577" spans="3:5">
      <c r="C6577" s="17"/>
      <c r="D6577" s="17"/>
      <c r="E6577" s="7"/>
    </row>
    <row r="6578" spans="3:5">
      <c r="C6578" s="17"/>
      <c r="D6578" s="17"/>
      <c r="E6578" s="7"/>
    </row>
    <row r="6579" spans="3:5">
      <c r="C6579" s="17"/>
      <c r="D6579" s="17"/>
      <c r="E6579" s="7"/>
    </row>
    <row r="6580" spans="3:5">
      <c r="C6580" s="17"/>
      <c r="D6580" s="17"/>
      <c r="E6580" s="7"/>
    </row>
    <row r="6581" spans="3:5">
      <c r="C6581" s="17"/>
      <c r="D6581" s="17"/>
      <c r="E6581" s="7"/>
    </row>
    <row r="6582" spans="3:5">
      <c r="C6582" s="17"/>
      <c r="D6582" s="17"/>
      <c r="E6582" s="7"/>
    </row>
    <row r="6583" spans="3:5">
      <c r="C6583" s="17"/>
      <c r="D6583" s="17"/>
      <c r="E6583" s="7"/>
    </row>
    <row r="6584" spans="3:5">
      <c r="C6584" s="17"/>
      <c r="D6584" s="17"/>
      <c r="E6584" s="7"/>
    </row>
    <row r="6585" spans="3:5">
      <c r="C6585" s="17"/>
      <c r="D6585" s="17"/>
      <c r="E6585" s="7"/>
    </row>
    <row r="6586" spans="3:5">
      <c r="C6586" s="17"/>
      <c r="D6586" s="17"/>
      <c r="E6586" s="7"/>
    </row>
    <row r="6587" spans="3:5">
      <c r="C6587" s="17"/>
      <c r="D6587" s="17"/>
      <c r="E6587" s="7"/>
    </row>
    <row r="6588" spans="3:5">
      <c r="C6588" s="17"/>
      <c r="D6588" s="17"/>
      <c r="E6588" s="7"/>
    </row>
    <row r="6589" spans="3:5">
      <c r="C6589" s="17"/>
      <c r="D6589" s="17"/>
      <c r="E6589" s="7"/>
    </row>
    <row r="6590" spans="3:5">
      <c r="C6590" s="17"/>
      <c r="D6590" s="17"/>
      <c r="E6590" s="7"/>
    </row>
    <row r="6591" spans="3:5">
      <c r="C6591" s="17"/>
      <c r="D6591" s="17"/>
      <c r="E6591" s="7"/>
    </row>
    <row r="6592" spans="3:5">
      <c r="C6592" s="17"/>
      <c r="D6592" s="17"/>
      <c r="E6592" s="7"/>
    </row>
    <row r="6593" spans="3:5">
      <c r="C6593" s="17"/>
      <c r="D6593" s="17"/>
      <c r="E6593" s="7"/>
    </row>
    <row r="6594" spans="3:5">
      <c r="C6594" s="17"/>
      <c r="D6594" s="17"/>
      <c r="E6594" s="7"/>
    </row>
    <row r="6595" spans="3:5">
      <c r="C6595" s="17"/>
      <c r="D6595" s="17"/>
      <c r="E6595" s="7"/>
    </row>
    <row r="6596" spans="3:5">
      <c r="C6596" s="17"/>
      <c r="D6596" s="17"/>
      <c r="E6596" s="7"/>
    </row>
    <row r="6597" spans="3:5">
      <c r="C6597" s="17"/>
      <c r="D6597" s="17"/>
      <c r="E6597" s="7"/>
    </row>
    <row r="6598" spans="3:5">
      <c r="C6598" s="17"/>
      <c r="D6598" s="17"/>
      <c r="E6598" s="7"/>
    </row>
    <row r="6599" spans="3:5">
      <c r="C6599" s="17"/>
      <c r="D6599" s="17"/>
      <c r="E6599" s="7"/>
    </row>
    <row r="6600" spans="3:5">
      <c r="C6600" s="17"/>
      <c r="D6600" s="17"/>
      <c r="E6600" s="7"/>
    </row>
    <row r="6601" spans="3:5">
      <c r="C6601" s="17"/>
      <c r="D6601" s="17"/>
      <c r="E6601" s="7"/>
    </row>
    <row r="6602" spans="3:5">
      <c r="C6602" s="17"/>
      <c r="D6602" s="17"/>
      <c r="E6602" s="7"/>
    </row>
    <row r="6603" spans="3:5">
      <c r="C6603" s="17"/>
      <c r="D6603" s="17"/>
      <c r="E6603" s="7"/>
    </row>
    <row r="6604" spans="3:5">
      <c r="C6604" s="17"/>
      <c r="D6604" s="17"/>
      <c r="E6604" s="7"/>
    </row>
    <row r="6605" spans="3:5">
      <c r="C6605" s="17"/>
      <c r="D6605" s="17"/>
      <c r="E6605" s="7"/>
    </row>
    <row r="6606" spans="3:5">
      <c r="C6606" s="17"/>
      <c r="D6606" s="17"/>
      <c r="E6606" s="7"/>
    </row>
    <row r="6607" spans="3:5">
      <c r="C6607" s="17"/>
      <c r="D6607" s="17"/>
      <c r="E6607" s="7"/>
    </row>
    <row r="6608" spans="3:5">
      <c r="C6608" s="17"/>
      <c r="D6608" s="17"/>
      <c r="E6608" s="7"/>
    </row>
    <row r="6609" spans="3:5">
      <c r="C6609" s="17"/>
      <c r="D6609" s="17"/>
      <c r="E6609" s="7"/>
    </row>
    <row r="6610" spans="3:5">
      <c r="C6610" s="17"/>
      <c r="D6610" s="17"/>
      <c r="E6610" s="7"/>
    </row>
    <row r="6611" spans="3:5">
      <c r="C6611" s="17"/>
      <c r="D6611" s="17"/>
      <c r="E6611" s="7"/>
    </row>
    <row r="6612" spans="3:5">
      <c r="C6612" s="17"/>
      <c r="D6612" s="17"/>
      <c r="E6612" s="7"/>
    </row>
    <row r="6613" spans="3:5">
      <c r="C6613" s="17"/>
      <c r="D6613" s="17"/>
      <c r="E6613" s="7"/>
    </row>
    <row r="6614" spans="3:5">
      <c r="C6614" s="17"/>
      <c r="D6614" s="17"/>
      <c r="E6614" s="7"/>
    </row>
    <row r="6615" spans="3:5">
      <c r="C6615" s="17"/>
      <c r="D6615" s="17"/>
      <c r="E6615" s="7"/>
    </row>
    <row r="6616" spans="3:5">
      <c r="C6616" s="17"/>
      <c r="D6616" s="17"/>
      <c r="E6616" s="7"/>
    </row>
    <row r="6617" spans="3:5">
      <c r="C6617" s="17"/>
      <c r="D6617" s="17"/>
      <c r="E6617" s="7"/>
    </row>
    <row r="6618" spans="3:5">
      <c r="C6618" s="17"/>
      <c r="D6618" s="17"/>
      <c r="E6618" s="7"/>
    </row>
    <row r="6619" spans="3:5">
      <c r="C6619" s="17"/>
      <c r="D6619" s="17"/>
      <c r="E6619" s="7"/>
    </row>
    <row r="6620" spans="3:5">
      <c r="C6620" s="17"/>
      <c r="D6620" s="17"/>
      <c r="E6620" s="7"/>
    </row>
    <row r="6621" spans="3:5">
      <c r="C6621" s="17"/>
      <c r="D6621" s="17"/>
      <c r="E6621" s="7"/>
    </row>
    <row r="6622" spans="3:5">
      <c r="C6622" s="17"/>
      <c r="D6622" s="17"/>
      <c r="E6622" s="7"/>
    </row>
    <row r="6623" spans="3:5">
      <c r="C6623" s="17"/>
      <c r="D6623" s="17"/>
      <c r="E6623" s="7"/>
    </row>
    <row r="6624" spans="3:5">
      <c r="C6624" s="17"/>
      <c r="D6624" s="17"/>
      <c r="E6624" s="7"/>
    </row>
    <row r="6625" spans="3:5">
      <c r="C6625" s="17"/>
      <c r="D6625" s="17"/>
      <c r="E6625" s="7"/>
    </row>
    <row r="6626" spans="3:5">
      <c r="C6626" s="17"/>
      <c r="D6626" s="17"/>
      <c r="E6626" s="7"/>
    </row>
    <row r="6627" spans="3:5">
      <c r="C6627" s="17"/>
      <c r="D6627" s="17"/>
      <c r="E6627" s="7"/>
    </row>
    <row r="6628" spans="3:5">
      <c r="C6628" s="17"/>
      <c r="D6628" s="17"/>
      <c r="E6628" s="7"/>
    </row>
    <row r="6629" spans="3:5">
      <c r="C6629" s="17"/>
      <c r="D6629" s="17"/>
      <c r="E6629" s="7"/>
    </row>
    <row r="6630" spans="3:5">
      <c r="C6630" s="17"/>
      <c r="D6630" s="17"/>
      <c r="E6630" s="7"/>
    </row>
    <row r="6631" spans="3:5">
      <c r="C6631" s="17"/>
      <c r="D6631" s="17"/>
      <c r="E6631" s="7"/>
    </row>
    <row r="6632" spans="3:5">
      <c r="C6632" s="17"/>
      <c r="D6632" s="17"/>
      <c r="E6632" s="7"/>
    </row>
    <row r="6633" spans="3:5">
      <c r="C6633" s="17"/>
      <c r="D6633" s="17"/>
      <c r="E6633" s="7"/>
    </row>
    <row r="6634" spans="3:5">
      <c r="C6634" s="17"/>
      <c r="D6634" s="17"/>
      <c r="E6634" s="7"/>
    </row>
    <row r="6635" spans="3:5">
      <c r="C6635" s="17"/>
      <c r="D6635" s="17"/>
      <c r="E6635" s="7"/>
    </row>
    <row r="6636" spans="3:5">
      <c r="C6636" s="17"/>
      <c r="D6636" s="17"/>
      <c r="E6636" s="7"/>
    </row>
    <row r="6637" spans="3:5">
      <c r="C6637" s="17"/>
      <c r="D6637" s="17"/>
      <c r="E6637" s="7"/>
    </row>
    <row r="6638" spans="3:5">
      <c r="C6638" s="17"/>
      <c r="D6638" s="17"/>
      <c r="E6638" s="7"/>
    </row>
    <row r="6639" spans="3:5">
      <c r="C6639" s="17"/>
      <c r="D6639" s="17"/>
      <c r="E6639" s="7"/>
    </row>
    <row r="6640" spans="3:5">
      <c r="C6640" s="17"/>
      <c r="D6640" s="17"/>
      <c r="E6640" s="7"/>
    </row>
    <row r="6641" spans="3:5">
      <c r="C6641" s="17"/>
      <c r="D6641" s="17"/>
      <c r="E6641" s="7"/>
    </row>
    <row r="6642" spans="3:5">
      <c r="C6642" s="17"/>
      <c r="D6642" s="17"/>
      <c r="E6642" s="7"/>
    </row>
    <row r="6643" spans="3:5">
      <c r="C6643" s="17"/>
      <c r="D6643" s="17"/>
      <c r="E6643" s="7"/>
    </row>
    <row r="6644" spans="3:5">
      <c r="C6644" s="17"/>
      <c r="D6644" s="17"/>
      <c r="E6644" s="7"/>
    </row>
    <row r="6645" spans="3:5">
      <c r="C6645" s="17"/>
      <c r="D6645" s="17"/>
      <c r="E6645" s="7"/>
    </row>
    <row r="6646" spans="3:5">
      <c r="C6646" s="17"/>
      <c r="D6646" s="17"/>
      <c r="E6646" s="7"/>
    </row>
    <row r="6647" spans="3:5">
      <c r="C6647" s="17"/>
      <c r="D6647" s="17"/>
      <c r="E6647" s="7"/>
    </row>
    <row r="6648" spans="3:5">
      <c r="C6648" s="17"/>
      <c r="D6648" s="17"/>
      <c r="E6648" s="7"/>
    </row>
    <row r="6649" spans="3:5">
      <c r="C6649" s="17"/>
      <c r="D6649" s="17"/>
      <c r="E6649" s="7"/>
    </row>
    <row r="6650" spans="3:5">
      <c r="C6650" s="17"/>
      <c r="D6650" s="17"/>
      <c r="E6650" s="7"/>
    </row>
    <row r="6651" spans="3:5">
      <c r="C6651" s="17"/>
      <c r="D6651" s="17"/>
      <c r="E6651" s="7"/>
    </row>
    <row r="6652" spans="3:5">
      <c r="C6652" s="17"/>
      <c r="D6652" s="17"/>
      <c r="E6652" s="7"/>
    </row>
    <row r="6653" spans="3:5">
      <c r="C6653" s="17"/>
      <c r="D6653" s="17"/>
      <c r="E6653" s="7"/>
    </row>
    <row r="6654" spans="3:5">
      <c r="C6654" s="17"/>
      <c r="D6654" s="17"/>
      <c r="E6654" s="7"/>
    </row>
    <row r="6655" spans="3:5">
      <c r="C6655" s="17"/>
      <c r="D6655" s="17"/>
      <c r="E6655" s="7"/>
    </row>
    <row r="6656" spans="3:5">
      <c r="C6656" s="17"/>
      <c r="D6656" s="17"/>
      <c r="E6656" s="7"/>
    </row>
    <row r="6657" spans="3:5">
      <c r="C6657" s="17"/>
      <c r="D6657" s="17"/>
      <c r="E6657" s="7"/>
    </row>
    <row r="6658" spans="3:5">
      <c r="C6658" s="17"/>
      <c r="D6658" s="17"/>
      <c r="E6658" s="7"/>
    </row>
    <row r="6659" spans="3:5">
      <c r="C6659" s="17"/>
      <c r="D6659" s="17"/>
      <c r="E6659" s="7"/>
    </row>
    <row r="6660" spans="3:5">
      <c r="C6660" s="17"/>
      <c r="D6660" s="17"/>
      <c r="E6660" s="7"/>
    </row>
    <row r="6661" spans="3:5">
      <c r="C6661" s="17"/>
      <c r="D6661" s="17"/>
      <c r="E6661" s="7"/>
    </row>
    <row r="6662" spans="3:5">
      <c r="C6662" s="17"/>
      <c r="D6662" s="17"/>
      <c r="E6662" s="7"/>
    </row>
    <row r="6663" spans="3:5">
      <c r="C6663" s="17"/>
      <c r="D6663" s="17"/>
      <c r="E6663" s="7"/>
    </row>
    <row r="6664" spans="3:5">
      <c r="C6664" s="17"/>
      <c r="D6664" s="17"/>
      <c r="E6664" s="7"/>
    </row>
    <row r="6665" spans="3:5">
      <c r="C6665" s="17"/>
      <c r="D6665" s="17"/>
      <c r="E6665" s="7"/>
    </row>
    <row r="6666" spans="3:5">
      <c r="C6666" s="17"/>
      <c r="D6666" s="17"/>
      <c r="E6666" s="7"/>
    </row>
    <row r="6667" spans="3:5">
      <c r="C6667" s="17"/>
      <c r="D6667" s="17"/>
      <c r="E6667" s="7"/>
    </row>
    <row r="6668" spans="3:5">
      <c r="C6668" s="17"/>
      <c r="D6668" s="17"/>
      <c r="E6668" s="7"/>
    </row>
    <row r="6669" spans="3:5">
      <c r="C6669" s="17"/>
      <c r="D6669" s="17"/>
      <c r="E6669" s="7"/>
    </row>
    <row r="6670" spans="3:5">
      <c r="C6670" s="17"/>
      <c r="D6670" s="17"/>
      <c r="E6670" s="7"/>
    </row>
    <row r="6671" spans="3:5">
      <c r="C6671" s="17"/>
      <c r="D6671" s="17"/>
      <c r="E6671" s="7"/>
    </row>
    <row r="6672" spans="3:5">
      <c r="C6672" s="17"/>
      <c r="D6672" s="17"/>
      <c r="E6672" s="7"/>
    </row>
    <row r="6673" spans="3:5">
      <c r="C6673" s="17"/>
      <c r="D6673" s="17"/>
      <c r="E6673" s="7"/>
    </row>
    <row r="6674" spans="3:5">
      <c r="C6674" s="17"/>
      <c r="D6674" s="17"/>
      <c r="E6674" s="7"/>
    </row>
    <row r="6675" spans="3:5">
      <c r="C6675" s="17"/>
      <c r="D6675" s="17"/>
      <c r="E6675" s="7"/>
    </row>
    <row r="6676" spans="3:5">
      <c r="C6676" s="17"/>
      <c r="D6676" s="17"/>
      <c r="E6676" s="7"/>
    </row>
    <row r="6677" spans="3:5">
      <c r="C6677" s="17"/>
      <c r="D6677" s="17"/>
      <c r="E6677" s="7"/>
    </row>
    <row r="6678" spans="3:5">
      <c r="C6678" s="17"/>
      <c r="D6678" s="17"/>
      <c r="E6678" s="7"/>
    </row>
    <row r="6679" spans="3:5">
      <c r="C6679" s="17"/>
      <c r="D6679" s="17"/>
      <c r="E6679" s="7"/>
    </row>
    <row r="6680" spans="3:5">
      <c r="C6680" s="17"/>
      <c r="D6680" s="17"/>
      <c r="E6680" s="7"/>
    </row>
    <row r="6681" spans="3:5">
      <c r="C6681" s="17"/>
      <c r="D6681" s="17"/>
      <c r="E6681" s="7"/>
    </row>
    <row r="6682" spans="3:5">
      <c r="C6682" s="17"/>
      <c r="D6682" s="17"/>
      <c r="E6682" s="7"/>
    </row>
    <row r="6683" spans="3:5">
      <c r="C6683" s="17"/>
      <c r="D6683" s="17"/>
      <c r="E6683" s="7"/>
    </row>
    <row r="6684" spans="3:5">
      <c r="C6684" s="17"/>
      <c r="D6684" s="17"/>
      <c r="E6684" s="7"/>
    </row>
    <row r="6685" spans="3:5">
      <c r="C6685" s="17"/>
      <c r="D6685" s="17"/>
      <c r="E6685" s="7"/>
    </row>
    <row r="6686" spans="3:5">
      <c r="C6686" s="17"/>
      <c r="D6686" s="17"/>
      <c r="E6686" s="7"/>
    </row>
    <row r="6687" spans="3:5">
      <c r="C6687" s="17"/>
      <c r="D6687" s="17"/>
      <c r="E6687" s="7"/>
    </row>
    <row r="6688" spans="3:5">
      <c r="C6688" s="17"/>
      <c r="D6688" s="17"/>
      <c r="E6688" s="7"/>
    </row>
    <row r="6689" spans="3:5">
      <c r="C6689" s="17"/>
      <c r="D6689" s="17"/>
      <c r="E6689" s="7"/>
    </row>
    <row r="6690" spans="3:5">
      <c r="C6690" s="17"/>
      <c r="D6690" s="17"/>
      <c r="E6690" s="7"/>
    </row>
    <row r="6691" spans="3:5">
      <c r="C6691" s="17"/>
      <c r="D6691" s="17"/>
      <c r="E6691" s="7"/>
    </row>
    <row r="6692" spans="3:5">
      <c r="C6692" s="17"/>
      <c r="D6692" s="17"/>
      <c r="E6692" s="7"/>
    </row>
    <row r="6693" spans="3:5">
      <c r="C6693" s="17"/>
      <c r="D6693" s="17"/>
      <c r="E6693" s="7"/>
    </row>
    <row r="6694" spans="3:5">
      <c r="C6694" s="17"/>
      <c r="D6694" s="17"/>
      <c r="E6694" s="7"/>
    </row>
    <row r="6695" spans="3:5">
      <c r="C6695" s="17"/>
      <c r="D6695" s="17"/>
      <c r="E6695" s="7"/>
    </row>
    <row r="6696" spans="3:5">
      <c r="C6696" s="17"/>
      <c r="D6696" s="17"/>
      <c r="E6696" s="7"/>
    </row>
    <row r="6697" spans="3:5">
      <c r="C6697" s="17"/>
      <c r="D6697" s="17"/>
      <c r="E6697" s="7"/>
    </row>
    <row r="6698" spans="3:5">
      <c r="C6698" s="17"/>
      <c r="D6698" s="17"/>
      <c r="E6698" s="7"/>
    </row>
    <row r="6699" spans="3:5">
      <c r="C6699" s="17"/>
      <c r="D6699" s="17"/>
      <c r="E6699" s="7"/>
    </row>
    <row r="6700" spans="3:5">
      <c r="C6700" s="17"/>
      <c r="D6700" s="17"/>
      <c r="E6700" s="7"/>
    </row>
    <row r="6701" spans="3:5">
      <c r="C6701" s="17"/>
      <c r="D6701" s="17"/>
      <c r="E6701" s="7"/>
    </row>
    <row r="6702" spans="3:5">
      <c r="C6702" s="17"/>
      <c r="D6702" s="17"/>
      <c r="E6702" s="7"/>
    </row>
    <row r="6703" spans="3:5">
      <c r="C6703" s="17"/>
      <c r="D6703" s="17"/>
      <c r="E6703" s="7"/>
    </row>
    <row r="6704" spans="3:5">
      <c r="C6704" s="17"/>
      <c r="D6704" s="17"/>
      <c r="E6704" s="7"/>
    </row>
    <row r="6705" spans="3:5">
      <c r="C6705" s="17"/>
      <c r="D6705" s="17"/>
      <c r="E6705" s="7"/>
    </row>
    <row r="6706" spans="3:5">
      <c r="C6706" s="17"/>
      <c r="D6706" s="17"/>
      <c r="E6706" s="7"/>
    </row>
    <row r="6707" spans="3:5">
      <c r="C6707" s="17"/>
      <c r="D6707" s="17"/>
      <c r="E6707" s="7"/>
    </row>
    <row r="6708" spans="3:5">
      <c r="C6708" s="17"/>
      <c r="D6708" s="17"/>
      <c r="E6708" s="7"/>
    </row>
    <row r="6709" spans="3:5">
      <c r="C6709" s="17"/>
      <c r="D6709" s="17"/>
      <c r="E6709" s="7"/>
    </row>
    <row r="6710" spans="3:5">
      <c r="C6710" s="17"/>
      <c r="D6710" s="17"/>
      <c r="E6710" s="7"/>
    </row>
    <row r="6711" spans="3:5">
      <c r="C6711" s="17"/>
      <c r="D6711" s="17"/>
      <c r="E6711" s="7"/>
    </row>
    <row r="6712" spans="3:5">
      <c r="C6712" s="17"/>
      <c r="D6712" s="17"/>
      <c r="E6712" s="7"/>
    </row>
    <row r="6713" spans="3:5">
      <c r="C6713" s="17"/>
      <c r="D6713" s="17"/>
      <c r="E6713" s="7"/>
    </row>
    <row r="6714" spans="3:5">
      <c r="C6714" s="17"/>
      <c r="D6714" s="17"/>
      <c r="E6714" s="7"/>
    </row>
    <row r="6715" spans="3:5">
      <c r="C6715" s="17"/>
      <c r="D6715" s="17"/>
      <c r="E6715" s="7"/>
    </row>
    <row r="6716" spans="3:5">
      <c r="C6716" s="17"/>
      <c r="D6716" s="17"/>
      <c r="E6716" s="7"/>
    </row>
    <row r="6717" spans="3:5">
      <c r="C6717" s="17"/>
      <c r="D6717" s="17"/>
      <c r="E6717" s="7"/>
    </row>
    <row r="6718" spans="3:5">
      <c r="C6718" s="17"/>
      <c r="D6718" s="17"/>
      <c r="E6718" s="7"/>
    </row>
    <row r="6719" spans="3:5">
      <c r="C6719" s="17"/>
      <c r="D6719" s="17"/>
      <c r="E6719" s="7"/>
    </row>
    <row r="6720" spans="3:5">
      <c r="C6720" s="17"/>
      <c r="D6720" s="17"/>
      <c r="E6720" s="7"/>
    </row>
    <row r="6721" spans="3:5">
      <c r="C6721" s="17"/>
      <c r="D6721" s="17"/>
      <c r="E6721" s="7"/>
    </row>
    <row r="6722" spans="3:5">
      <c r="C6722" s="17"/>
      <c r="D6722" s="17"/>
      <c r="E6722" s="7"/>
    </row>
    <row r="6723" spans="3:5">
      <c r="C6723" s="17"/>
      <c r="D6723" s="17"/>
      <c r="E6723" s="7"/>
    </row>
    <row r="6724" spans="3:5">
      <c r="C6724" s="17"/>
      <c r="D6724" s="17"/>
      <c r="E6724" s="7"/>
    </row>
    <row r="6725" spans="3:5">
      <c r="C6725" s="17"/>
      <c r="D6725" s="17"/>
      <c r="E6725" s="7"/>
    </row>
    <row r="6726" spans="3:5">
      <c r="C6726" s="17"/>
      <c r="D6726" s="17"/>
      <c r="E6726" s="7"/>
    </row>
    <row r="6727" spans="3:5">
      <c r="C6727" s="17"/>
      <c r="D6727" s="17"/>
      <c r="E6727" s="7"/>
    </row>
    <row r="6728" spans="3:5">
      <c r="C6728" s="17"/>
      <c r="D6728" s="17"/>
      <c r="E6728" s="7"/>
    </row>
    <row r="6729" spans="3:5">
      <c r="C6729" s="17"/>
      <c r="D6729" s="17"/>
      <c r="E6729" s="7"/>
    </row>
    <row r="6730" spans="3:5">
      <c r="C6730" s="17"/>
      <c r="D6730" s="17"/>
      <c r="E6730" s="7"/>
    </row>
    <row r="6731" spans="3:5">
      <c r="C6731" s="17"/>
      <c r="D6731" s="17"/>
      <c r="E6731" s="7"/>
    </row>
    <row r="6732" spans="3:5">
      <c r="C6732" s="17"/>
      <c r="D6732" s="17"/>
      <c r="E6732" s="7"/>
    </row>
    <row r="6733" spans="3:5">
      <c r="C6733" s="17"/>
      <c r="D6733" s="17"/>
      <c r="E6733" s="7"/>
    </row>
    <row r="6734" spans="3:5">
      <c r="C6734" s="17"/>
      <c r="D6734" s="17"/>
      <c r="E6734" s="7"/>
    </row>
    <row r="6735" spans="3:5">
      <c r="C6735" s="17"/>
      <c r="D6735" s="17"/>
      <c r="E6735" s="7"/>
    </row>
    <row r="6736" spans="3:5">
      <c r="C6736" s="17"/>
      <c r="D6736" s="17"/>
      <c r="E6736" s="7"/>
    </row>
    <row r="6737" spans="3:5">
      <c r="C6737" s="17"/>
      <c r="D6737" s="17"/>
      <c r="E6737" s="7"/>
    </row>
    <row r="6738" spans="3:5">
      <c r="C6738" s="17"/>
      <c r="D6738" s="17"/>
      <c r="E6738" s="7"/>
    </row>
    <row r="6739" spans="3:5">
      <c r="C6739" s="17"/>
      <c r="D6739" s="17"/>
      <c r="E6739" s="7"/>
    </row>
    <row r="6740" spans="3:5">
      <c r="C6740" s="17"/>
      <c r="D6740" s="17"/>
      <c r="E6740" s="7"/>
    </row>
    <row r="6741" spans="3:5">
      <c r="C6741" s="17"/>
      <c r="D6741" s="17"/>
      <c r="E6741" s="7"/>
    </row>
    <row r="6742" spans="3:5">
      <c r="C6742" s="17"/>
      <c r="D6742" s="17"/>
      <c r="E6742" s="7"/>
    </row>
    <row r="6743" spans="3:5">
      <c r="C6743" s="17"/>
      <c r="D6743" s="17"/>
      <c r="E6743" s="7"/>
    </row>
    <row r="6744" spans="3:5">
      <c r="C6744" s="17"/>
      <c r="D6744" s="17"/>
      <c r="E6744" s="7"/>
    </row>
    <row r="6745" spans="3:5">
      <c r="C6745" s="17"/>
      <c r="D6745" s="17"/>
      <c r="E6745" s="7"/>
    </row>
    <row r="6746" spans="3:5">
      <c r="C6746" s="17"/>
      <c r="D6746" s="17"/>
      <c r="E6746" s="7"/>
    </row>
    <row r="6747" spans="3:5">
      <c r="C6747" s="17"/>
      <c r="D6747" s="17"/>
      <c r="E6747" s="7"/>
    </row>
    <row r="6748" spans="3:5">
      <c r="C6748" s="17"/>
      <c r="D6748" s="17"/>
      <c r="E6748" s="7"/>
    </row>
    <row r="6749" spans="3:5">
      <c r="C6749" s="17"/>
      <c r="D6749" s="17"/>
      <c r="E6749" s="7"/>
    </row>
    <row r="6750" spans="3:5">
      <c r="C6750" s="17"/>
      <c r="D6750" s="17"/>
      <c r="E6750" s="7"/>
    </row>
    <row r="6751" spans="3:5">
      <c r="C6751" s="17"/>
      <c r="D6751" s="17"/>
      <c r="E6751" s="7"/>
    </row>
    <row r="6752" spans="3:5">
      <c r="C6752" s="17"/>
      <c r="D6752" s="17"/>
      <c r="E6752" s="7"/>
    </row>
    <row r="6753" spans="3:5">
      <c r="C6753" s="17"/>
      <c r="D6753" s="17"/>
      <c r="E6753" s="7"/>
    </row>
    <row r="6754" spans="3:5">
      <c r="C6754" s="17"/>
      <c r="D6754" s="17"/>
      <c r="E6754" s="7"/>
    </row>
    <row r="6755" spans="3:5">
      <c r="C6755" s="17"/>
      <c r="D6755" s="17"/>
      <c r="E6755" s="7"/>
    </row>
    <row r="6756" spans="3:5">
      <c r="C6756" s="17"/>
      <c r="D6756" s="17"/>
      <c r="E6756" s="7"/>
    </row>
    <row r="6757" spans="3:5">
      <c r="C6757" s="17"/>
      <c r="D6757" s="17"/>
      <c r="E6757" s="7"/>
    </row>
    <row r="6758" spans="3:5">
      <c r="C6758" s="17"/>
      <c r="D6758" s="17"/>
      <c r="E6758" s="7"/>
    </row>
    <row r="6759" spans="3:5">
      <c r="C6759" s="17"/>
      <c r="D6759" s="17"/>
      <c r="E6759" s="7"/>
    </row>
    <row r="6760" spans="3:5">
      <c r="C6760" s="17"/>
      <c r="D6760" s="17"/>
      <c r="E6760" s="7"/>
    </row>
    <row r="6761" spans="3:5">
      <c r="C6761" s="17"/>
      <c r="D6761" s="17"/>
      <c r="E6761" s="7"/>
    </row>
    <row r="6762" spans="3:5">
      <c r="C6762" s="17"/>
      <c r="D6762" s="17"/>
      <c r="E6762" s="7"/>
    </row>
    <row r="6763" spans="3:5">
      <c r="C6763" s="17"/>
      <c r="D6763" s="17"/>
      <c r="E6763" s="7"/>
    </row>
    <row r="6764" spans="3:5">
      <c r="C6764" s="17"/>
      <c r="D6764" s="17"/>
      <c r="E6764" s="7"/>
    </row>
    <row r="6765" spans="3:5">
      <c r="C6765" s="17"/>
      <c r="D6765" s="17"/>
      <c r="E6765" s="7"/>
    </row>
    <row r="6766" spans="3:5">
      <c r="C6766" s="17"/>
      <c r="D6766" s="17"/>
      <c r="E6766" s="7"/>
    </row>
    <row r="6767" spans="3:5">
      <c r="C6767" s="17"/>
      <c r="D6767" s="17"/>
      <c r="E6767" s="7"/>
    </row>
    <row r="6768" spans="3:5">
      <c r="C6768" s="17"/>
      <c r="D6768" s="17"/>
      <c r="E6768" s="7"/>
    </row>
    <row r="6769" spans="3:5">
      <c r="C6769" s="17"/>
      <c r="D6769" s="17"/>
      <c r="E6769" s="7"/>
    </row>
    <row r="6770" spans="3:5">
      <c r="C6770" s="17"/>
      <c r="D6770" s="17"/>
      <c r="E6770" s="7"/>
    </row>
    <row r="6771" spans="3:5">
      <c r="C6771" s="17"/>
      <c r="D6771" s="17"/>
      <c r="E6771" s="7"/>
    </row>
    <row r="6772" spans="3:5">
      <c r="C6772" s="17"/>
      <c r="D6772" s="17"/>
      <c r="E6772" s="7"/>
    </row>
    <row r="6773" spans="3:5">
      <c r="C6773" s="17"/>
      <c r="D6773" s="17"/>
      <c r="E6773" s="7"/>
    </row>
    <row r="6774" spans="3:5">
      <c r="C6774" s="17"/>
      <c r="D6774" s="17"/>
      <c r="E6774" s="7"/>
    </row>
    <row r="6775" spans="3:5">
      <c r="C6775" s="17"/>
      <c r="D6775" s="17"/>
      <c r="E6775" s="7"/>
    </row>
    <row r="6776" spans="3:5">
      <c r="C6776" s="17"/>
      <c r="D6776" s="17"/>
      <c r="E6776" s="7"/>
    </row>
    <row r="6777" spans="3:5">
      <c r="C6777" s="17"/>
      <c r="D6777" s="17"/>
      <c r="E6777" s="7"/>
    </row>
    <row r="6778" spans="3:5">
      <c r="C6778" s="17"/>
      <c r="D6778" s="17"/>
      <c r="E6778" s="7"/>
    </row>
    <row r="6779" spans="3:5">
      <c r="C6779" s="17"/>
      <c r="D6779" s="17"/>
      <c r="E6779" s="7"/>
    </row>
    <row r="6780" spans="3:5">
      <c r="C6780" s="17"/>
      <c r="D6780" s="17"/>
      <c r="E6780" s="7"/>
    </row>
    <row r="6781" spans="3:5">
      <c r="C6781" s="17"/>
      <c r="D6781" s="17"/>
      <c r="E6781" s="7"/>
    </row>
    <row r="6782" spans="3:5">
      <c r="C6782" s="17"/>
      <c r="D6782" s="17"/>
      <c r="E6782" s="7"/>
    </row>
    <row r="6783" spans="3:5">
      <c r="C6783" s="17"/>
      <c r="D6783" s="17"/>
      <c r="E6783" s="7"/>
    </row>
    <row r="6784" spans="3:5">
      <c r="C6784" s="17"/>
      <c r="D6784" s="17"/>
      <c r="E6784" s="7"/>
    </row>
    <row r="6785" spans="3:5">
      <c r="C6785" s="17"/>
      <c r="D6785" s="17"/>
      <c r="E6785" s="7"/>
    </row>
    <row r="6786" spans="3:5">
      <c r="C6786" s="17"/>
      <c r="D6786" s="17"/>
      <c r="E6786" s="7"/>
    </row>
    <row r="6787" spans="3:5">
      <c r="C6787" s="17"/>
      <c r="D6787" s="17"/>
      <c r="E6787" s="7"/>
    </row>
    <row r="6788" spans="3:5">
      <c r="C6788" s="17"/>
      <c r="D6788" s="17"/>
      <c r="E6788" s="7"/>
    </row>
    <row r="6789" spans="3:5">
      <c r="C6789" s="17"/>
      <c r="D6789" s="17"/>
      <c r="E6789" s="7"/>
    </row>
    <row r="6790" spans="3:5">
      <c r="C6790" s="17"/>
      <c r="D6790" s="17"/>
      <c r="E6790" s="7"/>
    </row>
    <row r="6791" spans="3:5">
      <c r="C6791" s="17"/>
      <c r="D6791" s="17"/>
      <c r="E6791" s="7"/>
    </row>
    <row r="6792" spans="3:5">
      <c r="C6792" s="17"/>
      <c r="D6792" s="17"/>
      <c r="E6792" s="7"/>
    </row>
    <row r="6793" spans="3:5">
      <c r="C6793" s="17"/>
      <c r="D6793" s="17"/>
      <c r="E6793" s="7"/>
    </row>
    <row r="6794" spans="3:5">
      <c r="C6794" s="17"/>
      <c r="D6794" s="17"/>
      <c r="E6794" s="7"/>
    </row>
    <row r="6795" spans="3:5">
      <c r="C6795" s="17"/>
      <c r="D6795" s="17"/>
      <c r="E6795" s="7"/>
    </row>
    <row r="6796" spans="3:5">
      <c r="C6796" s="17"/>
      <c r="D6796" s="17"/>
      <c r="E6796" s="7"/>
    </row>
    <row r="6797" spans="3:5">
      <c r="C6797" s="17"/>
      <c r="D6797" s="17"/>
      <c r="E6797" s="7"/>
    </row>
    <row r="6798" spans="3:5">
      <c r="C6798" s="17"/>
      <c r="D6798" s="17"/>
      <c r="E6798" s="7"/>
    </row>
    <row r="6799" spans="3:5">
      <c r="C6799" s="17"/>
      <c r="D6799" s="17"/>
      <c r="E6799" s="7"/>
    </row>
    <row r="6800" spans="3:5">
      <c r="C6800" s="17"/>
      <c r="D6800" s="17"/>
      <c r="E6800" s="7"/>
    </row>
    <row r="6801" spans="3:5">
      <c r="C6801" s="17"/>
      <c r="D6801" s="17"/>
      <c r="E6801" s="7"/>
    </row>
    <row r="6802" spans="3:5">
      <c r="C6802" s="17"/>
      <c r="D6802" s="17"/>
      <c r="E6802" s="7"/>
    </row>
    <row r="6803" spans="3:5">
      <c r="C6803" s="17"/>
      <c r="D6803" s="17"/>
      <c r="E6803" s="7"/>
    </row>
    <row r="6804" spans="3:5">
      <c r="C6804" s="17"/>
      <c r="D6804" s="17"/>
      <c r="E6804" s="7"/>
    </row>
    <row r="6805" spans="3:5">
      <c r="C6805" s="17"/>
      <c r="D6805" s="17"/>
      <c r="E6805" s="7"/>
    </row>
    <row r="6806" spans="3:5">
      <c r="C6806" s="17"/>
      <c r="D6806" s="17"/>
      <c r="E6806" s="7"/>
    </row>
    <row r="6807" spans="3:5">
      <c r="C6807" s="17"/>
      <c r="D6807" s="17"/>
      <c r="E6807" s="7"/>
    </row>
    <row r="6808" spans="3:5">
      <c r="C6808" s="17"/>
      <c r="D6808" s="17"/>
      <c r="E6808" s="7"/>
    </row>
    <row r="6809" spans="3:5">
      <c r="C6809" s="17"/>
      <c r="D6809" s="17"/>
      <c r="E6809" s="7"/>
    </row>
    <row r="6810" spans="3:5">
      <c r="C6810" s="17"/>
      <c r="D6810" s="17"/>
      <c r="E6810" s="7"/>
    </row>
    <row r="6811" spans="3:5">
      <c r="C6811" s="17"/>
      <c r="D6811" s="17"/>
      <c r="E6811" s="7"/>
    </row>
    <row r="6812" spans="3:5">
      <c r="C6812" s="17"/>
      <c r="D6812" s="17"/>
      <c r="E6812" s="7"/>
    </row>
    <row r="6813" spans="3:5">
      <c r="C6813" s="17"/>
      <c r="D6813" s="17"/>
      <c r="E6813" s="7"/>
    </row>
    <row r="6814" spans="3:5">
      <c r="C6814" s="17"/>
      <c r="D6814" s="17"/>
      <c r="E6814" s="7"/>
    </row>
    <row r="6815" spans="3:5">
      <c r="C6815" s="17"/>
      <c r="D6815" s="17"/>
      <c r="E6815" s="7"/>
    </row>
    <row r="6816" spans="3:5">
      <c r="C6816" s="17"/>
      <c r="D6816" s="17"/>
      <c r="E6816" s="7"/>
    </row>
    <row r="6817" spans="3:5">
      <c r="C6817" s="17"/>
      <c r="D6817" s="17"/>
      <c r="E6817" s="7"/>
    </row>
    <row r="6818" spans="3:5">
      <c r="C6818" s="17"/>
      <c r="D6818" s="17"/>
      <c r="E6818" s="7"/>
    </row>
    <row r="6819" spans="3:5">
      <c r="C6819" s="17"/>
      <c r="D6819" s="17"/>
      <c r="E6819" s="7"/>
    </row>
    <row r="6820" spans="3:5">
      <c r="C6820" s="17"/>
      <c r="D6820" s="17"/>
      <c r="E6820" s="7"/>
    </row>
    <row r="6821" spans="3:5">
      <c r="C6821" s="17"/>
      <c r="D6821" s="17"/>
      <c r="E6821" s="7"/>
    </row>
    <row r="6822" spans="3:5">
      <c r="C6822" s="17"/>
      <c r="D6822" s="17"/>
      <c r="E6822" s="7"/>
    </row>
    <row r="6823" spans="3:5">
      <c r="C6823" s="17"/>
      <c r="D6823" s="17"/>
      <c r="E6823" s="7"/>
    </row>
    <row r="6824" spans="3:5">
      <c r="C6824" s="17"/>
      <c r="D6824" s="17"/>
      <c r="E6824" s="7"/>
    </row>
    <row r="6825" spans="3:5">
      <c r="C6825" s="17"/>
      <c r="D6825" s="17"/>
      <c r="E6825" s="7"/>
    </row>
    <row r="6826" spans="3:5">
      <c r="C6826" s="17"/>
      <c r="D6826" s="17"/>
      <c r="E6826" s="7"/>
    </row>
    <row r="6827" spans="3:5">
      <c r="C6827" s="17"/>
      <c r="D6827" s="17"/>
      <c r="E6827" s="7"/>
    </row>
    <row r="6828" spans="3:5">
      <c r="C6828" s="17"/>
      <c r="D6828" s="17"/>
      <c r="E6828" s="7"/>
    </row>
    <row r="6829" spans="3:5">
      <c r="C6829" s="17"/>
      <c r="D6829" s="17"/>
      <c r="E6829" s="7"/>
    </row>
    <row r="6830" spans="3:5">
      <c r="C6830" s="17"/>
      <c r="D6830" s="17"/>
      <c r="E6830" s="7"/>
    </row>
    <row r="6831" spans="3:5">
      <c r="C6831" s="17"/>
      <c r="D6831" s="17"/>
      <c r="E6831" s="7"/>
    </row>
    <row r="6832" spans="3:5">
      <c r="C6832" s="17"/>
      <c r="D6832" s="17"/>
      <c r="E6832" s="7"/>
    </row>
    <row r="6833" spans="3:5">
      <c r="C6833" s="17"/>
      <c r="D6833" s="17"/>
      <c r="E6833" s="7"/>
    </row>
    <row r="6834" spans="3:5">
      <c r="C6834" s="17"/>
      <c r="D6834" s="17"/>
      <c r="E6834" s="7"/>
    </row>
    <row r="6835" spans="3:5">
      <c r="C6835" s="17"/>
      <c r="D6835" s="17"/>
      <c r="E6835" s="7"/>
    </row>
    <row r="6836" spans="3:5">
      <c r="C6836" s="17"/>
      <c r="D6836" s="17"/>
      <c r="E6836" s="7"/>
    </row>
    <row r="6837" spans="3:5">
      <c r="C6837" s="17"/>
      <c r="D6837" s="17"/>
      <c r="E6837" s="7"/>
    </row>
    <row r="6838" spans="3:5">
      <c r="C6838" s="17"/>
      <c r="D6838" s="17"/>
      <c r="E6838" s="7"/>
    </row>
    <row r="6839" spans="3:5">
      <c r="C6839" s="17"/>
      <c r="D6839" s="17"/>
      <c r="E6839" s="7"/>
    </row>
    <row r="6840" spans="3:5">
      <c r="C6840" s="17"/>
      <c r="D6840" s="17"/>
      <c r="E6840" s="7"/>
    </row>
    <row r="6841" spans="3:5">
      <c r="C6841" s="17"/>
      <c r="D6841" s="17"/>
      <c r="E6841" s="7"/>
    </row>
    <row r="6842" spans="3:5">
      <c r="C6842" s="17"/>
      <c r="D6842" s="17"/>
      <c r="E6842" s="7"/>
    </row>
    <row r="6843" spans="3:5">
      <c r="C6843" s="17"/>
      <c r="D6843" s="17"/>
      <c r="E6843" s="7"/>
    </row>
    <row r="6844" spans="3:5">
      <c r="C6844" s="17"/>
      <c r="D6844" s="17"/>
      <c r="E6844" s="7"/>
    </row>
    <row r="6845" spans="3:5">
      <c r="C6845" s="17"/>
      <c r="D6845" s="17"/>
      <c r="E6845" s="7"/>
    </row>
    <row r="6846" spans="3:5">
      <c r="C6846" s="17"/>
      <c r="D6846" s="17"/>
      <c r="E6846" s="7"/>
    </row>
    <row r="6847" spans="3:5">
      <c r="C6847" s="17"/>
      <c r="D6847" s="17"/>
      <c r="E6847" s="7"/>
    </row>
    <row r="6848" spans="3:5">
      <c r="C6848" s="17"/>
      <c r="D6848" s="17"/>
      <c r="E6848" s="7"/>
    </row>
    <row r="6849" spans="3:5">
      <c r="C6849" s="17"/>
      <c r="D6849" s="17"/>
      <c r="E6849" s="7"/>
    </row>
    <row r="6850" spans="3:5">
      <c r="C6850" s="17"/>
      <c r="D6850" s="17"/>
      <c r="E6850" s="7"/>
    </row>
    <row r="6851" spans="3:5">
      <c r="C6851" s="17"/>
      <c r="D6851" s="17"/>
      <c r="E6851" s="7"/>
    </row>
    <row r="6852" spans="3:5">
      <c r="C6852" s="17"/>
      <c r="D6852" s="17"/>
      <c r="E6852" s="7"/>
    </row>
    <row r="6853" spans="3:5">
      <c r="C6853" s="17"/>
      <c r="D6853" s="17"/>
      <c r="E6853" s="7"/>
    </row>
    <row r="6854" spans="3:5">
      <c r="C6854" s="17"/>
      <c r="D6854" s="17"/>
      <c r="E6854" s="7"/>
    </row>
    <row r="6855" spans="3:5">
      <c r="C6855" s="17"/>
      <c r="D6855" s="17"/>
      <c r="E6855" s="7"/>
    </row>
    <row r="6856" spans="3:5">
      <c r="C6856" s="17"/>
      <c r="D6856" s="17"/>
      <c r="E6856" s="7"/>
    </row>
    <row r="6857" spans="3:5">
      <c r="C6857" s="17"/>
      <c r="D6857" s="17"/>
      <c r="E6857" s="7"/>
    </row>
    <row r="6858" spans="3:5">
      <c r="C6858" s="17"/>
      <c r="D6858" s="17"/>
      <c r="E6858" s="7"/>
    </row>
    <row r="6859" spans="3:5">
      <c r="C6859" s="17"/>
      <c r="D6859" s="17"/>
      <c r="E6859" s="7"/>
    </row>
    <row r="6860" spans="3:5">
      <c r="C6860" s="17"/>
      <c r="D6860" s="17"/>
      <c r="E6860" s="7"/>
    </row>
    <row r="6861" spans="3:5">
      <c r="C6861" s="17"/>
      <c r="D6861" s="17"/>
      <c r="E6861" s="7"/>
    </row>
    <row r="6862" spans="3:5">
      <c r="C6862" s="17"/>
      <c r="D6862" s="17"/>
      <c r="E6862" s="7"/>
    </row>
    <row r="6863" spans="3:5">
      <c r="C6863" s="17"/>
      <c r="D6863" s="17"/>
      <c r="E6863" s="7"/>
    </row>
    <row r="6864" spans="3:5">
      <c r="C6864" s="17"/>
      <c r="D6864" s="17"/>
      <c r="E6864" s="7"/>
    </row>
    <row r="6865" spans="3:5">
      <c r="C6865" s="17"/>
      <c r="D6865" s="17"/>
      <c r="E6865" s="7"/>
    </row>
    <row r="6866" spans="3:5">
      <c r="C6866" s="17"/>
      <c r="D6866" s="17"/>
      <c r="E6866" s="7"/>
    </row>
    <row r="6867" spans="3:5">
      <c r="C6867" s="17"/>
      <c r="D6867" s="17"/>
      <c r="E6867" s="7"/>
    </row>
    <row r="6868" spans="3:5">
      <c r="C6868" s="17"/>
      <c r="D6868" s="17"/>
      <c r="E6868" s="7"/>
    </row>
    <row r="6869" spans="3:5">
      <c r="C6869" s="17"/>
      <c r="D6869" s="17"/>
      <c r="E6869" s="7"/>
    </row>
    <row r="6870" spans="3:5">
      <c r="C6870" s="17"/>
      <c r="D6870" s="17"/>
      <c r="E6870" s="7"/>
    </row>
    <row r="6871" spans="3:5">
      <c r="C6871" s="17"/>
      <c r="D6871" s="17"/>
      <c r="E6871" s="7"/>
    </row>
    <row r="6872" spans="3:5">
      <c r="C6872" s="17"/>
      <c r="D6872" s="17"/>
      <c r="E6872" s="7"/>
    </row>
    <row r="6873" spans="3:5">
      <c r="C6873" s="17"/>
      <c r="D6873" s="17"/>
      <c r="E6873" s="7"/>
    </row>
    <row r="6874" spans="3:5">
      <c r="C6874" s="17"/>
      <c r="D6874" s="17"/>
      <c r="E6874" s="7"/>
    </row>
    <row r="6875" spans="3:5">
      <c r="C6875" s="17"/>
      <c r="D6875" s="17"/>
      <c r="E6875" s="7"/>
    </row>
    <row r="6876" spans="3:5">
      <c r="C6876" s="17"/>
      <c r="D6876" s="17"/>
      <c r="E6876" s="7"/>
    </row>
    <row r="6877" spans="3:5">
      <c r="C6877" s="17"/>
      <c r="D6877" s="17"/>
      <c r="E6877" s="7"/>
    </row>
    <row r="6878" spans="3:5">
      <c r="C6878" s="17"/>
      <c r="D6878" s="17"/>
      <c r="E6878" s="7"/>
    </row>
    <row r="6879" spans="3:5">
      <c r="C6879" s="17"/>
      <c r="D6879" s="17"/>
      <c r="E6879" s="7"/>
    </row>
    <row r="6880" spans="3:5">
      <c r="C6880" s="17"/>
      <c r="D6880" s="17"/>
      <c r="E6880" s="7"/>
    </row>
    <row r="6881" spans="3:5">
      <c r="C6881" s="17"/>
      <c r="D6881" s="17"/>
      <c r="E6881" s="7"/>
    </row>
    <row r="6882" spans="3:5">
      <c r="C6882" s="17"/>
      <c r="D6882" s="17"/>
      <c r="E6882" s="7"/>
    </row>
    <row r="6883" spans="3:5">
      <c r="C6883" s="17"/>
      <c r="D6883" s="17"/>
      <c r="E6883" s="7"/>
    </row>
    <row r="6884" spans="3:5">
      <c r="C6884" s="17"/>
      <c r="D6884" s="17"/>
      <c r="E6884" s="7"/>
    </row>
    <row r="6885" spans="3:5">
      <c r="C6885" s="17"/>
      <c r="D6885" s="17"/>
      <c r="E6885" s="7"/>
    </row>
    <row r="6886" spans="3:5">
      <c r="C6886" s="17"/>
      <c r="D6886" s="17"/>
      <c r="E6886" s="7"/>
    </row>
    <row r="6887" spans="3:5">
      <c r="C6887" s="17"/>
      <c r="D6887" s="17"/>
      <c r="E6887" s="7"/>
    </row>
    <row r="6888" spans="3:5">
      <c r="C6888" s="17"/>
      <c r="D6888" s="17"/>
      <c r="E6888" s="7"/>
    </row>
    <row r="6889" spans="3:5">
      <c r="C6889" s="17"/>
      <c r="D6889" s="17"/>
      <c r="E6889" s="7"/>
    </row>
    <row r="6890" spans="3:5">
      <c r="C6890" s="17"/>
      <c r="D6890" s="17"/>
      <c r="E6890" s="7"/>
    </row>
    <row r="6891" spans="3:5">
      <c r="C6891" s="17"/>
      <c r="D6891" s="17"/>
      <c r="E6891" s="7"/>
    </row>
    <row r="6892" spans="3:5">
      <c r="C6892" s="17"/>
      <c r="D6892" s="17"/>
      <c r="E6892" s="7"/>
    </row>
    <row r="6893" spans="3:5">
      <c r="C6893" s="17"/>
      <c r="D6893" s="17"/>
      <c r="E6893" s="7"/>
    </row>
    <row r="6894" spans="3:5">
      <c r="C6894" s="17"/>
      <c r="D6894" s="17"/>
      <c r="E6894" s="7"/>
    </row>
    <row r="6895" spans="3:5">
      <c r="C6895" s="17"/>
      <c r="D6895" s="17"/>
      <c r="E6895" s="7"/>
    </row>
    <row r="6896" spans="3:5">
      <c r="C6896" s="17"/>
      <c r="D6896" s="17"/>
      <c r="E6896" s="7"/>
    </row>
    <row r="6897" spans="3:5">
      <c r="C6897" s="17"/>
      <c r="D6897" s="17"/>
      <c r="E6897" s="7"/>
    </row>
    <row r="6898" spans="3:5">
      <c r="C6898" s="17"/>
      <c r="D6898" s="17"/>
      <c r="E6898" s="7"/>
    </row>
    <row r="6899" spans="3:5">
      <c r="C6899" s="17"/>
      <c r="D6899" s="17"/>
      <c r="E6899" s="7"/>
    </row>
    <row r="6900" spans="3:5">
      <c r="C6900" s="17"/>
      <c r="D6900" s="17"/>
      <c r="E6900" s="7"/>
    </row>
    <row r="6901" spans="3:5">
      <c r="C6901" s="17"/>
      <c r="D6901" s="17"/>
      <c r="E6901" s="7"/>
    </row>
    <row r="6902" spans="3:5">
      <c r="C6902" s="17"/>
      <c r="D6902" s="17"/>
      <c r="E6902" s="7"/>
    </row>
    <row r="6903" spans="3:5">
      <c r="C6903" s="17"/>
      <c r="D6903" s="17"/>
      <c r="E6903" s="7"/>
    </row>
    <row r="6904" spans="3:5">
      <c r="C6904" s="17"/>
      <c r="D6904" s="17"/>
      <c r="E6904" s="7"/>
    </row>
    <row r="6905" spans="3:5">
      <c r="C6905" s="17"/>
      <c r="D6905" s="17"/>
      <c r="E6905" s="7"/>
    </row>
    <row r="6906" spans="3:5">
      <c r="C6906" s="17"/>
      <c r="D6906" s="17"/>
      <c r="E6906" s="7"/>
    </row>
    <row r="6907" spans="3:5">
      <c r="C6907" s="17"/>
      <c r="D6907" s="17"/>
      <c r="E6907" s="7"/>
    </row>
    <row r="6908" spans="3:5">
      <c r="C6908" s="17"/>
      <c r="D6908" s="17"/>
      <c r="E6908" s="7"/>
    </row>
    <row r="6909" spans="3:5">
      <c r="C6909" s="17"/>
      <c r="D6909" s="17"/>
      <c r="E6909" s="7"/>
    </row>
    <row r="6910" spans="3:5">
      <c r="C6910" s="17"/>
      <c r="D6910" s="17"/>
      <c r="E6910" s="7"/>
    </row>
    <row r="6911" spans="3:5">
      <c r="C6911" s="17"/>
      <c r="D6911" s="17"/>
      <c r="E6911" s="7"/>
    </row>
    <row r="6912" spans="3:5">
      <c r="C6912" s="17"/>
      <c r="D6912" s="17"/>
      <c r="E6912" s="7"/>
    </row>
    <row r="6913" spans="3:5">
      <c r="C6913" s="17"/>
      <c r="D6913" s="17"/>
      <c r="E6913" s="7"/>
    </row>
    <row r="6914" spans="3:5">
      <c r="C6914" s="17"/>
      <c r="D6914" s="17"/>
      <c r="E6914" s="7"/>
    </row>
    <row r="6915" spans="3:5">
      <c r="C6915" s="17"/>
      <c r="D6915" s="17"/>
      <c r="E6915" s="7"/>
    </row>
    <row r="6916" spans="3:5">
      <c r="C6916" s="17"/>
      <c r="D6916" s="17"/>
      <c r="E6916" s="7"/>
    </row>
    <row r="6917" spans="3:5">
      <c r="C6917" s="17"/>
      <c r="D6917" s="17"/>
      <c r="E6917" s="7"/>
    </row>
    <row r="6918" spans="3:5">
      <c r="C6918" s="17"/>
      <c r="D6918" s="17"/>
      <c r="E6918" s="7"/>
    </row>
    <row r="6919" spans="3:5">
      <c r="C6919" s="17"/>
      <c r="D6919" s="17"/>
      <c r="E6919" s="7"/>
    </row>
    <row r="6920" spans="3:5">
      <c r="C6920" s="17"/>
      <c r="D6920" s="17"/>
      <c r="E6920" s="7"/>
    </row>
    <row r="6921" spans="3:5">
      <c r="C6921" s="17"/>
      <c r="D6921" s="17"/>
      <c r="E6921" s="7"/>
    </row>
    <row r="6922" spans="3:5">
      <c r="C6922" s="17"/>
      <c r="D6922" s="17"/>
      <c r="E6922" s="7"/>
    </row>
    <row r="6923" spans="3:5">
      <c r="C6923" s="17"/>
      <c r="D6923" s="17"/>
      <c r="E6923" s="7"/>
    </row>
    <row r="6924" spans="3:5">
      <c r="C6924" s="17"/>
      <c r="D6924" s="17"/>
      <c r="E6924" s="7"/>
    </row>
    <row r="6925" spans="3:5">
      <c r="C6925" s="17"/>
      <c r="D6925" s="17"/>
      <c r="E6925" s="7"/>
    </row>
    <row r="6926" spans="3:5">
      <c r="C6926" s="17"/>
      <c r="D6926" s="17"/>
      <c r="E6926" s="7"/>
    </row>
    <row r="6927" spans="3:5">
      <c r="C6927" s="17"/>
      <c r="D6927" s="17"/>
      <c r="E6927" s="7"/>
    </row>
    <row r="6928" spans="3:5">
      <c r="C6928" s="17"/>
      <c r="D6928" s="17"/>
      <c r="E6928" s="7"/>
    </row>
    <row r="6929" spans="3:5">
      <c r="C6929" s="17"/>
      <c r="D6929" s="17"/>
      <c r="E6929" s="7"/>
    </row>
    <row r="6930" spans="3:5">
      <c r="C6930" s="17"/>
      <c r="D6930" s="17"/>
      <c r="E6930" s="7"/>
    </row>
    <row r="6931" spans="3:5">
      <c r="C6931" s="17"/>
      <c r="D6931" s="17"/>
      <c r="E6931" s="7"/>
    </row>
    <row r="6932" spans="3:5">
      <c r="C6932" s="17"/>
      <c r="D6932" s="17"/>
      <c r="E6932" s="7"/>
    </row>
    <row r="6933" spans="3:5">
      <c r="C6933" s="17"/>
      <c r="D6933" s="17"/>
      <c r="E6933" s="7"/>
    </row>
    <row r="6934" spans="3:5">
      <c r="C6934" s="17"/>
      <c r="D6934" s="17"/>
      <c r="E6934" s="7"/>
    </row>
    <row r="6935" spans="3:5">
      <c r="C6935" s="17"/>
      <c r="D6935" s="17"/>
      <c r="E6935" s="7"/>
    </row>
    <row r="6936" spans="3:5">
      <c r="C6936" s="17"/>
      <c r="D6936" s="17"/>
      <c r="E6936" s="7"/>
    </row>
    <row r="6937" spans="3:5">
      <c r="C6937" s="17"/>
      <c r="D6937" s="17"/>
      <c r="E6937" s="7"/>
    </row>
    <row r="6938" spans="3:5">
      <c r="C6938" s="17"/>
      <c r="D6938" s="17"/>
      <c r="E6938" s="7"/>
    </row>
    <row r="6939" spans="3:5">
      <c r="C6939" s="17"/>
      <c r="D6939" s="17"/>
      <c r="E6939" s="7"/>
    </row>
    <row r="6940" spans="3:5">
      <c r="C6940" s="17"/>
      <c r="D6940" s="17"/>
      <c r="E6940" s="7"/>
    </row>
    <row r="6941" spans="3:5">
      <c r="C6941" s="17"/>
      <c r="D6941" s="17"/>
      <c r="E6941" s="7"/>
    </row>
    <row r="6942" spans="3:5">
      <c r="C6942" s="17"/>
      <c r="D6942" s="17"/>
      <c r="E6942" s="7"/>
    </row>
    <row r="6943" spans="3:5">
      <c r="C6943" s="17"/>
      <c r="D6943" s="17"/>
      <c r="E6943" s="7"/>
    </row>
    <row r="6944" spans="3:5">
      <c r="C6944" s="17"/>
      <c r="D6944" s="17"/>
      <c r="E6944" s="7"/>
    </row>
    <row r="6945" spans="3:5">
      <c r="C6945" s="17"/>
      <c r="D6945" s="17"/>
      <c r="E6945" s="7"/>
    </row>
    <row r="6946" spans="3:5">
      <c r="C6946" s="17"/>
      <c r="D6946" s="17"/>
      <c r="E6946" s="7"/>
    </row>
    <row r="6947" spans="3:5">
      <c r="C6947" s="17"/>
      <c r="D6947" s="17"/>
      <c r="E6947" s="7"/>
    </row>
    <row r="6948" spans="3:5">
      <c r="C6948" s="17"/>
      <c r="D6948" s="17"/>
      <c r="E6948" s="7"/>
    </row>
    <row r="6949" spans="3:5">
      <c r="C6949" s="17"/>
      <c r="D6949" s="17"/>
      <c r="E6949" s="7"/>
    </row>
    <row r="6950" spans="3:5">
      <c r="C6950" s="17"/>
      <c r="D6950" s="17"/>
      <c r="E6950" s="7"/>
    </row>
    <row r="6951" spans="3:5">
      <c r="C6951" s="17"/>
      <c r="D6951" s="17"/>
      <c r="E6951" s="7"/>
    </row>
    <row r="6952" spans="3:5">
      <c r="C6952" s="17"/>
      <c r="D6952" s="17"/>
      <c r="E6952" s="7"/>
    </row>
    <row r="6953" spans="3:5">
      <c r="C6953" s="17"/>
      <c r="D6953" s="17"/>
      <c r="E6953" s="7"/>
    </row>
    <row r="6954" spans="3:5">
      <c r="C6954" s="17"/>
      <c r="D6954" s="17"/>
      <c r="E6954" s="7"/>
    </row>
    <row r="6955" spans="3:5">
      <c r="C6955" s="17"/>
      <c r="D6955" s="17"/>
      <c r="E6955" s="7"/>
    </row>
    <row r="6956" spans="3:5">
      <c r="C6956" s="17"/>
      <c r="D6956" s="17"/>
      <c r="E6956" s="7"/>
    </row>
    <row r="6957" spans="3:5">
      <c r="C6957" s="17"/>
      <c r="D6957" s="17"/>
      <c r="E6957" s="7"/>
    </row>
    <row r="6958" spans="3:5">
      <c r="C6958" s="17"/>
      <c r="D6958" s="17"/>
      <c r="E6958" s="7"/>
    </row>
    <row r="6959" spans="3:5">
      <c r="C6959" s="17"/>
      <c r="D6959" s="17"/>
      <c r="E6959" s="7"/>
    </row>
    <row r="6960" spans="3:5">
      <c r="C6960" s="17"/>
      <c r="D6960" s="17"/>
      <c r="E6960" s="7"/>
    </row>
    <row r="6961" spans="3:5">
      <c r="C6961" s="17"/>
      <c r="D6961" s="17"/>
      <c r="E6961" s="7"/>
    </row>
    <row r="6962" spans="3:5">
      <c r="C6962" s="17"/>
      <c r="D6962" s="17"/>
      <c r="E6962" s="7"/>
    </row>
    <row r="6963" spans="3:5">
      <c r="C6963" s="17"/>
      <c r="D6963" s="17"/>
      <c r="E6963" s="7"/>
    </row>
    <row r="6964" spans="3:5">
      <c r="C6964" s="17"/>
      <c r="D6964" s="17"/>
      <c r="E6964" s="7"/>
    </row>
    <row r="6965" spans="3:5">
      <c r="C6965" s="17"/>
      <c r="D6965" s="17"/>
      <c r="E6965" s="7"/>
    </row>
    <row r="6966" spans="3:5">
      <c r="C6966" s="17"/>
      <c r="D6966" s="17"/>
      <c r="E6966" s="7"/>
    </row>
    <row r="6967" spans="3:5">
      <c r="C6967" s="17"/>
      <c r="D6967" s="17"/>
      <c r="E6967" s="7"/>
    </row>
    <row r="6968" spans="3:5">
      <c r="C6968" s="17"/>
      <c r="D6968" s="17"/>
      <c r="E6968" s="7"/>
    </row>
    <row r="6969" spans="3:5">
      <c r="C6969" s="17"/>
      <c r="D6969" s="17"/>
      <c r="E6969" s="7"/>
    </row>
    <row r="6970" spans="3:5">
      <c r="C6970" s="17"/>
      <c r="D6970" s="17"/>
      <c r="E6970" s="7"/>
    </row>
    <row r="6971" spans="3:5">
      <c r="C6971" s="17"/>
      <c r="D6971" s="17"/>
      <c r="E6971" s="7"/>
    </row>
    <row r="6972" spans="3:5">
      <c r="C6972" s="17"/>
      <c r="D6972" s="17"/>
      <c r="E6972" s="7"/>
    </row>
    <row r="6973" spans="3:5">
      <c r="C6973" s="17"/>
      <c r="D6973" s="17"/>
      <c r="E6973" s="7"/>
    </row>
    <row r="6974" spans="3:5">
      <c r="C6974" s="17"/>
      <c r="D6974" s="17"/>
      <c r="E6974" s="7"/>
    </row>
    <row r="6975" spans="3:5">
      <c r="C6975" s="17"/>
      <c r="D6975" s="17"/>
      <c r="E6975" s="7"/>
    </row>
    <row r="6976" spans="3:5">
      <c r="C6976" s="17"/>
      <c r="D6976" s="17"/>
      <c r="E6976" s="7"/>
    </row>
    <row r="6977" spans="3:5">
      <c r="C6977" s="17"/>
      <c r="D6977" s="17"/>
      <c r="E6977" s="7"/>
    </row>
    <row r="6978" spans="3:5">
      <c r="C6978" s="17"/>
      <c r="D6978" s="17"/>
      <c r="E6978" s="7"/>
    </row>
    <row r="6979" spans="3:5">
      <c r="C6979" s="17"/>
      <c r="D6979" s="17"/>
      <c r="E6979" s="7"/>
    </row>
    <row r="6980" spans="3:5">
      <c r="C6980" s="17"/>
      <c r="D6980" s="17"/>
      <c r="E6980" s="7"/>
    </row>
    <row r="6981" spans="3:5">
      <c r="C6981" s="17"/>
      <c r="D6981" s="17"/>
      <c r="E6981" s="7"/>
    </row>
    <row r="6982" spans="3:5">
      <c r="C6982" s="17"/>
      <c r="D6982" s="17"/>
      <c r="E6982" s="7"/>
    </row>
    <row r="6983" spans="3:5">
      <c r="C6983" s="17"/>
      <c r="D6983" s="17"/>
      <c r="E6983" s="7"/>
    </row>
    <row r="6984" spans="3:5">
      <c r="C6984" s="17"/>
      <c r="D6984" s="17"/>
      <c r="E6984" s="7"/>
    </row>
    <row r="6985" spans="3:5">
      <c r="C6985" s="17"/>
      <c r="D6985" s="17"/>
      <c r="E6985" s="7"/>
    </row>
    <row r="6986" spans="3:5">
      <c r="C6986" s="17"/>
      <c r="D6986" s="17"/>
      <c r="E6986" s="7"/>
    </row>
    <row r="6987" spans="3:5">
      <c r="C6987" s="17"/>
      <c r="D6987" s="17"/>
      <c r="E6987" s="7"/>
    </row>
    <row r="6988" spans="3:5">
      <c r="C6988" s="17"/>
      <c r="D6988" s="17"/>
      <c r="E6988" s="7"/>
    </row>
    <row r="6989" spans="3:5">
      <c r="C6989" s="17"/>
      <c r="D6989" s="17"/>
      <c r="E6989" s="7"/>
    </row>
    <row r="6990" spans="3:5">
      <c r="C6990" s="17"/>
      <c r="D6990" s="17"/>
      <c r="E6990" s="7"/>
    </row>
    <row r="6991" spans="3:5">
      <c r="C6991" s="17"/>
      <c r="D6991" s="17"/>
      <c r="E6991" s="7"/>
    </row>
    <row r="6992" spans="3:5">
      <c r="C6992" s="17"/>
      <c r="D6992" s="17"/>
      <c r="E6992" s="7"/>
    </row>
    <row r="6993" spans="3:5">
      <c r="C6993" s="17"/>
      <c r="D6993" s="17"/>
      <c r="E6993" s="7"/>
    </row>
    <row r="6994" spans="3:5">
      <c r="C6994" s="17"/>
      <c r="D6994" s="17"/>
      <c r="E6994" s="7"/>
    </row>
    <row r="6995" spans="3:5">
      <c r="C6995" s="17"/>
      <c r="D6995" s="17"/>
      <c r="E6995" s="7"/>
    </row>
    <row r="6996" spans="3:5">
      <c r="C6996" s="17"/>
      <c r="D6996" s="17"/>
      <c r="E6996" s="7"/>
    </row>
    <row r="6997" spans="3:5">
      <c r="C6997" s="17"/>
      <c r="D6997" s="17"/>
      <c r="E6997" s="7"/>
    </row>
    <row r="6998" spans="3:5">
      <c r="C6998" s="17"/>
      <c r="D6998" s="17"/>
      <c r="E6998" s="7"/>
    </row>
    <row r="6999" spans="3:5">
      <c r="C6999" s="17"/>
      <c r="D6999" s="17"/>
      <c r="E6999" s="7"/>
    </row>
    <row r="7000" spans="3:5">
      <c r="C7000" s="17"/>
      <c r="D7000" s="17"/>
      <c r="E7000" s="7"/>
    </row>
    <row r="7001" spans="3:5">
      <c r="C7001" s="17"/>
      <c r="D7001" s="17"/>
      <c r="E7001" s="7"/>
    </row>
    <row r="7002" spans="3:5">
      <c r="C7002" s="17"/>
      <c r="D7002" s="17"/>
      <c r="E7002" s="7"/>
    </row>
    <row r="7003" spans="3:5">
      <c r="C7003" s="17"/>
      <c r="D7003" s="17"/>
      <c r="E7003" s="7"/>
    </row>
    <row r="7004" spans="3:5">
      <c r="C7004" s="17"/>
      <c r="D7004" s="17"/>
      <c r="E7004" s="7"/>
    </row>
    <row r="7005" spans="3:5">
      <c r="C7005" s="17"/>
      <c r="D7005" s="17"/>
      <c r="E7005" s="7"/>
    </row>
    <row r="7006" spans="3:5">
      <c r="C7006" s="17"/>
      <c r="D7006" s="17"/>
      <c r="E7006" s="7"/>
    </row>
    <row r="7007" spans="3:5">
      <c r="C7007" s="17"/>
      <c r="D7007" s="17"/>
      <c r="E7007" s="7"/>
    </row>
    <row r="7008" spans="3:5">
      <c r="C7008" s="17"/>
      <c r="D7008" s="17"/>
      <c r="E7008" s="7"/>
    </row>
    <row r="7009" spans="3:5">
      <c r="C7009" s="17"/>
      <c r="D7009" s="17"/>
      <c r="E7009" s="7"/>
    </row>
    <row r="7010" spans="3:5">
      <c r="C7010" s="17"/>
      <c r="D7010" s="17"/>
      <c r="E7010" s="7"/>
    </row>
    <row r="7011" spans="3:5">
      <c r="C7011" s="17"/>
      <c r="D7011" s="17"/>
      <c r="E7011" s="7"/>
    </row>
    <row r="7012" spans="3:5">
      <c r="C7012" s="17"/>
      <c r="D7012" s="17"/>
      <c r="E7012" s="7"/>
    </row>
    <row r="7013" spans="3:5">
      <c r="C7013" s="17"/>
      <c r="D7013" s="17"/>
      <c r="E7013" s="7"/>
    </row>
    <row r="7014" spans="3:5">
      <c r="C7014" s="17"/>
      <c r="D7014" s="17"/>
      <c r="E7014" s="7"/>
    </row>
    <row r="7015" spans="3:5">
      <c r="C7015" s="17"/>
      <c r="D7015" s="17"/>
      <c r="E7015" s="7"/>
    </row>
    <row r="7016" spans="3:5">
      <c r="C7016" s="17"/>
      <c r="D7016" s="17"/>
      <c r="E7016" s="7"/>
    </row>
    <row r="7017" spans="3:5">
      <c r="C7017" s="17"/>
      <c r="D7017" s="17"/>
      <c r="E7017" s="7"/>
    </row>
    <row r="7018" spans="3:5">
      <c r="C7018" s="17"/>
      <c r="D7018" s="17"/>
      <c r="E7018" s="7"/>
    </row>
    <row r="7019" spans="3:5">
      <c r="C7019" s="17"/>
      <c r="D7019" s="17"/>
      <c r="E7019" s="7"/>
    </row>
    <row r="7020" spans="3:5">
      <c r="C7020" s="17"/>
      <c r="D7020" s="17"/>
      <c r="E7020" s="7"/>
    </row>
    <row r="7021" spans="3:5">
      <c r="C7021" s="17"/>
      <c r="D7021" s="17"/>
      <c r="E7021" s="7"/>
    </row>
    <row r="7022" spans="3:5">
      <c r="C7022" s="17"/>
      <c r="D7022" s="17"/>
      <c r="E7022" s="7"/>
    </row>
    <row r="7023" spans="3:5">
      <c r="C7023" s="17"/>
      <c r="D7023" s="17"/>
      <c r="E7023" s="7"/>
    </row>
    <row r="7024" spans="3:5">
      <c r="C7024" s="17"/>
      <c r="D7024" s="17"/>
      <c r="E7024" s="7"/>
    </row>
    <row r="7025" spans="3:5">
      <c r="C7025" s="17"/>
      <c r="D7025" s="17"/>
      <c r="E7025" s="7"/>
    </row>
    <row r="7026" spans="3:5">
      <c r="C7026" s="17"/>
      <c r="D7026" s="17"/>
      <c r="E7026" s="7"/>
    </row>
    <row r="7027" spans="3:5">
      <c r="C7027" s="17"/>
      <c r="D7027" s="17"/>
      <c r="E7027" s="7"/>
    </row>
    <row r="7028" spans="3:5">
      <c r="C7028" s="17"/>
      <c r="D7028" s="17"/>
      <c r="E7028" s="7"/>
    </row>
    <row r="7029" spans="3:5">
      <c r="C7029" s="17"/>
      <c r="D7029" s="17"/>
      <c r="E7029" s="7"/>
    </row>
    <row r="7030" spans="3:5">
      <c r="C7030" s="17"/>
      <c r="D7030" s="17"/>
      <c r="E7030" s="7"/>
    </row>
    <row r="7031" spans="3:5">
      <c r="C7031" s="17"/>
      <c r="D7031" s="17"/>
      <c r="E7031" s="7"/>
    </row>
    <row r="7032" spans="3:5">
      <c r="C7032" s="17"/>
      <c r="D7032" s="17"/>
      <c r="E7032" s="7"/>
    </row>
    <row r="7033" spans="3:5">
      <c r="C7033" s="17"/>
      <c r="D7033" s="17"/>
      <c r="E7033" s="7"/>
    </row>
    <row r="7034" spans="3:5">
      <c r="C7034" s="17"/>
      <c r="D7034" s="17"/>
      <c r="E7034" s="7"/>
    </row>
    <row r="7035" spans="3:5">
      <c r="C7035" s="17"/>
      <c r="D7035" s="17"/>
      <c r="E7035" s="7"/>
    </row>
    <row r="7036" spans="3:5">
      <c r="C7036" s="17"/>
      <c r="D7036" s="17"/>
      <c r="E7036" s="7"/>
    </row>
    <row r="7037" spans="3:5">
      <c r="C7037" s="17"/>
      <c r="D7037" s="17"/>
      <c r="E7037" s="7"/>
    </row>
    <row r="7038" spans="3:5">
      <c r="C7038" s="17"/>
      <c r="D7038" s="17"/>
      <c r="E7038" s="7"/>
    </row>
    <row r="7039" spans="3:5">
      <c r="C7039" s="17"/>
      <c r="D7039" s="17"/>
      <c r="E7039" s="7"/>
    </row>
    <row r="7040" spans="3:5">
      <c r="C7040" s="17"/>
      <c r="D7040" s="17"/>
      <c r="E7040" s="7"/>
    </row>
    <row r="7041" spans="3:5">
      <c r="C7041" s="17"/>
      <c r="D7041" s="17"/>
      <c r="E7041" s="7"/>
    </row>
    <row r="7042" spans="3:5">
      <c r="C7042" s="17"/>
      <c r="D7042" s="17"/>
      <c r="E7042" s="7"/>
    </row>
    <row r="7043" spans="3:5">
      <c r="C7043" s="17"/>
      <c r="D7043" s="17"/>
      <c r="E7043" s="7"/>
    </row>
    <row r="7044" spans="3:5">
      <c r="C7044" s="17"/>
      <c r="D7044" s="17"/>
      <c r="E7044" s="7"/>
    </row>
    <row r="7045" spans="3:5">
      <c r="C7045" s="17"/>
      <c r="D7045" s="17"/>
      <c r="E7045" s="7"/>
    </row>
    <row r="7046" spans="3:5">
      <c r="C7046" s="17"/>
      <c r="D7046" s="17"/>
      <c r="E7046" s="7"/>
    </row>
    <row r="7047" spans="3:5">
      <c r="C7047" s="17"/>
      <c r="D7047" s="17"/>
      <c r="E7047" s="7"/>
    </row>
    <row r="7048" spans="3:5">
      <c r="C7048" s="17"/>
      <c r="D7048" s="17"/>
      <c r="E7048" s="7"/>
    </row>
    <row r="7049" spans="3:5">
      <c r="C7049" s="17"/>
      <c r="D7049" s="17"/>
      <c r="E7049" s="7"/>
    </row>
    <row r="7050" spans="3:5">
      <c r="C7050" s="17"/>
      <c r="D7050" s="17"/>
      <c r="E7050" s="7"/>
    </row>
    <row r="7051" spans="3:5">
      <c r="C7051" s="17"/>
      <c r="D7051" s="17"/>
      <c r="E7051" s="7"/>
    </row>
    <row r="7052" spans="3:5">
      <c r="C7052" s="17"/>
      <c r="D7052" s="17"/>
      <c r="E7052" s="7"/>
    </row>
    <row r="7053" spans="3:5">
      <c r="C7053" s="17"/>
      <c r="D7053" s="17"/>
      <c r="E7053" s="7"/>
    </row>
    <row r="7054" spans="3:5">
      <c r="C7054" s="17"/>
      <c r="D7054" s="17"/>
      <c r="E7054" s="7"/>
    </row>
    <row r="7055" spans="3:5">
      <c r="C7055" s="17"/>
      <c r="D7055" s="17"/>
      <c r="E7055" s="7"/>
    </row>
    <row r="7056" spans="3:5">
      <c r="C7056" s="17"/>
      <c r="D7056" s="17"/>
      <c r="E7056" s="7"/>
    </row>
    <row r="7057" spans="3:5">
      <c r="C7057" s="17"/>
      <c r="D7057" s="17"/>
      <c r="E7057" s="7"/>
    </row>
    <row r="7058" spans="3:5">
      <c r="C7058" s="17"/>
      <c r="D7058" s="17"/>
      <c r="E7058" s="7"/>
    </row>
    <row r="7059" spans="3:5">
      <c r="C7059" s="17"/>
      <c r="D7059" s="17"/>
      <c r="E7059" s="7"/>
    </row>
    <row r="7060" spans="3:5">
      <c r="C7060" s="17"/>
      <c r="D7060" s="17"/>
      <c r="E7060" s="7"/>
    </row>
    <row r="7061" spans="3:5">
      <c r="C7061" s="17"/>
      <c r="D7061" s="17"/>
      <c r="E7061" s="7"/>
    </row>
    <row r="7062" spans="3:5">
      <c r="C7062" s="17"/>
      <c r="D7062" s="17"/>
      <c r="E7062" s="7"/>
    </row>
    <row r="7063" spans="3:5">
      <c r="C7063" s="17"/>
      <c r="D7063" s="17"/>
      <c r="E7063" s="7"/>
    </row>
    <row r="7064" spans="3:5">
      <c r="C7064" s="17"/>
      <c r="D7064" s="17"/>
      <c r="E7064" s="7"/>
    </row>
    <row r="7065" spans="3:5">
      <c r="C7065" s="17"/>
      <c r="D7065" s="17"/>
      <c r="E7065" s="7"/>
    </row>
    <row r="7066" spans="3:5">
      <c r="C7066" s="17"/>
      <c r="D7066" s="17"/>
      <c r="E7066" s="7"/>
    </row>
    <row r="7067" spans="3:5">
      <c r="C7067" s="17"/>
      <c r="D7067" s="17"/>
      <c r="E7067" s="7"/>
    </row>
    <row r="7068" spans="3:5">
      <c r="C7068" s="17"/>
      <c r="D7068" s="17"/>
      <c r="E7068" s="7"/>
    </row>
    <row r="7069" spans="3:5">
      <c r="C7069" s="17"/>
      <c r="D7069" s="17"/>
      <c r="E7069" s="7"/>
    </row>
    <row r="7070" spans="3:5">
      <c r="C7070" s="17"/>
      <c r="D7070" s="17"/>
      <c r="E7070" s="7"/>
    </row>
    <row r="7071" spans="3:5">
      <c r="C7071" s="17"/>
      <c r="D7071" s="17"/>
      <c r="E7071" s="7"/>
    </row>
    <row r="7072" spans="3:5">
      <c r="C7072" s="17"/>
      <c r="D7072" s="17"/>
      <c r="E7072" s="7"/>
    </row>
    <row r="7073" spans="3:5">
      <c r="C7073" s="17"/>
      <c r="D7073" s="17"/>
      <c r="E7073" s="7"/>
    </row>
    <row r="7074" spans="3:5">
      <c r="C7074" s="17"/>
      <c r="D7074" s="17"/>
      <c r="E7074" s="7"/>
    </row>
    <row r="7075" spans="3:5">
      <c r="C7075" s="17"/>
      <c r="D7075" s="17"/>
      <c r="E7075" s="7"/>
    </row>
    <row r="7076" spans="3:5">
      <c r="C7076" s="17"/>
      <c r="D7076" s="17"/>
      <c r="E7076" s="7"/>
    </row>
    <row r="7077" spans="3:5">
      <c r="C7077" s="17"/>
      <c r="D7077" s="17"/>
      <c r="E7077" s="7"/>
    </row>
    <row r="7078" spans="3:5">
      <c r="C7078" s="17"/>
      <c r="D7078" s="17"/>
      <c r="E7078" s="7"/>
    </row>
    <row r="7079" spans="3:5">
      <c r="C7079" s="17"/>
      <c r="D7079" s="17"/>
      <c r="E7079" s="7"/>
    </row>
    <row r="7080" spans="3:5">
      <c r="C7080" s="17"/>
      <c r="D7080" s="17"/>
      <c r="E7080" s="7"/>
    </row>
    <row r="7081" spans="3:5">
      <c r="C7081" s="17"/>
      <c r="D7081" s="17"/>
      <c r="E7081" s="7"/>
    </row>
    <row r="7082" spans="3:5">
      <c r="C7082" s="17"/>
      <c r="D7082" s="17"/>
      <c r="E7082" s="7"/>
    </row>
    <row r="7083" spans="3:5">
      <c r="C7083" s="17"/>
      <c r="D7083" s="17"/>
      <c r="E7083" s="7"/>
    </row>
    <row r="7084" spans="3:5">
      <c r="C7084" s="17"/>
      <c r="D7084" s="17"/>
      <c r="E7084" s="7"/>
    </row>
    <row r="7085" spans="3:5">
      <c r="C7085" s="17"/>
      <c r="D7085" s="17"/>
      <c r="E7085" s="7"/>
    </row>
    <row r="7086" spans="3:5">
      <c r="C7086" s="17"/>
      <c r="D7086" s="17"/>
      <c r="E7086" s="7"/>
    </row>
    <row r="7087" spans="3:5">
      <c r="C7087" s="17"/>
      <c r="D7087" s="17"/>
      <c r="E7087" s="7"/>
    </row>
    <row r="7088" spans="3:5">
      <c r="C7088" s="17"/>
      <c r="D7088" s="17"/>
      <c r="E7088" s="7"/>
    </row>
    <row r="7089" spans="3:5">
      <c r="C7089" s="17"/>
      <c r="D7089" s="17"/>
      <c r="E7089" s="7"/>
    </row>
    <row r="7090" spans="3:5">
      <c r="C7090" s="17"/>
      <c r="D7090" s="17"/>
      <c r="E7090" s="7"/>
    </row>
    <row r="7091" spans="3:5">
      <c r="C7091" s="17"/>
      <c r="D7091" s="17"/>
      <c r="E7091" s="7"/>
    </row>
    <row r="7092" spans="3:5">
      <c r="C7092" s="17"/>
      <c r="D7092" s="17"/>
      <c r="E7092" s="7"/>
    </row>
    <row r="7093" spans="3:5">
      <c r="C7093" s="17"/>
      <c r="D7093" s="17"/>
      <c r="E7093" s="7"/>
    </row>
    <row r="7094" spans="3:5">
      <c r="C7094" s="17"/>
      <c r="D7094" s="17"/>
      <c r="E7094" s="7"/>
    </row>
    <row r="7095" spans="3:5">
      <c r="C7095" s="17"/>
      <c r="D7095" s="17"/>
      <c r="E7095" s="7"/>
    </row>
    <row r="7096" spans="3:5">
      <c r="C7096" s="17"/>
      <c r="D7096" s="17"/>
      <c r="E7096" s="7"/>
    </row>
    <row r="7097" spans="3:5">
      <c r="C7097" s="17"/>
      <c r="D7097" s="17"/>
      <c r="E7097" s="7"/>
    </row>
    <row r="7098" spans="3:5">
      <c r="C7098" s="17"/>
      <c r="D7098" s="17"/>
      <c r="E7098" s="7"/>
    </row>
    <row r="7099" spans="3:5">
      <c r="C7099" s="17"/>
      <c r="D7099" s="17"/>
      <c r="E7099" s="7"/>
    </row>
    <row r="7100" spans="3:5">
      <c r="C7100" s="17"/>
      <c r="D7100" s="17"/>
      <c r="E7100" s="7"/>
    </row>
    <row r="7101" spans="3:5">
      <c r="C7101" s="17"/>
      <c r="D7101" s="17"/>
      <c r="E7101" s="7"/>
    </row>
    <row r="7102" spans="3:5">
      <c r="C7102" s="17"/>
      <c r="D7102" s="17"/>
      <c r="E7102" s="7"/>
    </row>
    <row r="7103" spans="3:5">
      <c r="C7103" s="17"/>
      <c r="D7103" s="17"/>
      <c r="E7103" s="7"/>
    </row>
    <row r="7104" spans="3:5">
      <c r="C7104" s="17"/>
      <c r="D7104" s="17"/>
      <c r="E7104" s="7"/>
    </row>
    <row r="7105" spans="3:5">
      <c r="C7105" s="17"/>
      <c r="D7105" s="17"/>
      <c r="E7105" s="7"/>
    </row>
    <row r="7106" spans="3:5">
      <c r="C7106" s="17"/>
      <c r="D7106" s="17"/>
      <c r="E7106" s="7"/>
    </row>
    <row r="7107" spans="3:5">
      <c r="C7107" s="17"/>
      <c r="D7107" s="17"/>
      <c r="E7107" s="7"/>
    </row>
    <row r="7108" spans="3:5">
      <c r="C7108" s="17"/>
      <c r="D7108" s="17"/>
      <c r="E7108" s="7"/>
    </row>
    <row r="7109" spans="3:5">
      <c r="C7109" s="17"/>
      <c r="D7109" s="17"/>
      <c r="E7109" s="7"/>
    </row>
    <row r="7110" spans="3:5">
      <c r="C7110" s="17"/>
      <c r="D7110" s="17"/>
      <c r="E7110" s="7"/>
    </row>
    <row r="7111" spans="3:5">
      <c r="C7111" s="17"/>
      <c r="D7111" s="17"/>
      <c r="E7111" s="7"/>
    </row>
    <row r="7112" spans="3:5">
      <c r="C7112" s="17"/>
      <c r="D7112" s="17"/>
      <c r="E7112" s="7"/>
    </row>
    <row r="7113" spans="3:5">
      <c r="C7113" s="17"/>
      <c r="D7113" s="17"/>
      <c r="E7113" s="7"/>
    </row>
    <row r="7114" spans="3:5">
      <c r="C7114" s="17"/>
      <c r="D7114" s="17"/>
      <c r="E7114" s="7"/>
    </row>
    <row r="7115" spans="3:5">
      <c r="C7115" s="17"/>
      <c r="D7115" s="17"/>
      <c r="E7115" s="7"/>
    </row>
    <row r="7116" spans="3:5">
      <c r="C7116" s="17"/>
      <c r="D7116" s="17"/>
      <c r="E7116" s="7"/>
    </row>
    <row r="7117" spans="3:5">
      <c r="C7117" s="17"/>
      <c r="D7117" s="17"/>
      <c r="E7117" s="7"/>
    </row>
    <row r="7118" spans="3:5">
      <c r="C7118" s="17"/>
      <c r="D7118" s="17"/>
      <c r="E7118" s="7"/>
    </row>
    <row r="7119" spans="3:5">
      <c r="C7119" s="17"/>
      <c r="D7119" s="17"/>
      <c r="E7119" s="7"/>
    </row>
    <row r="7120" spans="3:5">
      <c r="C7120" s="17"/>
      <c r="D7120" s="17"/>
      <c r="E7120" s="7"/>
    </row>
    <row r="7121" spans="3:5">
      <c r="C7121" s="17"/>
      <c r="D7121" s="17"/>
      <c r="E7121" s="7"/>
    </row>
    <row r="7122" spans="3:5">
      <c r="C7122" s="17"/>
      <c r="D7122" s="17"/>
      <c r="E7122" s="7"/>
    </row>
    <row r="7123" spans="3:5">
      <c r="C7123" s="17"/>
      <c r="D7123" s="17"/>
      <c r="E7123" s="7"/>
    </row>
    <row r="7124" spans="3:5">
      <c r="C7124" s="17"/>
      <c r="D7124" s="17"/>
      <c r="E7124" s="7"/>
    </row>
    <row r="7125" spans="3:5">
      <c r="C7125" s="17"/>
      <c r="D7125" s="17"/>
      <c r="E7125" s="7"/>
    </row>
    <row r="7126" spans="3:5">
      <c r="C7126" s="17"/>
      <c r="D7126" s="17"/>
      <c r="E7126" s="7"/>
    </row>
    <row r="7127" spans="3:5">
      <c r="C7127" s="17"/>
      <c r="D7127" s="17"/>
      <c r="E7127" s="7"/>
    </row>
    <row r="7128" spans="3:5">
      <c r="C7128" s="17"/>
      <c r="D7128" s="17"/>
      <c r="E7128" s="7"/>
    </row>
    <row r="7129" spans="3:5">
      <c r="C7129" s="17"/>
      <c r="D7129" s="17"/>
      <c r="E7129" s="7"/>
    </row>
    <row r="7130" spans="3:5">
      <c r="C7130" s="17"/>
      <c r="D7130" s="17"/>
      <c r="E7130" s="7"/>
    </row>
    <row r="7131" spans="3:5">
      <c r="C7131" s="17"/>
      <c r="D7131" s="17"/>
      <c r="E7131" s="7"/>
    </row>
    <row r="7132" spans="3:5">
      <c r="C7132" s="17"/>
      <c r="D7132" s="17"/>
      <c r="E7132" s="7"/>
    </row>
    <row r="7133" spans="3:5">
      <c r="C7133" s="17"/>
      <c r="D7133" s="17"/>
      <c r="E7133" s="7"/>
    </row>
    <row r="7134" spans="3:5">
      <c r="C7134" s="17"/>
      <c r="D7134" s="17"/>
      <c r="E7134" s="7"/>
    </row>
    <row r="7135" spans="3:5">
      <c r="C7135" s="17"/>
      <c r="D7135" s="17"/>
      <c r="E7135" s="7"/>
    </row>
    <row r="7136" spans="3:5">
      <c r="C7136" s="17"/>
      <c r="D7136" s="17"/>
      <c r="E7136" s="7"/>
    </row>
    <row r="7137" spans="3:5">
      <c r="C7137" s="17"/>
      <c r="D7137" s="17"/>
      <c r="E7137" s="7"/>
    </row>
    <row r="7138" spans="3:5">
      <c r="C7138" s="17"/>
      <c r="D7138" s="17"/>
      <c r="E7138" s="7"/>
    </row>
    <row r="7139" spans="3:5">
      <c r="C7139" s="17"/>
      <c r="D7139" s="17"/>
      <c r="E7139" s="7"/>
    </row>
    <row r="7140" spans="3:5">
      <c r="C7140" s="17"/>
      <c r="D7140" s="17"/>
      <c r="E7140" s="7"/>
    </row>
    <row r="7141" spans="3:5">
      <c r="C7141" s="17"/>
      <c r="D7141" s="17"/>
      <c r="E7141" s="7"/>
    </row>
    <row r="7142" spans="3:5">
      <c r="C7142" s="17"/>
      <c r="D7142" s="17"/>
      <c r="E7142" s="7"/>
    </row>
    <row r="7143" spans="3:5">
      <c r="C7143" s="17"/>
      <c r="D7143" s="17"/>
      <c r="E7143" s="7"/>
    </row>
    <row r="7144" spans="3:5">
      <c r="C7144" s="17"/>
      <c r="D7144" s="17"/>
      <c r="E7144" s="7"/>
    </row>
    <row r="7145" spans="3:5">
      <c r="C7145" s="17"/>
      <c r="D7145" s="17"/>
      <c r="E7145" s="7"/>
    </row>
    <row r="7146" spans="3:5">
      <c r="C7146" s="17"/>
      <c r="D7146" s="17"/>
      <c r="E7146" s="7"/>
    </row>
    <row r="7147" spans="3:5">
      <c r="C7147" s="17"/>
      <c r="D7147" s="17"/>
      <c r="E7147" s="7"/>
    </row>
    <row r="7148" spans="3:5">
      <c r="C7148" s="17"/>
      <c r="D7148" s="17"/>
      <c r="E7148" s="7"/>
    </row>
    <row r="7149" spans="3:5">
      <c r="C7149" s="17"/>
      <c r="D7149" s="17"/>
      <c r="E7149" s="7"/>
    </row>
    <row r="7150" spans="3:5">
      <c r="C7150" s="17"/>
      <c r="D7150" s="17"/>
      <c r="E7150" s="7"/>
    </row>
    <row r="7151" spans="3:5">
      <c r="C7151" s="17"/>
      <c r="D7151" s="17"/>
      <c r="E7151" s="7"/>
    </row>
    <row r="7152" spans="3:5">
      <c r="C7152" s="17"/>
      <c r="D7152" s="17"/>
      <c r="E7152" s="7"/>
    </row>
    <row r="7153" spans="3:5">
      <c r="C7153" s="17"/>
      <c r="D7153" s="17"/>
      <c r="E7153" s="7"/>
    </row>
    <row r="7154" spans="3:5">
      <c r="C7154" s="17"/>
      <c r="D7154" s="17"/>
      <c r="E7154" s="7"/>
    </row>
    <row r="7155" spans="3:5">
      <c r="C7155" s="17"/>
      <c r="D7155" s="17"/>
      <c r="E7155" s="7"/>
    </row>
    <row r="7156" spans="3:5">
      <c r="C7156" s="17"/>
      <c r="D7156" s="17"/>
      <c r="E7156" s="7"/>
    </row>
    <row r="7157" spans="3:5">
      <c r="C7157" s="17"/>
      <c r="D7157" s="17"/>
      <c r="E7157" s="7"/>
    </row>
    <row r="7158" spans="3:5">
      <c r="C7158" s="17"/>
      <c r="D7158" s="17"/>
      <c r="E7158" s="7"/>
    </row>
    <row r="7159" spans="3:5">
      <c r="C7159" s="17"/>
      <c r="D7159" s="17"/>
      <c r="E7159" s="7"/>
    </row>
    <row r="7160" spans="3:5">
      <c r="C7160" s="17"/>
      <c r="D7160" s="17"/>
      <c r="E7160" s="7"/>
    </row>
    <row r="7161" spans="3:5">
      <c r="C7161" s="17"/>
      <c r="D7161" s="17"/>
      <c r="E7161" s="7"/>
    </row>
    <row r="7162" spans="3:5">
      <c r="C7162" s="17"/>
      <c r="D7162" s="17"/>
      <c r="E7162" s="7"/>
    </row>
    <row r="7163" spans="3:5">
      <c r="C7163" s="17"/>
      <c r="D7163" s="17"/>
      <c r="E7163" s="7"/>
    </row>
    <row r="7164" spans="3:5">
      <c r="C7164" s="17"/>
      <c r="D7164" s="17"/>
      <c r="E7164" s="7"/>
    </row>
    <row r="7165" spans="3:5">
      <c r="C7165" s="17"/>
      <c r="D7165" s="17"/>
      <c r="E7165" s="7"/>
    </row>
    <row r="7166" spans="3:5">
      <c r="C7166" s="17"/>
      <c r="D7166" s="17"/>
      <c r="E7166" s="7"/>
    </row>
    <row r="7167" spans="3:5">
      <c r="C7167" s="17"/>
      <c r="D7167" s="17"/>
      <c r="E7167" s="7"/>
    </row>
    <row r="7168" spans="3:5">
      <c r="C7168" s="17"/>
      <c r="D7168" s="17"/>
      <c r="E7168" s="7"/>
    </row>
    <row r="7169" spans="3:5">
      <c r="C7169" s="17"/>
      <c r="D7169" s="17"/>
      <c r="E7169" s="7"/>
    </row>
    <row r="7170" spans="3:5">
      <c r="C7170" s="17"/>
      <c r="D7170" s="17"/>
      <c r="E7170" s="7"/>
    </row>
    <row r="7171" spans="3:5">
      <c r="C7171" s="17"/>
      <c r="D7171" s="17"/>
      <c r="E7171" s="7"/>
    </row>
    <row r="7172" spans="3:5">
      <c r="C7172" s="17"/>
      <c r="D7172" s="17"/>
      <c r="E7172" s="7"/>
    </row>
    <row r="7173" spans="3:5">
      <c r="C7173" s="17"/>
      <c r="D7173" s="17"/>
      <c r="E7173" s="7"/>
    </row>
    <row r="7174" spans="3:5">
      <c r="C7174" s="17"/>
      <c r="D7174" s="17"/>
      <c r="E7174" s="7"/>
    </row>
    <row r="7175" spans="3:5">
      <c r="C7175" s="17"/>
      <c r="D7175" s="17"/>
      <c r="E7175" s="7"/>
    </row>
    <row r="7176" spans="3:5">
      <c r="C7176" s="17"/>
      <c r="D7176" s="17"/>
      <c r="E7176" s="7"/>
    </row>
    <row r="7177" spans="3:5">
      <c r="C7177" s="17"/>
      <c r="D7177" s="17"/>
      <c r="E7177" s="7"/>
    </row>
    <row r="7178" spans="3:5">
      <c r="C7178" s="17"/>
      <c r="D7178" s="17"/>
      <c r="E7178" s="7"/>
    </row>
    <row r="7179" spans="3:5">
      <c r="C7179" s="17"/>
      <c r="D7179" s="17"/>
      <c r="E7179" s="7"/>
    </row>
    <row r="7180" spans="3:5">
      <c r="C7180" s="17"/>
      <c r="D7180" s="17"/>
      <c r="E7180" s="7"/>
    </row>
    <row r="7181" spans="3:5">
      <c r="C7181" s="17"/>
      <c r="D7181" s="17"/>
      <c r="E7181" s="7"/>
    </row>
    <row r="7182" spans="3:5">
      <c r="C7182" s="17"/>
      <c r="D7182" s="17"/>
      <c r="E7182" s="7"/>
    </row>
    <row r="7183" spans="3:5">
      <c r="C7183" s="17"/>
      <c r="D7183" s="17"/>
      <c r="E7183" s="7"/>
    </row>
    <row r="7184" spans="3:5">
      <c r="C7184" s="17"/>
      <c r="D7184" s="17"/>
      <c r="E7184" s="7"/>
    </row>
    <row r="7185" spans="3:5">
      <c r="C7185" s="17"/>
      <c r="D7185" s="17"/>
      <c r="E7185" s="7"/>
    </row>
    <row r="7186" spans="3:5">
      <c r="C7186" s="17"/>
      <c r="D7186" s="17"/>
      <c r="E7186" s="7"/>
    </row>
    <row r="7187" spans="3:5">
      <c r="C7187" s="17"/>
      <c r="D7187" s="17"/>
      <c r="E7187" s="7"/>
    </row>
    <row r="7188" spans="3:5">
      <c r="C7188" s="17"/>
      <c r="D7188" s="17"/>
      <c r="E7188" s="7"/>
    </row>
    <row r="7189" spans="3:5">
      <c r="C7189" s="17"/>
      <c r="D7189" s="17"/>
      <c r="E7189" s="7"/>
    </row>
    <row r="7190" spans="3:5">
      <c r="C7190" s="17"/>
      <c r="D7190" s="17"/>
      <c r="E7190" s="7"/>
    </row>
    <row r="7191" spans="3:5">
      <c r="C7191" s="17"/>
      <c r="D7191" s="17"/>
      <c r="E7191" s="7"/>
    </row>
    <row r="7192" spans="3:5">
      <c r="C7192" s="17"/>
      <c r="D7192" s="17"/>
      <c r="E7192" s="7"/>
    </row>
    <row r="7193" spans="3:5">
      <c r="C7193" s="17"/>
      <c r="D7193" s="17"/>
      <c r="E7193" s="7"/>
    </row>
    <row r="7194" spans="3:5">
      <c r="C7194" s="17"/>
      <c r="D7194" s="17"/>
      <c r="E7194" s="7"/>
    </row>
    <row r="7195" spans="3:5">
      <c r="C7195" s="17"/>
      <c r="D7195" s="17"/>
      <c r="E7195" s="7"/>
    </row>
    <row r="7196" spans="3:5">
      <c r="C7196" s="17"/>
      <c r="D7196" s="17"/>
      <c r="E7196" s="7"/>
    </row>
    <row r="7197" spans="3:5">
      <c r="C7197" s="17"/>
      <c r="D7197" s="17"/>
      <c r="E7197" s="7"/>
    </row>
    <row r="7198" spans="3:5">
      <c r="C7198" s="17"/>
      <c r="D7198" s="17"/>
      <c r="E7198" s="7"/>
    </row>
    <row r="7199" spans="3:5">
      <c r="C7199" s="17"/>
      <c r="D7199" s="17"/>
      <c r="E7199" s="7"/>
    </row>
    <row r="7200" spans="3:5">
      <c r="C7200" s="17"/>
      <c r="D7200" s="17"/>
      <c r="E7200" s="7"/>
    </row>
    <row r="7201" spans="3:5">
      <c r="C7201" s="17"/>
      <c r="D7201" s="17"/>
      <c r="E7201" s="7"/>
    </row>
    <row r="7202" spans="3:5">
      <c r="C7202" s="17"/>
      <c r="D7202" s="17"/>
      <c r="E7202" s="7"/>
    </row>
    <row r="7203" spans="3:5">
      <c r="C7203" s="17"/>
      <c r="D7203" s="17"/>
      <c r="E7203" s="7"/>
    </row>
    <row r="7204" spans="3:5">
      <c r="C7204" s="17"/>
      <c r="D7204" s="17"/>
      <c r="E7204" s="7"/>
    </row>
    <row r="7205" spans="3:5">
      <c r="C7205" s="17"/>
      <c r="D7205" s="17"/>
      <c r="E7205" s="7"/>
    </row>
    <row r="7206" spans="3:5">
      <c r="C7206" s="17"/>
      <c r="D7206" s="17"/>
      <c r="E7206" s="7"/>
    </row>
    <row r="7207" spans="3:5">
      <c r="C7207" s="17"/>
      <c r="D7207" s="17"/>
      <c r="E7207" s="7"/>
    </row>
    <row r="7208" spans="3:5">
      <c r="C7208" s="17"/>
      <c r="D7208" s="17"/>
      <c r="E7208" s="7"/>
    </row>
    <row r="7209" spans="3:5">
      <c r="C7209" s="17"/>
      <c r="D7209" s="17"/>
      <c r="E7209" s="7"/>
    </row>
    <row r="7210" spans="3:5">
      <c r="C7210" s="17"/>
      <c r="D7210" s="17"/>
      <c r="E7210" s="7"/>
    </row>
    <row r="7211" spans="3:5">
      <c r="C7211" s="17"/>
      <c r="D7211" s="17"/>
      <c r="E7211" s="7"/>
    </row>
    <row r="7212" spans="3:5">
      <c r="C7212" s="17"/>
      <c r="D7212" s="17"/>
      <c r="E7212" s="7"/>
    </row>
    <row r="7213" spans="3:5">
      <c r="C7213" s="17"/>
      <c r="D7213" s="17"/>
      <c r="E7213" s="7"/>
    </row>
    <row r="7214" spans="3:5">
      <c r="C7214" s="17"/>
      <c r="D7214" s="17"/>
      <c r="E7214" s="7"/>
    </row>
    <row r="7215" spans="3:5">
      <c r="C7215" s="17"/>
      <c r="D7215" s="17"/>
      <c r="E7215" s="7"/>
    </row>
    <row r="7216" spans="3:5">
      <c r="C7216" s="17"/>
      <c r="D7216" s="17"/>
      <c r="E7216" s="7"/>
    </row>
    <row r="7217" spans="3:5">
      <c r="C7217" s="17"/>
      <c r="D7217" s="17"/>
      <c r="E7217" s="7"/>
    </row>
    <row r="7218" spans="3:5">
      <c r="C7218" s="17"/>
      <c r="D7218" s="17"/>
      <c r="E7218" s="7"/>
    </row>
    <row r="7219" spans="3:5">
      <c r="C7219" s="17"/>
      <c r="D7219" s="17"/>
      <c r="E7219" s="7"/>
    </row>
    <row r="7220" spans="3:5">
      <c r="C7220" s="17"/>
      <c r="D7220" s="17"/>
      <c r="E7220" s="7"/>
    </row>
    <row r="7221" spans="3:5">
      <c r="C7221" s="17"/>
      <c r="D7221" s="17"/>
      <c r="E7221" s="7"/>
    </row>
    <row r="7222" spans="3:5">
      <c r="C7222" s="17"/>
      <c r="D7222" s="17"/>
      <c r="E7222" s="7"/>
    </row>
    <row r="7223" spans="3:5">
      <c r="C7223" s="17"/>
      <c r="D7223" s="17"/>
      <c r="E7223" s="7"/>
    </row>
    <row r="7224" spans="3:5">
      <c r="C7224" s="17"/>
      <c r="D7224" s="17"/>
      <c r="E7224" s="7"/>
    </row>
    <row r="7225" spans="3:5">
      <c r="C7225" s="17"/>
      <c r="D7225" s="17"/>
      <c r="E7225" s="7"/>
    </row>
    <row r="7226" spans="3:5">
      <c r="C7226" s="17"/>
      <c r="D7226" s="17"/>
      <c r="E7226" s="7"/>
    </row>
    <row r="7227" spans="3:5">
      <c r="C7227" s="17"/>
      <c r="D7227" s="17"/>
      <c r="E7227" s="7"/>
    </row>
    <row r="7228" spans="3:5">
      <c r="C7228" s="17"/>
      <c r="D7228" s="17"/>
      <c r="E7228" s="7"/>
    </row>
    <row r="7229" spans="3:5">
      <c r="C7229" s="17"/>
      <c r="D7229" s="17"/>
      <c r="E7229" s="7"/>
    </row>
    <row r="7230" spans="3:5">
      <c r="C7230" s="17"/>
      <c r="D7230" s="17"/>
      <c r="E7230" s="7"/>
    </row>
    <row r="7231" spans="3:5">
      <c r="C7231" s="17"/>
      <c r="D7231" s="17"/>
      <c r="E7231" s="7"/>
    </row>
    <row r="7232" spans="3:5">
      <c r="C7232" s="17"/>
      <c r="D7232" s="17"/>
      <c r="E7232" s="7"/>
    </row>
    <row r="7233" spans="3:5">
      <c r="C7233" s="17"/>
      <c r="D7233" s="17"/>
      <c r="E7233" s="7"/>
    </row>
    <row r="7234" spans="3:5">
      <c r="C7234" s="17"/>
      <c r="D7234" s="17"/>
      <c r="E7234" s="7"/>
    </row>
    <row r="7235" spans="3:5">
      <c r="C7235" s="17"/>
      <c r="D7235" s="17"/>
      <c r="E7235" s="7"/>
    </row>
    <row r="7236" spans="3:5">
      <c r="C7236" s="17"/>
      <c r="D7236" s="17"/>
      <c r="E7236" s="7"/>
    </row>
    <row r="7237" spans="3:5">
      <c r="C7237" s="17"/>
      <c r="D7237" s="17"/>
      <c r="E7237" s="7"/>
    </row>
    <row r="7238" spans="3:5">
      <c r="C7238" s="17"/>
      <c r="D7238" s="17"/>
      <c r="E7238" s="7"/>
    </row>
    <row r="7239" spans="3:5">
      <c r="C7239" s="17"/>
      <c r="D7239" s="17"/>
      <c r="E7239" s="7"/>
    </row>
    <row r="7240" spans="3:5">
      <c r="C7240" s="17"/>
      <c r="D7240" s="17"/>
      <c r="E7240" s="7"/>
    </row>
    <row r="7241" spans="3:5">
      <c r="C7241" s="17"/>
      <c r="D7241" s="17"/>
      <c r="E7241" s="7"/>
    </row>
    <row r="7242" spans="3:5">
      <c r="C7242" s="17"/>
      <c r="D7242" s="17"/>
      <c r="E7242" s="7"/>
    </row>
    <row r="7243" spans="3:5">
      <c r="C7243" s="17"/>
      <c r="D7243" s="17"/>
      <c r="E7243" s="7"/>
    </row>
    <row r="7244" spans="3:5">
      <c r="C7244" s="17"/>
      <c r="D7244" s="17"/>
      <c r="E7244" s="7"/>
    </row>
    <row r="7245" spans="3:5">
      <c r="C7245" s="17"/>
      <c r="D7245" s="17"/>
      <c r="E7245" s="7"/>
    </row>
    <row r="7246" spans="3:5">
      <c r="C7246" s="17"/>
      <c r="D7246" s="17"/>
      <c r="E7246" s="7"/>
    </row>
    <row r="7247" spans="3:5">
      <c r="C7247" s="17"/>
      <c r="D7247" s="17"/>
      <c r="E7247" s="7"/>
    </row>
    <row r="7248" spans="3:5">
      <c r="C7248" s="17"/>
      <c r="D7248" s="17"/>
      <c r="E7248" s="7"/>
    </row>
    <row r="7249" spans="3:5">
      <c r="C7249" s="17"/>
      <c r="D7249" s="17"/>
      <c r="E7249" s="7"/>
    </row>
    <row r="7250" spans="3:5">
      <c r="C7250" s="17"/>
      <c r="D7250" s="17"/>
      <c r="E7250" s="7"/>
    </row>
    <row r="7251" spans="3:5">
      <c r="C7251" s="17"/>
      <c r="D7251" s="17"/>
      <c r="E7251" s="7"/>
    </row>
    <row r="7252" spans="3:5">
      <c r="C7252" s="17"/>
      <c r="D7252" s="17"/>
      <c r="E7252" s="7"/>
    </row>
    <row r="7253" spans="3:5">
      <c r="C7253" s="17"/>
      <c r="D7253" s="17"/>
      <c r="E7253" s="7"/>
    </row>
    <row r="7254" spans="3:5">
      <c r="C7254" s="17"/>
      <c r="D7254" s="17"/>
      <c r="E7254" s="7"/>
    </row>
    <row r="7255" spans="3:5">
      <c r="C7255" s="17"/>
      <c r="D7255" s="17"/>
      <c r="E7255" s="7"/>
    </row>
    <row r="7256" spans="3:5">
      <c r="C7256" s="17"/>
      <c r="D7256" s="17"/>
      <c r="E7256" s="7"/>
    </row>
    <row r="7257" spans="3:5">
      <c r="C7257" s="17"/>
      <c r="D7257" s="17"/>
      <c r="E7257" s="7"/>
    </row>
    <row r="7258" spans="3:5">
      <c r="C7258" s="17"/>
      <c r="D7258" s="17"/>
      <c r="E7258" s="7"/>
    </row>
    <row r="7259" spans="3:5">
      <c r="C7259" s="17"/>
      <c r="D7259" s="17"/>
      <c r="E7259" s="7"/>
    </row>
    <row r="7260" spans="3:5">
      <c r="C7260" s="17"/>
      <c r="D7260" s="17"/>
      <c r="E7260" s="7"/>
    </row>
    <row r="7261" spans="3:5">
      <c r="C7261" s="17"/>
      <c r="D7261" s="17"/>
      <c r="E7261" s="7"/>
    </row>
    <row r="7262" spans="3:5">
      <c r="C7262" s="17"/>
      <c r="D7262" s="17"/>
      <c r="E7262" s="7"/>
    </row>
    <row r="7263" spans="3:5">
      <c r="C7263" s="17"/>
      <c r="D7263" s="17"/>
      <c r="E7263" s="7"/>
    </row>
    <row r="7264" spans="3:5">
      <c r="C7264" s="17"/>
      <c r="D7264" s="17"/>
      <c r="E7264" s="7"/>
    </row>
    <row r="7265" spans="3:5">
      <c r="C7265" s="17"/>
      <c r="D7265" s="17"/>
      <c r="E7265" s="7"/>
    </row>
    <row r="7266" spans="3:5">
      <c r="C7266" s="17"/>
      <c r="D7266" s="17"/>
      <c r="E7266" s="7"/>
    </row>
    <row r="7267" spans="3:5">
      <c r="C7267" s="17"/>
      <c r="D7267" s="17"/>
      <c r="E7267" s="7"/>
    </row>
    <row r="7268" spans="3:5">
      <c r="C7268" s="17"/>
      <c r="D7268" s="17"/>
      <c r="E7268" s="7"/>
    </row>
    <row r="7269" spans="3:5">
      <c r="C7269" s="17"/>
      <c r="D7269" s="17"/>
      <c r="E7269" s="7"/>
    </row>
    <row r="7270" spans="3:5">
      <c r="C7270" s="17"/>
      <c r="D7270" s="17"/>
      <c r="E7270" s="7"/>
    </row>
    <row r="7271" spans="3:5">
      <c r="C7271" s="17"/>
      <c r="D7271" s="17"/>
      <c r="E7271" s="7"/>
    </row>
    <row r="7272" spans="3:5">
      <c r="C7272" s="17"/>
      <c r="D7272" s="17"/>
      <c r="E7272" s="7"/>
    </row>
    <row r="7273" spans="3:5">
      <c r="C7273" s="17"/>
      <c r="D7273" s="17"/>
      <c r="E7273" s="7"/>
    </row>
    <row r="7274" spans="3:5">
      <c r="C7274" s="17"/>
      <c r="D7274" s="17"/>
      <c r="E7274" s="7"/>
    </row>
    <row r="7275" spans="3:5">
      <c r="C7275" s="17"/>
      <c r="D7275" s="17"/>
      <c r="E7275" s="7"/>
    </row>
    <row r="7276" spans="3:5">
      <c r="C7276" s="17"/>
      <c r="D7276" s="17"/>
      <c r="E7276" s="7"/>
    </row>
    <row r="7277" spans="3:5">
      <c r="C7277" s="17"/>
      <c r="D7277" s="17"/>
      <c r="E7277" s="7"/>
    </row>
    <row r="7278" spans="3:5">
      <c r="C7278" s="17"/>
      <c r="D7278" s="17"/>
      <c r="E7278" s="7"/>
    </row>
    <row r="7279" spans="3:5">
      <c r="C7279" s="17"/>
      <c r="D7279" s="17"/>
      <c r="E7279" s="7"/>
    </row>
    <row r="7280" spans="3:5">
      <c r="C7280" s="17"/>
      <c r="D7280" s="17"/>
      <c r="E7280" s="7"/>
    </row>
    <row r="7281" spans="3:5">
      <c r="C7281" s="17"/>
      <c r="D7281" s="17"/>
      <c r="E7281" s="7"/>
    </row>
    <row r="7282" spans="3:5">
      <c r="C7282" s="17"/>
      <c r="D7282" s="17"/>
      <c r="E7282" s="7"/>
    </row>
    <row r="7283" spans="3:5">
      <c r="C7283" s="17"/>
      <c r="D7283" s="17"/>
      <c r="E7283" s="7"/>
    </row>
    <row r="7284" spans="3:5">
      <c r="C7284" s="17"/>
      <c r="D7284" s="17"/>
      <c r="E7284" s="7"/>
    </row>
    <row r="7285" spans="3:5">
      <c r="C7285" s="17"/>
      <c r="D7285" s="17"/>
      <c r="E7285" s="7"/>
    </row>
    <row r="7286" spans="3:5">
      <c r="C7286" s="17"/>
      <c r="D7286" s="17"/>
      <c r="E7286" s="7"/>
    </row>
    <row r="7287" spans="3:5">
      <c r="C7287" s="17"/>
      <c r="D7287" s="17"/>
      <c r="E7287" s="7"/>
    </row>
    <row r="7288" spans="3:5">
      <c r="C7288" s="17"/>
      <c r="D7288" s="17"/>
      <c r="E7288" s="7"/>
    </row>
    <row r="7289" spans="3:5">
      <c r="C7289" s="17"/>
      <c r="D7289" s="17"/>
      <c r="E7289" s="7"/>
    </row>
    <row r="7290" spans="3:5">
      <c r="C7290" s="17"/>
      <c r="D7290" s="17"/>
      <c r="E7290" s="7"/>
    </row>
    <row r="7291" spans="3:5">
      <c r="C7291" s="17"/>
      <c r="D7291" s="17"/>
      <c r="E7291" s="7"/>
    </row>
    <row r="7292" spans="3:5">
      <c r="C7292" s="17"/>
      <c r="D7292" s="17"/>
      <c r="E7292" s="7"/>
    </row>
    <row r="7293" spans="3:5">
      <c r="C7293" s="17"/>
      <c r="D7293" s="17"/>
      <c r="E7293" s="7"/>
    </row>
    <row r="7294" spans="3:5">
      <c r="C7294" s="17"/>
      <c r="D7294" s="17"/>
      <c r="E7294" s="7"/>
    </row>
    <row r="7295" spans="3:5">
      <c r="C7295" s="17"/>
      <c r="D7295" s="17"/>
      <c r="E7295" s="7"/>
    </row>
    <row r="7296" spans="3:5">
      <c r="C7296" s="17"/>
      <c r="D7296" s="17"/>
      <c r="E7296" s="7"/>
    </row>
    <row r="7297" spans="3:5">
      <c r="C7297" s="17"/>
      <c r="D7297" s="17"/>
      <c r="E7297" s="7"/>
    </row>
    <row r="7298" spans="3:5">
      <c r="C7298" s="17"/>
      <c r="D7298" s="17"/>
      <c r="E7298" s="7"/>
    </row>
    <row r="7299" spans="3:5">
      <c r="C7299" s="17"/>
      <c r="D7299" s="17"/>
      <c r="E7299" s="7"/>
    </row>
    <row r="7300" spans="3:5">
      <c r="C7300" s="17"/>
      <c r="D7300" s="17"/>
      <c r="E7300" s="7"/>
    </row>
    <row r="7301" spans="3:5">
      <c r="C7301" s="17"/>
      <c r="D7301" s="17"/>
      <c r="E7301" s="7"/>
    </row>
    <row r="7302" spans="3:5">
      <c r="C7302" s="17"/>
      <c r="D7302" s="17"/>
      <c r="E7302" s="7"/>
    </row>
    <row r="7303" spans="3:5">
      <c r="C7303" s="17"/>
      <c r="D7303" s="17"/>
      <c r="E7303" s="7"/>
    </row>
    <row r="7304" spans="3:5">
      <c r="C7304" s="17"/>
      <c r="D7304" s="17"/>
      <c r="E7304" s="7"/>
    </row>
    <row r="7305" spans="3:5">
      <c r="C7305" s="17"/>
      <c r="D7305" s="17"/>
      <c r="E7305" s="7"/>
    </row>
    <row r="7306" spans="3:5">
      <c r="C7306" s="17"/>
      <c r="D7306" s="17"/>
      <c r="E7306" s="7"/>
    </row>
    <row r="7307" spans="3:5">
      <c r="C7307" s="17"/>
      <c r="D7307" s="17"/>
      <c r="E7307" s="7"/>
    </row>
    <row r="7308" spans="3:5">
      <c r="C7308" s="17"/>
      <c r="D7308" s="17"/>
      <c r="E7308" s="7"/>
    </row>
    <row r="7309" spans="3:5">
      <c r="C7309" s="17"/>
      <c r="D7309" s="17"/>
      <c r="E7309" s="7"/>
    </row>
    <row r="7310" spans="3:5">
      <c r="C7310" s="17"/>
      <c r="D7310" s="17"/>
      <c r="E7310" s="7"/>
    </row>
    <row r="7311" spans="3:5">
      <c r="C7311" s="17"/>
      <c r="D7311" s="17"/>
      <c r="E7311" s="7"/>
    </row>
    <row r="7312" spans="3:5">
      <c r="C7312" s="17"/>
      <c r="D7312" s="17"/>
      <c r="E7312" s="7"/>
    </row>
    <row r="7313" spans="3:5">
      <c r="C7313" s="17"/>
      <c r="D7313" s="17"/>
      <c r="E7313" s="7"/>
    </row>
    <row r="7314" spans="3:5">
      <c r="C7314" s="17"/>
      <c r="D7314" s="17"/>
      <c r="E7314" s="7"/>
    </row>
    <row r="7315" spans="3:5">
      <c r="C7315" s="17"/>
      <c r="D7315" s="17"/>
      <c r="E7315" s="7"/>
    </row>
    <row r="7316" spans="3:5">
      <c r="C7316" s="17"/>
      <c r="D7316" s="17"/>
      <c r="E7316" s="7"/>
    </row>
    <row r="7317" spans="3:5">
      <c r="C7317" s="17"/>
      <c r="D7317" s="17"/>
      <c r="E7317" s="7"/>
    </row>
    <row r="7318" spans="3:5">
      <c r="C7318" s="17"/>
      <c r="D7318" s="17"/>
      <c r="E7318" s="7"/>
    </row>
    <row r="7319" spans="3:5">
      <c r="C7319" s="17"/>
      <c r="D7319" s="17"/>
      <c r="E7319" s="7"/>
    </row>
    <row r="7320" spans="3:5">
      <c r="C7320" s="17"/>
      <c r="D7320" s="17"/>
      <c r="E7320" s="7"/>
    </row>
    <row r="7321" spans="3:5">
      <c r="C7321" s="17"/>
      <c r="D7321" s="17"/>
      <c r="E7321" s="7"/>
    </row>
    <row r="7322" spans="3:5">
      <c r="C7322" s="17"/>
      <c r="D7322" s="17"/>
      <c r="E7322" s="7"/>
    </row>
    <row r="7323" spans="3:5">
      <c r="C7323" s="17"/>
      <c r="D7323" s="17"/>
      <c r="E7323" s="7"/>
    </row>
    <row r="7324" spans="3:5">
      <c r="C7324" s="17"/>
      <c r="D7324" s="17"/>
      <c r="E7324" s="7"/>
    </row>
    <row r="7325" spans="3:5">
      <c r="C7325" s="17"/>
      <c r="D7325" s="17"/>
      <c r="E7325" s="7"/>
    </row>
    <row r="7326" spans="3:5">
      <c r="C7326" s="17"/>
      <c r="D7326" s="17"/>
      <c r="E7326" s="7"/>
    </row>
    <row r="7327" spans="3:5">
      <c r="C7327" s="17"/>
      <c r="D7327" s="17"/>
      <c r="E7327" s="7"/>
    </row>
    <row r="7328" spans="3:5">
      <c r="C7328" s="17"/>
      <c r="D7328" s="17"/>
      <c r="E7328" s="7"/>
    </row>
    <row r="7329" spans="3:5">
      <c r="C7329" s="17"/>
      <c r="D7329" s="17"/>
      <c r="E7329" s="7"/>
    </row>
    <row r="7330" spans="3:5">
      <c r="C7330" s="17"/>
      <c r="D7330" s="17"/>
      <c r="E7330" s="7"/>
    </row>
    <row r="7331" spans="3:5">
      <c r="C7331" s="17"/>
      <c r="D7331" s="17"/>
      <c r="E7331" s="7"/>
    </row>
    <row r="7332" spans="3:5">
      <c r="C7332" s="17"/>
      <c r="D7332" s="17"/>
      <c r="E7332" s="7"/>
    </row>
    <row r="7333" spans="3:5">
      <c r="C7333" s="17"/>
      <c r="D7333" s="17"/>
      <c r="E7333" s="7"/>
    </row>
    <row r="7334" spans="3:5">
      <c r="C7334" s="17"/>
      <c r="D7334" s="17"/>
      <c r="E7334" s="7"/>
    </row>
    <row r="7335" spans="3:5">
      <c r="C7335" s="17"/>
      <c r="D7335" s="17"/>
      <c r="E7335" s="7"/>
    </row>
    <row r="7336" spans="3:5">
      <c r="C7336" s="17"/>
      <c r="D7336" s="17"/>
      <c r="E7336" s="7"/>
    </row>
    <row r="7337" spans="3:5">
      <c r="C7337" s="17"/>
      <c r="D7337" s="17"/>
      <c r="E7337" s="7"/>
    </row>
    <row r="7338" spans="3:5">
      <c r="C7338" s="17"/>
      <c r="D7338" s="17"/>
      <c r="E7338" s="7"/>
    </row>
    <row r="7339" spans="3:5">
      <c r="C7339" s="17"/>
      <c r="D7339" s="17"/>
      <c r="E7339" s="7"/>
    </row>
    <row r="7340" spans="3:5">
      <c r="C7340" s="17"/>
      <c r="D7340" s="17"/>
      <c r="E7340" s="7"/>
    </row>
    <row r="7341" spans="3:5">
      <c r="C7341" s="17"/>
      <c r="D7341" s="17"/>
      <c r="E7341" s="7"/>
    </row>
    <row r="7342" spans="3:5">
      <c r="C7342" s="17"/>
      <c r="D7342" s="17"/>
      <c r="E7342" s="7"/>
    </row>
    <row r="7343" spans="3:5">
      <c r="C7343" s="17"/>
      <c r="D7343" s="17"/>
      <c r="E7343" s="7"/>
    </row>
    <row r="7344" spans="3:5">
      <c r="C7344" s="17"/>
      <c r="D7344" s="17"/>
      <c r="E7344" s="7"/>
    </row>
    <row r="7345" spans="3:5">
      <c r="C7345" s="17"/>
      <c r="D7345" s="17"/>
      <c r="E7345" s="7"/>
    </row>
    <row r="7346" spans="3:5">
      <c r="C7346" s="17"/>
      <c r="D7346" s="17"/>
      <c r="E7346" s="7"/>
    </row>
    <row r="7347" spans="3:5">
      <c r="C7347" s="17"/>
      <c r="D7347" s="17"/>
      <c r="E7347" s="7"/>
    </row>
    <row r="7348" spans="3:5">
      <c r="C7348" s="17"/>
      <c r="D7348" s="17"/>
      <c r="E7348" s="7"/>
    </row>
    <row r="7349" spans="3:5">
      <c r="C7349" s="17"/>
      <c r="D7349" s="17"/>
      <c r="E7349" s="7"/>
    </row>
    <row r="7350" spans="3:5">
      <c r="C7350" s="17"/>
      <c r="D7350" s="17"/>
      <c r="E7350" s="7"/>
    </row>
    <row r="7351" spans="3:5">
      <c r="C7351" s="17"/>
      <c r="D7351" s="17"/>
      <c r="E7351" s="7"/>
    </row>
    <row r="7352" spans="3:5">
      <c r="C7352" s="17"/>
      <c r="D7352" s="17"/>
      <c r="E7352" s="7"/>
    </row>
    <row r="7353" spans="3:5">
      <c r="C7353" s="17"/>
      <c r="D7353" s="17"/>
      <c r="E7353" s="7"/>
    </row>
    <row r="7354" spans="3:5">
      <c r="C7354" s="17"/>
      <c r="D7354" s="17"/>
      <c r="E7354" s="7"/>
    </row>
    <row r="7355" spans="3:5">
      <c r="C7355" s="17"/>
      <c r="D7355" s="17"/>
      <c r="E7355" s="7"/>
    </row>
    <row r="7356" spans="3:5">
      <c r="C7356" s="17"/>
      <c r="D7356" s="17"/>
      <c r="E7356" s="7"/>
    </row>
    <row r="7357" spans="3:5">
      <c r="C7357" s="17"/>
      <c r="D7357" s="17"/>
      <c r="E7357" s="7"/>
    </row>
    <row r="7358" spans="3:5">
      <c r="C7358" s="17"/>
      <c r="D7358" s="17"/>
      <c r="E7358" s="7"/>
    </row>
    <row r="7359" spans="3:5">
      <c r="C7359" s="17"/>
      <c r="D7359" s="17"/>
      <c r="E7359" s="7"/>
    </row>
    <row r="7360" spans="3:5">
      <c r="C7360" s="17"/>
      <c r="D7360" s="17"/>
      <c r="E7360" s="7"/>
    </row>
    <row r="7361" spans="3:5">
      <c r="C7361" s="17"/>
      <c r="D7361" s="17"/>
      <c r="E7361" s="7"/>
    </row>
    <row r="7362" spans="3:5">
      <c r="C7362" s="17"/>
      <c r="D7362" s="17"/>
      <c r="E7362" s="7"/>
    </row>
    <row r="7363" spans="3:5">
      <c r="C7363" s="17"/>
      <c r="D7363" s="17"/>
      <c r="E7363" s="7"/>
    </row>
    <row r="7364" spans="3:5">
      <c r="C7364" s="17"/>
      <c r="D7364" s="17"/>
      <c r="E7364" s="7"/>
    </row>
    <row r="7365" spans="3:5">
      <c r="C7365" s="17"/>
      <c r="D7365" s="17"/>
      <c r="E7365" s="7"/>
    </row>
    <row r="7366" spans="3:5">
      <c r="C7366" s="17"/>
      <c r="D7366" s="17"/>
      <c r="E7366" s="7"/>
    </row>
    <row r="7367" spans="3:5">
      <c r="C7367" s="17"/>
      <c r="D7367" s="17"/>
      <c r="E7367" s="7"/>
    </row>
    <row r="7368" spans="3:5">
      <c r="C7368" s="17"/>
      <c r="D7368" s="17"/>
      <c r="E7368" s="7"/>
    </row>
    <row r="7369" spans="3:5">
      <c r="C7369" s="17"/>
      <c r="D7369" s="17"/>
      <c r="E7369" s="7"/>
    </row>
    <row r="7370" spans="3:5">
      <c r="C7370" s="17"/>
      <c r="D7370" s="17"/>
      <c r="E7370" s="7"/>
    </row>
    <row r="7371" spans="3:5">
      <c r="C7371" s="17"/>
      <c r="D7371" s="17"/>
      <c r="E7371" s="7"/>
    </row>
    <row r="7372" spans="3:5">
      <c r="C7372" s="17"/>
      <c r="D7372" s="17"/>
      <c r="E7372" s="7"/>
    </row>
    <row r="7373" spans="3:5">
      <c r="C7373" s="17"/>
      <c r="D7373" s="17"/>
      <c r="E7373" s="7"/>
    </row>
    <row r="7374" spans="3:5">
      <c r="C7374" s="17"/>
      <c r="D7374" s="17"/>
      <c r="E7374" s="7"/>
    </row>
    <row r="7375" spans="3:5">
      <c r="C7375" s="17"/>
      <c r="D7375" s="17"/>
      <c r="E7375" s="7"/>
    </row>
    <row r="7376" spans="3:5">
      <c r="C7376" s="17"/>
      <c r="D7376" s="17"/>
      <c r="E7376" s="7"/>
    </row>
    <row r="7377" spans="3:5">
      <c r="C7377" s="17"/>
      <c r="D7377" s="17"/>
      <c r="E7377" s="7"/>
    </row>
    <row r="7378" spans="3:5">
      <c r="C7378" s="17"/>
      <c r="D7378" s="17"/>
      <c r="E7378" s="7"/>
    </row>
    <row r="7379" spans="3:5">
      <c r="C7379" s="17"/>
      <c r="D7379" s="17"/>
      <c r="E7379" s="7"/>
    </row>
    <row r="7380" spans="3:5">
      <c r="C7380" s="17"/>
      <c r="D7380" s="17"/>
      <c r="E7380" s="7"/>
    </row>
    <row r="7381" spans="3:5">
      <c r="C7381" s="17"/>
      <c r="D7381" s="17"/>
      <c r="E7381" s="7"/>
    </row>
    <row r="7382" spans="3:5">
      <c r="C7382" s="17"/>
      <c r="D7382" s="17"/>
      <c r="E7382" s="7"/>
    </row>
    <row r="7383" spans="3:5">
      <c r="C7383" s="17"/>
      <c r="D7383" s="17"/>
      <c r="E7383" s="7"/>
    </row>
    <row r="7384" spans="3:5">
      <c r="C7384" s="17"/>
      <c r="D7384" s="17"/>
      <c r="E7384" s="7"/>
    </row>
    <row r="7385" spans="3:5">
      <c r="C7385" s="17"/>
      <c r="D7385" s="17"/>
      <c r="E7385" s="7"/>
    </row>
    <row r="7386" spans="3:5">
      <c r="C7386" s="17"/>
      <c r="D7386" s="17"/>
      <c r="E7386" s="7"/>
    </row>
    <row r="7387" spans="3:5">
      <c r="C7387" s="17"/>
      <c r="D7387" s="17"/>
      <c r="E7387" s="7"/>
    </row>
    <row r="7388" spans="3:5">
      <c r="C7388" s="17"/>
      <c r="D7388" s="17"/>
      <c r="E7388" s="7"/>
    </row>
    <row r="7389" spans="3:5">
      <c r="C7389" s="17"/>
      <c r="D7389" s="17"/>
      <c r="E7389" s="7"/>
    </row>
    <row r="7390" spans="3:5">
      <c r="C7390" s="17"/>
      <c r="D7390" s="17"/>
      <c r="E7390" s="7"/>
    </row>
    <row r="7391" spans="3:5">
      <c r="C7391" s="17"/>
      <c r="D7391" s="17"/>
      <c r="E7391" s="7"/>
    </row>
    <row r="7392" spans="3:5">
      <c r="C7392" s="17"/>
      <c r="D7392" s="17"/>
      <c r="E7392" s="7"/>
    </row>
    <row r="7393" spans="3:5">
      <c r="C7393" s="17"/>
      <c r="D7393" s="17"/>
      <c r="E7393" s="7"/>
    </row>
    <row r="7394" spans="3:5">
      <c r="C7394" s="17"/>
      <c r="D7394" s="17"/>
      <c r="E7394" s="7"/>
    </row>
    <row r="7395" spans="3:5">
      <c r="C7395" s="17"/>
      <c r="D7395" s="17"/>
      <c r="E7395" s="7"/>
    </row>
    <row r="7396" spans="3:5">
      <c r="C7396" s="17"/>
      <c r="D7396" s="17"/>
      <c r="E7396" s="7"/>
    </row>
    <row r="7397" spans="3:5">
      <c r="C7397" s="17"/>
      <c r="D7397" s="17"/>
      <c r="E7397" s="7"/>
    </row>
    <row r="7398" spans="3:5">
      <c r="C7398" s="17"/>
      <c r="D7398" s="17"/>
      <c r="E7398" s="7"/>
    </row>
    <row r="7399" spans="3:5">
      <c r="C7399" s="17"/>
      <c r="D7399" s="17"/>
      <c r="E7399" s="7"/>
    </row>
    <row r="7400" spans="3:5">
      <c r="C7400" s="17"/>
      <c r="D7400" s="17"/>
      <c r="E7400" s="7"/>
    </row>
    <row r="7401" spans="3:5">
      <c r="C7401" s="17"/>
      <c r="D7401" s="17"/>
      <c r="E7401" s="7"/>
    </row>
    <row r="7402" spans="3:5">
      <c r="C7402" s="17"/>
      <c r="D7402" s="17"/>
      <c r="E7402" s="7"/>
    </row>
    <row r="7403" spans="3:5">
      <c r="C7403" s="17"/>
      <c r="D7403" s="17"/>
      <c r="E7403" s="7"/>
    </row>
    <row r="7404" spans="3:5">
      <c r="C7404" s="17"/>
      <c r="D7404" s="17"/>
      <c r="E7404" s="7"/>
    </row>
    <row r="7405" spans="3:5">
      <c r="C7405" s="17"/>
      <c r="D7405" s="17"/>
      <c r="E7405" s="7"/>
    </row>
    <row r="7406" spans="3:5">
      <c r="C7406" s="17"/>
      <c r="D7406" s="17"/>
      <c r="E7406" s="7"/>
    </row>
    <row r="7407" spans="3:5">
      <c r="C7407" s="17"/>
      <c r="D7407" s="17"/>
      <c r="E7407" s="7"/>
    </row>
    <row r="7408" spans="3:5">
      <c r="C7408" s="17"/>
      <c r="D7408" s="17"/>
      <c r="E7408" s="7"/>
    </row>
    <row r="7409" spans="3:5">
      <c r="C7409" s="17"/>
      <c r="D7409" s="17"/>
      <c r="E7409" s="7"/>
    </row>
    <row r="7410" spans="3:5">
      <c r="C7410" s="17"/>
      <c r="D7410" s="17"/>
      <c r="E7410" s="7"/>
    </row>
    <row r="7411" spans="3:5">
      <c r="C7411" s="17"/>
      <c r="D7411" s="17"/>
      <c r="E7411" s="7"/>
    </row>
    <row r="7412" spans="3:5">
      <c r="C7412" s="17"/>
      <c r="D7412" s="17"/>
      <c r="E7412" s="7"/>
    </row>
    <row r="7413" spans="3:5">
      <c r="C7413" s="17"/>
      <c r="D7413" s="17"/>
      <c r="E7413" s="7"/>
    </row>
    <row r="7414" spans="3:5">
      <c r="C7414" s="17"/>
      <c r="D7414" s="17"/>
      <c r="E7414" s="7"/>
    </row>
    <row r="7415" spans="3:5">
      <c r="C7415" s="17"/>
      <c r="D7415" s="17"/>
      <c r="E7415" s="7"/>
    </row>
    <row r="7416" spans="3:5">
      <c r="C7416" s="17"/>
      <c r="D7416" s="17"/>
      <c r="E7416" s="7"/>
    </row>
    <row r="7417" spans="3:5">
      <c r="C7417" s="17"/>
      <c r="D7417" s="17"/>
      <c r="E7417" s="7"/>
    </row>
    <row r="7418" spans="3:5">
      <c r="C7418" s="17"/>
      <c r="D7418" s="17"/>
      <c r="E7418" s="7"/>
    </row>
    <row r="7419" spans="3:5">
      <c r="C7419" s="17"/>
      <c r="D7419" s="17"/>
      <c r="E7419" s="7"/>
    </row>
    <row r="7420" spans="3:5">
      <c r="C7420" s="17"/>
      <c r="D7420" s="17"/>
      <c r="E7420" s="7"/>
    </row>
    <row r="7421" spans="3:5">
      <c r="C7421" s="17"/>
      <c r="D7421" s="17"/>
      <c r="E7421" s="7"/>
    </row>
    <row r="7422" spans="3:5">
      <c r="C7422" s="17"/>
      <c r="D7422" s="17"/>
      <c r="E7422" s="7"/>
    </row>
    <row r="7423" spans="3:5">
      <c r="C7423" s="17"/>
      <c r="D7423" s="17"/>
      <c r="E7423" s="7"/>
    </row>
    <row r="7424" spans="3:5">
      <c r="C7424" s="17"/>
      <c r="D7424" s="17"/>
      <c r="E7424" s="7"/>
    </row>
    <row r="7425" spans="3:5">
      <c r="C7425" s="17"/>
      <c r="D7425" s="17"/>
      <c r="E7425" s="7"/>
    </row>
    <row r="7426" spans="3:5">
      <c r="C7426" s="17"/>
      <c r="D7426" s="17"/>
      <c r="E7426" s="7"/>
    </row>
    <row r="7427" spans="3:5">
      <c r="C7427" s="17"/>
      <c r="D7427" s="17"/>
      <c r="E7427" s="7"/>
    </row>
    <row r="7428" spans="3:5">
      <c r="C7428" s="17"/>
      <c r="D7428" s="17"/>
      <c r="E7428" s="7"/>
    </row>
    <row r="7429" spans="3:5">
      <c r="C7429" s="17"/>
      <c r="D7429" s="17"/>
      <c r="E7429" s="7"/>
    </row>
    <row r="7430" spans="3:5">
      <c r="C7430" s="17"/>
      <c r="D7430" s="17"/>
      <c r="E7430" s="7"/>
    </row>
    <row r="7431" spans="3:5">
      <c r="C7431" s="17"/>
      <c r="D7431" s="17"/>
      <c r="E7431" s="7"/>
    </row>
    <row r="7432" spans="3:5">
      <c r="C7432" s="17"/>
      <c r="D7432" s="17"/>
      <c r="E7432" s="7"/>
    </row>
    <row r="7433" spans="3:5">
      <c r="C7433" s="17"/>
      <c r="D7433" s="17"/>
      <c r="E7433" s="7"/>
    </row>
    <row r="7434" spans="3:5">
      <c r="C7434" s="17"/>
      <c r="D7434" s="17"/>
      <c r="E7434" s="7"/>
    </row>
    <row r="7435" spans="3:5">
      <c r="C7435" s="17"/>
      <c r="D7435" s="17"/>
      <c r="E7435" s="7"/>
    </row>
    <row r="7436" spans="3:5">
      <c r="C7436" s="17"/>
      <c r="D7436" s="17"/>
      <c r="E7436" s="7"/>
    </row>
    <row r="7437" spans="3:5">
      <c r="C7437" s="17"/>
      <c r="D7437" s="17"/>
      <c r="E7437" s="7"/>
    </row>
    <row r="7438" spans="3:5">
      <c r="C7438" s="17"/>
      <c r="D7438" s="17"/>
      <c r="E7438" s="7"/>
    </row>
    <row r="7439" spans="3:5">
      <c r="C7439" s="17"/>
      <c r="D7439" s="17"/>
      <c r="E7439" s="7"/>
    </row>
    <row r="7440" spans="3:5">
      <c r="C7440" s="17"/>
      <c r="D7440" s="17"/>
      <c r="E7440" s="7"/>
    </row>
    <row r="7441" spans="3:5">
      <c r="C7441" s="17"/>
      <c r="D7441" s="17"/>
      <c r="E7441" s="7"/>
    </row>
    <row r="7442" spans="3:5">
      <c r="C7442" s="17"/>
      <c r="D7442" s="17"/>
      <c r="E7442" s="7"/>
    </row>
    <row r="7443" spans="3:5">
      <c r="C7443" s="17"/>
      <c r="D7443" s="17"/>
      <c r="E7443" s="7"/>
    </row>
    <row r="7444" spans="3:5">
      <c r="C7444" s="17"/>
      <c r="D7444" s="17"/>
      <c r="E7444" s="7"/>
    </row>
    <row r="7445" spans="3:5">
      <c r="C7445" s="17"/>
      <c r="D7445" s="17"/>
      <c r="E7445" s="7"/>
    </row>
    <row r="7446" spans="3:5">
      <c r="C7446" s="17"/>
      <c r="D7446" s="17"/>
      <c r="E7446" s="7"/>
    </row>
    <row r="7447" spans="3:5">
      <c r="C7447" s="17"/>
      <c r="D7447" s="17"/>
      <c r="E7447" s="7"/>
    </row>
    <row r="7448" spans="3:5">
      <c r="C7448" s="17"/>
      <c r="D7448" s="17"/>
      <c r="E7448" s="7"/>
    </row>
    <row r="7449" spans="3:5">
      <c r="C7449" s="17"/>
      <c r="D7449" s="17"/>
      <c r="E7449" s="7"/>
    </row>
    <row r="7450" spans="3:5">
      <c r="C7450" s="17"/>
      <c r="D7450" s="17"/>
      <c r="E7450" s="7"/>
    </row>
    <row r="7451" spans="3:5">
      <c r="C7451" s="17"/>
      <c r="D7451" s="17"/>
      <c r="E7451" s="7"/>
    </row>
    <row r="7452" spans="3:5">
      <c r="C7452" s="17"/>
      <c r="D7452" s="17"/>
      <c r="E7452" s="7"/>
    </row>
    <row r="7453" spans="3:5">
      <c r="C7453" s="17"/>
      <c r="D7453" s="17"/>
      <c r="E7453" s="7"/>
    </row>
    <row r="7454" spans="3:5">
      <c r="C7454" s="17"/>
      <c r="D7454" s="17"/>
      <c r="E7454" s="7"/>
    </row>
    <row r="7455" spans="3:5">
      <c r="C7455" s="17"/>
      <c r="D7455" s="17"/>
      <c r="E7455" s="7"/>
    </row>
    <row r="7456" spans="3:5">
      <c r="C7456" s="17"/>
      <c r="D7456" s="17"/>
      <c r="E7456" s="7"/>
    </row>
    <row r="7457" spans="3:5">
      <c r="C7457" s="17"/>
      <c r="D7457" s="17"/>
      <c r="E7457" s="7"/>
    </row>
    <row r="7458" spans="3:5">
      <c r="C7458" s="17"/>
      <c r="D7458" s="17"/>
      <c r="E7458" s="7"/>
    </row>
    <row r="7459" spans="3:5">
      <c r="C7459" s="17"/>
      <c r="D7459" s="17"/>
      <c r="E7459" s="7"/>
    </row>
    <row r="7460" spans="3:5">
      <c r="C7460" s="17"/>
      <c r="D7460" s="17"/>
      <c r="E7460" s="7"/>
    </row>
    <row r="7461" spans="3:5">
      <c r="C7461" s="17"/>
      <c r="D7461" s="17"/>
      <c r="E7461" s="7"/>
    </row>
    <row r="7462" spans="3:5">
      <c r="C7462" s="17"/>
      <c r="D7462" s="17"/>
      <c r="E7462" s="7"/>
    </row>
    <row r="7463" spans="3:5">
      <c r="C7463" s="17"/>
      <c r="D7463" s="17"/>
      <c r="E7463" s="7"/>
    </row>
    <row r="7464" spans="3:5">
      <c r="C7464" s="17"/>
      <c r="D7464" s="17"/>
      <c r="E7464" s="7"/>
    </row>
    <row r="7465" spans="3:5">
      <c r="C7465" s="17"/>
      <c r="D7465" s="17"/>
      <c r="E7465" s="7"/>
    </row>
    <row r="7466" spans="3:5">
      <c r="C7466" s="17"/>
      <c r="D7466" s="17"/>
      <c r="E7466" s="7"/>
    </row>
    <row r="7467" spans="3:5">
      <c r="C7467" s="17"/>
      <c r="D7467" s="17"/>
      <c r="E7467" s="7"/>
    </row>
    <row r="7468" spans="3:5">
      <c r="C7468" s="17"/>
      <c r="D7468" s="17"/>
      <c r="E7468" s="7"/>
    </row>
    <row r="7469" spans="3:5">
      <c r="C7469" s="17"/>
      <c r="D7469" s="17"/>
      <c r="E7469" s="7"/>
    </row>
    <row r="7470" spans="3:5">
      <c r="C7470" s="17"/>
      <c r="D7470" s="17"/>
      <c r="E7470" s="7"/>
    </row>
    <row r="7471" spans="3:5">
      <c r="C7471" s="17"/>
      <c r="D7471" s="17"/>
      <c r="E7471" s="7"/>
    </row>
    <row r="7472" spans="3:5">
      <c r="C7472" s="17"/>
      <c r="D7472" s="17"/>
      <c r="E7472" s="7"/>
    </row>
    <row r="7473" spans="3:5">
      <c r="C7473" s="17"/>
      <c r="D7473" s="17"/>
      <c r="E7473" s="7"/>
    </row>
    <row r="7474" spans="3:5">
      <c r="C7474" s="17"/>
      <c r="D7474" s="17"/>
      <c r="E7474" s="7"/>
    </row>
    <row r="7475" spans="3:5">
      <c r="C7475" s="17"/>
      <c r="D7475" s="17"/>
      <c r="E7475" s="7"/>
    </row>
    <row r="7476" spans="3:5">
      <c r="C7476" s="17"/>
      <c r="D7476" s="17"/>
      <c r="E7476" s="7"/>
    </row>
    <row r="7477" spans="3:5">
      <c r="C7477" s="17"/>
      <c r="D7477" s="17"/>
      <c r="E7477" s="7"/>
    </row>
    <row r="7478" spans="3:5">
      <c r="C7478" s="17"/>
      <c r="D7478" s="17"/>
      <c r="E7478" s="7"/>
    </row>
    <row r="7479" spans="3:5">
      <c r="C7479" s="17"/>
      <c r="D7479" s="17"/>
      <c r="E7479" s="7"/>
    </row>
    <row r="7480" spans="3:5">
      <c r="C7480" s="17"/>
      <c r="D7480" s="17"/>
      <c r="E7480" s="7"/>
    </row>
    <row r="7481" spans="3:5">
      <c r="C7481" s="17"/>
      <c r="D7481" s="17"/>
      <c r="E7481" s="7"/>
    </row>
    <row r="7482" spans="3:5">
      <c r="C7482" s="17"/>
      <c r="D7482" s="17"/>
      <c r="E7482" s="7"/>
    </row>
    <row r="7483" spans="3:5">
      <c r="C7483" s="17"/>
      <c r="D7483" s="17"/>
      <c r="E7483" s="7"/>
    </row>
    <row r="7484" spans="3:5">
      <c r="C7484" s="17"/>
      <c r="D7484" s="17"/>
      <c r="E7484" s="7"/>
    </row>
    <row r="7485" spans="3:5">
      <c r="C7485" s="17"/>
      <c r="D7485" s="17"/>
      <c r="E7485" s="7"/>
    </row>
    <row r="7486" spans="3:5">
      <c r="C7486" s="17"/>
      <c r="D7486" s="17"/>
      <c r="E7486" s="7"/>
    </row>
    <row r="7487" spans="3:5">
      <c r="C7487" s="17"/>
      <c r="D7487" s="17"/>
      <c r="E7487" s="7"/>
    </row>
    <row r="7488" spans="3:5">
      <c r="C7488" s="17"/>
      <c r="D7488" s="17"/>
      <c r="E7488" s="7"/>
    </row>
    <row r="7489" spans="3:5">
      <c r="C7489" s="17"/>
      <c r="D7489" s="17"/>
      <c r="E7489" s="7"/>
    </row>
    <row r="7490" spans="3:5">
      <c r="C7490" s="17"/>
      <c r="D7490" s="17"/>
      <c r="E7490" s="7"/>
    </row>
    <row r="7491" spans="3:5">
      <c r="C7491" s="17"/>
      <c r="D7491" s="17"/>
      <c r="E7491" s="7"/>
    </row>
    <row r="7492" spans="3:5">
      <c r="C7492" s="17"/>
      <c r="D7492" s="17"/>
      <c r="E7492" s="7"/>
    </row>
    <row r="7493" spans="3:5">
      <c r="C7493" s="17"/>
      <c r="D7493" s="17"/>
      <c r="E7493" s="7"/>
    </row>
    <row r="7494" spans="3:5">
      <c r="C7494" s="17"/>
      <c r="D7494" s="17"/>
      <c r="E7494" s="7"/>
    </row>
    <row r="7495" spans="3:5">
      <c r="C7495" s="17"/>
      <c r="D7495" s="17"/>
      <c r="E7495" s="7"/>
    </row>
    <row r="7496" spans="3:5">
      <c r="C7496" s="17"/>
      <c r="D7496" s="17"/>
      <c r="E7496" s="7"/>
    </row>
    <row r="7497" spans="3:5">
      <c r="C7497" s="17"/>
      <c r="D7497" s="17"/>
      <c r="E7497" s="7"/>
    </row>
    <row r="7498" spans="3:5">
      <c r="C7498" s="17"/>
      <c r="D7498" s="17"/>
      <c r="E7498" s="7"/>
    </row>
    <row r="7499" spans="3:5">
      <c r="C7499" s="17"/>
      <c r="D7499" s="17"/>
      <c r="E7499" s="7"/>
    </row>
    <row r="7500" spans="3:5">
      <c r="C7500" s="17"/>
      <c r="D7500" s="17"/>
      <c r="E7500" s="7"/>
    </row>
    <row r="7501" spans="3:5">
      <c r="C7501" s="17"/>
      <c r="D7501" s="17"/>
      <c r="E7501" s="7"/>
    </row>
    <row r="7502" spans="3:5">
      <c r="C7502" s="17"/>
      <c r="D7502" s="17"/>
      <c r="E7502" s="7"/>
    </row>
    <row r="7503" spans="3:5">
      <c r="C7503" s="17"/>
      <c r="D7503" s="17"/>
      <c r="E7503" s="7"/>
    </row>
    <row r="7504" spans="3:5">
      <c r="C7504" s="17"/>
      <c r="D7504" s="17"/>
      <c r="E7504" s="7"/>
    </row>
    <row r="7505" spans="3:5">
      <c r="C7505" s="17"/>
      <c r="D7505" s="17"/>
      <c r="E7505" s="7"/>
    </row>
    <row r="7506" spans="3:5">
      <c r="C7506" s="17"/>
      <c r="D7506" s="17"/>
      <c r="E7506" s="7"/>
    </row>
    <row r="7507" spans="3:5">
      <c r="C7507" s="17"/>
      <c r="D7507" s="17"/>
      <c r="E7507" s="7"/>
    </row>
    <row r="7508" spans="3:5">
      <c r="C7508" s="17"/>
      <c r="D7508" s="17"/>
      <c r="E7508" s="7"/>
    </row>
    <row r="7509" spans="3:5">
      <c r="C7509" s="17"/>
      <c r="D7509" s="17"/>
      <c r="E7509" s="7"/>
    </row>
    <row r="7510" spans="3:5">
      <c r="C7510" s="17"/>
      <c r="D7510" s="17"/>
      <c r="E7510" s="7"/>
    </row>
    <row r="7511" spans="3:5">
      <c r="C7511" s="17"/>
      <c r="D7511" s="17"/>
      <c r="E7511" s="7"/>
    </row>
    <row r="7512" spans="3:5">
      <c r="C7512" s="17"/>
      <c r="D7512" s="17"/>
      <c r="E7512" s="7"/>
    </row>
    <row r="7513" spans="3:5">
      <c r="C7513" s="17"/>
      <c r="D7513" s="17"/>
      <c r="E7513" s="7"/>
    </row>
    <row r="7514" spans="3:5">
      <c r="C7514" s="17"/>
      <c r="D7514" s="17"/>
      <c r="E7514" s="7"/>
    </row>
    <row r="7515" spans="3:5">
      <c r="C7515" s="17"/>
      <c r="D7515" s="17"/>
      <c r="E7515" s="7"/>
    </row>
    <row r="7516" spans="3:5">
      <c r="C7516" s="17"/>
      <c r="D7516" s="17"/>
      <c r="E7516" s="7"/>
    </row>
    <row r="7517" spans="3:5">
      <c r="C7517" s="17"/>
      <c r="D7517" s="17"/>
      <c r="E7517" s="7"/>
    </row>
    <row r="7518" spans="3:5">
      <c r="C7518" s="17"/>
      <c r="D7518" s="17"/>
      <c r="E7518" s="7"/>
    </row>
    <row r="7519" spans="3:5">
      <c r="C7519" s="17"/>
      <c r="D7519" s="17"/>
      <c r="E7519" s="7"/>
    </row>
    <row r="7520" spans="3:5">
      <c r="C7520" s="17"/>
      <c r="D7520" s="17"/>
      <c r="E7520" s="7"/>
    </row>
    <row r="7521" spans="3:5">
      <c r="C7521" s="17"/>
      <c r="D7521" s="17"/>
      <c r="E7521" s="7"/>
    </row>
    <row r="7522" spans="3:5">
      <c r="C7522" s="17"/>
      <c r="D7522" s="17"/>
      <c r="E7522" s="7"/>
    </row>
    <row r="7523" spans="3:5">
      <c r="C7523" s="17"/>
      <c r="D7523" s="17"/>
      <c r="E7523" s="7"/>
    </row>
    <row r="7524" spans="3:5">
      <c r="C7524" s="17"/>
      <c r="D7524" s="17"/>
      <c r="E7524" s="7"/>
    </row>
    <row r="7525" spans="3:5">
      <c r="C7525" s="17"/>
      <c r="D7525" s="17"/>
      <c r="E7525" s="7"/>
    </row>
    <row r="7526" spans="3:5">
      <c r="C7526" s="17"/>
      <c r="D7526" s="17"/>
      <c r="E7526" s="7"/>
    </row>
    <row r="7527" spans="3:5">
      <c r="C7527" s="17"/>
      <c r="D7527" s="17"/>
      <c r="E7527" s="7"/>
    </row>
    <row r="7528" spans="3:5">
      <c r="C7528" s="17"/>
      <c r="D7528" s="17"/>
      <c r="E7528" s="7"/>
    </row>
    <row r="7529" spans="3:5">
      <c r="C7529" s="17"/>
      <c r="D7529" s="17"/>
      <c r="E7529" s="7"/>
    </row>
    <row r="7530" spans="3:5">
      <c r="C7530" s="17"/>
      <c r="D7530" s="17"/>
      <c r="E7530" s="7"/>
    </row>
    <row r="7531" spans="3:5">
      <c r="C7531" s="17"/>
      <c r="D7531" s="17"/>
      <c r="E7531" s="7"/>
    </row>
    <row r="7532" spans="3:5">
      <c r="C7532" s="17"/>
      <c r="D7532" s="17"/>
      <c r="E7532" s="7"/>
    </row>
    <row r="7533" spans="3:5">
      <c r="C7533" s="17"/>
      <c r="D7533" s="17"/>
      <c r="E7533" s="7"/>
    </row>
    <row r="7534" spans="3:5">
      <c r="C7534" s="17"/>
      <c r="D7534" s="17"/>
      <c r="E7534" s="7"/>
    </row>
    <row r="7535" spans="3:5">
      <c r="C7535" s="17"/>
      <c r="D7535" s="17"/>
      <c r="E7535" s="7"/>
    </row>
    <row r="7536" spans="3:5">
      <c r="C7536" s="17"/>
      <c r="D7536" s="17"/>
      <c r="E7536" s="7"/>
    </row>
    <row r="7537" spans="3:5">
      <c r="C7537" s="17"/>
      <c r="D7537" s="17"/>
      <c r="E7537" s="7"/>
    </row>
    <row r="7538" spans="3:5">
      <c r="C7538" s="17"/>
      <c r="D7538" s="17"/>
      <c r="E7538" s="7"/>
    </row>
    <row r="7539" spans="3:5">
      <c r="C7539" s="17"/>
      <c r="D7539" s="17"/>
      <c r="E7539" s="7"/>
    </row>
    <row r="7540" spans="3:5">
      <c r="C7540" s="17"/>
      <c r="D7540" s="17"/>
      <c r="E7540" s="7"/>
    </row>
    <row r="7541" spans="3:5">
      <c r="C7541" s="17"/>
      <c r="D7541" s="17"/>
      <c r="E7541" s="7"/>
    </row>
    <row r="7542" spans="3:5">
      <c r="C7542" s="17"/>
      <c r="D7542" s="17"/>
      <c r="E7542" s="7"/>
    </row>
    <row r="7543" spans="3:5">
      <c r="C7543" s="17"/>
      <c r="D7543" s="17"/>
      <c r="E7543" s="7"/>
    </row>
    <row r="7544" spans="3:5">
      <c r="C7544" s="17"/>
      <c r="D7544" s="17"/>
      <c r="E7544" s="7"/>
    </row>
    <row r="7545" spans="3:5">
      <c r="C7545" s="17"/>
      <c r="D7545" s="17"/>
      <c r="E7545" s="7"/>
    </row>
    <row r="7546" spans="3:5">
      <c r="C7546" s="17"/>
      <c r="D7546" s="17"/>
      <c r="E7546" s="7"/>
    </row>
    <row r="7547" spans="3:5">
      <c r="C7547" s="17"/>
      <c r="D7547" s="17"/>
      <c r="E7547" s="7"/>
    </row>
    <row r="7548" spans="3:5">
      <c r="C7548" s="17"/>
      <c r="D7548" s="17"/>
      <c r="E7548" s="7"/>
    </row>
    <row r="7549" spans="3:5">
      <c r="C7549" s="17"/>
      <c r="D7549" s="17"/>
      <c r="E7549" s="7"/>
    </row>
    <row r="7550" spans="3:5">
      <c r="C7550" s="17"/>
      <c r="D7550" s="17"/>
      <c r="E7550" s="7"/>
    </row>
    <row r="7551" spans="3:5">
      <c r="C7551" s="17"/>
      <c r="D7551" s="17"/>
      <c r="E7551" s="7"/>
    </row>
    <row r="7552" spans="3:5">
      <c r="C7552" s="17"/>
      <c r="D7552" s="17"/>
      <c r="E7552" s="7"/>
    </row>
    <row r="7553" spans="3:5">
      <c r="C7553" s="17"/>
      <c r="D7553" s="17"/>
      <c r="E7553" s="7"/>
    </row>
    <row r="7554" spans="3:5">
      <c r="C7554" s="17"/>
      <c r="D7554" s="17"/>
      <c r="E7554" s="7"/>
    </row>
    <row r="7555" spans="3:5">
      <c r="C7555" s="17"/>
      <c r="D7555" s="17"/>
      <c r="E7555" s="7"/>
    </row>
    <row r="7556" spans="3:5">
      <c r="C7556" s="17"/>
      <c r="D7556" s="17"/>
      <c r="E7556" s="7"/>
    </row>
    <row r="7557" spans="3:5">
      <c r="C7557" s="17"/>
      <c r="D7557" s="17"/>
      <c r="E7557" s="7"/>
    </row>
    <row r="7558" spans="3:5">
      <c r="C7558" s="17"/>
      <c r="D7558" s="17"/>
      <c r="E7558" s="7"/>
    </row>
    <row r="7559" spans="3:5">
      <c r="C7559" s="17"/>
      <c r="D7559" s="17"/>
      <c r="E7559" s="7"/>
    </row>
    <row r="7560" spans="3:5">
      <c r="C7560" s="17"/>
      <c r="D7560" s="17"/>
      <c r="E7560" s="7"/>
    </row>
    <row r="7561" spans="3:5">
      <c r="C7561" s="17"/>
      <c r="D7561" s="17"/>
      <c r="E7561" s="7"/>
    </row>
    <row r="7562" spans="3:5">
      <c r="C7562" s="17"/>
      <c r="D7562" s="17"/>
      <c r="E7562" s="7"/>
    </row>
    <row r="7563" spans="3:5">
      <c r="C7563" s="17"/>
      <c r="D7563" s="17"/>
      <c r="E7563" s="7"/>
    </row>
    <row r="7564" spans="3:5">
      <c r="C7564" s="17"/>
      <c r="D7564" s="17"/>
      <c r="E7564" s="7"/>
    </row>
    <row r="7565" spans="3:5">
      <c r="C7565" s="17"/>
      <c r="D7565" s="17"/>
      <c r="E7565" s="7"/>
    </row>
    <row r="7566" spans="3:5">
      <c r="C7566" s="17"/>
      <c r="D7566" s="17"/>
      <c r="E7566" s="7"/>
    </row>
    <row r="7567" spans="3:5">
      <c r="C7567" s="17"/>
      <c r="D7567" s="17"/>
      <c r="E7567" s="7"/>
    </row>
    <row r="7568" spans="3:5">
      <c r="C7568" s="17"/>
      <c r="D7568" s="17"/>
      <c r="E7568" s="7"/>
    </row>
    <row r="7569" spans="3:5">
      <c r="C7569" s="17"/>
      <c r="D7569" s="17"/>
      <c r="E7569" s="7"/>
    </row>
    <row r="7570" spans="3:5">
      <c r="C7570" s="17"/>
      <c r="D7570" s="17"/>
      <c r="E7570" s="7"/>
    </row>
    <row r="7571" spans="3:5">
      <c r="C7571" s="17"/>
      <c r="D7571" s="17"/>
      <c r="E7571" s="7"/>
    </row>
    <row r="7572" spans="3:5">
      <c r="C7572" s="17"/>
      <c r="D7572" s="17"/>
      <c r="E7572" s="7"/>
    </row>
    <row r="7573" spans="3:5">
      <c r="C7573" s="17"/>
      <c r="D7573" s="17"/>
      <c r="E7573" s="7"/>
    </row>
    <row r="7574" spans="3:5">
      <c r="C7574" s="17"/>
      <c r="D7574" s="17"/>
      <c r="E7574" s="7"/>
    </row>
    <row r="7575" spans="3:5">
      <c r="C7575" s="17"/>
      <c r="D7575" s="17"/>
      <c r="E7575" s="7"/>
    </row>
    <row r="7576" spans="3:5">
      <c r="C7576" s="17"/>
      <c r="D7576" s="17"/>
      <c r="E7576" s="7"/>
    </row>
    <row r="7577" spans="3:5">
      <c r="C7577" s="17"/>
      <c r="D7577" s="17"/>
      <c r="E7577" s="7"/>
    </row>
    <row r="7578" spans="3:5">
      <c r="C7578" s="17"/>
      <c r="D7578" s="17"/>
      <c r="E7578" s="7"/>
    </row>
    <row r="7579" spans="3:5">
      <c r="C7579" s="17"/>
      <c r="D7579" s="17"/>
      <c r="E7579" s="7"/>
    </row>
    <row r="7580" spans="3:5">
      <c r="C7580" s="17"/>
      <c r="D7580" s="17"/>
      <c r="E7580" s="7"/>
    </row>
    <row r="7581" spans="3:5">
      <c r="C7581" s="17"/>
      <c r="D7581" s="17"/>
      <c r="E7581" s="7"/>
    </row>
    <row r="7582" spans="3:5">
      <c r="C7582" s="17"/>
      <c r="D7582" s="17"/>
      <c r="E7582" s="7"/>
    </row>
    <row r="7583" spans="3:5">
      <c r="C7583" s="17"/>
      <c r="D7583" s="17"/>
      <c r="E7583" s="7"/>
    </row>
    <row r="7584" spans="3:5">
      <c r="C7584" s="17"/>
      <c r="D7584" s="17"/>
      <c r="E7584" s="7"/>
    </row>
    <row r="7585" spans="3:5">
      <c r="C7585" s="17"/>
      <c r="D7585" s="17"/>
      <c r="E7585" s="7"/>
    </row>
    <row r="7586" spans="3:5">
      <c r="C7586" s="17"/>
      <c r="D7586" s="17"/>
      <c r="E7586" s="7"/>
    </row>
    <row r="7587" spans="3:5">
      <c r="C7587" s="17"/>
      <c r="D7587" s="17"/>
      <c r="E7587" s="7"/>
    </row>
    <row r="7588" spans="3:5">
      <c r="C7588" s="17"/>
      <c r="D7588" s="17"/>
      <c r="E7588" s="7"/>
    </row>
    <row r="7589" spans="3:5">
      <c r="C7589" s="17"/>
      <c r="D7589" s="17"/>
      <c r="E7589" s="7"/>
    </row>
    <row r="7590" spans="3:5">
      <c r="C7590" s="17"/>
      <c r="D7590" s="17"/>
      <c r="E7590" s="7"/>
    </row>
    <row r="7591" spans="3:5">
      <c r="C7591" s="17"/>
      <c r="D7591" s="17"/>
      <c r="E7591" s="7"/>
    </row>
    <row r="7592" spans="3:5">
      <c r="C7592" s="17"/>
      <c r="D7592" s="17"/>
      <c r="E7592" s="7"/>
    </row>
    <row r="7593" spans="3:5">
      <c r="C7593" s="17"/>
      <c r="D7593" s="17"/>
      <c r="E7593" s="7"/>
    </row>
    <row r="7594" spans="3:5">
      <c r="C7594" s="17"/>
      <c r="D7594" s="17"/>
      <c r="E7594" s="7"/>
    </row>
    <row r="7595" spans="3:5">
      <c r="C7595" s="17"/>
      <c r="D7595" s="17"/>
      <c r="E7595" s="7"/>
    </row>
    <row r="7596" spans="3:5">
      <c r="C7596" s="17"/>
      <c r="D7596" s="17"/>
      <c r="E7596" s="7"/>
    </row>
    <row r="7597" spans="3:5">
      <c r="C7597" s="17"/>
      <c r="D7597" s="17"/>
      <c r="E7597" s="7"/>
    </row>
    <row r="7598" spans="3:5">
      <c r="C7598" s="17"/>
      <c r="D7598" s="17"/>
      <c r="E7598" s="7"/>
    </row>
    <row r="7599" spans="3:5">
      <c r="C7599" s="17"/>
      <c r="D7599" s="17"/>
      <c r="E7599" s="7"/>
    </row>
    <row r="7600" spans="3:5">
      <c r="C7600" s="17"/>
      <c r="D7600" s="17"/>
      <c r="E7600" s="7"/>
    </row>
    <row r="7601" spans="3:5">
      <c r="C7601" s="17"/>
      <c r="D7601" s="17"/>
      <c r="E7601" s="7"/>
    </row>
    <row r="7602" spans="3:5">
      <c r="C7602" s="17"/>
      <c r="D7602" s="17"/>
      <c r="E7602" s="7"/>
    </row>
    <row r="7603" spans="3:5">
      <c r="C7603" s="17"/>
      <c r="D7603" s="17"/>
      <c r="E7603" s="7"/>
    </row>
    <row r="7604" spans="3:5">
      <c r="C7604" s="17"/>
      <c r="D7604" s="17"/>
      <c r="E7604" s="7"/>
    </row>
    <row r="7605" spans="3:5">
      <c r="C7605" s="17"/>
      <c r="D7605" s="17"/>
      <c r="E7605" s="7"/>
    </row>
    <row r="7606" spans="3:5">
      <c r="C7606" s="17"/>
      <c r="D7606" s="17"/>
      <c r="E7606" s="7"/>
    </row>
    <row r="7607" spans="3:5">
      <c r="C7607" s="17"/>
      <c r="D7607" s="17"/>
      <c r="E7607" s="7"/>
    </row>
    <row r="7608" spans="3:5">
      <c r="C7608" s="17"/>
      <c r="D7608" s="17"/>
      <c r="E7608" s="7"/>
    </row>
    <row r="7609" spans="3:5">
      <c r="C7609" s="17"/>
      <c r="D7609" s="17"/>
      <c r="E7609" s="7"/>
    </row>
    <row r="7610" spans="3:5">
      <c r="C7610" s="17"/>
      <c r="D7610" s="17"/>
      <c r="E7610" s="7"/>
    </row>
    <row r="7611" spans="3:5">
      <c r="C7611" s="17"/>
      <c r="D7611" s="17"/>
      <c r="E7611" s="7"/>
    </row>
    <row r="7612" spans="3:5">
      <c r="C7612" s="17"/>
      <c r="D7612" s="17"/>
      <c r="E7612" s="7"/>
    </row>
    <row r="7613" spans="3:5">
      <c r="C7613" s="17"/>
      <c r="D7613" s="17"/>
      <c r="E7613" s="7"/>
    </row>
    <row r="7614" spans="3:5">
      <c r="C7614" s="17"/>
      <c r="D7614" s="17"/>
      <c r="E7614" s="7"/>
    </row>
    <row r="7615" spans="3:5">
      <c r="C7615" s="17"/>
      <c r="D7615" s="17"/>
      <c r="E7615" s="7"/>
    </row>
    <row r="7616" spans="3:5">
      <c r="C7616" s="17"/>
      <c r="D7616" s="17"/>
      <c r="E7616" s="7"/>
    </row>
    <row r="7617" spans="3:5">
      <c r="C7617" s="17"/>
      <c r="D7617" s="17"/>
      <c r="E7617" s="7"/>
    </row>
    <row r="7618" spans="3:5">
      <c r="C7618" s="17"/>
      <c r="D7618" s="17"/>
      <c r="E7618" s="7"/>
    </row>
    <row r="7619" spans="3:5">
      <c r="C7619" s="17"/>
      <c r="D7619" s="17"/>
      <c r="E7619" s="7"/>
    </row>
    <row r="7620" spans="3:5">
      <c r="C7620" s="17"/>
      <c r="D7620" s="17"/>
      <c r="E7620" s="7"/>
    </row>
    <row r="7621" spans="3:5">
      <c r="C7621" s="17"/>
      <c r="D7621" s="17"/>
      <c r="E7621" s="7"/>
    </row>
    <row r="7622" spans="3:5">
      <c r="C7622" s="17"/>
      <c r="D7622" s="17"/>
      <c r="E7622" s="7"/>
    </row>
    <row r="7623" spans="3:5">
      <c r="C7623" s="17"/>
      <c r="D7623" s="17"/>
      <c r="E7623" s="7"/>
    </row>
    <row r="7624" spans="3:5">
      <c r="C7624" s="17"/>
      <c r="D7624" s="17"/>
      <c r="E7624" s="7"/>
    </row>
    <row r="7625" spans="3:5">
      <c r="C7625" s="17"/>
      <c r="D7625" s="17"/>
      <c r="E7625" s="7"/>
    </row>
    <row r="7626" spans="3:5">
      <c r="C7626" s="17"/>
      <c r="D7626" s="17"/>
      <c r="E7626" s="7"/>
    </row>
    <row r="7627" spans="3:5">
      <c r="C7627" s="17"/>
      <c r="D7627" s="17"/>
      <c r="E7627" s="7"/>
    </row>
    <row r="7628" spans="3:5">
      <c r="C7628" s="17"/>
      <c r="D7628" s="17"/>
      <c r="E7628" s="7"/>
    </row>
    <row r="7629" spans="3:5">
      <c r="C7629" s="17"/>
      <c r="D7629" s="17"/>
      <c r="E7629" s="7"/>
    </row>
    <row r="7630" spans="3:5">
      <c r="C7630" s="17"/>
      <c r="D7630" s="17"/>
      <c r="E7630" s="7"/>
    </row>
    <row r="7631" spans="3:5">
      <c r="C7631" s="17"/>
      <c r="D7631" s="17"/>
      <c r="E7631" s="7"/>
    </row>
    <row r="7632" spans="3:5">
      <c r="C7632" s="17"/>
      <c r="D7632" s="17"/>
      <c r="E7632" s="7"/>
    </row>
    <row r="7633" spans="3:5">
      <c r="C7633" s="17"/>
      <c r="D7633" s="17"/>
      <c r="E7633" s="7"/>
    </row>
    <row r="7634" spans="3:5">
      <c r="C7634" s="17"/>
      <c r="D7634" s="17"/>
      <c r="E7634" s="7"/>
    </row>
    <row r="7635" spans="3:5">
      <c r="C7635" s="17"/>
      <c r="D7635" s="17"/>
      <c r="E7635" s="7"/>
    </row>
    <row r="7636" spans="3:5">
      <c r="C7636" s="17"/>
      <c r="D7636" s="17"/>
      <c r="E7636" s="7"/>
    </row>
    <row r="7637" spans="3:5">
      <c r="C7637" s="17"/>
      <c r="D7637" s="17"/>
      <c r="E7637" s="7"/>
    </row>
    <row r="7638" spans="3:5">
      <c r="C7638" s="17"/>
      <c r="D7638" s="17"/>
      <c r="E7638" s="7"/>
    </row>
    <row r="7639" spans="3:5">
      <c r="C7639" s="17"/>
      <c r="D7639" s="17"/>
      <c r="E7639" s="7"/>
    </row>
    <row r="7640" spans="3:5">
      <c r="C7640" s="17"/>
      <c r="D7640" s="17"/>
      <c r="E7640" s="7"/>
    </row>
    <row r="7641" spans="3:5">
      <c r="C7641" s="17"/>
      <c r="D7641" s="17"/>
      <c r="E7641" s="7"/>
    </row>
    <row r="7642" spans="3:5">
      <c r="C7642" s="17"/>
      <c r="D7642" s="17"/>
      <c r="E7642" s="7"/>
    </row>
    <row r="7643" spans="3:5">
      <c r="C7643" s="17"/>
      <c r="D7643" s="17"/>
      <c r="E7643" s="7"/>
    </row>
    <row r="7644" spans="3:5">
      <c r="C7644" s="17"/>
      <c r="D7644" s="17"/>
      <c r="E7644" s="7"/>
    </row>
    <row r="7645" spans="3:5">
      <c r="C7645" s="17"/>
      <c r="D7645" s="17"/>
      <c r="E7645" s="7"/>
    </row>
    <row r="7646" spans="3:5">
      <c r="C7646" s="17"/>
      <c r="D7646" s="17"/>
      <c r="E7646" s="7"/>
    </row>
    <row r="7647" spans="3:5">
      <c r="C7647" s="17"/>
      <c r="D7647" s="17"/>
      <c r="E7647" s="7"/>
    </row>
    <row r="7648" spans="3:5">
      <c r="C7648" s="17"/>
      <c r="D7648" s="17"/>
      <c r="E7648" s="7"/>
    </row>
    <row r="7649" spans="3:5">
      <c r="C7649" s="17"/>
      <c r="D7649" s="17"/>
      <c r="E7649" s="7"/>
    </row>
    <row r="7650" spans="3:5">
      <c r="C7650" s="17"/>
      <c r="D7650" s="17"/>
      <c r="E7650" s="7"/>
    </row>
    <row r="7651" spans="3:5">
      <c r="C7651" s="17"/>
      <c r="D7651" s="17"/>
      <c r="E7651" s="7"/>
    </row>
    <row r="7652" spans="3:5">
      <c r="C7652" s="17"/>
      <c r="D7652" s="17"/>
      <c r="E7652" s="7"/>
    </row>
    <row r="7653" spans="3:5">
      <c r="C7653" s="17"/>
      <c r="D7653" s="17"/>
      <c r="E7653" s="7"/>
    </row>
    <row r="7654" spans="3:5">
      <c r="C7654" s="17"/>
      <c r="D7654" s="17"/>
      <c r="E7654" s="7"/>
    </row>
    <row r="7655" spans="3:5">
      <c r="C7655" s="17"/>
      <c r="D7655" s="17"/>
      <c r="E7655" s="7"/>
    </row>
    <row r="7656" spans="3:5">
      <c r="C7656" s="17"/>
      <c r="D7656" s="17"/>
      <c r="E7656" s="7"/>
    </row>
    <row r="7657" spans="3:5">
      <c r="C7657" s="17"/>
      <c r="D7657" s="17"/>
      <c r="E7657" s="7"/>
    </row>
    <row r="7658" spans="3:5">
      <c r="C7658" s="17"/>
      <c r="D7658" s="17"/>
      <c r="E7658" s="7"/>
    </row>
    <row r="7659" spans="3:5">
      <c r="C7659" s="17"/>
      <c r="D7659" s="17"/>
      <c r="E7659" s="7"/>
    </row>
    <row r="7660" spans="3:5">
      <c r="C7660" s="17"/>
      <c r="D7660" s="17"/>
      <c r="E7660" s="7"/>
    </row>
    <row r="7661" spans="3:5">
      <c r="C7661" s="17"/>
      <c r="D7661" s="17"/>
      <c r="E7661" s="7"/>
    </row>
    <row r="7662" spans="3:5">
      <c r="C7662" s="17"/>
      <c r="D7662" s="17"/>
      <c r="E7662" s="7"/>
    </row>
    <row r="7663" spans="3:5">
      <c r="C7663" s="17"/>
      <c r="D7663" s="17"/>
      <c r="E7663" s="7"/>
    </row>
    <row r="7664" spans="3:5">
      <c r="C7664" s="17"/>
      <c r="D7664" s="17"/>
      <c r="E7664" s="7"/>
    </row>
    <row r="7665" spans="3:5">
      <c r="C7665" s="17"/>
      <c r="D7665" s="17"/>
      <c r="E7665" s="7"/>
    </row>
    <row r="7666" spans="3:5">
      <c r="C7666" s="17"/>
      <c r="D7666" s="17"/>
      <c r="E7666" s="7"/>
    </row>
    <row r="7667" spans="3:5">
      <c r="C7667" s="17"/>
      <c r="D7667" s="17"/>
      <c r="E7667" s="7"/>
    </row>
    <row r="7668" spans="3:5">
      <c r="C7668" s="17"/>
      <c r="D7668" s="17"/>
      <c r="E7668" s="7"/>
    </row>
    <row r="7669" spans="3:5">
      <c r="C7669" s="17"/>
      <c r="D7669" s="17"/>
      <c r="E7669" s="7"/>
    </row>
    <row r="7670" spans="3:5">
      <c r="C7670" s="17"/>
      <c r="D7670" s="17"/>
      <c r="E7670" s="7"/>
    </row>
    <row r="7671" spans="3:5">
      <c r="C7671" s="17"/>
      <c r="D7671" s="17"/>
      <c r="E7671" s="7"/>
    </row>
    <row r="7672" spans="3:5">
      <c r="C7672" s="17"/>
      <c r="D7672" s="17"/>
      <c r="E7672" s="7"/>
    </row>
    <row r="7673" spans="3:5">
      <c r="C7673" s="17"/>
      <c r="D7673" s="17"/>
      <c r="E7673" s="7"/>
    </row>
    <row r="7674" spans="3:5">
      <c r="C7674" s="17"/>
      <c r="D7674" s="17"/>
      <c r="E7674" s="7"/>
    </row>
    <row r="7675" spans="3:5">
      <c r="C7675" s="17"/>
      <c r="D7675" s="17"/>
      <c r="E7675" s="7"/>
    </row>
    <row r="7676" spans="3:5">
      <c r="C7676" s="17"/>
      <c r="D7676" s="17"/>
      <c r="E7676" s="7"/>
    </row>
    <row r="7677" spans="3:5">
      <c r="C7677" s="17"/>
      <c r="D7677" s="17"/>
      <c r="E7677" s="7"/>
    </row>
    <row r="7678" spans="3:5">
      <c r="C7678" s="17"/>
      <c r="D7678" s="17"/>
      <c r="E7678" s="7"/>
    </row>
    <row r="7679" spans="3:5">
      <c r="C7679" s="17"/>
      <c r="D7679" s="17"/>
      <c r="E7679" s="7"/>
    </row>
    <row r="7680" spans="3:5">
      <c r="C7680" s="17"/>
      <c r="D7680" s="17"/>
      <c r="E7680" s="7"/>
    </row>
    <row r="7681" spans="3:5">
      <c r="C7681" s="17"/>
      <c r="D7681" s="17"/>
      <c r="E7681" s="7"/>
    </row>
    <row r="7682" spans="3:5">
      <c r="C7682" s="17"/>
      <c r="D7682" s="17"/>
      <c r="E7682" s="7"/>
    </row>
    <row r="7683" spans="3:5">
      <c r="C7683" s="17"/>
      <c r="D7683" s="17"/>
      <c r="E7683" s="7"/>
    </row>
    <row r="7684" spans="3:5">
      <c r="C7684" s="17"/>
      <c r="D7684" s="17"/>
      <c r="E7684" s="7"/>
    </row>
    <row r="7685" spans="3:5">
      <c r="C7685" s="17"/>
      <c r="D7685" s="17"/>
      <c r="E7685" s="7"/>
    </row>
    <row r="7686" spans="3:5">
      <c r="C7686" s="17"/>
      <c r="D7686" s="17"/>
      <c r="E7686" s="7"/>
    </row>
    <row r="7687" spans="3:5">
      <c r="C7687" s="17"/>
      <c r="D7687" s="17"/>
      <c r="E7687" s="7"/>
    </row>
    <row r="7688" spans="3:5">
      <c r="C7688" s="17"/>
      <c r="D7688" s="17"/>
      <c r="E7688" s="7"/>
    </row>
    <row r="7689" spans="3:5">
      <c r="C7689" s="17"/>
      <c r="D7689" s="17"/>
      <c r="E7689" s="7"/>
    </row>
    <row r="7690" spans="3:5">
      <c r="C7690" s="17"/>
      <c r="D7690" s="17"/>
      <c r="E7690" s="7"/>
    </row>
    <row r="7691" spans="3:5">
      <c r="C7691" s="17"/>
      <c r="D7691" s="17"/>
      <c r="E7691" s="7"/>
    </row>
    <row r="7692" spans="3:5">
      <c r="C7692" s="17"/>
      <c r="D7692" s="17"/>
      <c r="E7692" s="7"/>
    </row>
    <row r="7693" spans="3:5">
      <c r="C7693" s="17"/>
      <c r="D7693" s="17"/>
      <c r="E7693" s="7"/>
    </row>
    <row r="7694" spans="3:5">
      <c r="C7694" s="17"/>
      <c r="D7694" s="17"/>
      <c r="E7694" s="7"/>
    </row>
    <row r="7695" spans="3:5">
      <c r="C7695" s="17"/>
      <c r="D7695" s="17"/>
      <c r="E7695" s="7"/>
    </row>
    <row r="7696" spans="3:5">
      <c r="C7696" s="17"/>
      <c r="D7696" s="17"/>
      <c r="E7696" s="7"/>
    </row>
    <row r="7697" spans="3:5">
      <c r="C7697" s="17"/>
      <c r="D7697" s="17"/>
      <c r="E7697" s="7"/>
    </row>
    <row r="7698" spans="3:5">
      <c r="C7698" s="17"/>
      <c r="D7698" s="17"/>
      <c r="E7698" s="7"/>
    </row>
    <row r="7699" spans="3:5">
      <c r="C7699" s="17"/>
      <c r="D7699" s="17"/>
      <c r="E7699" s="7"/>
    </row>
    <row r="7700" spans="3:5">
      <c r="C7700" s="17"/>
      <c r="D7700" s="17"/>
      <c r="E7700" s="7"/>
    </row>
    <row r="7701" spans="3:5">
      <c r="C7701" s="17"/>
      <c r="D7701" s="17"/>
      <c r="E7701" s="7"/>
    </row>
    <row r="7702" spans="3:5">
      <c r="C7702" s="17"/>
      <c r="D7702" s="17"/>
      <c r="E7702" s="7"/>
    </row>
    <row r="7703" spans="3:5">
      <c r="C7703" s="17"/>
      <c r="D7703" s="17"/>
      <c r="E7703" s="7"/>
    </row>
    <row r="7704" spans="3:5">
      <c r="C7704" s="17"/>
      <c r="D7704" s="17"/>
      <c r="E7704" s="7"/>
    </row>
    <row r="7705" spans="3:5">
      <c r="C7705" s="17"/>
      <c r="D7705" s="17"/>
      <c r="E7705" s="7"/>
    </row>
    <row r="7706" spans="3:5">
      <c r="C7706" s="17"/>
      <c r="D7706" s="17"/>
      <c r="E7706" s="7"/>
    </row>
    <row r="7707" spans="3:5">
      <c r="C7707" s="17"/>
      <c r="D7707" s="17"/>
      <c r="E7707" s="7"/>
    </row>
    <row r="7708" spans="3:5">
      <c r="C7708" s="17"/>
      <c r="D7708" s="17"/>
      <c r="E7708" s="7"/>
    </row>
    <row r="7709" spans="3:5">
      <c r="C7709" s="17"/>
      <c r="D7709" s="17"/>
      <c r="E7709" s="7"/>
    </row>
    <row r="7710" spans="3:5">
      <c r="C7710" s="17"/>
      <c r="D7710" s="17"/>
      <c r="E7710" s="7"/>
    </row>
    <row r="7711" spans="3:5">
      <c r="C7711" s="17"/>
      <c r="D7711" s="17"/>
      <c r="E7711" s="7"/>
    </row>
    <row r="7712" spans="3:5">
      <c r="C7712" s="17"/>
      <c r="D7712" s="17"/>
      <c r="E7712" s="7"/>
    </row>
    <row r="7713" spans="3:5">
      <c r="C7713" s="17"/>
      <c r="D7713" s="17"/>
      <c r="E7713" s="7"/>
    </row>
    <row r="7714" spans="3:5">
      <c r="C7714" s="17"/>
      <c r="D7714" s="17"/>
      <c r="E7714" s="7"/>
    </row>
    <row r="7715" spans="3:5">
      <c r="C7715" s="17"/>
      <c r="D7715" s="17"/>
      <c r="E7715" s="7"/>
    </row>
    <row r="7716" spans="3:5">
      <c r="C7716" s="17"/>
      <c r="D7716" s="17"/>
      <c r="E7716" s="7"/>
    </row>
    <row r="7717" spans="3:5">
      <c r="C7717" s="17"/>
      <c r="D7717" s="17"/>
      <c r="E7717" s="7"/>
    </row>
    <row r="7718" spans="3:5">
      <c r="C7718" s="17"/>
      <c r="D7718" s="17"/>
      <c r="E7718" s="7"/>
    </row>
    <row r="7719" spans="3:5">
      <c r="C7719" s="17"/>
      <c r="D7719" s="17"/>
      <c r="E7719" s="7"/>
    </row>
    <row r="7720" spans="3:5">
      <c r="C7720" s="17"/>
      <c r="D7720" s="17"/>
      <c r="E7720" s="7"/>
    </row>
    <row r="7721" spans="3:5">
      <c r="C7721" s="17"/>
      <c r="D7721" s="17"/>
      <c r="E7721" s="7"/>
    </row>
    <row r="7722" spans="3:5">
      <c r="C7722" s="17"/>
      <c r="D7722" s="17"/>
      <c r="E7722" s="7"/>
    </row>
    <row r="7723" spans="3:5">
      <c r="C7723" s="17"/>
      <c r="D7723" s="17"/>
      <c r="E7723" s="7"/>
    </row>
    <row r="7724" spans="3:5">
      <c r="C7724" s="17"/>
      <c r="D7724" s="17"/>
      <c r="E7724" s="7"/>
    </row>
    <row r="7725" spans="3:5">
      <c r="C7725" s="17"/>
      <c r="D7725" s="17"/>
      <c r="E7725" s="7"/>
    </row>
    <row r="7726" spans="3:5">
      <c r="C7726" s="17"/>
      <c r="D7726" s="17"/>
      <c r="E7726" s="7"/>
    </row>
    <row r="7727" spans="3:5">
      <c r="C7727" s="17"/>
      <c r="D7727" s="17"/>
      <c r="E7727" s="7"/>
    </row>
    <row r="7728" spans="3:5">
      <c r="C7728" s="17"/>
      <c r="D7728" s="17"/>
      <c r="E7728" s="7"/>
    </row>
    <row r="7729" spans="3:5">
      <c r="C7729" s="17"/>
      <c r="D7729" s="17"/>
      <c r="E7729" s="7"/>
    </row>
    <row r="7730" spans="3:5">
      <c r="C7730" s="17"/>
      <c r="D7730" s="17"/>
      <c r="E7730" s="7"/>
    </row>
    <row r="7731" spans="3:5">
      <c r="C7731" s="17"/>
      <c r="D7731" s="17"/>
      <c r="E7731" s="7"/>
    </row>
    <row r="7732" spans="3:5">
      <c r="C7732" s="17"/>
      <c r="D7732" s="17"/>
      <c r="E7732" s="7"/>
    </row>
    <row r="7733" spans="3:5">
      <c r="C7733" s="17"/>
      <c r="D7733" s="17"/>
      <c r="E7733" s="7"/>
    </row>
    <row r="7734" spans="3:5">
      <c r="C7734" s="17"/>
      <c r="D7734" s="17"/>
      <c r="E7734" s="7"/>
    </row>
    <row r="7735" spans="3:5">
      <c r="C7735" s="17"/>
      <c r="D7735" s="17"/>
      <c r="E7735" s="7"/>
    </row>
    <row r="7736" spans="3:5">
      <c r="C7736" s="17"/>
      <c r="D7736" s="17"/>
      <c r="E7736" s="7"/>
    </row>
    <row r="7737" spans="3:5">
      <c r="C7737" s="17"/>
      <c r="D7737" s="17"/>
      <c r="E7737" s="7"/>
    </row>
    <row r="7738" spans="3:5">
      <c r="C7738" s="17"/>
      <c r="D7738" s="17"/>
      <c r="E7738" s="7"/>
    </row>
    <row r="7739" spans="3:5">
      <c r="C7739" s="17"/>
      <c r="D7739" s="17"/>
      <c r="E7739" s="7"/>
    </row>
    <row r="7740" spans="3:5">
      <c r="C7740" s="17"/>
      <c r="D7740" s="17"/>
      <c r="E7740" s="7"/>
    </row>
    <row r="7741" spans="3:5">
      <c r="C7741" s="17"/>
      <c r="D7741" s="17"/>
      <c r="E7741" s="7"/>
    </row>
    <row r="7742" spans="3:5">
      <c r="C7742" s="17"/>
      <c r="D7742" s="17"/>
      <c r="E7742" s="7"/>
    </row>
    <row r="7743" spans="3:5">
      <c r="C7743" s="17"/>
      <c r="D7743" s="17"/>
      <c r="E7743" s="7"/>
    </row>
    <row r="7744" spans="3:5">
      <c r="C7744" s="17"/>
      <c r="D7744" s="17"/>
      <c r="E7744" s="7"/>
    </row>
    <row r="7745" spans="3:5">
      <c r="C7745" s="17"/>
      <c r="D7745" s="17"/>
      <c r="E7745" s="7"/>
    </row>
    <row r="7746" spans="3:5">
      <c r="C7746" s="17"/>
      <c r="D7746" s="17"/>
      <c r="E7746" s="7"/>
    </row>
    <row r="7747" spans="3:5">
      <c r="C7747" s="17"/>
      <c r="D7747" s="17"/>
      <c r="E7747" s="7"/>
    </row>
    <row r="7748" spans="3:5">
      <c r="C7748" s="17"/>
      <c r="D7748" s="17"/>
      <c r="E7748" s="7"/>
    </row>
    <row r="7749" spans="3:5">
      <c r="C7749" s="17"/>
      <c r="D7749" s="17"/>
      <c r="E7749" s="7"/>
    </row>
    <row r="7750" spans="3:5">
      <c r="C7750" s="17"/>
      <c r="D7750" s="17"/>
      <c r="E7750" s="7"/>
    </row>
    <row r="7751" spans="3:5">
      <c r="C7751" s="17"/>
      <c r="D7751" s="17"/>
      <c r="E7751" s="7"/>
    </row>
    <row r="7752" spans="3:5">
      <c r="C7752" s="17"/>
      <c r="D7752" s="17"/>
      <c r="E7752" s="7"/>
    </row>
    <row r="7753" spans="3:5">
      <c r="C7753" s="17"/>
      <c r="D7753" s="17"/>
      <c r="E7753" s="7"/>
    </row>
    <row r="7754" spans="3:5">
      <c r="C7754" s="17"/>
      <c r="D7754" s="17"/>
      <c r="E7754" s="7"/>
    </row>
    <row r="7755" spans="3:5">
      <c r="C7755" s="17"/>
      <c r="D7755" s="17"/>
      <c r="E7755" s="7"/>
    </row>
    <row r="7756" spans="3:5">
      <c r="C7756" s="17"/>
      <c r="D7756" s="17"/>
      <c r="E7756" s="7"/>
    </row>
    <row r="7757" spans="3:5">
      <c r="C7757" s="17"/>
      <c r="D7757" s="17"/>
      <c r="E7757" s="7"/>
    </row>
    <row r="7758" spans="3:5">
      <c r="C7758" s="17"/>
      <c r="D7758" s="17"/>
      <c r="E7758" s="7"/>
    </row>
    <row r="7759" spans="3:5">
      <c r="C7759" s="17"/>
      <c r="D7759" s="17"/>
      <c r="E7759" s="7"/>
    </row>
    <row r="7760" spans="3:5">
      <c r="C7760" s="17"/>
      <c r="D7760" s="17"/>
      <c r="E7760" s="7"/>
    </row>
    <row r="7761" spans="3:5">
      <c r="C7761" s="17"/>
      <c r="D7761" s="17"/>
      <c r="E7761" s="7"/>
    </row>
    <row r="7762" spans="3:5">
      <c r="C7762" s="17"/>
      <c r="D7762" s="17"/>
      <c r="E7762" s="7"/>
    </row>
    <row r="7763" spans="3:5">
      <c r="C7763" s="17"/>
      <c r="D7763" s="17"/>
      <c r="E7763" s="7"/>
    </row>
    <row r="7764" spans="3:5">
      <c r="C7764" s="17"/>
      <c r="D7764" s="17"/>
      <c r="E7764" s="7"/>
    </row>
    <row r="7765" spans="3:5">
      <c r="C7765" s="17"/>
      <c r="D7765" s="17"/>
      <c r="E7765" s="7"/>
    </row>
    <row r="7766" spans="3:5">
      <c r="C7766" s="17"/>
      <c r="D7766" s="17"/>
      <c r="E7766" s="7"/>
    </row>
    <row r="7767" spans="3:5">
      <c r="C7767" s="17"/>
      <c r="D7767" s="17"/>
      <c r="E7767" s="7"/>
    </row>
    <row r="7768" spans="3:5">
      <c r="C7768" s="17"/>
      <c r="D7768" s="17"/>
      <c r="E7768" s="7"/>
    </row>
    <row r="7769" spans="3:5">
      <c r="C7769" s="17"/>
      <c r="D7769" s="17"/>
      <c r="E7769" s="7"/>
    </row>
    <row r="7770" spans="3:5">
      <c r="C7770" s="17"/>
      <c r="D7770" s="17"/>
      <c r="E7770" s="7"/>
    </row>
    <row r="7771" spans="3:5">
      <c r="C7771" s="17"/>
      <c r="D7771" s="17"/>
      <c r="E7771" s="7"/>
    </row>
    <row r="7772" spans="3:5">
      <c r="C7772" s="17"/>
      <c r="D7772" s="17"/>
      <c r="E7772" s="7"/>
    </row>
    <row r="7773" spans="3:5">
      <c r="C7773" s="17"/>
      <c r="D7773" s="17"/>
      <c r="E7773" s="7"/>
    </row>
    <row r="7774" spans="3:5">
      <c r="C7774" s="17"/>
      <c r="D7774" s="17"/>
      <c r="E7774" s="7"/>
    </row>
    <row r="7775" spans="3:5">
      <c r="C7775" s="17"/>
      <c r="D7775" s="17"/>
      <c r="E7775" s="7"/>
    </row>
    <row r="7776" spans="3:5">
      <c r="C7776" s="17"/>
      <c r="D7776" s="17"/>
      <c r="E7776" s="7"/>
    </row>
    <row r="7777" spans="3:5">
      <c r="C7777" s="17"/>
      <c r="D7777" s="17"/>
      <c r="E7777" s="7"/>
    </row>
    <row r="7778" spans="3:5">
      <c r="C7778" s="17"/>
      <c r="D7778" s="17"/>
      <c r="E7778" s="7"/>
    </row>
    <row r="7779" spans="3:5">
      <c r="C7779" s="17"/>
      <c r="D7779" s="17"/>
      <c r="E7779" s="7"/>
    </row>
    <row r="7780" spans="3:5">
      <c r="C7780" s="17"/>
      <c r="D7780" s="17"/>
      <c r="E7780" s="7"/>
    </row>
    <row r="7781" spans="3:5">
      <c r="C7781" s="17"/>
      <c r="D7781" s="17"/>
      <c r="E7781" s="7"/>
    </row>
    <row r="7782" spans="3:5">
      <c r="C7782" s="17"/>
      <c r="D7782" s="17"/>
      <c r="E7782" s="7"/>
    </row>
    <row r="7783" spans="3:5">
      <c r="C7783" s="17"/>
      <c r="D7783" s="17"/>
      <c r="E7783" s="7"/>
    </row>
    <row r="7784" spans="3:5">
      <c r="C7784" s="17"/>
      <c r="D7784" s="17"/>
      <c r="E7784" s="7"/>
    </row>
    <row r="7785" spans="3:5">
      <c r="C7785" s="17"/>
      <c r="D7785" s="17"/>
      <c r="E7785" s="7"/>
    </row>
    <row r="7786" spans="3:5">
      <c r="C7786" s="17"/>
      <c r="D7786" s="17"/>
      <c r="E7786" s="7"/>
    </row>
    <row r="7787" spans="3:5">
      <c r="C7787" s="17"/>
      <c r="D7787" s="17"/>
      <c r="E7787" s="7"/>
    </row>
    <row r="7788" spans="3:5">
      <c r="C7788" s="17"/>
      <c r="D7788" s="17"/>
      <c r="E7788" s="7"/>
    </row>
    <row r="7789" spans="3:5">
      <c r="C7789" s="17"/>
      <c r="D7789" s="17"/>
      <c r="E7789" s="7"/>
    </row>
    <row r="7790" spans="3:5">
      <c r="C7790" s="17"/>
      <c r="D7790" s="17"/>
      <c r="E7790" s="7"/>
    </row>
    <row r="7791" spans="3:5">
      <c r="C7791" s="17"/>
      <c r="D7791" s="17"/>
      <c r="E7791" s="7"/>
    </row>
    <row r="7792" spans="3:5">
      <c r="C7792" s="17"/>
      <c r="D7792" s="17"/>
      <c r="E7792" s="7"/>
    </row>
    <row r="7793" spans="3:5">
      <c r="C7793" s="17"/>
      <c r="D7793" s="17"/>
      <c r="E7793" s="7"/>
    </row>
    <row r="7794" spans="3:5">
      <c r="C7794" s="17"/>
      <c r="D7794" s="17"/>
      <c r="E7794" s="7"/>
    </row>
    <row r="7795" spans="3:5">
      <c r="C7795" s="17"/>
      <c r="D7795" s="17"/>
      <c r="E7795" s="7"/>
    </row>
    <row r="7796" spans="3:5">
      <c r="C7796" s="17"/>
      <c r="D7796" s="17"/>
      <c r="E7796" s="7"/>
    </row>
    <row r="7797" spans="3:5">
      <c r="C7797" s="17"/>
      <c r="D7797" s="17"/>
      <c r="E7797" s="7"/>
    </row>
    <row r="7798" spans="3:5">
      <c r="C7798" s="17"/>
      <c r="D7798" s="17"/>
      <c r="E7798" s="7"/>
    </row>
    <row r="7799" spans="3:5">
      <c r="C7799" s="17"/>
      <c r="D7799" s="17"/>
      <c r="E7799" s="7"/>
    </row>
    <row r="7800" spans="3:5">
      <c r="C7800" s="17"/>
      <c r="D7800" s="17"/>
      <c r="E7800" s="7"/>
    </row>
    <row r="7801" spans="3:5">
      <c r="C7801" s="17"/>
      <c r="D7801" s="17"/>
      <c r="E7801" s="7"/>
    </row>
    <row r="7802" spans="3:5">
      <c r="C7802" s="17"/>
      <c r="D7802" s="17"/>
      <c r="E7802" s="7"/>
    </row>
    <row r="7803" spans="3:5">
      <c r="C7803" s="17"/>
      <c r="D7803" s="17"/>
      <c r="E7803" s="7"/>
    </row>
    <row r="7804" spans="3:5">
      <c r="C7804" s="17"/>
      <c r="D7804" s="17"/>
      <c r="E7804" s="7"/>
    </row>
    <row r="7805" spans="3:5">
      <c r="C7805" s="17"/>
      <c r="D7805" s="17"/>
      <c r="E7805" s="7"/>
    </row>
    <row r="7806" spans="3:5">
      <c r="C7806" s="17"/>
      <c r="D7806" s="17"/>
      <c r="E7806" s="7"/>
    </row>
    <row r="7807" spans="3:5">
      <c r="C7807" s="17"/>
      <c r="D7807" s="17"/>
      <c r="E7807" s="7"/>
    </row>
    <row r="7808" spans="3:5">
      <c r="C7808" s="17"/>
      <c r="D7808" s="17"/>
      <c r="E7808" s="7"/>
    </row>
    <row r="7809" spans="3:5">
      <c r="C7809" s="17"/>
      <c r="D7809" s="17"/>
      <c r="E7809" s="7"/>
    </row>
    <row r="7810" spans="3:5">
      <c r="C7810" s="17"/>
      <c r="D7810" s="17"/>
      <c r="E7810" s="7"/>
    </row>
    <row r="7811" spans="3:5">
      <c r="C7811" s="17"/>
      <c r="D7811" s="17"/>
      <c r="E7811" s="7"/>
    </row>
    <row r="7812" spans="3:5">
      <c r="C7812" s="17"/>
      <c r="D7812" s="17"/>
      <c r="E7812" s="7"/>
    </row>
    <row r="7813" spans="3:5">
      <c r="C7813" s="17"/>
      <c r="D7813" s="17"/>
      <c r="E7813" s="7"/>
    </row>
    <row r="7814" spans="3:5">
      <c r="C7814" s="17"/>
      <c r="D7814" s="17"/>
      <c r="E7814" s="7"/>
    </row>
    <row r="7815" spans="3:5">
      <c r="C7815" s="17"/>
      <c r="D7815" s="17"/>
      <c r="E7815" s="7"/>
    </row>
    <row r="7816" spans="3:5">
      <c r="C7816" s="17"/>
      <c r="D7816" s="17"/>
      <c r="E7816" s="7"/>
    </row>
    <row r="7817" spans="3:5">
      <c r="C7817" s="17"/>
      <c r="D7817" s="17"/>
      <c r="E7817" s="7"/>
    </row>
    <row r="7818" spans="3:5">
      <c r="C7818" s="17"/>
      <c r="D7818" s="17"/>
      <c r="E7818" s="7"/>
    </row>
    <row r="7819" spans="3:5">
      <c r="C7819" s="17"/>
      <c r="D7819" s="17"/>
      <c r="E7819" s="7"/>
    </row>
    <row r="7820" spans="3:5">
      <c r="C7820" s="17"/>
      <c r="D7820" s="17"/>
      <c r="E7820" s="7"/>
    </row>
    <row r="7821" spans="3:5">
      <c r="C7821" s="17"/>
      <c r="D7821" s="17"/>
      <c r="E7821" s="7"/>
    </row>
    <row r="7822" spans="3:5">
      <c r="C7822" s="17"/>
      <c r="D7822" s="17"/>
      <c r="E7822" s="7"/>
    </row>
    <row r="7823" spans="3:5">
      <c r="C7823" s="17"/>
      <c r="D7823" s="17"/>
      <c r="E7823" s="7"/>
    </row>
    <row r="7824" spans="3:5">
      <c r="C7824" s="17"/>
      <c r="D7824" s="17"/>
      <c r="E7824" s="7"/>
    </row>
    <row r="7825" spans="3:5">
      <c r="C7825" s="17"/>
      <c r="D7825" s="17"/>
      <c r="E7825" s="7"/>
    </row>
    <row r="7826" spans="3:5">
      <c r="C7826" s="17"/>
      <c r="D7826" s="17"/>
      <c r="E7826" s="7"/>
    </row>
    <row r="7827" spans="3:5">
      <c r="C7827" s="17"/>
      <c r="D7827" s="17"/>
      <c r="E7827" s="7"/>
    </row>
    <row r="7828" spans="3:5">
      <c r="C7828" s="17"/>
      <c r="D7828" s="17"/>
      <c r="E7828" s="7"/>
    </row>
    <row r="7829" spans="3:5">
      <c r="C7829" s="17"/>
      <c r="D7829" s="17"/>
      <c r="E7829" s="7"/>
    </row>
    <row r="7830" spans="3:5">
      <c r="C7830" s="17"/>
      <c r="D7830" s="17"/>
      <c r="E7830" s="7"/>
    </row>
    <row r="7831" spans="3:5">
      <c r="C7831" s="17"/>
      <c r="D7831" s="17"/>
      <c r="E7831" s="7"/>
    </row>
    <row r="7832" spans="3:5">
      <c r="C7832" s="17"/>
      <c r="D7832" s="17"/>
      <c r="E7832" s="7"/>
    </row>
    <row r="7833" spans="3:5">
      <c r="C7833" s="17"/>
      <c r="D7833" s="17"/>
      <c r="E7833" s="7"/>
    </row>
    <row r="7834" spans="3:5">
      <c r="C7834" s="17"/>
      <c r="D7834" s="17"/>
      <c r="E7834" s="7"/>
    </row>
    <row r="7835" spans="3:5">
      <c r="C7835" s="17"/>
      <c r="D7835" s="17"/>
      <c r="E7835" s="7"/>
    </row>
    <row r="7836" spans="3:5">
      <c r="C7836" s="17"/>
      <c r="D7836" s="17"/>
      <c r="E7836" s="7"/>
    </row>
    <row r="7837" spans="3:5">
      <c r="C7837" s="17"/>
      <c r="D7837" s="17"/>
      <c r="E7837" s="7"/>
    </row>
    <row r="7838" spans="3:5">
      <c r="C7838" s="17"/>
      <c r="D7838" s="17"/>
      <c r="E7838" s="7"/>
    </row>
    <row r="7839" spans="3:5">
      <c r="C7839" s="17"/>
      <c r="D7839" s="17"/>
      <c r="E7839" s="7"/>
    </row>
    <row r="7840" spans="3:5">
      <c r="C7840" s="17"/>
      <c r="D7840" s="17"/>
      <c r="E7840" s="7"/>
    </row>
    <row r="7841" spans="3:5">
      <c r="C7841" s="17"/>
      <c r="D7841" s="17"/>
      <c r="E7841" s="7"/>
    </row>
    <row r="7842" spans="3:5">
      <c r="C7842" s="17"/>
      <c r="D7842" s="17"/>
      <c r="E7842" s="7"/>
    </row>
    <row r="7843" spans="3:5">
      <c r="C7843" s="17"/>
      <c r="D7843" s="17"/>
      <c r="E7843" s="7"/>
    </row>
    <row r="7844" spans="3:5">
      <c r="C7844" s="17"/>
      <c r="D7844" s="17"/>
      <c r="E7844" s="7"/>
    </row>
    <row r="7845" spans="3:5">
      <c r="C7845" s="17"/>
      <c r="D7845" s="17"/>
      <c r="E7845" s="7"/>
    </row>
    <row r="7846" spans="3:5">
      <c r="C7846" s="17"/>
      <c r="D7846" s="17"/>
      <c r="E7846" s="7"/>
    </row>
    <row r="7847" spans="3:5">
      <c r="C7847" s="17"/>
      <c r="D7847" s="17"/>
      <c r="E7847" s="7"/>
    </row>
    <row r="7848" spans="3:5">
      <c r="C7848" s="17"/>
      <c r="D7848" s="17"/>
      <c r="E7848" s="7"/>
    </row>
    <row r="7849" spans="3:5">
      <c r="C7849" s="17"/>
      <c r="D7849" s="17"/>
      <c r="E7849" s="7"/>
    </row>
    <row r="7850" spans="3:5">
      <c r="C7850" s="17"/>
      <c r="D7850" s="17"/>
      <c r="E7850" s="7"/>
    </row>
    <row r="7851" spans="3:5">
      <c r="C7851" s="17"/>
      <c r="D7851" s="17"/>
      <c r="E7851" s="7"/>
    </row>
    <row r="7852" spans="3:5">
      <c r="C7852" s="17"/>
      <c r="D7852" s="17"/>
      <c r="E7852" s="7"/>
    </row>
    <row r="7853" spans="3:5">
      <c r="C7853" s="17"/>
      <c r="D7853" s="17"/>
      <c r="E7853" s="7"/>
    </row>
    <row r="7854" spans="3:5">
      <c r="C7854" s="17"/>
      <c r="D7854" s="17"/>
      <c r="E7854" s="7"/>
    </row>
    <row r="7855" spans="3:5">
      <c r="C7855" s="17"/>
      <c r="D7855" s="17"/>
      <c r="E7855" s="7"/>
    </row>
    <row r="7856" spans="3:5">
      <c r="C7856" s="17"/>
      <c r="D7856" s="17"/>
      <c r="E7856" s="7"/>
    </row>
    <row r="7857" spans="3:5">
      <c r="C7857" s="17"/>
      <c r="D7857" s="17"/>
      <c r="E7857" s="7"/>
    </row>
    <row r="7858" spans="3:5">
      <c r="C7858" s="17"/>
      <c r="D7858" s="17"/>
      <c r="E7858" s="7"/>
    </row>
    <row r="7859" spans="3:5">
      <c r="C7859" s="17"/>
      <c r="D7859" s="17"/>
      <c r="E7859" s="7"/>
    </row>
    <row r="7860" spans="3:5">
      <c r="C7860" s="17"/>
      <c r="D7860" s="17"/>
      <c r="E7860" s="7"/>
    </row>
    <row r="7861" spans="3:5">
      <c r="C7861" s="17"/>
      <c r="D7861" s="17"/>
      <c r="E7861" s="7"/>
    </row>
    <row r="7862" spans="3:5">
      <c r="C7862" s="17"/>
      <c r="D7862" s="17"/>
      <c r="E7862" s="7"/>
    </row>
    <row r="7863" spans="3:5">
      <c r="C7863" s="17"/>
      <c r="D7863" s="17"/>
      <c r="E7863" s="7"/>
    </row>
    <row r="7864" spans="3:5">
      <c r="C7864" s="17"/>
      <c r="D7864" s="17"/>
      <c r="E7864" s="7"/>
    </row>
    <row r="7865" spans="3:5">
      <c r="C7865" s="17"/>
      <c r="D7865" s="17"/>
      <c r="E7865" s="7"/>
    </row>
    <row r="7866" spans="3:5">
      <c r="C7866" s="17"/>
      <c r="D7866" s="17"/>
      <c r="E7866" s="7"/>
    </row>
    <row r="7867" spans="3:5">
      <c r="C7867" s="17"/>
      <c r="D7867" s="17"/>
      <c r="E7867" s="7"/>
    </row>
    <row r="7868" spans="3:5">
      <c r="C7868" s="17"/>
      <c r="D7868" s="17"/>
      <c r="E7868" s="7"/>
    </row>
    <row r="7869" spans="3:5">
      <c r="C7869" s="17"/>
      <c r="D7869" s="17"/>
      <c r="E7869" s="7"/>
    </row>
    <row r="7870" spans="3:5">
      <c r="C7870" s="17"/>
      <c r="D7870" s="17"/>
      <c r="E7870" s="7"/>
    </row>
    <row r="7871" spans="3:5">
      <c r="C7871" s="17"/>
      <c r="D7871" s="17"/>
      <c r="E7871" s="7"/>
    </row>
    <row r="7872" spans="3:5">
      <c r="C7872" s="17"/>
      <c r="D7872" s="17"/>
      <c r="E7872" s="7"/>
    </row>
    <row r="7873" spans="3:5">
      <c r="C7873" s="17"/>
      <c r="D7873" s="17"/>
      <c r="E7873" s="7"/>
    </row>
    <row r="7874" spans="3:5">
      <c r="C7874" s="17"/>
      <c r="D7874" s="17"/>
      <c r="E7874" s="7"/>
    </row>
    <row r="7875" spans="3:5">
      <c r="C7875" s="17"/>
      <c r="D7875" s="17"/>
      <c r="E7875" s="7"/>
    </row>
    <row r="7876" spans="3:5">
      <c r="C7876" s="17"/>
      <c r="D7876" s="17"/>
      <c r="E7876" s="7"/>
    </row>
    <row r="7877" spans="3:5">
      <c r="C7877" s="17"/>
      <c r="D7877" s="17"/>
      <c r="E7877" s="7"/>
    </row>
    <row r="7878" spans="3:5">
      <c r="C7878" s="17"/>
      <c r="D7878" s="17"/>
      <c r="E7878" s="7"/>
    </row>
    <row r="7879" spans="3:5">
      <c r="C7879" s="17"/>
      <c r="D7879" s="17"/>
      <c r="E7879" s="7"/>
    </row>
    <row r="7880" spans="3:5">
      <c r="C7880" s="17"/>
      <c r="D7880" s="17"/>
      <c r="E7880" s="7"/>
    </row>
    <row r="7881" spans="3:5">
      <c r="C7881" s="17"/>
      <c r="D7881" s="17"/>
      <c r="E7881" s="7"/>
    </row>
    <row r="7882" spans="3:5">
      <c r="C7882" s="17"/>
      <c r="D7882" s="17"/>
      <c r="E7882" s="7"/>
    </row>
    <row r="7883" spans="3:5">
      <c r="C7883" s="17"/>
      <c r="D7883" s="17"/>
      <c r="E7883" s="7"/>
    </row>
    <row r="7884" spans="3:5">
      <c r="C7884" s="17"/>
      <c r="D7884" s="17"/>
      <c r="E7884" s="7"/>
    </row>
    <row r="7885" spans="3:5">
      <c r="C7885" s="17"/>
      <c r="D7885" s="17"/>
      <c r="E7885" s="7"/>
    </row>
    <row r="7886" spans="3:5">
      <c r="C7886" s="17"/>
      <c r="D7886" s="17"/>
      <c r="E7886" s="7"/>
    </row>
    <row r="7887" spans="3:5">
      <c r="C7887" s="17"/>
      <c r="D7887" s="17"/>
      <c r="E7887" s="7"/>
    </row>
    <row r="7888" spans="3:5">
      <c r="C7888" s="17"/>
      <c r="D7888" s="17"/>
      <c r="E7888" s="7"/>
    </row>
    <row r="7889" spans="3:5">
      <c r="C7889" s="17"/>
      <c r="D7889" s="17"/>
      <c r="E7889" s="7"/>
    </row>
    <row r="7890" spans="3:5">
      <c r="C7890" s="17"/>
      <c r="D7890" s="17"/>
      <c r="E7890" s="7"/>
    </row>
    <row r="7891" spans="3:5">
      <c r="C7891" s="17"/>
      <c r="D7891" s="17"/>
      <c r="E7891" s="7"/>
    </row>
    <row r="7892" spans="3:5">
      <c r="C7892" s="17"/>
      <c r="D7892" s="17"/>
      <c r="E7892" s="7"/>
    </row>
    <row r="7893" spans="3:5">
      <c r="C7893" s="17"/>
      <c r="D7893" s="17"/>
      <c r="E7893" s="7"/>
    </row>
    <row r="7894" spans="3:5">
      <c r="C7894" s="17"/>
      <c r="D7894" s="17"/>
      <c r="E7894" s="7"/>
    </row>
    <row r="7895" spans="3:5">
      <c r="C7895" s="17"/>
      <c r="D7895" s="17"/>
      <c r="E7895" s="7"/>
    </row>
    <row r="7896" spans="3:5">
      <c r="C7896" s="17"/>
      <c r="D7896" s="17"/>
      <c r="E7896" s="7"/>
    </row>
    <row r="7897" spans="3:5">
      <c r="C7897" s="17"/>
      <c r="D7897" s="17"/>
      <c r="E7897" s="7"/>
    </row>
    <row r="7898" spans="3:5">
      <c r="C7898" s="17"/>
      <c r="D7898" s="17"/>
      <c r="E7898" s="7"/>
    </row>
    <row r="7899" spans="3:5">
      <c r="C7899" s="17"/>
      <c r="D7899" s="17"/>
      <c r="E7899" s="7"/>
    </row>
    <row r="7900" spans="3:5">
      <c r="C7900" s="17"/>
      <c r="D7900" s="17"/>
      <c r="E7900" s="7"/>
    </row>
    <row r="7901" spans="3:5">
      <c r="C7901" s="17"/>
      <c r="D7901" s="17"/>
      <c r="E7901" s="7"/>
    </row>
    <row r="7902" spans="3:5">
      <c r="C7902" s="17"/>
      <c r="D7902" s="17"/>
      <c r="E7902" s="7"/>
    </row>
    <row r="7903" spans="3:5">
      <c r="C7903" s="17"/>
      <c r="D7903" s="17"/>
      <c r="E7903" s="7"/>
    </row>
    <row r="7904" spans="3:5">
      <c r="C7904" s="17"/>
      <c r="D7904" s="17"/>
      <c r="E7904" s="7"/>
    </row>
    <row r="7905" spans="3:5">
      <c r="C7905" s="17"/>
      <c r="D7905" s="17"/>
      <c r="E7905" s="7"/>
    </row>
    <row r="7906" spans="3:5">
      <c r="C7906" s="17"/>
      <c r="D7906" s="17"/>
      <c r="E7906" s="7"/>
    </row>
    <row r="7907" spans="3:5">
      <c r="C7907" s="17"/>
      <c r="D7907" s="17"/>
      <c r="E7907" s="7"/>
    </row>
    <row r="7908" spans="3:5">
      <c r="C7908" s="17"/>
      <c r="D7908" s="17"/>
      <c r="E7908" s="7"/>
    </row>
    <row r="7909" spans="3:5">
      <c r="C7909" s="17"/>
      <c r="D7909" s="17"/>
      <c r="E7909" s="7"/>
    </row>
    <row r="7910" spans="3:5">
      <c r="C7910" s="17"/>
      <c r="D7910" s="17"/>
      <c r="E7910" s="7"/>
    </row>
    <row r="7911" spans="3:5">
      <c r="C7911" s="17"/>
      <c r="D7911" s="17"/>
      <c r="E7911" s="7"/>
    </row>
    <row r="7912" spans="3:5">
      <c r="C7912" s="17"/>
      <c r="D7912" s="17"/>
      <c r="E7912" s="7"/>
    </row>
    <row r="7913" spans="3:5">
      <c r="C7913" s="17"/>
      <c r="D7913" s="17"/>
      <c r="E7913" s="7"/>
    </row>
    <row r="7914" spans="3:5">
      <c r="C7914" s="17"/>
      <c r="D7914" s="17"/>
      <c r="E7914" s="7"/>
    </row>
    <row r="7915" spans="3:5">
      <c r="C7915" s="17"/>
      <c r="D7915" s="17"/>
      <c r="E7915" s="7"/>
    </row>
    <row r="7916" spans="3:5">
      <c r="C7916" s="17"/>
      <c r="D7916" s="17"/>
      <c r="E7916" s="7"/>
    </row>
    <row r="7917" spans="3:5">
      <c r="C7917" s="17"/>
      <c r="D7917" s="17"/>
      <c r="E7917" s="7"/>
    </row>
    <row r="7918" spans="3:5">
      <c r="C7918" s="17"/>
      <c r="D7918" s="17"/>
      <c r="E7918" s="7"/>
    </row>
    <row r="7919" spans="3:5">
      <c r="C7919" s="17"/>
      <c r="D7919" s="17"/>
      <c r="E7919" s="7"/>
    </row>
    <row r="7920" spans="3:5">
      <c r="C7920" s="17"/>
      <c r="D7920" s="17"/>
      <c r="E7920" s="7"/>
    </row>
    <row r="7921" spans="3:5">
      <c r="C7921" s="17"/>
      <c r="D7921" s="17"/>
      <c r="E7921" s="7"/>
    </row>
    <row r="7922" spans="3:5">
      <c r="C7922" s="17"/>
      <c r="D7922" s="17"/>
      <c r="E7922" s="7"/>
    </row>
    <row r="7923" spans="3:5">
      <c r="C7923" s="17"/>
      <c r="D7923" s="17"/>
      <c r="E7923" s="7"/>
    </row>
    <row r="7924" spans="3:5">
      <c r="C7924" s="17"/>
      <c r="D7924" s="17"/>
      <c r="E7924" s="7"/>
    </row>
    <row r="7925" spans="3:5">
      <c r="C7925" s="17"/>
      <c r="D7925" s="17"/>
      <c r="E7925" s="7"/>
    </row>
    <row r="7926" spans="3:5">
      <c r="C7926" s="17"/>
      <c r="D7926" s="17"/>
      <c r="E7926" s="7"/>
    </row>
    <row r="7927" spans="3:5">
      <c r="C7927" s="17"/>
      <c r="D7927" s="17"/>
      <c r="E7927" s="7"/>
    </row>
    <row r="7928" spans="3:5">
      <c r="C7928" s="17"/>
      <c r="D7928" s="17"/>
      <c r="E7928" s="7"/>
    </row>
    <row r="7929" spans="3:5">
      <c r="C7929" s="17"/>
      <c r="D7929" s="17"/>
      <c r="E7929" s="7"/>
    </row>
    <row r="7930" spans="3:5">
      <c r="C7930" s="17"/>
      <c r="D7930" s="17"/>
      <c r="E7930" s="7"/>
    </row>
    <row r="7931" spans="3:5">
      <c r="C7931" s="17"/>
      <c r="D7931" s="17"/>
      <c r="E7931" s="7"/>
    </row>
    <row r="7932" spans="3:5">
      <c r="C7932" s="17"/>
      <c r="D7932" s="17"/>
      <c r="E7932" s="7"/>
    </row>
    <row r="7933" spans="3:5">
      <c r="C7933" s="17"/>
      <c r="D7933" s="17"/>
      <c r="E7933" s="7"/>
    </row>
    <row r="7934" spans="3:5">
      <c r="C7934" s="17"/>
      <c r="D7934" s="17"/>
      <c r="E7934" s="7"/>
    </row>
    <row r="7935" spans="3:5">
      <c r="C7935" s="17"/>
      <c r="D7935" s="17"/>
      <c r="E7935" s="7"/>
    </row>
    <row r="7936" spans="3:5">
      <c r="C7936" s="17"/>
      <c r="D7936" s="17"/>
      <c r="E7936" s="7"/>
    </row>
    <row r="7937" spans="3:5">
      <c r="C7937" s="17"/>
      <c r="D7937" s="17"/>
      <c r="E7937" s="7"/>
    </row>
    <row r="7938" spans="3:5">
      <c r="C7938" s="17"/>
      <c r="D7938" s="17"/>
      <c r="E7938" s="7"/>
    </row>
    <row r="7939" spans="3:5">
      <c r="C7939" s="17"/>
      <c r="D7939" s="17"/>
      <c r="E7939" s="7"/>
    </row>
    <row r="7940" spans="3:5">
      <c r="C7940" s="17"/>
      <c r="D7940" s="17"/>
      <c r="E7940" s="7"/>
    </row>
    <row r="7941" spans="3:5">
      <c r="C7941" s="17"/>
      <c r="D7941" s="17"/>
      <c r="E7941" s="7"/>
    </row>
    <row r="7942" spans="3:5">
      <c r="C7942" s="17"/>
      <c r="D7942" s="17"/>
      <c r="E7942" s="7"/>
    </row>
    <row r="7943" spans="3:5">
      <c r="C7943" s="17"/>
      <c r="D7943" s="17"/>
      <c r="E7943" s="7"/>
    </row>
    <row r="7944" spans="3:5">
      <c r="C7944" s="17"/>
      <c r="D7944" s="17"/>
      <c r="E7944" s="7"/>
    </row>
    <row r="7945" spans="3:5">
      <c r="C7945" s="17"/>
      <c r="D7945" s="17"/>
      <c r="E7945" s="7"/>
    </row>
    <row r="7946" spans="3:5">
      <c r="C7946" s="17"/>
      <c r="D7946" s="17"/>
      <c r="E7946" s="7"/>
    </row>
    <row r="7947" spans="3:5">
      <c r="C7947" s="17"/>
      <c r="D7947" s="17"/>
      <c r="E7947" s="7"/>
    </row>
    <row r="7948" spans="3:5">
      <c r="C7948" s="17"/>
      <c r="D7948" s="17"/>
      <c r="E7948" s="7"/>
    </row>
    <row r="7949" spans="3:5">
      <c r="C7949" s="17"/>
      <c r="D7949" s="17"/>
      <c r="E7949" s="7"/>
    </row>
    <row r="7950" spans="3:5">
      <c r="C7950" s="17"/>
      <c r="D7950" s="17"/>
      <c r="E7950" s="7"/>
    </row>
    <row r="7951" spans="3:5">
      <c r="C7951" s="17"/>
      <c r="D7951" s="17"/>
      <c r="E7951" s="7"/>
    </row>
    <row r="7952" spans="3:5">
      <c r="C7952" s="17"/>
      <c r="D7952" s="17"/>
      <c r="E7952" s="7"/>
    </row>
    <row r="7953" spans="3:5">
      <c r="C7953" s="17"/>
      <c r="D7953" s="17"/>
      <c r="E7953" s="7"/>
    </row>
    <row r="7954" spans="3:5">
      <c r="C7954" s="17"/>
      <c r="D7954" s="17"/>
      <c r="E7954" s="7"/>
    </row>
    <row r="7955" spans="3:5">
      <c r="C7955" s="17"/>
      <c r="D7955" s="17"/>
      <c r="E7955" s="7"/>
    </row>
    <row r="7956" spans="3:5">
      <c r="C7956" s="17"/>
      <c r="D7956" s="17"/>
      <c r="E7956" s="7"/>
    </row>
    <row r="7957" spans="3:5">
      <c r="C7957" s="17"/>
      <c r="D7957" s="17"/>
      <c r="E7957" s="7"/>
    </row>
    <row r="7958" spans="3:5">
      <c r="C7958" s="17"/>
      <c r="D7958" s="17"/>
      <c r="E7958" s="7"/>
    </row>
    <row r="7959" spans="3:5">
      <c r="C7959" s="17"/>
      <c r="D7959" s="17"/>
      <c r="E7959" s="7"/>
    </row>
    <row r="7960" spans="3:5">
      <c r="C7960" s="17"/>
      <c r="D7960" s="17"/>
      <c r="E7960" s="7"/>
    </row>
    <row r="7961" spans="3:5">
      <c r="C7961" s="17"/>
      <c r="D7961" s="17"/>
      <c r="E7961" s="7"/>
    </row>
    <row r="7962" spans="3:5">
      <c r="C7962" s="17"/>
      <c r="D7962" s="17"/>
      <c r="E7962" s="7"/>
    </row>
    <row r="7963" spans="3:5">
      <c r="C7963" s="17"/>
      <c r="D7963" s="17"/>
      <c r="E7963" s="7"/>
    </row>
    <row r="7964" spans="3:5">
      <c r="C7964" s="17"/>
      <c r="D7964" s="17"/>
      <c r="E7964" s="7"/>
    </row>
    <row r="7965" spans="3:5">
      <c r="C7965" s="17"/>
      <c r="D7965" s="17"/>
      <c r="E7965" s="7"/>
    </row>
    <row r="7966" spans="3:5">
      <c r="C7966" s="17"/>
      <c r="D7966" s="17"/>
      <c r="E7966" s="7"/>
    </row>
    <row r="7967" spans="3:5">
      <c r="C7967" s="17"/>
      <c r="D7967" s="17"/>
      <c r="E7967" s="7"/>
    </row>
    <row r="7968" spans="3:5">
      <c r="C7968" s="17"/>
      <c r="D7968" s="17"/>
      <c r="E7968" s="7"/>
    </row>
    <row r="7969" spans="3:5">
      <c r="C7969" s="17"/>
      <c r="D7969" s="17"/>
      <c r="E7969" s="7"/>
    </row>
    <row r="7970" spans="3:5">
      <c r="C7970" s="17"/>
      <c r="D7970" s="17"/>
      <c r="E7970" s="7"/>
    </row>
    <row r="7971" spans="3:5">
      <c r="C7971" s="17"/>
      <c r="D7971" s="17"/>
      <c r="E7971" s="7"/>
    </row>
    <row r="7972" spans="3:5">
      <c r="C7972" s="17"/>
      <c r="D7972" s="17"/>
      <c r="E7972" s="7"/>
    </row>
    <row r="7973" spans="3:5">
      <c r="C7973" s="17"/>
      <c r="D7973" s="17"/>
      <c r="E7973" s="7"/>
    </row>
    <row r="7974" spans="3:5">
      <c r="C7974" s="17"/>
      <c r="D7974" s="17"/>
      <c r="E7974" s="7"/>
    </row>
    <row r="7975" spans="3:5">
      <c r="C7975" s="17"/>
      <c r="D7975" s="17"/>
      <c r="E7975" s="7"/>
    </row>
    <row r="7976" spans="3:5">
      <c r="C7976" s="17"/>
      <c r="D7976" s="17"/>
      <c r="E7976" s="7"/>
    </row>
    <row r="7977" spans="3:5">
      <c r="C7977" s="17"/>
      <c r="D7977" s="17"/>
      <c r="E7977" s="7"/>
    </row>
    <row r="7978" spans="3:5">
      <c r="C7978" s="17"/>
      <c r="D7978" s="17"/>
      <c r="E7978" s="7"/>
    </row>
    <row r="7979" spans="3:5">
      <c r="C7979" s="17"/>
      <c r="D7979" s="17"/>
      <c r="E7979" s="7"/>
    </row>
    <row r="7980" spans="3:5">
      <c r="C7980" s="17"/>
      <c r="D7980" s="17"/>
      <c r="E7980" s="7"/>
    </row>
    <row r="7981" spans="3:5">
      <c r="C7981" s="17"/>
      <c r="D7981" s="17"/>
      <c r="E7981" s="7"/>
    </row>
    <row r="7982" spans="3:5">
      <c r="C7982" s="17"/>
      <c r="D7982" s="17"/>
      <c r="E7982" s="7"/>
    </row>
    <row r="7983" spans="3:5">
      <c r="C7983" s="17"/>
      <c r="D7983" s="17"/>
      <c r="E7983" s="7"/>
    </row>
    <row r="7984" spans="3:5">
      <c r="C7984" s="17"/>
      <c r="D7984" s="17"/>
      <c r="E7984" s="7"/>
    </row>
    <row r="7985" spans="3:5">
      <c r="C7985" s="17"/>
      <c r="D7985" s="17"/>
      <c r="E7985" s="7"/>
    </row>
    <row r="7986" spans="3:5">
      <c r="C7986" s="17"/>
      <c r="D7986" s="17"/>
      <c r="E7986" s="7"/>
    </row>
    <row r="7987" spans="3:5">
      <c r="C7987" s="17"/>
      <c r="D7987" s="17"/>
      <c r="E7987" s="7"/>
    </row>
    <row r="7988" spans="3:5">
      <c r="C7988" s="17"/>
      <c r="D7988" s="17"/>
      <c r="E7988" s="7"/>
    </row>
    <row r="7989" spans="3:5">
      <c r="C7989" s="17"/>
      <c r="D7989" s="17"/>
      <c r="E7989" s="7"/>
    </row>
    <row r="7990" spans="3:5">
      <c r="C7990" s="17"/>
      <c r="D7990" s="17"/>
      <c r="E7990" s="7"/>
    </row>
    <row r="7991" spans="3:5">
      <c r="C7991" s="17"/>
      <c r="D7991" s="17"/>
      <c r="E7991" s="7"/>
    </row>
    <row r="7992" spans="3:5">
      <c r="C7992" s="17"/>
      <c r="D7992" s="17"/>
      <c r="E7992" s="7"/>
    </row>
    <row r="7993" spans="3:5">
      <c r="C7993" s="17"/>
      <c r="D7993" s="17"/>
      <c r="E7993" s="7"/>
    </row>
    <row r="7994" spans="3:5">
      <c r="C7994" s="17"/>
      <c r="D7994" s="17"/>
      <c r="E7994" s="7"/>
    </row>
    <row r="7995" spans="3:5">
      <c r="C7995" s="17"/>
      <c r="D7995" s="17"/>
      <c r="E7995" s="7"/>
    </row>
    <row r="7996" spans="3:5">
      <c r="C7996" s="17"/>
      <c r="D7996" s="17"/>
      <c r="E7996" s="7"/>
    </row>
    <row r="7997" spans="3:5">
      <c r="C7997" s="17"/>
      <c r="D7997" s="17"/>
      <c r="E7997" s="7"/>
    </row>
    <row r="7998" spans="3:5">
      <c r="C7998" s="17"/>
      <c r="D7998" s="17"/>
      <c r="E7998" s="7"/>
    </row>
    <row r="7999" spans="3:5">
      <c r="C7999" s="17"/>
      <c r="D7999" s="17"/>
      <c r="E7999" s="7"/>
    </row>
    <row r="8000" spans="3:5">
      <c r="C8000" s="17"/>
      <c r="D8000" s="17"/>
      <c r="E8000" s="7"/>
    </row>
    <row r="8001" spans="3:5">
      <c r="C8001" s="17"/>
      <c r="D8001" s="17"/>
      <c r="E8001" s="7"/>
    </row>
    <row r="8002" spans="3:5">
      <c r="C8002" s="17"/>
      <c r="D8002" s="17"/>
      <c r="E8002" s="7"/>
    </row>
    <row r="8003" spans="3:5">
      <c r="C8003" s="17"/>
      <c r="D8003" s="17"/>
      <c r="E8003" s="7"/>
    </row>
    <row r="8004" spans="3:5">
      <c r="C8004" s="17"/>
      <c r="D8004" s="17"/>
      <c r="E8004" s="7"/>
    </row>
    <row r="8005" spans="3:5">
      <c r="C8005" s="17"/>
      <c r="D8005" s="17"/>
      <c r="E8005" s="7"/>
    </row>
    <row r="8006" spans="3:5">
      <c r="C8006" s="17"/>
      <c r="D8006" s="17"/>
      <c r="E8006" s="7"/>
    </row>
    <row r="8007" spans="3:5">
      <c r="C8007" s="17"/>
      <c r="D8007" s="17"/>
      <c r="E8007" s="7"/>
    </row>
    <row r="8008" spans="3:5">
      <c r="C8008" s="17"/>
      <c r="D8008" s="17"/>
      <c r="E8008" s="7"/>
    </row>
    <row r="8009" spans="3:5">
      <c r="C8009" s="17"/>
      <c r="D8009" s="17"/>
      <c r="E8009" s="7"/>
    </row>
    <row r="8010" spans="3:5">
      <c r="C8010" s="17"/>
      <c r="D8010" s="17"/>
      <c r="E8010" s="7"/>
    </row>
    <row r="8011" spans="3:5">
      <c r="C8011" s="17"/>
      <c r="D8011" s="17"/>
      <c r="E8011" s="7"/>
    </row>
    <row r="8012" spans="3:5">
      <c r="C8012" s="17"/>
      <c r="D8012" s="17"/>
      <c r="E8012" s="7"/>
    </row>
    <row r="8013" spans="3:5">
      <c r="C8013" s="17"/>
      <c r="D8013" s="17"/>
      <c r="E8013" s="7"/>
    </row>
    <row r="8014" spans="3:5">
      <c r="C8014" s="17"/>
      <c r="D8014" s="17"/>
      <c r="E8014" s="7"/>
    </row>
    <row r="8015" spans="3:5">
      <c r="C8015" s="17"/>
      <c r="D8015" s="17"/>
      <c r="E8015" s="7"/>
    </row>
    <row r="8016" spans="3:5">
      <c r="C8016" s="17"/>
      <c r="D8016" s="17"/>
      <c r="E8016" s="7"/>
    </row>
    <row r="8017" spans="3:5">
      <c r="C8017" s="17"/>
      <c r="D8017" s="17"/>
      <c r="E8017" s="7"/>
    </row>
    <row r="8018" spans="3:5">
      <c r="C8018" s="17"/>
      <c r="D8018" s="17"/>
      <c r="E8018" s="7"/>
    </row>
    <row r="8019" spans="3:5">
      <c r="C8019" s="17"/>
      <c r="D8019" s="17"/>
      <c r="E8019" s="7"/>
    </row>
    <row r="8020" spans="3:5">
      <c r="C8020" s="17"/>
      <c r="D8020" s="17"/>
      <c r="E8020" s="7"/>
    </row>
    <row r="8021" spans="3:5">
      <c r="C8021" s="17"/>
      <c r="D8021" s="17"/>
      <c r="E8021" s="7"/>
    </row>
    <row r="8022" spans="3:5">
      <c r="C8022" s="17"/>
      <c r="D8022" s="17"/>
      <c r="E8022" s="7"/>
    </row>
    <row r="8023" spans="3:5">
      <c r="C8023" s="17"/>
      <c r="D8023" s="17"/>
      <c r="E8023" s="7"/>
    </row>
    <row r="8024" spans="3:5">
      <c r="C8024" s="17"/>
      <c r="D8024" s="17"/>
      <c r="E8024" s="7"/>
    </row>
    <row r="8025" spans="3:5">
      <c r="C8025" s="17"/>
      <c r="D8025" s="17"/>
      <c r="E8025" s="7"/>
    </row>
    <row r="8026" spans="3:5">
      <c r="C8026" s="17"/>
      <c r="D8026" s="17"/>
      <c r="E8026" s="7"/>
    </row>
    <row r="8027" spans="3:5">
      <c r="C8027" s="17"/>
      <c r="D8027" s="17"/>
      <c r="E8027" s="7"/>
    </row>
    <row r="8028" spans="3:5">
      <c r="C8028" s="17"/>
      <c r="D8028" s="17"/>
      <c r="E8028" s="7"/>
    </row>
    <row r="8029" spans="3:5">
      <c r="C8029" s="17"/>
      <c r="D8029" s="17"/>
      <c r="E8029" s="7"/>
    </row>
    <row r="8030" spans="3:5">
      <c r="C8030" s="17"/>
      <c r="D8030" s="17"/>
      <c r="E8030" s="7"/>
    </row>
    <row r="8031" spans="3:5">
      <c r="C8031" s="17"/>
      <c r="D8031" s="17"/>
      <c r="E8031" s="7"/>
    </row>
    <row r="8032" spans="3:5">
      <c r="C8032" s="17"/>
      <c r="D8032" s="17"/>
      <c r="E8032" s="7"/>
    </row>
    <row r="8033" spans="3:5">
      <c r="C8033" s="17"/>
      <c r="D8033" s="17"/>
      <c r="E8033" s="7"/>
    </row>
    <row r="8034" spans="3:5">
      <c r="C8034" s="17"/>
      <c r="D8034" s="17"/>
      <c r="E8034" s="7"/>
    </row>
    <row r="8035" spans="3:5">
      <c r="C8035" s="17"/>
      <c r="D8035" s="17"/>
      <c r="E8035" s="7"/>
    </row>
    <row r="8036" spans="3:5">
      <c r="C8036" s="17"/>
      <c r="D8036" s="17"/>
      <c r="E8036" s="7"/>
    </row>
    <row r="8037" spans="3:5">
      <c r="C8037" s="17"/>
      <c r="D8037" s="17"/>
      <c r="E8037" s="7"/>
    </row>
    <row r="8038" spans="3:5">
      <c r="C8038" s="17"/>
      <c r="D8038" s="17"/>
      <c r="E8038" s="7"/>
    </row>
    <row r="8039" spans="3:5">
      <c r="C8039" s="17"/>
      <c r="D8039" s="17"/>
      <c r="E8039" s="7"/>
    </row>
    <row r="8040" spans="3:5">
      <c r="C8040" s="17"/>
      <c r="D8040" s="17"/>
      <c r="E8040" s="7"/>
    </row>
    <row r="8041" spans="3:5">
      <c r="C8041" s="17"/>
      <c r="D8041" s="17"/>
      <c r="E8041" s="7"/>
    </row>
    <row r="8042" spans="3:5">
      <c r="C8042" s="17"/>
      <c r="D8042" s="17"/>
      <c r="E8042" s="7"/>
    </row>
    <row r="8043" spans="3:5">
      <c r="C8043" s="17"/>
      <c r="D8043" s="17"/>
      <c r="E8043" s="7"/>
    </row>
    <row r="8044" spans="3:5">
      <c r="C8044" s="17"/>
      <c r="D8044" s="17"/>
      <c r="E8044" s="7"/>
    </row>
    <row r="8045" spans="3:5">
      <c r="C8045" s="17"/>
      <c r="D8045" s="17"/>
      <c r="E8045" s="7"/>
    </row>
    <row r="8046" spans="3:5">
      <c r="C8046" s="17"/>
      <c r="D8046" s="17"/>
      <c r="E8046" s="7"/>
    </row>
    <row r="8047" spans="3:5">
      <c r="C8047" s="17"/>
      <c r="D8047" s="17"/>
      <c r="E8047" s="7"/>
    </row>
    <row r="8048" spans="3:5">
      <c r="C8048" s="17"/>
      <c r="D8048" s="17"/>
      <c r="E8048" s="7"/>
    </row>
    <row r="8049" spans="3:5">
      <c r="C8049" s="17"/>
      <c r="D8049" s="17"/>
      <c r="E8049" s="7"/>
    </row>
    <row r="8050" spans="3:5">
      <c r="C8050" s="17"/>
      <c r="D8050" s="17"/>
      <c r="E8050" s="7"/>
    </row>
    <row r="8051" spans="3:5">
      <c r="C8051" s="17"/>
      <c r="D8051" s="17"/>
      <c r="E8051" s="7"/>
    </row>
    <row r="8052" spans="3:5">
      <c r="C8052" s="17"/>
      <c r="D8052" s="17"/>
      <c r="E8052" s="7"/>
    </row>
    <row r="8053" spans="3:5">
      <c r="C8053" s="17"/>
      <c r="D8053" s="17"/>
      <c r="E8053" s="7"/>
    </row>
    <row r="8054" spans="3:5">
      <c r="C8054" s="17"/>
      <c r="D8054" s="17"/>
      <c r="E8054" s="7"/>
    </row>
    <row r="8055" spans="3:5">
      <c r="C8055" s="17"/>
      <c r="D8055" s="17"/>
      <c r="E8055" s="7"/>
    </row>
    <row r="8056" spans="3:5">
      <c r="C8056" s="17"/>
      <c r="D8056" s="17"/>
      <c r="E8056" s="7"/>
    </row>
    <row r="8057" spans="3:5">
      <c r="C8057" s="17"/>
      <c r="D8057" s="17"/>
      <c r="E8057" s="7"/>
    </row>
    <row r="8058" spans="3:5">
      <c r="C8058" s="17"/>
      <c r="D8058" s="17"/>
      <c r="E8058" s="7"/>
    </row>
    <row r="8059" spans="3:5">
      <c r="C8059" s="17"/>
      <c r="D8059" s="17"/>
      <c r="E8059" s="7"/>
    </row>
    <row r="8060" spans="3:5">
      <c r="C8060" s="17"/>
      <c r="D8060" s="17"/>
      <c r="E8060" s="7"/>
    </row>
    <row r="8061" spans="3:5">
      <c r="C8061" s="17"/>
      <c r="D8061" s="17"/>
      <c r="E8061" s="7"/>
    </row>
    <row r="8062" spans="3:5">
      <c r="C8062" s="17"/>
      <c r="D8062" s="17"/>
      <c r="E8062" s="7"/>
    </row>
    <row r="8063" spans="3:5">
      <c r="C8063" s="17"/>
      <c r="D8063" s="17"/>
      <c r="E8063" s="7"/>
    </row>
    <row r="8064" spans="3:5">
      <c r="C8064" s="17"/>
      <c r="D8064" s="17"/>
      <c r="E8064" s="7"/>
    </row>
    <row r="8065" spans="3:5">
      <c r="C8065" s="17"/>
      <c r="D8065" s="17"/>
      <c r="E8065" s="7"/>
    </row>
    <row r="8066" spans="3:5">
      <c r="C8066" s="17"/>
      <c r="D8066" s="17"/>
      <c r="E8066" s="7"/>
    </row>
    <row r="8067" spans="3:5">
      <c r="C8067" s="17"/>
      <c r="D8067" s="17"/>
      <c r="E8067" s="7"/>
    </row>
    <row r="8068" spans="3:5">
      <c r="C8068" s="17"/>
      <c r="D8068" s="17"/>
      <c r="E8068" s="7"/>
    </row>
    <row r="8069" spans="3:5">
      <c r="C8069" s="17"/>
      <c r="D8069" s="17"/>
      <c r="E8069" s="7"/>
    </row>
    <row r="8070" spans="3:5">
      <c r="C8070" s="17"/>
      <c r="D8070" s="17"/>
      <c r="E8070" s="7"/>
    </row>
    <row r="8071" spans="3:5">
      <c r="C8071" s="17"/>
      <c r="D8071" s="17"/>
      <c r="E8071" s="7"/>
    </row>
    <row r="8072" spans="3:5">
      <c r="C8072" s="17"/>
      <c r="D8072" s="17"/>
      <c r="E8072" s="7"/>
    </row>
    <row r="8073" spans="3:5">
      <c r="C8073" s="17"/>
      <c r="D8073" s="17"/>
      <c r="E8073" s="7"/>
    </row>
    <row r="8074" spans="3:5">
      <c r="C8074" s="17"/>
      <c r="D8074" s="17"/>
      <c r="E8074" s="7"/>
    </row>
    <row r="8075" spans="3:5">
      <c r="C8075" s="17"/>
      <c r="D8075" s="17"/>
      <c r="E8075" s="7"/>
    </row>
    <row r="8076" spans="3:5">
      <c r="C8076" s="17"/>
      <c r="D8076" s="17"/>
      <c r="E8076" s="7"/>
    </row>
    <row r="8077" spans="3:5">
      <c r="C8077" s="17"/>
      <c r="D8077" s="17"/>
      <c r="E8077" s="7"/>
    </row>
    <row r="8078" spans="3:5">
      <c r="C8078" s="17"/>
      <c r="D8078" s="17"/>
      <c r="E8078" s="7"/>
    </row>
    <row r="8079" spans="3:5">
      <c r="C8079" s="17"/>
      <c r="D8079" s="17"/>
      <c r="E8079" s="7"/>
    </row>
    <row r="8080" spans="3:5">
      <c r="C8080" s="17"/>
      <c r="D8080" s="17"/>
      <c r="E8080" s="7"/>
    </row>
    <row r="8081" spans="3:5">
      <c r="C8081" s="17"/>
      <c r="D8081" s="17"/>
      <c r="E8081" s="7"/>
    </row>
    <row r="8082" spans="3:5">
      <c r="C8082" s="17"/>
      <c r="D8082" s="17"/>
      <c r="E8082" s="7"/>
    </row>
    <row r="8083" spans="3:5">
      <c r="C8083" s="17"/>
      <c r="D8083" s="17"/>
      <c r="E8083" s="7"/>
    </row>
    <row r="8084" spans="3:5">
      <c r="C8084" s="17"/>
      <c r="D8084" s="17"/>
      <c r="E8084" s="7"/>
    </row>
    <row r="8085" spans="3:5">
      <c r="C8085" s="17"/>
      <c r="D8085" s="17"/>
      <c r="E8085" s="7"/>
    </row>
    <row r="8086" spans="3:5">
      <c r="C8086" s="17"/>
      <c r="D8086" s="17"/>
      <c r="E8086" s="7"/>
    </row>
    <row r="8087" spans="3:5">
      <c r="C8087" s="17"/>
      <c r="D8087" s="17"/>
      <c r="E8087" s="7"/>
    </row>
    <row r="8088" spans="3:5">
      <c r="C8088" s="17"/>
      <c r="D8088" s="17"/>
      <c r="E8088" s="7"/>
    </row>
    <row r="8089" spans="3:5">
      <c r="C8089" s="17"/>
      <c r="D8089" s="17"/>
      <c r="E8089" s="7"/>
    </row>
    <row r="8090" spans="3:5">
      <c r="C8090" s="17"/>
      <c r="D8090" s="17"/>
      <c r="E8090" s="7"/>
    </row>
    <row r="8091" spans="3:5">
      <c r="C8091" s="17"/>
      <c r="D8091" s="17"/>
      <c r="E8091" s="7"/>
    </row>
    <row r="8092" spans="3:5">
      <c r="C8092" s="17"/>
      <c r="D8092" s="17"/>
      <c r="E8092" s="7"/>
    </row>
    <row r="8093" spans="3:5">
      <c r="C8093" s="17"/>
      <c r="D8093" s="17"/>
      <c r="E8093" s="7"/>
    </row>
    <row r="8094" spans="3:5">
      <c r="C8094" s="17"/>
      <c r="D8094" s="17"/>
      <c r="E8094" s="7"/>
    </row>
    <row r="8095" spans="3:5">
      <c r="C8095" s="17"/>
      <c r="D8095" s="17"/>
      <c r="E8095" s="7"/>
    </row>
    <row r="8096" spans="3:5">
      <c r="C8096" s="17"/>
      <c r="D8096" s="17"/>
      <c r="E8096" s="7"/>
    </row>
    <row r="8097" spans="3:5">
      <c r="C8097" s="17"/>
      <c r="D8097" s="17"/>
      <c r="E8097" s="7"/>
    </row>
    <row r="8098" spans="3:5">
      <c r="C8098" s="17"/>
      <c r="D8098" s="17"/>
      <c r="E8098" s="7"/>
    </row>
    <row r="8099" spans="3:5">
      <c r="C8099" s="17"/>
      <c r="D8099" s="17"/>
      <c r="E8099" s="7"/>
    </row>
    <row r="8100" spans="3:5">
      <c r="C8100" s="17"/>
      <c r="D8100" s="17"/>
      <c r="E8100" s="7"/>
    </row>
    <row r="8101" spans="3:5">
      <c r="C8101" s="17"/>
      <c r="D8101" s="17"/>
      <c r="E8101" s="7"/>
    </row>
    <row r="8102" spans="3:5">
      <c r="C8102" s="17"/>
      <c r="D8102" s="17"/>
      <c r="E8102" s="7"/>
    </row>
    <row r="8103" spans="3:5">
      <c r="C8103" s="17"/>
      <c r="D8103" s="17"/>
      <c r="E8103" s="7"/>
    </row>
    <row r="8104" spans="3:5">
      <c r="C8104" s="17"/>
      <c r="D8104" s="17"/>
      <c r="E8104" s="7"/>
    </row>
    <row r="8105" spans="3:5">
      <c r="C8105" s="17"/>
      <c r="D8105" s="17"/>
      <c r="E8105" s="7"/>
    </row>
    <row r="8106" spans="3:5">
      <c r="C8106" s="17"/>
      <c r="D8106" s="17"/>
      <c r="E8106" s="7"/>
    </row>
    <row r="8107" spans="3:5">
      <c r="C8107" s="17"/>
      <c r="D8107" s="17"/>
      <c r="E8107" s="7"/>
    </row>
    <row r="8108" spans="3:5">
      <c r="C8108" s="17"/>
      <c r="D8108" s="17"/>
      <c r="E8108" s="7"/>
    </row>
    <row r="8109" spans="3:5">
      <c r="C8109" s="17"/>
      <c r="D8109" s="17"/>
      <c r="E8109" s="7"/>
    </row>
    <row r="8110" spans="3:5">
      <c r="C8110" s="17"/>
      <c r="D8110" s="17"/>
      <c r="E8110" s="7"/>
    </row>
    <row r="8111" spans="3:5">
      <c r="C8111" s="17"/>
      <c r="D8111" s="17"/>
      <c r="E8111" s="7"/>
    </row>
    <row r="8112" spans="3:5">
      <c r="C8112" s="17"/>
      <c r="D8112" s="17"/>
      <c r="E8112" s="7"/>
    </row>
    <row r="8113" spans="3:5">
      <c r="C8113" s="17"/>
      <c r="D8113" s="17"/>
      <c r="E8113" s="7"/>
    </row>
    <row r="8114" spans="3:5">
      <c r="C8114" s="17"/>
      <c r="D8114" s="17"/>
      <c r="E8114" s="7"/>
    </row>
    <row r="8115" spans="3:5">
      <c r="C8115" s="17"/>
      <c r="D8115" s="17"/>
      <c r="E8115" s="7"/>
    </row>
    <row r="8116" spans="3:5">
      <c r="C8116" s="17"/>
      <c r="D8116" s="17"/>
      <c r="E8116" s="7"/>
    </row>
    <row r="8117" spans="3:5">
      <c r="C8117" s="17"/>
      <c r="D8117" s="17"/>
      <c r="E8117" s="7"/>
    </row>
    <row r="8118" spans="3:5">
      <c r="C8118" s="17"/>
      <c r="D8118" s="17"/>
      <c r="E8118" s="7"/>
    </row>
    <row r="8119" spans="3:5">
      <c r="C8119" s="17"/>
      <c r="D8119" s="17"/>
      <c r="E8119" s="7"/>
    </row>
    <row r="8120" spans="3:5">
      <c r="C8120" s="17"/>
      <c r="D8120" s="17"/>
      <c r="E8120" s="7"/>
    </row>
    <row r="8121" spans="3:5">
      <c r="C8121" s="17"/>
      <c r="D8121" s="17"/>
      <c r="E8121" s="7"/>
    </row>
    <row r="8122" spans="3:5">
      <c r="C8122" s="17"/>
      <c r="D8122" s="17"/>
      <c r="E8122" s="7"/>
    </row>
    <row r="8123" spans="3:5">
      <c r="C8123" s="17"/>
      <c r="D8123" s="17"/>
      <c r="E8123" s="7"/>
    </row>
    <row r="8124" spans="3:5">
      <c r="C8124" s="17"/>
      <c r="D8124" s="17"/>
      <c r="E8124" s="7"/>
    </row>
    <row r="8125" spans="3:5">
      <c r="C8125" s="17"/>
      <c r="D8125" s="17"/>
      <c r="E8125" s="7"/>
    </row>
    <row r="8126" spans="3:5">
      <c r="C8126" s="17"/>
      <c r="D8126" s="17"/>
      <c r="E8126" s="7"/>
    </row>
    <row r="8127" spans="3:5">
      <c r="C8127" s="17"/>
      <c r="D8127" s="17"/>
      <c r="E8127" s="7"/>
    </row>
    <row r="8128" spans="3:5">
      <c r="C8128" s="17"/>
      <c r="D8128" s="17"/>
      <c r="E8128" s="7"/>
    </row>
    <row r="8129" spans="3:5">
      <c r="C8129" s="17"/>
      <c r="D8129" s="17"/>
      <c r="E8129" s="7"/>
    </row>
    <row r="8130" spans="3:5">
      <c r="C8130" s="17"/>
      <c r="D8130" s="17"/>
      <c r="E8130" s="7"/>
    </row>
    <row r="8131" spans="3:5">
      <c r="C8131" s="17"/>
      <c r="D8131" s="17"/>
      <c r="E8131" s="7"/>
    </row>
    <row r="8132" spans="3:5">
      <c r="C8132" s="17"/>
      <c r="D8132" s="17"/>
      <c r="E8132" s="7"/>
    </row>
    <row r="8133" spans="3:5">
      <c r="C8133" s="17"/>
      <c r="D8133" s="17"/>
      <c r="E8133" s="7"/>
    </row>
    <row r="8134" spans="3:5">
      <c r="C8134" s="17"/>
      <c r="D8134" s="17"/>
      <c r="E8134" s="7"/>
    </row>
    <row r="8135" spans="3:5">
      <c r="C8135" s="17"/>
      <c r="D8135" s="17"/>
      <c r="E8135" s="7"/>
    </row>
    <row r="8136" spans="3:5">
      <c r="C8136" s="17"/>
      <c r="D8136" s="17"/>
      <c r="E8136" s="7"/>
    </row>
    <row r="8137" spans="3:5">
      <c r="C8137" s="17"/>
      <c r="D8137" s="17"/>
      <c r="E8137" s="7"/>
    </row>
    <row r="8138" spans="3:5">
      <c r="C8138" s="17"/>
      <c r="D8138" s="17"/>
      <c r="E8138" s="7"/>
    </row>
    <row r="8139" spans="3:5">
      <c r="C8139" s="17"/>
      <c r="D8139" s="17"/>
      <c r="E8139" s="7"/>
    </row>
    <row r="8140" spans="3:5">
      <c r="C8140" s="17"/>
      <c r="D8140" s="17"/>
      <c r="E8140" s="7"/>
    </row>
    <row r="8141" spans="3:5">
      <c r="C8141" s="17"/>
      <c r="D8141" s="17"/>
      <c r="E8141" s="7"/>
    </row>
    <row r="8142" spans="3:5">
      <c r="C8142" s="17"/>
      <c r="D8142" s="17"/>
      <c r="E8142" s="7"/>
    </row>
    <row r="8143" spans="3:5">
      <c r="C8143" s="17"/>
      <c r="D8143" s="17"/>
      <c r="E8143" s="7"/>
    </row>
    <row r="8144" spans="3:5">
      <c r="C8144" s="17"/>
      <c r="D8144" s="17"/>
      <c r="E8144" s="7"/>
    </row>
    <row r="8145" spans="3:5">
      <c r="C8145" s="17"/>
      <c r="D8145" s="17"/>
      <c r="E8145" s="7"/>
    </row>
    <row r="8146" spans="3:5">
      <c r="C8146" s="17"/>
      <c r="D8146" s="17"/>
      <c r="E8146" s="7"/>
    </row>
    <row r="8147" spans="3:5">
      <c r="C8147" s="17"/>
      <c r="D8147" s="17"/>
      <c r="E8147" s="7"/>
    </row>
    <row r="8148" spans="3:5">
      <c r="C8148" s="17"/>
      <c r="D8148" s="17"/>
      <c r="E8148" s="7"/>
    </row>
    <row r="8149" spans="3:5">
      <c r="C8149" s="17"/>
      <c r="D8149" s="17"/>
      <c r="E8149" s="7"/>
    </row>
    <row r="8150" spans="3:5">
      <c r="C8150" s="17"/>
      <c r="D8150" s="17"/>
      <c r="E8150" s="7"/>
    </row>
    <row r="8151" spans="3:5">
      <c r="C8151" s="17"/>
      <c r="D8151" s="17"/>
      <c r="E8151" s="7"/>
    </row>
    <row r="8152" spans="3:5">
      <c r="C8152" s="17"/>
      <c r="D8152" s="17"/>
      <c r="E8152" s="7"/>
    </row>
    <row r="8153" spans="3:5">
      <c r="C8153" s="17"/>
      <c r="D8153" s="17"/>
      <c r="E8153" s="7"/>
    </row>
    <row r="8154" spans="3:5">
      <c r="C8154" s="17"/>
      <c r="D8154" s="17"/>
      <c r="E8154" s="7"/>
    </row>
    <row r="8155" spans="3:5">
      <c r="C8155" s="17"/>
      <c r="D8155" s="17"/>
      <c r="E8155" s="7"/>
    </row>
    <row r="8156" spans="3:5">
      <c r="C8156" s="17"/>
      <c r="D8156" s="17"/>
      <c r="E8156" s="7"/>
    </row>
    <row r="8157" spans="3:5">
      <c r="C8157" s="17"/>
      <c r="D8157" s="17"/>
      <c r="E8157" s="7"/>
    </row>
    <row r="8158" spans="3:5">
      <c r="C8158" s="17"/>
      <c r="D8158" s="17"/>
      <c r="E8158" s="7"/>
    </row>
    <row r="8159" spans="3:5">
      <c r="C8159" s="17"/>
      <c r="D8159" s="17"/>
      <c r="E8159" s="7"/>
    </row>
    <row r="8160" spans="3:5">
      <c r="C8160" s="17"/>
      <c r="D8160" s="17"/>
      <c r="E8160" s="7"/>
    </row>
    <row r="8161" spans="3:5">
      <c r="C8161" s="17"/>
      <c r="D8161" s="17"/>
      <c r="E8161" s="7"/>
    </row>
    <row r="8162" spans="3:5">
      <c r="C8162" s="17"/>
      <c r="D8162" s="17"/>
      <c r="E8162" s="7"/>
    </row>
    <row r="8163" spans="3:5">
      <c r="C8163" s="17"/>
      <c r="D8163" s="17"/>
      <c r="E8163" s="7"/>
    </row>
    <row r="8164" spans="3:5">
      <c r="C8164" s="17"/>
      <c r="D8164" s="17"/>
      <c r="E8164" s="7"/>
    </row>
    <row r="8165" spans="3:5">
      <c r="C8165" s="17"/>
      <c r="D8165" s="17"/>
      <c r="E8165" s="7"/>
    </row>
    <row r="8166" spans="3:5">
      <c r="C8166" s="17"/>
      <c r="D8166" s="17"/>
      <c r="E8166" s="7"/>
    </row>
    <row r="8167" spans="3:5">
      <c r="C8167" s="17"/>
      <c r="D8167" s="17"/>
      <c r="E8167" s="7"/>
    </row>
    <row r="8168" spans="3:5">
      <c r="C8168" s="17"/>
      <c r="D8168" s="17"/>
      <c r="E8168" s="7"/>
    </row>
    <row r="8169" spans="3:5">
      <c r="C8169" s="17"/>
      <c r="D8169" s="17"/>
      <c r="E8169" s="7"/>
    </row>
    <row r="8170" spans="3:5">
      <c r="C8170" s="17"/>
      <c r="D8170" s="17"/>
      <c r="E8170" s="7"/>
    </row>
    <row r="8171" spans="3:5">
      <c r="C8171" s="17"/>
      <c r="D8171" s="17"/>
      <c r="E8171" s="7"/>
    </row>
    <row r="8172" spans="3:5">
      <c r="C8172" s="17"/>
      <c r="D8172" s="17"/>
      <c r="E8172" s="7"/>
    </row>
    <row r="8173" spans="3:5">
      <c r="C8173" s="17"/>
      <c r="D8173" s="17"/>
      <c r="E8173" s="7"/>
    </row>
    <row r="8174" spans="3:5">
      <c r="C8174" s="17"/>
      <c r="D8174" s="17"/>
      <c r="E8174" s="7"/>
    </row>
    <row r="8175" spans="3:5">
      <c r="C8175" s="17"/>
      <c r="D8175" s="17"/>
      <c r="E8175" s="7"/>
    </row>
    <row r="8176" spans="3:5">
      <c r="C8176" s="17"/>
      <c r="D8176" s="17"/>
      <c r="E8176" s="7"/>
    </row>
    <row r="8177" spans="3:5">
      <c r="C8177" s="17"/>
      <c r="D8177" s="17"/>
      <c r="E8177" s="7"/>
    </row>
    <row r="8178" spans="3:5">
      <c r="C8178" s="17"/>
      <c r="D8178" s="17"/>
      <c r="E8178" s="7"/>
    </row>
    <row r="8179" spans="3:5">
      <c r="C8179" s="17"/>
      <c r="D8179" s="17"/>
      <c r="E8179" s="7"/>
    </row>
    <row r="8180" spans="3:5">
      <c r="C8180" s="17"/>
      <c r="D8180" s="17"/>
      <c r="E8180" s="7"/>
    </row>
    <row r="8181" spans="3:5">
      <c r="C8181" s="17"/>
      <c r="D8181" s="17"/>
      <c r="E8181" s="7"/>
    </row>
    <row r="8182" spans="3:5">
      <c r="C8182" s="17"/>
      <c r="D8182" s="17"/>
      <c r="E8182" s="7"/>
    </row>
    <row r="8183" spans="3:5">
      <c r="C8183" s="17"/>
      <c r="D8183" s="17"/>
      <c r="E8183" s="7"/>
    </row>
    <row r="8184" spans="3:5">
      <c r="C8184" s="17"/>
      <c r="D8184" s="17"/>
      <c r="E8184" s="7"/>
    </row>
    <row r="8185" spans="3:5">
      <c r="C8185" s="17"/>
      <c r="D8185" s="17"/>
      <c r="E8185" s="7"/>
    </row>
    <row r="8186" spans="3:5">
      <c r="C8186" s="17"/>
      <c r="D8186" s="17"/>
      <c r="E8186" s="7"/>
    </row>
    <row r="8187" spans="3:5">
      <c r="C8187" s="17"/>
      <c r="D8187" s="17"/>
      <c r="E8187" s="7"/>
    </row>
    <row r="8188" spans="3:5">
      <c r="C8188" s="17"/>
      <c r="D8188" s="17"/>
      <c r="E8188" s="7"/>
    </row>
    <row r="8189" spans="3:5">
      <c r="C8189" s="17"/>
      <c r="D8189" s="17"/>
      <c r="E8189" s="7"/>
    </row>
    <row r="8190" spans="3:5">
      <c r="C8190" s="17"/>
      <c r="D8190" s="17"/>
      <c r="E8190" s="7"/>
    </row>
    <row r="8191" spans="3:5">
      <c r="C8191" s="17"/>
      <c r="D8191" s="17"/>
      <c r="E8191" s="7"/>
    </row>
    <row r="8192" spans="3:5">
      <c r="C8192" s="17"/>
      <c r="D8192" s="17"/>
      <c r="E8192" s="7"/>
    </row>
    <row r="8193" spans="3:5">
      <c r="C8193" s="17"/>
      <c r="D8193" s="17"/>
      <c r="E8193" s="7"/>
    </row>
    <row r="8194" spans="3:5">
      <c r="C8194" s="17"/>
      <c r="D8194" s="17"/>
      <c r="E8194" s="7"/>
    </row>
    <row r="8195" spans="3:5">
      <c r="C8195" s="17"/>
      <c r="D8195" s="17"/>
      <c r="E8195" s="7"/>
    </row>
    <row r="8196" spans="3:5">
      <c r="C8196" s="17"/>
      <c r="D8196" s="17"/>
      <c r="E8196" s="7"/>
    </row>
    <row r="8197" spans="3:5">
      <c r="C8197" s="17"/>
      <c r="D8197" s="17"/>
      <c r="E8197" s="7"/>
    </row>
    <row r="8198" spans="3:5">
      <c r="C8198" s="17"/>
      <c r="D8198" s="17"/>
      <c r="E8198" s="7"/>
    </row>
    <row r="8199" spans="3:5">
      <c r="C8199" s="17"/>
      <c r="D8199" s="17"/>
      <c r="E8199" s="7"/>
    </row>
    <row r="8200" spans="3:5">
      <c r="C8200" s="17"/>
      <c r="D8200" s="17"/>
      <c r="E8200" s="7"/>
    </row>
    <row r="8201" spans="3:5">
      <c r="C8201" s="17"/>
      <c r="D8201" s="17"/>
      <c r="E8201" s="7"/>
    </row>
    <row r="8202" spans="3:5">
      <c r="C8202" s="17"/>
      <c r="D8202" s="17"/>
      <c r="E8202" s="7"/>
    </row>
    <row r="8203" spans="3:5">
      <c r="C8203" s="17"/>
      <c r="D8203" s="17"/>
      <c r="E8203" s="7"/>
    </row>
    <row r="8204" spans="3:5">
      <c r="C8204" s="17"/>
      <c r="D8204" s="17"/>
      <c r="E8204" s="7"/>
    </row>
    <row r="8205" spans="3:5">
      <c r="C8205" s="17"/>
      <c r="D8205" s="17"/>
      <c r="E8205" s="7"/>
    </row>
    <row r="8206" spans="3:5">
      <c r="C8206" s="17"/>
      <c r="D8206" s="17"/>
      <c r="E8206" s="7"/>
    </row>
    <row r="8207" spans="3:5">
      <c r="C8207" s="17"/>
      <c r="D8207" s="17"/>
      <c r="E8207" s="7"/>
    </row>
    <row r="8208" spans="3:5">
      <c r="C8208" s="17"/>
      <c r="D8208" s="17"/>
      <c r="E8208" s="7"/>
    </row>
    <row r="8209" spans="3:5">
      <c r="C8209" s="17"/>
      <c r="D8209" s="17"/>
      <c r="E8209" s="7"/>
    </row>
    <row r="8210" spans="3:5">
      <c r="C8210" s="17"/>
      <c r="D8210" s="17"/>
      <c r="E8210" s="7"/>
    </row>
    <row r="8211" spans="3:5">
      <c r="C8211" s="17"/>
      <c r="D8211" s="17"/>
      <c r="E8211" s="7"/>
    </row>
    <row r="8212" spans="3:5">
      <c r="C8212" s="17"/>
      <c r="D8212" s="17"/>
      <c r="E8212" s="7"/>
    </row>
    <row r="8213" spans="3:5">
      <c r="C8213" s="17"/>
      <c r="D8213" s="17"/>
      <c r="E8213" s="7"/>
    </row>
    <row r="8214" spans="3:5">
      <c r="C8214" s="17"/>
      <c r="D8214" s="17"/>
      <c r="E8214" s="7"/>
    </row>
    <row r="8215" spans="3:5">
      <c r="C8215" s="17"/>
      <c r="D8215" s="17"/>
      <c r="E8215" s="7"/>
    </row>
    <row r="8216" spans="3:5">
      <c r="C8216" s="17"/>
      <c r="D8216" s="17"/>
      <c r="E8216" s="7"/>
    </row>
    <row r="8217" spans="3:5">
      <c r="C8217" s="17"/>
      <c r="D8217" s="17"/>
      <c r="E8217" s="7"/>
    </row>
    <row r="8218" spans="3:5">
      <c r="C8218" s="17"/>
      <c r="D8218" s="17"/>
      <c r="E8218" s="7"/>
    </row>
    <row r="8219" spans="3:5">
      <c r="C8219" s="17"/>
      <c r="D8219" s="17"/>
      <c r="E8219" s="7"/>
    </row>
    <row r="8220" spans="3:5">
      <c r="C8220" s="17"/>
      <c r="D8220" s="17"/>
      <c r="E8220" s="7"/>
    </row>
    <row r="8221" spans="3:5">
      <c r="C8221" s="17"/>
      <c r="D8221" s="17"/>
      <c r="E8221" s="7"/>
    </row>
    <row r="8222" spans="3:5">
      <c r="C8222" s="17"/>
      <c r="D8222" s="17"/>
      <c r="E8222" s="7"/>
    </row>
    <row r="8223" spans="3:5">
      <c r="C8223" s="17"/>
      <c r="D8223" s="17"/>
      <c r="E8223" s="7"/>
    </row>
    <row r="8224" spans="3:5">
      <c r="C8224" s="17"/>
      <c r="D8224" s="17"/>
      <c r="E8224" s="7"/>
    </row>
    <row r="8225" spans="3:5">
      <c r="C8225" s="17"/>
      <c r="D8225" s="17"/>
      <c r="E8225" s="7"/>
    </row>
    <row r="8226" spans="3:5">
      <c r="C8226" s="17"/>
      <c r="D8226" s="17"/>
      <c r="E8226" s="7"/>
    </row>
    <row r="8227" spans="3:5">
      <c r="C8227" s="17"/>
      <c r="D8227" s="17"/>
      <c r="E8227" s="7"/>
    </row>
    <row r="8228" spans="3:5">
      <c r="C8228" s="17"/>
      <c r="D8228" s="17"/>
      <c r="E8228" s="7"/>
    </row>
    <row r="8229" spans="3:5">
      <c r="C8229" s="17"/>
      <c r="D8229" s="17"/>
      <c r="E8229" s="7"/>
    </row>
    <row r="8230" spans="3:5">
      <c r="C8230" s="17"/>
      <c r="D8230" s="17"/>
      <c r="E8230" s="7"/>
    </row>
    <row r="8231" spans="3:5">
      <c r="C8231" s="17"/>
      <c r="D8231" s="17"/>
      <c r="E8231" s="7"/>
    </row>
    <row r="8232" spans="3:5">
      <c r="C8232" s="17"/>
      <c r="D8232" s="17"/>
      <c r="E8232" s="7"/>
    </row>
    <row r="8233" spans="3:5">
      <c r="C8233" s="17"/>
      <c r="D8233" s="17"/>
      <c r="E8233" s="7"/>
    </row>
    <row r="8234" spans="3:5">
      <c r="C8234" s="17"/>
      <c r="D8234" s="17"/>
      <c r="E8234" s="7"/>
    </row>
    <row r="8235" spans="3:5">
      <c r="C8235" s="17"/>
      <c r="D8235" s="17"/>
      <c r="E8235" s="7"/>
    </row>
    <row r="8236" spans="3:5">
      <c r="C8236" s="17"/>
      <c r="D8236" s="17"/>
      <c r="E8236" s="7"/>
    </row>
    <row r="8237" spans="3:5">
      <c r="C8237" s="17"/>
      <c r="D8237" s="17"/>
      <c r="E8237" s="7"/>
    </row>
    <row r="8238" spans="3:5">
      <c r="C8238" s="17"/>
      <c r="D8238" s="17"/>
      <c r="E8238" s="7"/>
    </row>
    <row r="8239" spans="3:5">
      <c r="C8239" s="17"/>
      <c r="D8239" s="17"/>
      <c r="E8239" s="7"/>
    </row>
    <row r="8240" spans="3:5">
      <c r="C8240" s="17"/>
      <c r="D8240" s="17"/>
      <c r="E8240" s="7"/>
    </row>
    <row r="8241" spans="3:5">
      <c r="C8241" s="17"/>
      <c r="D8241" s="17"/>
      <c r="E8241" s="7"/>
    </row>
    <row r="8242" spans="3:5">
      <c r="C8242" s="17"/>
      <c r="D8242" s="17"/>
      <c r="E8242" s="7"/>
    </row>
    <row r="8243" spans="3:5">
      <c r="C8243" s="17"/>
      <c r="D8243" s="17"/>
      <c r="E8243" s="7"/>
    </row>
    <row r="8244" spans="3:5">
      <c r="C8244" s="17"/>
      <c r="D8244" s="17"/>
      <c r="E8244" s="7"/>
    </row>
    <row r="8245" spans="3:5">
      <c r="C8245" s="17"/>
      <c r="D8245" s="17"/>
      <c r="E8245" s="7"/>
    </row>
    <row r="8246" spans="3:5">
      <c r="C8246" s="17"/>
      <c r="D8246" s="17"/>
      <c r="E8246" s="7"/>
    </row>
    <row r="8247" spans="3:5">
      <c r="C8247" s="17"/>
      <c r="D8247" s="17"/>
      <c r="E8247" s="7"/>
    </row>
    <row r="8248" spans="3:5">
      <c r="C8248" s="17"/>
      <c r="D8248" s="17"/>
      <c r="E8248" s="7"/>
    </row>
    <row r="8249" spans="3:5">
      <c r="C8249" s="17"/>
      <c r="D8249" s="17"/>
      <c r="E8249" s="7"/>
    </row>
    <row r="8250" spans="3:5">
      <c r="C8250" s="17"/>
      <c r="D8250" s="17"/>
      <c r="E8250" s="7"/>
    </row>
    <row r="8251" spans="3:5">
      <c r="C8251" s="17"/>
      <c r="D8251" s="17"/>
      <c r="E8251" s="7"/>
    </row>
    <row r="8252" spans="3:5">
      <c r="C8252" s="17"/>
      <c r="D8252" s="17"/>
      <c r="E8252" s="7"/>
    </row>
    <row r="8253" spans="3:5">
      <c r="C8253" s="17"/>
      <c r="D8253" s="17"/>
      <c r="E8253" s="7"/>
    </row>
    <row r="8254" spans="3:5">
      <c r="C8254" s="17"/>
      <c r="D8254" s="17"/>
      <c r="E8254" s="7"/>
    </row>
    <row r="8255" spans="3:5">
      <c r="C8255" s="17"/>
      <c r="D8255" s="17"/>
      <c r="E8255" s="7"/>
    </row>
    <row r="8256" spans="3:5">
      <c r="C8256" s="17"/>
      <c r="D8256" s="17"/>
      <c r="E8256" s="7"/>
    </row>
    <row r="8257" spans="3:5">
      <c r="C8257" s="17"/>
      <c r="D8257" s="17"/>
      <c r="E8257" s="7"/>
    </row>
    <row r="8258" spans="3:5">
      <c r="C8258" s="17"/>
      <c r="D8258" s="17"/>
      <c r="E8258" s="7"/>
    </row>
    <row r="8259" spans="3:5">
      <c r="C8259" s="17"/>
      <c r="D8259" s="17"/>
      <c r="E8259" s="7"/>
    </row>
    <row r="8260" spans="3:5">
      <c r="C8260" s="17"/>
      <c r="D8260" s="17"/>
      <c r="E8260" s="7"/>
    </row>
    <row r="8261" spans="3:5">
      <c r="C8261" s="17"/>
      <c r="D8261" s="17"/>
      <c r="E8261" s="7"/>
    </row>
    <row r="8262" spans="3:5">
      <c r="C8262" s="17"/>
      <c r="D8262" s="17"/>
      <c r="E8262" s="7"/>
    </row>
    <row r="8263" spans="3:5">
      <c r="C8263" s="17"/>
      <c r="D8263" s="17"/>
      <c r="E8263" s="7"/>
    </row>
    <row r="8264" spans="3:5">
      <c r="C8264" s="17"/>
      <c r="D8264" s="17"/>
      <c r="E8264" s="7"/>
    </row>
    <row r="8265" spans="3:5">
      <c r="C8265" s="17"/>
      <c r="D8265" s="17"/>
      <c r="E8265" s="7"/>
    </row>
    <row r="8266" spans="3:5">
      <c r="C8266" s="17"/>
      <c r="D8266" s="17"/>
      <c r="E8266" s="7"/>
    </row>
    <row r="8267" spans="3:5">
      <c r="C8267" s="17"/>
      <c r="D8267" s="17"/>
      <c r="E8267" s="7"/>
    </row>
    <row r="8268" spans="3:5">
      <c r="C8268" s="17"/>
      <c r="D8268" s="17"/>
      <c r="E8268" s="7"/>
    </row>
    <row r="8269" spans="3:5">
      <c r="C8269" s="17"/>
      <c r="D8269" s="17"/>
      <c r="E8269" s="7"/>
    </row>
    <row r="8270" spans="3:5">
      <c r="C8270" s="17"/>
      <c r="D8270" s="17"/>
      <c r="E8270" s="7"/>
    </row>
    <row r="8271" spans="3:5">
      <c r="C8271" s="17"/>
      <c r="D8271" s="17"/>
      <c r="E8271" s="7"/>
    </row>
    <row r="8272" spans="3:5">
      <c r="C8272" s="17"/>
      <c r="D8272" s="17"/>
      <c r="E8272" s="7"/>
    </row>
    <row r="8273" spans="3:5">
      <c r="C8273" s="17"/>
      <c r="D8273" s="17"/>
      <c r="E8273" s="7"/>
    </row>
    <row r="8274" spans="3:5">
      <c r="C8274" s="17"/>
      <c r="D8274" s="17"/>
      <c r="E8274" s="7"/>
    </row>
    <row r="8275" spans="3:5">
      <c r="C8275" s="17"/>
      <c r="D8275" s="17"/>
      <c r="E8275" s="7"/>
    </row>
    <row r="8276" spans="3:5">
      <c r="C8276" s="17"/>
      <c r="D8276" s="17"/>
      <c r="E8276" s="7"/>
    </row>
    <row r="8277" spans="3:5">
      <c r="C8277" s="17"/>
      <c r="D8277" s="17"/>
      <c r="E8277" s="7"/>
    </row>
    <row r="8278" spans="3:5">
      <c r="C8278" s="17"/>
      <c r="D8278" s="17"/>
      <c r="E8278" s="7"/>
    </row>
    <row r="8279" spans="3:5">
      <c r="C8279" s="17"/>
      <c r="D8279" s="17"/>
      <c r="E8279" s="7"/>
    </row>
    <row r="8280" spans="3:5">
      <c r="C8280" s="17"/>
      <c r="D8280" s="17"/>
      <c r="E8280" s="7"/>
    </row>
    <row r="8281" spans="3:5">
      <c r="C8281" s="17"/>
      <c r="D8281" s="17"/>
      <c r="E8281" s="7"/>
    </row>
    <row r="8282" spans="3:5">
      <c r="C8282" s="17"/>
      <c r="D8282" s="17"/>
      <c r="E8282" s="7"/>
    </row>
    <row r="8283" spans="3:5">
      <c r="C8283" s="17"/>
      <c r="D8283" s="17"/>
      <c r="E8283" s="7"/>
    </row>
    <row r="8284" spans="3:5">
      <c r="C8284" s="17"/>
      <c r="D8284" s="17"/>
      <c r="E8284" s="7"/>
    </row>
    <row r="8285" spans="3:5">
      <c r="C8285" s="17"/>
      <c r="D8285" s="17"/>
      <c r="E8285" s="7"/>
    </row>
    <row r="8286" spans="3:5">
      <c r="C8286" s="17"/>
      <c r="D8286" s="17"/>
      <c r="E8286" s="7"/>
    </row>
    <row r="8287" spans="3:5">
      <c r="C8287" s="17"/>
      <c r="D8287" s="17"/>
      <c r="E8287" s="7"/>
    </row>
    <row r="8288" spans="3:5">
      <c r="C8288" s="17"/>
      <c r="D8288" s="17"/>
      <c r="E8288" s="7"/>
    </row>
    <row r="8289" spans="3:5">
      <c r="C8289" s="17"/>
      <c r="D8289" s="17"/>
      <c r="E8289" s="7"/>
    </row>
    <row r="8290" spans="3:5">
      <c r="C8290" s="17"/>
      <c r="D8290" s="17"/>
      <c r="E8290" s="7"/>
    </row>
    <row r="8291" spans="3:5">
      <c r="C8291" s="17"/>
      <c r="D8291" s="17"/>
      <c r="E8291" s="7"/>
    </row>
    <row r="8292" spans="3:5">
      <c r="C8292" s="17"/>
      <c r="D8292" s="17"/>
      <c r="E8292" s="7"/>
    </row>
    <row r="8293" spans="3:5">
      <c r="C8293" s="17"/>
      <c r="D8293" s="17"/>
      <c r="E8293" s="7"/>
    </row>
    <row r="8294" spans="3:5">
      <c r="C8294" s="17"/>
      <c r="D8294" s="17"/>
      <c r="E8294" s="7"/>
    </row>
    <row r="8295" spans="3:5">
      <c r="C8295" s="17"/>
      <c r="D8295" s="17"/>
      <c r="E8295" s="7"/>
    </row>
    <row r="8296" spans="3:5">
      <c r="C8296" s="17"/>
      <c r="D8296" s="17"/>
      <c r="E8296" s="7"/>
    </row>
    <row r="8297" spans="3:5">
      <c r="C8297" s="17"/>
      <c r="D8297" s="17"/>
      <c r="E8297" s="7"/>
    </row>
    <row r="8298" spans="3:5">
      <c r="C8298" s="17"/>
      <c r="D8298" s="17"/>
      <c r="E8298" s="7"/>
    </row>
    <row r="8299" spans="3:5">
      <c r="C8299" s="17"/>
      <c r="D8299" s="17"/>
      <c r="E8299" s="7"/>
    </row>
    <row r="8300" spans="3:5">
      <c r="C8300" s="17"/>
      <c r="D8300" s="17"/>
      <c r="E8300" s="7"/>
    </row>
    <row r="8301" spans="3:5">
      <c r="C8301" s="17"/>
      <c r="D8301" s="17"/>
      <c r="E8301" s="7"/>
    </row>
    <row r="8302" spans="3:5">
      <c r="C8302" s="17"/>
      <c r="D8302" s="17"/>
      <c r="E8302" s="7"/>
    </row>
    <row r="8303" spans="3:5">
      <c r="C8303" s="17"/>
      <c r="D8303" s="17"/>
      <c r="E8303" s="7"/>
    </row>
    <row r="8304" spans="3:5">
      <c r="C8304" s="17"/>
      <c r="D8304" s="17"/>
      <c r="E8304" s="7"/>
    </row>
    <row r="8305" spans="3:5">
      <c r="C8305" s="17"/>
      <c r="D8305" s="17"/>
      <c r="E8305" s="7"/>
    </row>
    <row r="8306" spans="3:5">
      <c r="C8306" s="17"/>
      <c r="D8306" s="17"/>
      <c r="E8306" s="7"/>
    </row>
    <row r="8307" spans="3:5">
      <c r="C8307" s="17"/>
      <c r="D8307" s="17"/>
      <c r="E8307" s="7"/>
    </row>
    <row r="8308" spans="3:5">
      <c r="C8308" s="17"/>
      <c r="D8308" s="17"/>
      <c r="E8308" s="7"/>
    </row>
    <row r="8309" spans="3:5">
      <c r="C8309" s="17"/>
      <c r="D8309" s="17"/>
      <c r="E8309" s="7"/>
    </row>
    <row r="8310" spans="3:5">
      <c r="C8310" s="17"/>
      <c r="D8310" s="17"/>
      <c r="E8310" s="7"/>
    </row>
    <row r="8311" spans="3:5">
      <c r="C8311" s="17"/>
      <c r="D8311" s="17"/>
      <c r="E8311" s="7"/>
    </row>
    <row r="8312" spans="3:5">
      <c r="C8312" s="17"/>
      <c r="D8312" s="17"/>
      <c r="E8312" s="7"/>
    </row>
    <row r="8313" spans="3:5">
      <c r="C8313" s="17"/>
      <c r="D8313" s="17"/>
      <c r="E8313" s="7"/>
    </row>
    <row r="8314" spans="3:5">
      <c r="C8314" s="17"/>
      <c r="D8314" s="17"/>
      <c r="E8314" s="7"/>
    </row>
    <row r="8315" spans="3:5">
      <c r="C8315" s="17"/>
      <c r="D8315" s="17"/>
      <c r="E8315" s="7"/>
    </row>
    <row r="8316" spans="3:5">
      <c r="C8316" s="17"/>
      <c r="D8316" s="17"/>
      <c r="E8316" s="7"/>
    </row>
    <row r="8317" spans="3:5">
      <c r="C8317" s="17"/>
      <c r="D8317" s="17"/>
      <c r="E8317" s="7"/>
    </row>
    <row r="8318" spans="3:5">
      <c r="C8318" s="17"/>
      <c r="D8318" s="17"/>
      <c r="E8318" s="7"/>
    </row>
    <row r="8319" spans="3:5">
      <c r="C8319" s="17"/>
      <c r="D8319" s="17"/>
      <c r="E8319" s="7"/>
    </row>
    <row r="8320" spans="3:5">
      <c r="C8320" s="17"/>
      <c r="D8320" s="17"/>
      <c r="E8320" s="7"/>
    </row>
    <row r="8321" spans="3:5">
      <c r="C8321" s="17"/>
      <c r="D8321" s="17"/>
      <c r="E8321" s="7"/>
    </row>
    <row r="8322" spans="3:5">
      <c r="C8322" s="17"/>
      <c r="D8322" s="17"/>
      <c r="E8322" s="7"/>
    </row>
    <row r="8323" spans="3:5">
      <c r="C8323" s="17"/>
      <c r="D8323" s="17"/>
      <c r="E8323" s="7"/>
    </row>
    <row r="8324" spans="3:5">
      <c r="C8324" s="17"/>
      <c r="D8324" s="17"/>
      <c r="E8324" s="7"/>
    </row>
    <row r="8325" spans="3:5">
      <c r="C8325" s="17"/>
      <c r="D8325" s="17"/>
      <c r="E8325" s="7"/>
    </row>
    <row r="8326" spans="3:5">
      <c r="C8326" s="17"/>
      <c r="D8326" s="17"/>
      <c r="E8326" s="7"/>
    </row>
    <row r="8327" spans="3:5">
      <c r="C8327" s="17"/>
      <c r="D8327" s="17"/>
      <c r="E8327" s="7"/>
    </row>
    <row r="8328" spans="3:5">
      <c r="C8328" s="17"/>
      <c r="D8328" s="17"/>
      <c r="E8328" s="7"/>
    </row>
    <row r="8329" spans="3:5">
      <c r="C8329" s="17"/>
      <c r="D8329" s="17"/>
      <c r="E8329" s="7"/>
    </row>
    <row r="8330" spans="3:5">
      <c r="C8330" s="17"/>
      <c r="D8330" s="17"/>
      <c r="E8330" s="7"/>
    </row>
    <row r="8331" spans="3:5">
      <c r="C8331" s="17"/>
      <c r="D8331" s="17"/>
      <c r="E8331" s="7"/>
    </row>
    <row r="8332" spans="3:5">
      <c r="C8332" s="17"/>
      <c r="D8332" s="17"/>
      <c r="E8332" s="7"/>
    </row>
    <row r="8333" spans="3:5">
      <c r="C8333" s="17"/>
      <c r="D8333" s="17"/>
      <c r="E8333" s="7"/>
    </row>
    <row r="8334" spans="3:5">
      <c r="C8334" s="17"/>
      <c r="D8334" s="17"/>
      <c r="E8334" s="7"/>
    </row>
    <row r="8335" spans="3:5">
      <c r="C8335" s="17"/>
      <c r="D8335" s="17"/>
      <c r="E8335" s="7"/>
    </row>
    <row r="8336" spans="3:5">
      <c r="C8336" s="17"/>
      <c r="D8336" s="17"/>
      <c r="E8336" s="7"/>
    </row>
    <row r="8337" spans="3:5">
      <c r="C8337" s="17"/>
      <c r="D8337" s="17"/>
      <c r="E8337" s="7"/>
    </row>
    <row r="8338" spans="3:5">
      <c r="C8338" s="17"/>
      <c r="D8338" s="17"/>
      <c r="E8338" s="7"/>
    </row>
    <row r="8339" spans="3:5">
      <c r="C8339" s="17"/>
      <c r="D8339" s="17"/>
      <c r="E8339" s="7"/>
    </row>
    <row r="8340" spans="3:5">
      <c r="C8340" s="17"/>
      <c r="D8340" s="17"/>
      <c r="E8340" s="7"/>
    </row>
    <row r="8341" spans="3:5">
      <c r="C8341" s="17"/>
      <c r="D8341" s="17"/>
      <c r="E8341" s="7"/>
    </row>
    <row r="8342" spans="3:5">
      <c r="C8342" s="17"/>
      <c r="D8342" s="17"/>
      <c r="E8342" s="7"/>
    </row>
    <row r="8343" spans="3:5">
      <c r="C8343" s="17"/>
      <c r="D8343" s="17"/>
      <c r="E8343" s="7"/>
    </row>
    <row r="8344" spans="3:5">
      <c r="C8344" s="17"/>
      <c r="D8344" s="17"/>
      <c r="E8344" s="7"/>
    </row>
    <row r="8345" spans="3:5">
      <c r="C8345" s="17"/>
      <c r="D8345" s="17"/>
      <c r="E8345" s="7"/>
    </row>
    <row r="8346" spans="3:5">
      <c r="C8346" s="17"/>
      <c r="D8346" s="17"/>
      <c r="E8346" s="7"/>
    </row>
    <row r="8347" spans="3:5">
      <c r="C8347" s="17"/>
      <c r="D8347" s="17"/>
      <c r="E8347" s="7"/>
    </row>
    <row r="8348" spans="3:5">
      <c r="C8348" s="17"/>
      <c r="D8348" s="17"/>
      <c r="E8348" s="7"/>
    </row>
    <row r="8349" spans="3:5">
      <c r="C8349" s="17"/>
      <c r="D8349" s="17"/>
      <c r="E8349" s="7"/>
    </row>
    <row r="8350" spans="3:5">
      <c r="C8350" s="17"/>
      <c r="D8350" s="17"/>
      <c r="E8350" s="7"/>
    </row>
    <row r="8351" spans="3:5">
      <c r="C8351" s="17"/>
      <c r="D8351" s="17"/>
      <c r="E8351" s="7"/>
    </row>
    <row r="8352" spans="3:5">
      <c r="C8352" s="17"/>
      <c r="D8352" s="17"/>
      <c r="E8352" s="7"/>
    </row>
    <row r="8353" spans="3:5">
      <c r="C8353" s="17"/>
      <c r="D8353" s="17"/>
      <c r="E8353" s="7"/>
    </row>
    <row r="8354" spans="3:5">
      <c r="C8354" s="17"/>
      <c r="D8354" s="17"/>
      <c r="E8354" s="7"/>
    </row>
    <row r="8355" spans="3:5">
      <c r="C8355" s="17"/>
      <c r="D8355" s="17"/>
      <c r="E8355" s="7"/>
    </row>
    <row r="8356" spans="3:5">
      <c r="C8356" s="17"/>
      <c r="D8356" s="17"/>
      <c r="E8356" s="7"/>
    </row>
    <row r="8357" spans="3:5">
      <c r="C8357" s="17"/>
      <c r="D8357" s="17"/>
      <c r="E8357" s="7"/>
    </row>
    <row r="8358" spans="3:5">
      <c r="C8358" s="17"/>
      <c r="D8358" s="17"/>
      <c r="E8358" s="7"/>
    </row>
    <row r="8359" spans="3:5">
      <c r="C8359" s="17"/>
      <c r="D8359" s="17"/>
      <c r="E8359" s="7"/>
    </row>
    <row r="8360" spans="3:5">
      <c r="C8360" s="17"/>
      <c r="D8360" s="17"/>
      <c r="E8360" s="7"/>
    </row>
    <row r="8361" spans="3:5">
      <c r="C8361" s="17"/>
      <c r="D8361" s="17"/>
      <c r="E8361" s="7"/>
    </row>
    <row r="8362" spans="3:5">
      <c r="C8362" s="17"/>
      <c r="D8362" s="17"/>
      <c r="E8362" s="7"/>
    </row>
    <row r="8363" spans="3:5">
      <c r="C8363" s="17"/>
      <c r="D8363" s="17"/>
      <c r="E8363" s="7"/>
    </row>
    <row r="8364" spans="3:5">
      <c r="C8364" s="17"/>
      <c r="D8364" s="17"/>
      <c r="E8364" s="7"/>
    </row>
    <row r="8365" spans="3:5">
      <c r="C8365" s="17"/>
      <c r="D8365" s="17"/>
      <c r="E8365" s="7"/>
    </row>
    <row r="8366" spans="3:5">
      <c r="C8366" s="17"/>
      <c r="D8366" s="17"/>
      <c r="E8366" s="7"/>
    </row>
    <row r="8367" spans="3:5">
      <c r="C8367" s="17"/>
      <c r="D8367" s="17"/>
      <c r="E8367" s="7"/>
    </row>
    <row r="8368" spans="3:5">
      <c r="C8368" s="17"/>
      <c r="D8368" s="17"/>
      <c r="E8368" s="7"/>
    </row>
    <row r="8369" spans="3:5">
      <c r="C8369" s="17"/>
      <c r="D8369" s="17"/>
      <c r="E8369" s="7"/>
    </row>
    <row r="8370" spans="3:5">
      <c r="C8370" s="17"/>
      <c r="D8370" s="17"/>
      <c r="E8370" s="7"/>
    </row>
    <row r="8371" spans="3:5">
      <c r="C8371" s="17"/>
      <c r="D8371" s="17"/>
      <c r="E8371" s="7"/>
    </row>
    <row r="8372" spans="3:5">
      <c r="C8372" s="17"/>
      <c r="D8372" s="17"/>
      <c r="E8372" s="7"/>
    </row>
    <row r="8373" spans="3:5">
      <c r="C8373" s="17"/>
      <c r="D8373" s="17"/>
      <c r="E8373" s="7"/>
    </row>
    <row r="8374" spans="3:5">
      <c r="C8374" s="17"/>
      <c r="D8374" s="17"/>
      <c r="E8374" s="7"/>
    </row>
    <row r="8375" spans="3:5">
      <c r="C8375" s="17"/>
      <c r="D8375" s="17"/>
      <c r="E8375" s="7"/>
    </row>
    <row r="8376" spans="3:5">
      <c r="C8376" s="17"/>
      <c r="D8376" s="17"/>
      <c r="E8376" s="7"/>
    </row>
    <row r="8377" spans="3:5">
      <c r="C8377" s="17"/>
      <c r="D8377" s="17"/>
      <c r="E8377" s="7"/>
    </row>
    <row r="8378" spans="3:5">
      <c r="C8378" s="17"/>
      <c r="D8378" s="17"/>
      <c r="E8378" s="7"/>
    </row>
    <row r="8379" spans="3:5">
      <c r="C8379" s="17"/>
      <c r="D8379" s="17"/>
      <c r="E8379" s="7"/>
    </row>
    <row r="8380" spans="3:5">
      <c r="C8380" s="17"/>
      <c r="D8380" s="17"/>
      <c r="E8380" s="7"/>
    </row>
    <row r="8381" spans="3:5">
      <c r="C8381" s="17"/>
      <c r="D8381" s="17"/>
      <c r="E8381" s="7"/>
    </row>
    <row r="8382" spans="3:5">
      <c r="C8382" s="17"/>
      <c r="D8382" s="17"/>
      <c r="E8382" s="7"/>
    </row>
    <row r="8383" spans="3:5">
      <c r="C8383" s="17"/>
      <c r="D8383" s="17"/>
      <c r="E8383" s="7"/>
    </row>
    <row r="8384" spans="3:5">
      <c r="C8384" s="17"/>
      <c r="D8384" s="17"/>
      <c r="E8384" s="7"/>
    </row>
    <row r="8385" spans="3:5">
      <c r="C8385" s="17"/>
      <c r="D8385" s="17"/>
      <c r="E8385" s="7"/>
    </row>
    <row r="8386" spans="3:5">
      <c r="C8386" s="17"/>
      <c r="D8386" s="17"/>
      <c r="E8386" s="7"/>
    </row>
    <row r="8387" spans="3:5">
      <c r="C8387" s="17"/>
      <c r="D8387" s="17"/>
      <c r="E8387" s="7"/>
    </row>
    <row r="8388" spans="3:5">
      <c r="C8388" s="17"/>
      <c r="D8388" s="17"/>
      <c r="E8388" s="7"/>
    </row>
    <row r="8389" spans="3:5">
      <c r="C8389" s="17"/>
      <c r="D8389" s="17"/>
      <c r="E8389" s="7"/>
    </row>
    <row r="8390" spans="3:5">
      <c r="C8390" s="17"/>
      <c r="D8390" s="17"/>
      <c r="E8390" s="7"/>
    </row>
    <row r="8391" spans="3:5">
      <c r="C8391" s="17"/>
      <c r="D8391" s="17"/>
      <c r="E8391" s="7"/>
    </row>
    <row r="8392" spans="3:5">
      <c r="C8392" s="17"/>
      <c r="D8392" s="17"/>
      <c r="E8392" s="7"/>
    </row>
    <row r="8393" spans="3:5">
      <c r="C8393" s="17"/>
      <c r="D8393" s="17"/>
      <c r="E8393" s="7"/>
    </row>
    <row r="8394" spans="3:5">
      <c r="C8394" s="17"/>
      <c r="D8394" s="17"/>
      <c r="E8394" s="7"/>
    </row>
    <row r="8395" spans="3:5">
      <c r="C8395" s="17"/>
      <c r="D8395" s="17"/>
      <c r="E8395" s="7"/>
    </row>
    <row r="8396" spans="3:5">
      <c r="C8396" s="17"/>
      <c r="D8396" s="17"/>
      <c r="E8396" s="7"/>
    </row>
    <row r="8397" spans="3:5">
      <c r="C8397" s="17"/>
      <c r="D8397" s="17"/>
      <c r="E8397" s="7"/>
    </row>
    <row r="8398" spans="3:5">
      <c r="C8398" s="17"/>
      <c r="D8398" s="17"/>
      <c r="E8398" s="7"/>
    </row>
    <row r="8399" spans="3:5">
      <c r="C8399" s="17"/>
      <c r="D8399" s="17"/>
      <c r="E8399" s="7"/>
    </row>
    <row r="8400" spans="3:5">
      <c r="C8400" s="17"/>
      <c r="D8400" s="17"/>
      <c r="E8400" s="7"/>
    </row>
    <row r="8401" spans="3:5">
      <c r="C8401" s="17"/>
      <c r="D8401" s="17"/>
      <c r="E8401" s="7"/>
    </row>
    <row r="8402" spans="3:5">
      <c r="C8402" s="17"/>
      <c r="D8402" s="17"/>
      <c r="E8402" s="7"/>
    </row>
    <row r="8403" spans="3:5">
      <c r="C8403" s="17"/>
      <c r="D8403" s="17"/>
      <c r="E8403" s="7"/>
    </row>
    <row r="8404" spans="3:5">
      <c r="C8404" s="17"/>
      <c r="D8404" s="17"/>
      <c r="E8404" s="7"/>
    </row>
    <row r="8405" spans="3:5">
      <c r="C8405" s="17"/>
      <c r="D8405" s="17"/>
      <c r="E8405" s="7"/>
    </row>
    <row r="8406" spans="3:5">
      <c r="C8406" s="17"/>
      <c r="D8406" s="17"/>
      <c r="E8406" s="7"/>
    </row>
    <row r="8407" spans="3:5">
      <c r="C8407" s="17"/>
      <c r="D8407" s="17"/>
      <c r="E8407" s="7"/>
    </row>
    <row r="8408" spans="3:5">
      <c r="C8408" s="17"/>
      <c r="D8408" s="17"/>
      <c r="E8408" s="7"/>
    </row>
    <row r="8409" spans="3:5">
      <c r="C8409" s="17"/>
      <c r="D8409" s="17"/>
      <c r="E8409" s="7"/>
    </row>
    <row r="8410" spans="3:5">
      <c r="C8410" s="17"/>
      <c r="D8410" s="17"/>
      <c r="E8410" s="7"/>
    </row>
    <row r="8411" spans="3:5">
      <c r="C8411" s="17"/>
      <c r="D8411" s="17"/>
      <c r="E8411" s="7"/>
    </row>
    <row r="8412" spans="3:5">
      <c r="C8412" s="17"/>
      <c r="D8412" s="17"/>
      <c r="E8412" s="7"/>
    </row>
    <row r="8413" spans="3:5">
      <c r="C8413" s="17"/>
      <c r="D8413" s="17"/>
      <c r="E8413" s="7"/>
    </row>
    <row r="8414" spans="3:5">
      <c r="C8414" s="17"/>
      <c r="D8414" s="17"/>
      <c r="E8414" s="7"/>
    </row>
    <row r="8415" spans="3:5">
      <c r="C8415" s="17"/>
      <c r="D8415" s="17"/>
      <c r="E8415" s="7"/>
    </row>
    <row r="8416" spans="3:5">
      <c r="C8416" s="17"/>
      <c r="D8416" s="17"/>
      <c r="E8416" s="7"/>
    </row>
    <row r="8417" spans="3:5">
      <c r="C8417" s="17"/>
      <c r="D8417" s="17"/>
      <c r="E8417" s="7"/>
    </row>
    <row r="8418" spans="3:5">
      <c r="C8418" s="17"/>
      <c r="D8418" s="17"/>
      <c r="E8418" s="7"/>
    </row>
    <row r="8419" spans="3:5">
      <c r="C8419" s="17"/>
      <c r="D8419" s="17"/>
      <c r="E8419" s="7"/>
    </row>
    <row r="8420" spans="3:5">
      <c r="C8420" s="17"/>
      <c r="D8420" s="17"/>
      <c r="E8420" s="7"/>
    </row>
    <row r="8421" spans="3:5">
      <c r="C8421" s="17"/>
      <c r="D8421" s="17"/>
      <c r="E8421" s="7"/>
    </row>
    <row r="8422" spans="3:5">
      <c r="C8422" s="17"/>
      <c r="D8422" s="17"/>
      <c r="E8422" s="7"/>
    </row>
    <row r="8423" spans="3:5">
      <c r="C8423" s="17"/>
      <c r="D8423" s="17"/>
      <c r="E8423" s="7"/>
    </row>
    <row r="8424" spans="3:5">
      <c r="C8424" s="17"/>
      <c r="D8424" s="17"/>
      <c r="E8424" s="7"/>
    </row>
    <row r="8425" spans="3:5">
      <c r="C8425" s="17"/>
      <c r="D8425" s="17"/>
      <c r="E8425" s="7"/>
    </row>
    <row r="8426" spans="3:5">
      <c r="C8426" s="17"/>
      <c r="D8426" s="17"/>
      <c r="E8426" s="7"/>
    </row>
    <row r="8427" spans="3:5">
      <c r="C8427" s="17"/>
      <c r="D8427" s="17"/>
      <c r="E8427" s="7"/>
    </row>
    <row r="8428" spans="3:5">
      <c r="C8428" s="17"/>
      <c r="D8428" s="17"/>
      <c r="E8428" s="7"/>
    </row>
    <row r="8429" spans="3:5">
      <c r="C8429" s="17"/>
      <c r="D8429" s="17"/>
      <c r="E8429" s="7"/>
    </row>
    <row r="8430" spans="3:5">
      <c r="C8430" s="17"/>
      <c r="D8430" s="17"/>
      <c r="E8430" s="7"/>
    </row>
    <row r="8431" spans="3:5">
      <c r="C8431" s="17"/>
      <c r="D8431" s="17"/>
      <c r="E8431" s="7"/>
    </row>
    <row r="8432" spans="3:5">
      <c r="C8432" s="17"/>
      <c r="D8432" s="17"/>
      <c r="E8432" s="7"/>
    </row>
    <row r="8433" spans="3:5">
      <c r="C8433" s="17"/>
      <c r="D8433" s="17"/>
      <c r="E8433" s="7"/>
    </row>
    <row r="8434" spans="3:5">
      <c r="C8434" s="17"/>
      <c r="D8434" s="17"/>
      <c r="E8434" s="7"/>
    </row>
    <row r="8435" spans="3:5">
      <c r="C8435" s="17"/>
      <c r="D8435" s="17"/>
      <c r="E8435" s="7"/>
    </row>
    <row r="8436" spans="3:5">
      <c r="C8436" s="17"/>
      <c r="D8436" s="17"/>
      <c r="E8436" s="7"/>
    </row>
    <row r="8437" spans="3:5">
      <c r="C8437" s="17"/>
      <c r="D8437" s="17"/>
      <c r="E8437" s="7"/>
    </row>
    <row r="8438" spans="3:5">
      <c r="C8438" s="17"/>
      <c r="D8438" s="17"/>
      <c r="E8438" s="7"/>
    </row>
    <row r="8439" spans="3:5">
      <c r="C8439" s="17"/>
      <c r="D8439" s="17"/>
      <c r="E8439" s="7"/>
    </row>
    <row r="8440" spans="3:5">
      <c r="C8440" s="17"/>
      <c r="D8440" s="17"/>
      <c r="E8440" s="7"/>
    </row>
    <row r="8441" spans="3:5">
      <c r="C8441" s="17"/>
      <c r="D8441" s="17"/>
      <c r="E8441" s="7"/>
    </row>
    <row r="8442" spans="3:5">
      <c r="C8442" s="17"/>
      <c r="D8442" s="17"/>
      <c r="E8442" s="7"/>
    </row>
    <row r="8443" spans="3:5">
      <c r="C8443" s="17"/>
      <c r="D8443" s="17"/>
      <c r="E8443" s="7"/>
    </row>
    <row r="8444" spans="3:5">
      <c r="C8444" s="17"/>
      <c r="D8444" s="17"/>
      <c r="E8444" s="7"/>
    </row>
    <row r="8445" spans="3:5">
      <c r="C8445" s="17"/>
      <c r="D8445" s="17"/>
      <c r="E8445" s="7"/>
    </row>
    <row r="8446" spans="3:5">
      <c r="C8446" s="17"/>
      <c r="D8446" s="17"/>
      <c r="E8446" s="7"/>
    </row>
    <row r="8447" spans="3:5">
      <c r="C8447" s="17"/>
      <c r="D8447" s="17"/>
      <c r="E8447" s="7"/>
    </row>
    <row r="8448" spans="3:5">
      <c r="C8448" s="17"/>
      <c r="D8448" s="17"/>
      <c r="E8448" s="7"/>
    </row>
    <row r="8449" spans="3:5">
      <c r="C8449" s="17"/>
      <c r="D8449" s="17"/>
      <c r="E8449" s="7"/>
    </row>
    <row r="8450" spans="3:5">
      <c r="C8450" s="17"/>
      <c r="D8450" s="17"/>
      <c r="E8450" s="7"/>
    </row>
    <row r="8451" spans="3:5">
      <c r="C8451" s="17"/>
      <c r="D8451" s="17"/>
      <c r="E8451" s="7"/>
    </row>
    <row r="8452" spans="3:5">
      <c r="C8452" s="17"/>
      <c r="D8452" s="17"/>
      <c r="E8452" s="7"/>
    </row>
    <row r="8453" spans="3:5">
      <c r="C8453" s="17"/>
      <c r="D8453" s="17"/>
      <c r="E8453" s="7"/>
    </row>
    <row r="8454" spans="3:5">
      <c r="C8454" s="17"/>
      <c r="D8454" s="17"/>
      <c r="E8454" s="7"/>
    </row>
    <row r="8455" spans="3:5">
      <c r="C8455" s="17"/>
      <c r="D8455" s="17"/>
      <c r="E8455" s="7"/>
    </row>
    <row r="8456" spans="3:5">
      <c r="C8456" s="17"/>
      <c r="D8456" s="17"/>
      <c r="E8456" s="7"/>
    </row>
    <row r="8457" spans="3:5">
      <c r="C8457" s="17"/>
      <c r="D8457" s="17"/>
      <c r="E8457" s="7"/>
    </row>
    <row r="8458" spans="3:5">
      <c r="C8458" s="17"/>
      <c r="D8458" s="17"/>
      <c r="E8458" s="7"/>
    </row>
    <row r="8459" spans="3:5">
      <c r="C8459" s="17"/>
      <c r="D8459" s="17"/>
      <c r="E8459" s="7"/>
    </row>
    <row r="8460" spans="3:5">
      <c r="C8460" s="17"/>
      <c r="D8460" s="17"/>
      <c r="E8460" s="7"/>
    </row>
    <row r="8461" spans="3:5">
      <c r="C8461" s="17"/>
      <c r="D8461" s="17"/>
      <c r="E8461" s="7"/>
    </row>
    <row r="8462" spans="3:5">
      <c r="C8462" s="17"/>
      <c r="D8462" s="17"/>
      <c r="E8462" s="7"/>
    </row>
    <row r="8463" spans="3:5">
      <c r="C8463" s="17"/>
      <c r="D8463" s="17"/>
      <c r="E8463" s="7"/>
    </row>
    <row r="8464" spans="3:5">
      <c r="C8464" s="17"/>
      <c r="D8464" s="17"/>
      <c r="E8464" s="7"/>
    </row>
    <row r="8465" spans="3:5">
      <c r="C8465" s="17"/>
      <c r="D8465" s="17"/>
      <c r="E8465" s="7"/>
    </row>
    <row r="8466" spans="3:5">
      <c r="C8466" s="17"/>
      <c r="D8466" s="17"/>
      <c r="E8466" s="7"/>
    </row>
    <row r="8467" spans="3:5">
      <c r="C8467" s="17"/>
      <c r="D8467" s="17"/>
      <c r="E8467" s="7"/>
    </row>
    <row r="8468" spans="3:5">
      <c r="C8468" s="17"/>
      <c r="D8468" s="17"/>
      <c r="E8468" s="7"/>
    </row>
    <row r="8469" spans="3:5">
      <c r="C8469" s="17"/>
      <c r="D8469" s="17"/>
      <c r="E8469" s="7"/>
    </row>
    <row r="8470" spans="3:5">
      <c r="C8470" s="17"/>
      <c r="D8470" s="17"/>
      <c r="E8470" s="7"/>
    </row>
    <row r="8471" spans="3:5">
      <c r="C8471" s="17"/>
      <c r="D8471" s="17"/>
      <c r="E8471" s="7"/>
    </row>
    <row r="8472" spans="3:5">
      <c r="C8472" s="17"/>
      <c r="D8472" s="17"/>
      <c r="E8472" s="7"/>
    </row>
    <row r="8473" spans="3:5">
      <c r="C8473" s="17"/>
      <c r="D8473" s="17"/>
      <c r="E8473" s="7"/>
    </row>
    <row r="8474" spans="3:5">
      <c r="C8474" s="17"/>
      <c r="D8474" s="17"/>
      <c r="E8474" s="7"/>
    </row>
    <row r="8475" spans="3:5">
      <c r="C8475" s="17"/>
      <c r="D8475" s="17"/>
      <c r="E8475" s="7"/>
    </row>
    <row r="8476" spans="3:5">
      <c r="C8476" s="17"/>
      <c r="D8476" s="17"/>
      <c r="E8476" s="7"/>
    </row>
    <row r="8477" spans="3:5">
      <c r="C8477" s="17"/>
      <c r="D8477" s="17"/>
      <c r="E8477" s="7"/>
    </row>
    <row r="8478" spans="3:5">
      <c r="C8478" s="17"/>
      <c r="D8478" s="17"/>
      <c r="E8478" s="7"/>
    </row>
    <row r="8479" spans="3:5">
      <c r="C8479" s="17"/>
      <c r="D8479" s="17"/>
      <c r="E8479" s="7"/>
    </row>
    <row r="8480" spans="3:5">
      <c r="C8480" s="17"/>
      <c r="D8480" s="17"/>
      <c r="E8480" s="7"/>
    </row>
    <row r="8481" spans="3:5">
      <c r="C8481" s="17"/>
      <c r="D8481" s="17"/>
      <c r="E8481" s="7"/>
    </row>
    <row r="8482" spans="3:5">
      <c r="C8482" s="17"/>
      <c r="D8482" s="17"/>
      <c r="E8482" s="7"/>
    </row>
    <row r="8483" spans="3:5">
      <c r="C8483" s="17"/>
      <c r="D8483" s="17"/>
      <c r="E8483" s="7"/>
    </row>
    <row r="8484" spans="3:5">
      <c r="C8484" s="17"/>
      <c r="D8484" s="17"/>
      <c r="E8484" s="7"/>
    </row>
    <row r="8485" spans="3:5">
      <c r="C8485" s="17"/>
      <c r="D8485" s="17"/>
      <c r="E8485" s="7"/>
    </row>
    <row r="8486" spans="3:5">
      <c r="C8486" s="17"/>
      <c r="D8486" s="17"/>
      <c r="E8486" s="7"/>
    </row>
    <row r="8487" spans="3:5">
      <c r="C8487" s="17"/>
      <c r="D8487" s="17"/>
      <c r="E8487" s="7"/>
    </row>
    <row r="8488" spans="3:5">
      <c r="C8488" s="17"/>
      <c r="D8488" s="17"/>
      <c r="E8488" s="7"/>
    </row>
    <row r="8489" spans="3:5">
      <c r="C8489" s="17"/>
      <c r="D8489" s="17"/>
      <c r="E8489" s="7"/>
    </row>
    <row r="8490" spans="3:5">
      <c r="C8490" s="17"/>
      <c r="D8490" s="17"/>
      <c r="E8490" s="7"/>
    </row>
    <row r="8491" spans="3:5">
      <c r="C8491" s="17"/>
      <c r="D8491" s="17"/>
      <c r="E8491" s="7"/>
    </row>
    <row r="8492" spans="3:5">
      <c r="C8492" s="17"/>
      <c r="D8492" s="17"/>
      <c r="E8492" s="7"/>
    </row>
    <row r="8493" spans="3:5">
      <c r="C8493" s="17"/>
      <c r="D8493" s="17"/>
      <c r="E8493" s="7"/>
    </row>
    <row r="8494" spans="3:5">
      <c r="C8494" s="17"/>
      <c r="D8494" s="17"/>
      <c r="E8494" s="7"/>
    </row>
    <row r="8495" spans="3:5">
      <c r="C8495" s="17"/>
      <c r="D8495" s="17"/>
      <c r="E8495" s="7"/>
    </row>
    <row r="8496" spans="3:5">
      <c r="C8496" s="17"/>
      <c r="D8496" s="17"/>
      <c r="E8496" s="7"/>
    </row>
    <row r="8497" spans="3:5">
      <c r="C8497" s="17"/>
      <c r="D8497" s="17"/>
      <c r="E8497" s="7"/>
    </row>
    <row r="8498" spans="3:5">
      <c r="C8498" s="17"/>
      <c r="D8498" s="17"/>
      <c r="E8498" s="7"/>
    </row>
    <row r="8499" spans="3:5">
      <c r="C8499" s="17"/>
      <c r="D8499" s="17"/>
      <c r="E8499" s="7"/>
    </row>
    <row r="8500" spans="3:5">
      <c r="C8500" s="17"/>
      <c r="D8500" s="17"/>
      <c r="E8500" s="7"/>
    </row>
    <row r="8501" spans="3:5">
      <c r="C8501" s="17"/>
      <c r="D8501" s="17"/>
      <c r="E8501" s="7"/>
    </row>
    <row r="8502" spans="3:5">
      <c r="C8502" s="17"/>
      <c r="D8502" s="17"/>
      <c r="E8502" s="7"/>
    </row>
    <row r="8503" spans="3:5">
      <c r="C8503" s="17"/>
      <c r="D8503" s="17"/>
      <c r="E8503" s="7"/>
    </row>
    <row r="8504" spans="3:5">
      <c r="C8504" s="17"/>
      <c r="D8504" s="17"/>
      <c r="E8504" s="7"/>
    </row>
    <row r="8505" spans="3:5">
      <c r="C8505" s="17"/>
      <c r="D8505" s="17"/>
      <c r="E8505" s="7"/>
    </row>
    <row r="8506" spans="3:5">
      <c r="C8506" s="17"/>
      <c r="D8506" s="17"/>
      <c r="E8506" s="7"/>
    </row>
    <row r="8507" spans="3:5">
      <c r="C8507" s="17"/>
      <c r="D8507" s="17"/>
      <c r="E8507" s="7"/>
    </row>
    <row r="8508" spans="3:5">
      <c r="C8508" s="17"/>
      <c r="D8508" s="17"/>
      <c r="E8508" s="7"/>
    </row>
    <row r="8509" spans="3:5">
      <c r="C8509" s="17"/>
      <c r="D8509" s="17"/>
      <c r="E8509" s="7"/>
    </row>
    <row r="8510" spans="3:5">
      <c r="C8510" s="17"/>
      <c r="D8510" s="17"/>
      <c r="E8510" s="7"/>
    </row>
    <row r="8511" spans="3:5">
      <c r="C8511" s="17"/>
      <c r="D8511" s="17"/>
      <c r="E8511" s="7"/>
    </row>
    <row r="8512" spans="3:5">
      <c r="C8512" s="17"/>
      <c r="D8512" s="17"/>
      <c r="E8512" s="7"/>
    </row>
    <row r="8513" spans="3:5">
      <c r="C8513" s="17"/>
      <c r="D8513" s="17"/>
      <c r="E8513" s="7"/>
    </row>
    <row r="8514" spans="3:5">
      <c r="C8514" s="17"/>
      <c r="D8514" s="17"/>
      <c r="E8514" s="7"/>
    </row>
    <row r="8515" spans="3:5">
      <c r="C8515" s="17"/>
      <c r="D8515" s="17"/>
      <c r="E8515" s="7"/>
    </row>
    <row r="8516" spans="3:5">
      <c r="C8516" s="17"/>
      <c r="D8516" s="17"/>
      <c r="E8516" s="7"/>
    </row>
    <row r="8517" spans="3:5">
      <c r="C8517" s="17"/>
      <c r="D8517" s="17"/>
      <c r="E8517" s="7"/>
    </row>
    <row r="8518" spans="3:5">
      <c r="C8518" s="17"/>
      <c r="D8518" s="17"/>
      <c r="E8518" s="7"/>
    </row>
    <row r="8519" spans="3:5">
      <c r="C8519" s="17"/>
      <c r="D8519" s="17"/>
      <c r="E8519" s="7"/>
    </row>
    <row r="8520" spans="3:5">
      <c r="C8520" s="17"/>
      <c r="D8520" s="17"/>
      <c r="E8520" s="7"/>
    </row>
    <row r="8521" spans="3:5">
      <c r="C8521" s="17"/>
      <c r="D8521" s="17"/>
      <c r="E8521" s="7"/>
    </row>
    <row r="8522" spans="3:5">
      <c r="C8522" s="17"/>
      <c r="D8522" s="17"/>
      <c r="E8522" s="7"/>
    </row>
    <row r="8523" spans="3:5">
      <c r="C8523" s="17"/>
      <c r="D8523" s="17"/>
      <c r="E8523" s="7"/>
    </row>
    <row r="8524" spans="3:5">
      <c r="C8524" s="17"/>
      <c r="D8524" s="17"/>
      <c r="E8524" s="7"/>
    </row>
    <row r="8525" spans="3:5">
      <c r="C8525" s="17"/>
      <c r="D8525" s="17"/>
      <c r="E8525" s="7"/>
    </row>
    <row r="8526" spans="3:5">
      <c r="C8526" s="17"/>
      <c r="D8526" s="17"/>
      <c r="E8526" s="7"/>
    </row>
    <row r="8527" spans="3:5">
      <c r="C8527" s="17"/>
      <c r="D8527" s="17"/>
      <c r="E8527" s="7"/>
    </row>
    <row r="8528" spans="3:5">
      <c r="C8528" s="17"/>
      <c r="D8528" s="17"/>
      <c r="E8528" s="7"/>
    </row>
    <row r="8529" spans="3:5">
      <c r="C8529" s="17"/>
      <c r="D8529" s="17"/>
      <c r="E8529" s="7"/>
    </row>
    <row r="8530" spans="3:5">
      <c r="C8530" s="17"/>
      <c r="D8530" s="17"/>
      <c r="E8530" s="7"/>
    </row>
    <row r="8531" spans="3:5">
      <c r="C8531" s="17"/>
      <c r="D8531" s="17"/>
      <c r="E8531" s="7"/>
    </row>
    <row r="8532" spans="3:5">
      <c r="C8532" s="17"/>
      <c r="D8532" s="17"/>
      <c r="E8532" s="7"/>
    </row>
    <row r="8533" spans="3:5">
      <c r="C8533" s="17"/>
      <c r="D8533" s="17"/>
      <c r="E8533" s="7"/>
    </row>
    <row r="8534" spans="3:5">
      <c r="C8534" s="17"/>
      <c r="D8534" s="17"/>
      <c r="E8534" s="7"/>
    </row>
    <row r="8535" spans="3:5">
      <c r="C8535" s="17"/>
      <c r="D8535" s="17"/>
      <c r="E8535" s="7"/>
    </row>
    <row r="8536" spans="3:5">
      <c r="C8536" s="17"/>
      <c r="D8536" s="17"/>
      <c r="E8536" s="7"/>
    </row>
    <row r="8537" spans="3:5">
      <c r="C8537" s="17"/>
      <c r="D8537" s="17"/>
      <c r="E8537" s="7"/>
    </row>
    <row r="8538" spans="3:5">
      <c r="C8538" s="17"/>
      <c r="D8538" s="17"/>
      <c r="E8538" s="7"/>
    </row>
    <row r="8539" spans="3:5">
      <c r="C8539" s="17"/>
      <c r="D8539" s="17"/>
      <c r="E8539" s="7"/>
    </row>
    <row r="8540" spans="3:5">
      <c r="C8540" s="17"/>
      <c r="D8540" s="17"/>
      <c r="E8540" s="7"/>
    </row>
    <row r="8541" spans="3:5">
      <c r="C8541" s="17"/>
      <c r="D8541" s="17"/>
      <c r="E8541" s="7"/>
    </row>
    <row r="8542" spans="3:5">
      <c r="C8542" s="17"/>
      <c r="D8542" s="17"/>
      <c r="E8542" s="7"/>
    </row>
    <row r="8543" spans="3:5">
      <c r="C8543" s="17"/>
      <c r="D8543" s="17"/>
      <c r="E8543" s="7"/>
    </row>
    <row r="8544" spans="3:5">
      <c r="C8544" s="17"/>
      <c r="D8544" s="17"/>
      <c r="E8544" s="7"/>
    </row>
    <row r="8545" spans="3:5">
      <c r="C8545" s="17"/>
      <c r="D8545" s="17"/>
      <c r="E8545" s="7"/>
    </row>
    <row r="8546" spans="3:5">
      <c r="C8546" s="17"/>
      <c r="D8546" s="17"/>
      <c r="E8546" s="7"/>
    </row>
    <row r="8547" spans="3:5">
      <c r="C8547" s="17"/>
      <c r="D8547" s="17"/>
      <c r="E8547" s="7"/>
    </row>
    <row r="8548" spans="3:5">
      <c r="C8548" s="17"/>
      <c r="D8548" s="17"/>
      <c r="E8548" s="7"/>
    </row>
    <row r="8549" spans="3:5">
      <c r="C8549" s="17"/>
      <c r="D8549" s="17"/>
      <c r="E8549" s="7"/>
    </row>
    <row r="8550" spans="3:5">
      <c r="C8550" s="17"/>
      <c r="D8550" s="17"/>
      <c r="E8550" s="7"/>
    </row>
    <row r="8551" spans="3:5">
      <c r="C8551" s="17"/>
      <c r="D8551" s="17"/>
      <c r="E8551" s="7"/>
    </row>
    <row r="8552" spans="3:5">
      <c r="C8552" s="17"/>
      <c r="D8552" s="17"/>
      <c r="E8552" s="7"/>
    </row>
    <row r="8553" spans="3:5">
      <c r="C8553" s="17"/>
      <c r="D8553" s="17"/>
      <c r="E8553" s="7"/>
    </row>
    <row r="8554" spans="3:5">
      <c r="C8554" s="17"/>
      <c r="D8554" s="17"/>
      <c r="E8554" s="7"/>
    </row>
    <row r="8555" spans="3:5">
      <c r="C8555" s="17"/>
      <c r="D8555" s="17"/>
      <c r="E8555" s="7"/>
    </row>
    <row r="8556" spans="3:5">
      <c r="C8556" s="17"/>
      <c r="D8556" s="17"/>
      <c r="E8556" s="7"/>
    </row>
    <row r="8557" spans="3:5">
      <c r="C8557" s="17"/>
      <c r="D8557" s="17"/>
      <c r="E8557" s="7"/>
    </row>
    <row r="8558" spans="3:5">
      <c r="C8558" s="17"/>
      <c r="D8558" s="17"/>
      <c r="E8558" s="7"/>
    </row>
    <row r="8559" spans="3:5">
      <c r="C8559" s="17"/>
      <c r="D8559" s="17"/>
      <c r="E8559" s="7"/>
    </row>
    <row r="8560" spans="3:5">
      <c r="C8560" s="17"/>
      <c r="D8560" s="17"/>
      <c r="E8560" s="7"/>
    </row>
    <row r="8561" spans="3:5">
      <c r="C8561" s="17"/>
      <c r="D8561" s="17"/>
      <c r="E8561" s="7"/>
    </row>
    <row r="8562" spans="3:5">
      <c r="C8562" s="17"/>
      <c r="D8562" s="17"/>
      <c r="E8562" s="7"/>
    </row>
    <row r="8563" spans="3:5">
      <c r="C8563" s="17"/>
      <c r="D8563" s="17"/>
      <c r="E8563" s="7"/>
    </row>
    <row r="8564" spans="3:5">
      <c r="C8564" s="17"/>
      <c r="D8564" s="17"/>
      <c r="E8564" s="7"/>
    </row>
    <row r="8565" spans="3:5">
      <c r="C8565" s="17"/>
      <c r="D8565" s="17"/>
      <c r="E8565" s="7"/>
    </row>
    <row r="8566" spans="3:5">
      <c r="C8566" s="17"/>
      <c r="D8566" s="17"/>
      <c r="E8566" s="7"/>
    </row>
    <row r="8567" spans="3:5">
      <c r="C8567" s="17"/>
      <c r="D8567" s="17"/>
      <c r="E8567" s="7"/>
    </row>
    <row r="8568" spans="3:5">
      <c r="C8568" s="17"/>
      <c r="D8568" s="17"/>
      <c r="E8568" s="7"/>
    </row>
    <row r="8569" spans="3:5">
      <c r="C8569" s="17"/>
      <c r="D8569" s="17"/>
      <c r="E8569" s="7"/>
    </row>
    <row r="8570" spans="3:5">
      <c r="C8570" s="17"/>
      <c r="D8570" s="17"/>
      <c r="E8570" s="7"/>
    </row>
    <row r="8571" spans="3:5">
      <c r="C8571" s="17"/>
      <c r="D8571" s="17"/>
      <c r="E8571" s="7"/>
    </row>
    <row r="8572" spans="3:5">
      <c r="C8572" s="17"/>
      <c r="D8572" s="17"/>
      <c r="E8572" s="7"/>
    </row>
    <row r="8573" spans="3:5">
      <c r="C8573" s="17"/>
      <c r="D8573" s="17"/>
      <c r="E8573" s="7"/>
    </row>
    <row r="8574" spans="3:5">
      <c r="C8574" s="17"/>
      <c r="D8574" s="17"/>
      <c r="E8574" s="7"/>
    </row>
    <row r="8575" spans="3:5">
      <c r="C8575" s="17"/>
      <c r="D8575" s="17"/>
      <c r="E8575" s="7"/>
    </row>
    <row r="8576" spans="3:5">
      <c r="C8576" s="17"/>
      <c r="D8576" s="17"/>
      <c r="E8576" s="7"/>
    </row>
    <row r="8577" spans="3:5">
      <c r="C8577" s="17"/>
      <c r="D8577" s="17"/>
      <c r="E8577" s="7"/>
    </row>
    <row r="8578" spans="3:5">
      <c r="C8578" s="17"/>
      <c r="D8578" s="17"/>
      <c r="E8578" s="7"/>
    </row>
    <row r="8579" spans="3:5">
      <c r="C8579" s="17"/>
      <c r="D8579" s="17"/>
      <c r="E8579" s="7"/>
    </row>
    <row r="8580" spans="3:5">
      <c r="C8580" s="17"/>
      <c r="D8580" s="17"/>
      <c r="E8580" s="7"/>
    </row>
    <row r="8581" spans="3:5">
      <c r="C8581" s="17"/>
      <c r="D8581" s="17"/>
      <c r="E8581" s="7"/>
    </row>
    <row r="8582" spans="3:5">
      <c r="C8582" s="17"/>
      <c r="D8582" s="17"/>
      <c r="E8582" s="7"/>
    </row>
    <row r="8583" spans="3:5">
      <c r="C8583" s="17"/>
      <c r="D8583" s="17"/>
      <c r="E8583" s="7"/>
    </row>
    <row r="8584" spans="3:5">
      <c r="C8584" s="17"/>
      <c r="D8584" s="17"/>
      <c r="E8584" s="7"/>
    </row>
    <row r="8585" spans="3:5">
      <c r="C8585" s="17"/>
      <c r="D8585" s="17"/>
      <c r="E8585" s="7"/>
    </row>
    <row r="8586" spans="3:5">
      <c r="C8586" s="17"/>
      <c r="D8586" s="17"/>
      <c r="E8586" s="7"/>
    </row>
    <row r="8587" spans="3:5">
      <c r="C8587" s="17"/>
      <c r="D8587" s="17"/>
      <c r="E8587" s="7"/>
    </row>
    <row r="8588" spans="3:5">
      <c r="C8588" s="17"/>
      <c r="D8588" s="17"/>
      <c r="E8588" s="7"/>
    </row>
    <row r="8589" spans="3:5">
      <c r="C8589" s="17"/>
      <c r="D8589" s="17"/>
      <c r="E8589" s="7"/>
    </row>
    <row r="8590" spans="3:5">
      <c r="C8590" s="17"/>
      <c r="D8590" s="17"/>
      <c r="E8590" s="7"/>
    </row>
    <row r="8591" spans="3:5">
      <c r="C8591" s="17"/>
      <c r="D8591" s="17"/>
      <c r="E8591" s="7"/>
    </row>
    <row r="8592" spans="3:5">
      <c r="C8592" s="17"/>
      <c r="D8592" s="17"/>
      <c r="E8592" s="7"/>
    </row>
    <row r="8593" spans="3:5">
      <c r="C8593" s="17"/>
      <c r="D8593" s="17"/>
      <c r="E8593" s="7"/>
    </row>
    <row r="8594" spans="3:5">
      <c r="C8594" s="17"/>
      <c r="D8594" s="17"/>
      <c r="E8594" s="7"/>
    </row>
    <row r="8595" spans="3:5">
      <c r="C8595" s="17"/>
      <c r="D8595" s="17"/>
      <c r="E8595" s="7"/>
    </row>
    <row r="8596" spans="3:5">
      <c r="C8596" s="17"/>
      <c r="D8596" s="17"/>
      <c r="E8596" s="7"/>
    </row>
    <row r="8597" spans="3:5">
      <c r="C8597" s="17"/>
      <c r="D8597" s="17"/>
      <c r="E8597" s="7"/>
    </row>
    <row r="8598" spans="3:5">
      <c r="C8598" s="17"/>
      <c r="D8598" s="17"/>
      <c r="E8598" s="7"/>
    </row>
    <row r="8599" spans="3:5">
      <c r="C8599" s="17"/>
      <c r="D8599" s="17"/>
      <c r="E8599" s="7"/>
    </row>
    <row r="8600" spans="3:5">
      <c r="C8600" s="17"/>
      <c r="D8600" s="17"/>
      <c r="E8600" s="7"/>
    </row>
    <row r="8601" spans="3:5">
      <c r="C8601" s="17"/>
      <c r="D8601" s="17"/>
      <c r="E8601" s="7"/>
    </row>
    <row r="8602" spans="3:5">
      <c r="C8602" s="17"/>
      <c r="D8602" s="17"/>
      <c r="E8602" s="7"/>
    </row>
    <row r="8603" spans="3:5">
      <c r="C8603" s="17"/>
      <c r="D8603" s="17"/>
      <c r="E8603" s="7"/>
    </row>
    <row r="8604" spans="3:5">
      <c r="C8604" s="17"/>
      <c r="D8604" s="17"/>
      <c r="E8604" s="7"/>
    </row>
    <row r="8605" spans="3:5">
      <c r="C8605" s="17"/>
      <c r="D8605" s="17"/>
      <c r="E8605" s="7"/>
    </row>
    <row r="8606" spans="3:5">
      <c r="C8606" s="17"/>
      <c r="D8606" s="17"/>
      <c r="E8606" s="7"/>
    </row>
    <row r="8607" spans="3:5">
      <c r="C8607" s="17"/>
      <c r="D8607" s="17"/>
      <c r="E8607" s="7"/>
    </row>
    <row r="8608" spans="3:5">
      <c r="C8608" s="17"/>
      <c r="D8608" s="17"/>
      <c r="E8608" s="7"/>
    </row>
    <row r="8609" spans="3:5">
      <c r="C8609" s="17"/>
      <c r="D8609" s="17"/>
      <c r="E8609" s="7"/>
    </row>
    <row r="8610" spans="3:5">
      <c r="C8610" s="17"/>
      <c r="D8610" s="17"/>
      <c r="E8610" s="7"/>
    </row>
    <row r="8611" spans="3:5">
      <c r="C8611" s="17"/>
      <c r="D8611" s="17"/>
      <c r="E8611" s="7"/>
    </row>
    <row r="8612" spans="3:5">
      <c r="C8612" s="17"/>
      <c r="D8612" s="17"/>
      <c r="E8612" s="7"/>
    </row>
    <row r="8613" spans="3:5">
      <c r="C8613" s="17"/>
      <c r="D8613" s="17"/>
      <c r="E8613" s="7"/>
    </row>
    <row r="8614" spans="3:5">
      <c r="C8614" s="17"/>
      <c r="D8614" s="17"/>
      <c r="E8614" s="7"/>
    </row>
    <row r="8615" spans="3:5">
      <c r="C8615" s="17"/>
      <c r="D8615" s="17"/>
      <c r="E8615" s="7"/>
    </row>
    <row r="8616" spans="3:5">
      <c r="C8616" s="17"/>
      <c r="D8616" s="17"/>
      <c r="E8616" s="7"/>
    </row>
    <row r="8617" spans="3:5">
      <c r="C8617" s="17"/>
      <c r="D8617" s="17"/>
      <c r="E8617" s="7"/>
    </row>
    <row r="8618" spans="3:5">
      <c r="C8618" s="17"/>
      <c r="D8618" s="17"/>
      <c r="E8618" s="7"/>
    </row>
    <row r="8619" spans="3:5">
      <c r="C8619" s="17"/>
      <c r="D8619" s="17"/>
      <c r="E8619" s="7"/>
    </row>
    <row r="8620" spans="3:5">
      <c r="C8620" s="17"/>
      <c r="D8620" s="17"/>
      <c r="E8620" s="7"/>
    </row>
    <row r="8621" spans="3:5">
      <c r="C8621" s="17"/>
      <c r="D8621" s="17"/>
      <c r="E8621" s="7"/>
    </row>
    <row r="8622" spans="3:5">
      <c r="C8622" s="17"/>
      <c r="D8622" s="17"/>
      <c r="E8622" s="7"/>
    </row>
    <row r="8623" spans="3:5">
      <c r="C8623" s="17"/>
      <c r="D8623" s="17"/>
      <c r="E8623" s="7"/>
    </row>
    <row r="8624" spans="3:5">
      <c r="C8624" s="17"/>
      <c r="D8624" s="17"/>
      <c r="E8624" s="7"/>
    </row>
    <row r="8625" spans="3:5">
      <c r="C8625" s="17"/>
      <c r="D8625" s="17"/>
      <c r="E8625" s="7"/>
    </row>
    <row r="8626" spans="3:5">
      <c r="C8626" s="17"/>
      <c r="D8626" s="17"/>
      <c r="E8626" s="7"/>
    </row>
    <row r="8627" spans="3:5">
      <c r="C8627" s="17"/>
      <c r="D8627" s="17"/>
      <c r="E8627" s="7"/>
    </row>
    <row r="8628" spans="3:5">
      <c r="C8628" s="17"/>
      <c r="D8628" s="17"/>
      <c r="E8628" s="7"/>
    </row>
    <row r="8629" spans="3:5">
      <c r="C8629" s="17"/>
      <c r="D8629" s="17"/>
      <c r="E8629" s="7"/>
    </row>
    <row r="8630" spans="3:5">
      <c r="C8630" s="17"/>
      <c r="D8630" s="17"/>
      <c r="E8630" s="7"/>
    </row>
    <row r="8631" spans="3:5">
      <c r="C8631" s="17"/>
      <c r="D8631" s="17"/>
      <c r="E8631" s="7"/>
    </row>
    <row r="8632" spans="3:5">
      <c r="C8632" s="17"/>
      <c r="D8632" s="17"/>
      <c r="E8632" s="7"/>
    </row>
    <row r="8633" spans="3:5">
      <c r="C8633" s="17"/>
      <c r="D8633" s="17"/>
      <c r="E8633" s="7"/>
    </row>
    <row r="8634" spans="3:5">
      <c r="C8634" s="17"/>
      <c r="D8634" s="17"/>
      <c r="E8634" s="7"/>
    </row>
    <row r="8635" spans="3:5">
      <c r="C8635" s="17"/>
      <c r="D8635" s="17"/>
      <c r="E8635" s="7"/>
    </row>
    <row r="8636" spans="3:5">
      <c r="C8636" s="17"/>
      <c r="D8636" s="17"/>
      <c r="E8636" s="7"/>
    </row>
    <row r="8637" spans="3:5">
      <c r="C8637" s="17"/>
      <c r="D8637" s="17"/>
      <c r="E8637" s="7"/>
    </row>
    <row r="8638" spans="3:5">
      <c r="C8638" s="17"/>
      <c r="D8638" s="17"/>
      <c r="E8638" s="7"/>
    </row>
    <row r="8639" spans="3:5">
      <c r="C8639" s="17"/>
      <c r="D8639" s="17"/>
      <c r="E8639" s="7"/>
    </row>
    <row r="8640" spans="3:5">
      <c r="C8640" s="17"/>
      <c r="D8640" s="17"/>
      <c r="E8640" s="7"/>
    </row>
    <row r="8641" spans="3:5">
      <c r="C8641" s="17"/>
      <c r="D8641" s="17"/>
      <c r="E8641" s="7"/>
    </row>
    <row r="8642" spans="3:5">
      <c r="C8642" s="17"/>
      <c r="D8642" s="17"/>
      <c r="E8642" s="7"/>
    </row>
    <row r="8643" spans="3:5">
      <c r="C8643" s="17"/>
      <c r="D8643" s="17"/>
      <c r="E8643" s="7"/>
    </row>
    <row r="8644" spans="3:5">
      <c r="C8644" s="17"/>
      <c r="D8644" s="17"/>
      <c r="E8644" s="7"/>
    </row>
    <row r="8645" spans="3:5">
      <c r="C8645" s="17"/>
      <c r="D8645" s="17"/>
      <c r="E8645" s="7"/>
    </row>
    <row r="8646" spans="3:5">
      <c r="C8646" s="17"/>
      <c r="D8646" s="17"/>
      <c r="E8646" s="7"/>
    </row>
    <row r="8647" spans="3:5">
      <c r="C8647" s="17"/>
      <c r="D8647" s="17"/>
      <c r="E8647" s="7"/>
    </row>
    <row r="8648" spans="3:5">
      <c r="C8648" s="17"/>
      <c r="D8648" s="17"/>
      <c r="E8648" s="7"/>
    </row>
    <row r="8649" spans="3:5">
      <c r="C8649" s="17"/>
      <c r="D8649" s="17"/>
      <c r="E8649" s="7"/>
    </row>
    <row r="8650" spans="3:5">
      <c r="C8650" s="17"/>
      <c r="D8650" s="17"/>
      <c r="E8650" s="7"/>
    </row>
    <row r="8651" spans="3:5">
      <c r="C8651" s="17"/>
      <c r="D8651" s="17"/>
      <c r="E8651" s="7"/>
    </row>
    <row r="8652" spans="3:5">
      <c r="C8652" s="17"/>
      <c r="D8652" s="17"/>
      <c r="E8652" s="7"/>
    </row>
    <row r="8653" spans="3:5">
      <c r="C8653" s="17"/>
      <c r="D8653" s="17"/>
      <c r="E8653" s="7"/>
    </row>
    <row r="8654" spans="3:5">
      <c r="C8654" s="17"/>
      <c r="D8654" s="17"/>
      <c r="E8654" s="7"/>
    </row>
    <row r="8655" spans="3:5">
      <c r="C8655" s="17"/>
      <c r="D8655" s="17"/>
      <c r="E8655" s="7"/>
    </row>
    <row r="8656" spans="3:5">
      <c r="C8656" s="17"/>
      <c r="D8656" s="17"/>
      <c r="E8656" s="7"/>
    </row>
    <row r="8657" spans="3:5">
      <c r="C8657" s="17"/>
      <c r="D8657" s="17"/>
      <c r="E8657" s="7"/>
    </row>
    <row r="8658" spans="3:5">
      <c r="C8658" s="17"/>
      <c r="D8658" s="17"/>
      <c r="E8658" s="7"/>
    </row>
    <row r="8659" spans="3:5">
      <c r="C8659" s="17"/>
      <c r="D8659" s="17"/>
      <c r="E8659" s="7"/>
    </row>
    <row r="8660" spans="3:5">
      <c r="C8660" s="17"/>
      <c r="D8660" s="17"/>
      <c r="E8660" s="7"/>
    </row>
    <row r="8661" spans="3:5">
      <c r="C8661" s="17"/>
      <c r="D8661" s="17"/>
      <c r="E8661" s="7"/>
    </row>
    <row r="8662" spans="3:5">
      <c r="C8662" s="17"/>
      <c r="D8662" s="17"/>
      <c r="E8662" s="7"/>
    </row>
    <row r="8663" spans="3:5">
      <c r="C8663" s="17"/>
      <c r="D8663" s="17"/>
      <c r="E8663" s="7"/>
    </row>
    <row r="8664" spans="3:5">
      <c r="C8664" s="17"/>
      <c r="D8664" s="17"/>
      <c r="E8664" s="7"/>
    </row>
    <row r="8665" spans="3:5">
      <c r="C8665" s="17"/>
      <c r="D8665" s="17"/>
      <c r="E8665" s="7"/>
    </row>
    <row r="8666" spans="3:5">
      <c r="C8666" s="17"/>
      <c r="D8666" s="17"/>
      <c r="E8666" s="7"/>
    </row>
    <row r="8667" spans="3:5">
      <c r="C8667" s="17"/>
      <c r="D8667" s="17"/>
      <c r="E8667" s="7"/>
    </row>
    <row r="8668" spans="3:5">
      <c r="C8668" s="17"/>
      <c r="D8668" s="17"/>
      <c r="E8668" s="7"/>
    </row>
    <row r="8669" spans="3:5">
      <c r="C8669" s="17"/>
      <c r="D8669" s="17"/>
      <c r="E8669" s="7"/>
    </row>
    <row r="8670" spans="3:5">
      <c r="C8670" s="17"/>
      <c r="D8670" s="17"/>
      <c r="E8670" s="7"/>
    </row>
    <row r="8671" spans="3:5">
      <c r="C8671" s="17"/>
      <c r="D8671" s="17"/>
      <c r="E8671" s="7"/>
    </row>
    <row r="8672" spans="3:5">
      <c r="C8672" s="17"/>
      <c r="D8672" s="17"/>
      <c r="E8672" s="7"/>
    </row>
    <row r="8673" spans="3:5">
      <c r="C8673" s="17"/>
      <c r="D8673" s="17"/>
      <c r="E8673" s="7"/>
    </row>
    <row r="8674" spans="3:5">
      <c r="C8674" s="17"/>
      <c r="D8674" s="17"/>
      <c r="E8674" s="7"/>
    </row>
    <row r="8675" spans="3:5">
      <c r="C8675" s="17"/>
      <c r="D8675" s="17"/>
      <c r="E8675" s="7"/>
    </row>
    <row r="8676" spans="3:5">
      <c r="C8676" s="17"/>
      <c r="D8676" s="17"/>
      <c r="E8676" s="7"/>
    </row>
    <row r="8677" spans="3:5">
      <c r="C8677" s="17"/>
      <c r="D8677" s="17"/>
      <c r="E8677" s="7"/>
    </row>
    <row r="8678" spans="3:5">
      <c r="C8678" s="17"/>
      <c r="D8678" s="17"/>
      <c r="E8678" s="7"/>
    </row>
    <row r="8679" spans="3:5">
      <c r="C8679" s="17"/>
      <c r="D8679" s="17"/>
      <c r="E8679" s="7"/>
    </row>
    <row r="8680" spans="3:5">
      <c r="C8680" s="17"/>
      <c r="D8680" s="17"/>
      <c r="E8680" s="7"/>
    </row>
    <row r="8681" spans="3:5">
      <c r="C8681" s="17"/>
      <c r="D8681" s="17"/>
      <c r="E8681" s="7"/>
    </row>
    <row r="8682" spans="3:5">
      <c r="C8682" s="17"/>
      <c r="D8682" s="17"/>
      <c r="E8682" s="7"/>
    </row>
    <row r="8683" spans="3:5">
      <c r="C8683" s="17"/>
      <c r="D8683" s="17"/>
      <c r="E8683" s="7"/>
    </row>
    <row r="8684" spans="3:5">
      <c r="C8684" s="17"/>
      <c r="D8684" s="17"/>
      <c r="E8684" s="7"/>
    </row>
    <row r="8685" spans="3:5">
      <c r="C8685" s="17"/>
      <c r="D8685" s="17"/>
      <c r="E8685" s="7"/>
    </row>
    <row r="8686" spans="3:5">
      <c r="C8686" s="17"/>
      <c r="D8686" s="17"/>
      <c r="E8686" s="7"/>
    </row>
    <row r="8687" spans="3:5">
      <c r="C8687" s="17"/>
      <c r="D8687" s="17"/>
      <c r="E8687" s="7"/>
    </row>
    <row r="8688" spans="3:5">
      <c r="C8688" s="17"/>
      <c r="D8688" s="17"/>
      <c r="E8688" s="7"/>
    </row>
    <row r="8689" spans="3:5">
      <c r="C8689" s="17"/>
      <c r="D8689" s="17"/>
      <c r="E8689" s="7"/>
    </row>
    <row r="8690" spans="3:5">
      <c r="C8690" s="17"/>
      <c r="D8690" s="17"/>
      <c r="E8690" s="7"/>
    </row>
    <row r="8691" spans="3:5">
      <c r="C8691" s="17"/>
      <c r="D8691" s="17"/>
      <c r="E8691" s="7"/>
    </row>
    <row r="8692" spans="3:5">
      <c r="C8692" s="17"/>
      <c r="D8692" s="17"/>
      <c r="E8692" s="7"/>
    </row>
    <row r="8693" spans="3:5">
      <c r="C8693" s="17"/>
      <c r="D8693" s="17"/>
      <c r="E8693" s="7"/>
    </row>
    <row r="8694" spans="3:5">
      <c r="C8694" s="17"/>
      <c r="D8694" s="17"/>
      <c r="E8694" s="7"/>
    </row>
    <row r="8695" spans="3:5">
      <c r="C8695" s="17"/>
      <c r="D8695" s="17"/>
      <c r="E8695" s="7"/>
    </row>
    <row r="8696" spans="3:5">
      <c r="C8696" s="17"/>
      <c r="D8696" s="17"/>
      <c r="E8696" s="7"/>
    </row>
    <row r="8697" spans="3:5">
      <c r="C8697" s="17"/>
      <c r="D8697" s="17"/>
      <c r="E8697" s="7"/>
    </row>
    <row r="8698" spans="3:5">
      <c r="C8698" s="17"/>
      <c r="D8698" s="17"/>
      <c r="E8698" s="7"/>
    </row>
    <row r="8699" spans="3:5">
      <c r="C8699" s="17"/>
      <c r="D8699" s="17"/>
      <c r="E8699" s="7"/>
    </row>
    <row r="8700" spans="3:5">
      <c r="C8700" s="17"/>
      <c r="D8700" s="17"/>
      <c r="E8700" s="7"/>
    </row>
    <row r="8701" spans="3:5">
      <c r="C8701" s="17"/>
      <c r="D8701" s="17"/>
      <c r="E8701" s="7"/>
    </row>
    <row r="8702" spans="3:5">
      <c r="C8702" s="17"/>
      <c r="D8702" s="17"/>
      <c r="E8702" s="7"/>
    </row>
    <row r="8703" spans="3:5">
      <c r="C8703" s="17"/>
      <c r="D8703" s="17"/>
      <c r="E8703" s="7"/>
    </row>
    <row r="8704" spans="3:5">
      <c r="C8704" s="17"/>
      <c r="D8704" s="17"/>
      <c r="E8704" s="7"/>
    </row>
    <row r="8705" spans="3:5">
      <c r="C8705" s="17"/>
      <c r="D8705" s="17"/>
      <c r="E8705" s="7"/>
    </row>
    <row r="8706" spans="3:5">
      <c r="C8706" s="17"/>
      <c r="D8706" s="17"/>
      <c r="E8706" s="7"/>
    </row>
    <row r="8707" spans="3:5">
      <c r="C8707" s="17"/>
      <c r="D8707" s="17"/>
      <c r="E8707" s="7"/>
    </row>
    <row r="8708" spans="3:5">
      <c r="C8708" s="17"/>
      <c r="D8708" s="17"/>
      <c r="E8708" s="7"/>
    </row>
    <row r="8709" spans="3:5">
      <c r="C8709" s="17"/>
      <c r="D8709" s="17"/>
      <c r="E8709" s="7"/>
    </row>
    <row r="8710" spans="3:5">
      <c r="C8710" s="17"/>
      <c r="D8710" s="17"/>
      <c r="E8710" s="7"/>
    </row>
    <row r="8711" spans="3:5">
      <c r="C8711" s="17"/>
      <c r="D8711" s="17"/>
      <c r="E8711" s="7"/>
    </row>
    <row r="8712" spans="3:5">
      <c r="C8712" s="17"/>
      <c r="D8712" s="17"/>
      <c r="E8712" s="7"/>
    </row>
    <row r="8713" spans="3:5">
      <c r="C8713" s="17"/>
      <c r="D8713" s="17"/>
      <c r="E8713" s="7"/>
    </row>
    <row r="8714" spans="3:5">
      <c r="C8714" s="17"/>
      <c r="D8714" s="17"/>
      <c r="E8714" s="7"/>
    </row>
    <row r="8715" spans="3:5">
      <c r="C8715" s="17"/>
      <c r="D8715" s="17"/>
      <c r="E8715" s="7"/>
    </row>
    <row r="8716" spans="3:5">
      <c r="C8716" s="17"/>
      <c r="D8716" s="17"/>
      <c r="E8716" s="7"/>
    </row>
    <row r="8717" spans="3:5">
      <c r="C8717" s="17"/>
      <c r="D8717" s="17"/>
      <c r="E8717" s="7"/>
    </row>
    <row r="8718" spans="3:5">
      <c r="C8718" s="17"/>
      <c r="D8718" s="17"/>
      <c r="E8718" s="7"/>
    </row>
    <row r="8719" spans="3:5">
      <c r="C8719" s="17"/>
      <c r="D8719" s="17"/>
      <c r="E8719" s="7"/>
    </row>
    <row r="8720" spans="3:5">
      <c r="C8720" s="17"/>
      <c r="D8720" s="17"/>
      <c r="E8720" s="7"/>
    </row>
    <row r="8721" spans="3:5">
      <c r="C8721" s="17"/>
      <c r="D8721" s="17"/>
      <c r="E8721" s="7"/>
    </row>
    <row r="8722" spans="3:5">
      <c r="C8722" s="17"/>
      <c r="D8722" s="17"/>
      <c r="E8722" s="7"/>
    </row>
    <row r="8723" spans="3:5">
      <c r="C8723" s="17"/>
      <c r="D8723" s="17"/>
      <c r="E8723" s="7"/>
    </row>
    <row r="8724" spans="3:5">
      <c r="C8724" s="17"/>
      <c r="D8724" s="17"/>
      <c r="E8724" s="7"/>
    </row>
    <row r="8725" spans="3:5">
      <c r="C8725" s="17"/>
      <c r="D8725" s="17"/>
      <c r="E8725" s="7"/>
    </row>
    <row r="8726" spans="3:5">
      <c r="C8726" s="17"/>
      <c r="D8726" s="17"/>
      <c r="E8726" s="7"/>
    </row>
    <row r="8727" spans="3:5">
      <c r="C8727" s="17"/>
      <c r="D8727" s="17"/>
      <c r="E8727" s="7"/>
    </row>
    <row r="8728" spans="3:5">
      <c r="C8728" s="17"/>
      <c r="D8728" s="17"/>
      <c r="E8728" s="7"/>
    </row>
    <row r="8729" spans="3:5">
      <c r="C8729" s="17"/>
      <c r="D8729" s="17"/>
      <c r="E8729" s="7"/>
    </row>
    <row r="8730" spans="3:5">
      <c r="C8730" s="17"/>
      <c r="D8730" s="17"/>
      <c r="E8730" s="7"/>
    </row>
    <row r="8731" spans="3:5">
      <c r="C8731" s="17"/>
      <c r="D8731" s="17"/>
      <c r="E8731" s="7"/>
    </row>
    <row r="8732" spans="3:5">
      <c r="C8732" s="17"/>
      <c r="D8732" s="17"/>
      <c r="E8732" s="7"/>
    </row>
    <row r="8733" spans="3:5">
      <c r="C8733" s="17"/>
      <c r="D8733" s="17"/>
      <c r="E8733" s="7"/>
    </row>
    <row r="8734" spans="3:5">
      <c r="C8734" s="17"/>
      <c r="D8734" s="17"/>
      <c r="E8734" s="7"/>
    </row>
    <row r="8735" spans="3:5">
      <c r="C8735" s="17"/>
      <c r="D8735" s="17"/>
      <c r="E8735" s="7"/>
    </row>
    <row r="8736" spans="3:5">
      <c r="C8736" s="17"/>
      <c r="D8736" s="17"/>
      <c r="E8736" s="7"/>
    </row>
    <row r="8737" spans="3:5">
      <c r="C8737" s="17"/>
      <c r="D8737" s="17"/>
      <c r="E8737" s="7"/>
    </row>
    <row r="8738" spans="3:5">
      <c r="C8738" s="17"/>
      <c r="D8738" s="17"/>
      <c r="E8738" s="7"/>
    </row>
    <row r="8739" spans="3:5">
      <c r="C8739" s="17"/>
      <c r="D8739" s="17"/>
      <c r="E8739" s="7"/>
    </row>
    <row r="8740" spans="3:5">
      <c r="C8740" s="17"/>
      <c r="D8740" s="17"/>
      <c r="E8740" s="7"/>
    </row>
    <row r="8741" spans="3:5">
      <c r="C8741" s="17"/>
      <c r="D8741" s="17"/>
      <c r="E8741" s="7"/>
    </row>
    <row r="8742" spans="3:5">
      <c r="C8742" s="17"/>
      <c r="D8742" s="17"/>
      <c r="E8742" s="7"/>
    </row>
    <row r="8743" spans="3:5">
      <c r="C8743" s="17"/>
      <c r="D8743" s="17"/>
      <c r="E8743" s="7"/>
    </row>
    <row r="8744" spans="3:5">
      <c r="C8744" s="17"/>
      <c r="D8744" s="17"/>
      <c r="E8744" s="7"/>
    </row>
    <row r="8745" spans="3:5">
      <c r="C8745" s="17"/>
      <c r="D8745" s="17"/>
      <c r="E8745" s="7"/>
    </row>
    <row r="8746" spans="3:5">
      <c r="C8746" s="17"/>
      <c r="D8746" s="17"/>
      <c r="E8746" s="7"/>
    </row>
    <row r="8747" spans="3:5">
      <c r="C8747" s="17"/>
      <c r="D8747" s="17"/>
      <c r="E8747" s="7"/>
    </row>
    <row r="8748" spans="3:5">
      <c r="C8748" s="17"/>
      <c r="D8748" s="17"/>
      <c r="E8748" s="7"/>
    </row>
    <row r="8749" spans="3:5">
      <c r="C8749" s="17"/>
      <c r="D8749" s="17"/>
      <c r="E8749" s="7"/>
    </row>
    <row r="8750" spans="3:5">
      <c r="C8750" s="17"/>
      <c r="D8750" s="17"/>
      <c r="E8750" s="7"/>
    </row>
    <row r="8751" spans="3:5">
      <c r="C8751" s="17"/>
      <c r="D8751" s="17"/>
      <c r="E8751" s="7"/>
    </row>
    <row r="8752" spans="3:5">
      <c r="C8752" s="17"/>
      <c r="D8752" s="17"/>
      <c r="E8752" s="7"/>
    </row>
    <row r="8753" spans="3:5">
      <c r="C8753" s="17"/>
      <c r="D8753" s="17"/>
      <c r="E8753" s="7"/>
    </row>
    <row r="8754" spans="3:5">
      <c r="C8754" s="17"/>
      <c r="D8754" s="17"/>
      <c r="E8754" s="7"/>
    </row>
    <row r="8755" spans="3:5">
      <c r="C8755" s="17"/>
      <c r="D8755" s="17"/>
      <c r="E8755" s="7"/>
    </row>
    <row r="8756" spans="3:5">
      <c r="C8756" s="17"/>
      <c r="D8756" s="17"/>
      <c r="E8756" s="7"/>
    </row>
    <row r="8757" spans="3:5">
      <c r="C8757" s="17"/>
      <c r="D8757" s="17"/>
      <c r="E8757" s="7"/>
    </row>
    <row r="8758" spans="3:5">
      <c r="C8758" s="17"/>
      <c r="D8758" s="17"/>
      <c r="E8758" s="7"/>
    </row>
    <row r="8759" spans="3:5">
      <c r="C8759" s="17"/>
      <c r="D8759" s="17"/>
      <c r="E8759" s="7"/>
    </row>
    <row r="8760" spans="3:5">
      <c r="C8760" s="17"/>
      <c r="D8760" s="17"/>
      <c r="E8760" s="7"/>
    </row>
    <row r="8761" spans="3:5">
      <c r="C8761" s="17"/>
      <c r="D8761" s="17"/>
      <c r="E8761" s="7"/>
    </row>
    <row r="8762" spans="3:5">
      <c r="C8762" s="17"/>
      <c r="D8762" s="17"/>
      <c r="E8762" s="7"/>
    </row>
    <row r="8763" spans="3:5">
      <c r="C8763" s="17"/>
      <c r="D8763" s="17"/>
      <c r="E8763" s="7"/>
    </row>
    <row r="8764" spans="3:5">
      <c r="C8764" s="17"/>
      <c r="D8764" s="17"/>
      <c r="E8764" s="7"/>
    </row>
    <row r="8765" spans="3:5">
      <c r="C8765" s="17"/>
      <c r="D8765" s="17"/>
      <c r="E8765" s="7"/>
    </row>
    <row r="8766" spans="3:5">
      <c r="C8766" s="17"/>
      <c r="D8766" s="17"/>
      <c r="E8766" s="7"/>
    </row>
    <row r="8767" spans="3:5">
      <c r="C8767" s="17"/>
      <c r="D8767" s="17"/>
      <c r="E8767" s="7"/>
    </row>
    <row r="8768" spans="3:5">
      <c r="C8768" s="17"/>
      <c r="D8768" s="17"/>
      <c r="E8768" s="7"/>
    </row>
    <row r="8769" spans="3:5">
      <c r="C8769" s="17"/>
      <c r="D8769" s="17"/>
      <c r="E8769" s="7"/>
    </row>
    <row r="8770" spans="3:5">
      <c r="C8770" s="17"/>
      <c r="D8770" s="17"/>
      <c r="E8770" s="7"/>
    </row>
    <row r="8771" spans="3:5">
      <c r="C8771" s="17"/>
      <c r="D8771" s="17"/>
      <c r="E8771" s="7"/>
    </row>
    <row r="8772" spans="3:5">
      <c r="C8772" s="17"/>
      <c r="D8772" s="17"/>
      <c r="E8772" s="7"/>
    </row>
    <row r="8773" spans="3:5">
      <c r="C8773" s="17"/>
      <c r="D8773" s="17"/>
      <c r="E8773" s="7"/>
    </row>
    <row r="8774" spans="3:5">
      <c r="C8774" s="17"/>
      <c r="D8774" s="17"/>
      <c r="E8774" s="7"/>
    </row>
    <row r="8775" spans="3:5">
      <c r="C8775" s="17"/>
      <c r="D8775" s="17"/>
      <c r="E8775" s="7"/>
    </row>
    <row r="8776" spans="3:5">
      <c r="C8776" s="17"/>
      <c r="D8776" s="17"/>
      <c r="E8776" s="7"/>
    </row>
    <row r="8777" spans="3:5">
      <c r="C8777" s="17"/>
      <c r="D8777" s="17"/>
      <c r="E8777" s="7"/>
    </row>
    <row r="8778" spans="3:5">
      <c r="C8778" s="17"/>
      <c r="D8778" s="17"/>
      <c r="E8778" s="7"/>
    </row>
    <row r="8779" spans="3:5">
      <c r="C8779" s="17"/>
      <c r="D8779" s="17"/>
      <c r="E8779" s="7"/>
    </row>
    <row r="8780" spans="3:5">
      <c r="C8780" s="17"/>
      <c r="D8780" s="17"/>
      <c r="E8780" s="7"/>
    </row>
    <row r="8781" spans="3:5">
      <c r="C8781" s="17"/>
      <c r="D8781" s="17"/>
      <c r="E8781" s="7"/>
    </row>
    <row r="8782" spans="3:5">
      <c r="C8782" s="17"/>
      <c r="D8782" s="17"/>
      <c r="E8782" s="7"/>
    </row>
    <row r="8783" spans="3:5">
      <c r="C8783" s="17"/>
      <c r="D8783" s="17"/>
      <c r="E8783" s="7"/>
    </row>
    <row r="8784" spans="3:5">
      <c r="C8784" s="17"/>
      <c r="D8784" s="17"/>
      <c r="E8784" s="7"/>
    </row>
    <row r="8785" spans="3:5">
      <c r="C8785" s="17"/>
      <c r="D8785" s="17"/>
      <c r="E8785" s="7"/>
    </row>
    <row r="8786" spans="3:5">
      <c r="C8786" s="17"/>
      <c r="D8786" s="17"/>
      <c r="E8786" s="7"/>
    </row>
    <row r="8787" spans="3:5">
      <c r="C8787" s="17"/>
      <c r="D8787" s="17"/>
      <c r="E8787" s="7"/>
    </row>
    <row r="8788" spans="3:5">
      <c r="C8788" s="17"/>
      <c r="D8788" s="17"/>
      <c r="E8788" s="7"/>
    </row>
    <row r="8789" spans="3:5">
      <c r="C8789" s="17"/>
      <c r="D8789" s="17"/>
      <c r="E8789" s="7"/>
    </row>
    <row r="8790" spans="3:5">
      <c r="C8790" s="17"/>
      <c r="D8790" s="17"/>
      <c r="E8790" s="7"/>
    </row>
    <row r="8791" spans="3:5">
      <c r="C8791" s="17"/>
      <c r="D8791" s="17"/>
      <c r="E8791" s="7"/>
    </row>
    <row r="8792" spans="3:5">
      <c r="C8792" s="17"/>
      <c r="D8792" s="17"/>
      <c r="E8792" s="7"/>
    </row>
    <row r="8793" spans="3:5">
      <c r="C8793" s="17"/>
      <c r="D8793" s="17"/>
      <c r="E8793" s="7"/>
    </row>
    <row r="8794" spans="3:5">
      <c r="C8794" s="17"/>
      <c r="D8794" s="17"/>
      <c r="E8794" s="7"/>
    </row>
    <row r="8795" spans="3:5">
      <c r="C8795" s="17"/>
      <c r="D8795" s="17"/>
      <c r="E8795" s="7"/>
    </row>
    <row r="8796" spans="3:5">
      <c r="C8796" s="17"/>
      <c r="D8796" s="17"/>
      <c r="E8796" s="7"/>
    </row>
    <row r="8797" spans="3:5">
      <c r="C8797" s="17"/>
      <c r="D8797" s="17"/>
      <c r="E8797" s="7"/>
    </row>
    <row r="8798" spans="3:5">
      <c r="C8798" s="17"/>
      <c r="D8798" s="17"/>
      <c r="E8798" s="7"/>
    </row>
    <row r="8799" spans="3:5">
      <c r="C8799" s="17"/>
      <c r="D8799" s="17"/>
      <c r="E8799" s="7"/>
    </row>
    <row r="8800" spans="3:5">
      <c r="C8800" s="17"/>
      <c r="D8800" s="17"/>
      <c r="E8800" s="7"/>
    </row>
    <row r="8801" spans="3:5">
      <c r="C8801" s="17"/>
      <c r="D8801" s="17"/>
      <c r="E8801" s="7"/>
    </row>
    <row r="8802" spans="3:5">
      <c r="C8802" s="17"/>
      <c r="D8802" s="17"/>
      <c r="E8802" s="7"/>
    </row>
    <row r="8803" spans="3:5">
      <c r="C8803" s="17"/>
      <c r="D8803" s="17"/>
      <c r="E8803" s="7"/>
    </row>
    <row r="8804" spans="3:5">
      <c r="C8804" s="17"/>
      <c r="D8804" s="17"/>
      <c r="E8804" s="7"/>
    </row>
    <row r="8805" spans="3:5">
      <c r="C8805" s="17"/>
      <c r="D8805" s="17"/>
      <c r="E8805" s="7"/>
    </row>
    <row r="8806" spans="3:5">
      <c r="C8806" s="17"/>
      <c r="D8806" s="17"/>
      <c r="E8806" s="7"/>
    </row>
    <row r="8807" spans="3:5">
      <c r="C8807" s="17"/>
      <c r="D8807" s="17"/>
      <c r="E8807" s="7"/>
    </row>
    <row r="8808" spans="3:5">
      <c r="C8808" s="17"/>
      <c r="D8808" s="17"/>
      <c r="E8808" s="7"/>
    </row>
    <row r="8809" spans="3:5">
      <c r="C8809" s="17"/>
      <c r="D8809" s="17"/>
      <c r="E8809" s="7"/>
    </row>
    <row r="8810" spans="3:5">
      <c r="C8810" s="17"/>
      <c r="D8810" s="17"/>
      <c r="E8810" s="7"/>
    </row>
    <row r="8811" spans="3:5">
      <c r="C8811" s="17"/>
      <c r="D8811" s="17"/>
      <c r="E8811" s="7"/>
    </row>
    <row r="8812" spans="3:5">
      <c r="C8812" s="17"/>
      <c r="D8812" s="17"/>
      <c r="E8812" s="7"/>
    </row>
    <row r="8813" spans="3:5">
      <c r="C8813" s="17"/>
      <c r="D8813" s="17"/>
      <c r="E8813" s="7"/>
    </row>
    <row r="8814" spans="3:5">
      <c r="C8814" s="17"/>
      <c r="D8814" s="17"/>
      <c r="E8814" s="7"/>
    </row>
    <row r="8815" spans="3:5">
      <c r="C8815" s="17"/>
      <c r="D8815" s="17"/>
      <c r="E8815" s="7"/>
    </row>
    <row r="8816" spans="3:5">
      <c r="C8816" s="17"/>
      <c r="D8816" s="17"/>
      <c r="E8816" s="7"/>
    </row>
    <row r="8817" spans="3:5">
      <c r="C8817" s="17"/>
      <c r="D8817" s="17"/>
      <c r="E8817" s="7"/>
    </row>
    <row r="8818" spans="3:5">
      <c r="C8818" s="17"/>
      <c r="D8818" s="17"/>
      <c r="E8818" s="7"/>
    </row>
    <row r="8819" spans="3:5">
      <c r="C8819" s="17"/>
      <c r="D8819" s="17"/>
      <c r="E8819" s="7"/>
    </row>
    <row r="8820" spans="3:5">
      <c r="C8820" s="17"/>
      <c r="D8820" s="17"/>
      <c r="E8820" s="7"/>
    </row>
    <row r="8821" spans="3:5">
      <c r="C8821" s="17"/>
      <c r="D8821" s="17"/>
      <c r="E8821" s="7"/>
    </row>
    <row r="8822" spans="3:5">
      <c r="C8822" s="17"/>
      <c r="D8822" s="17"/>
      <c r="E8822" s="7"/>
    </row>
    <row r="8823" spans="3:5">
      <c r="C8823" s="17"/>
      <c r="D8823" s="17"/>
      <c r="E8823" s="7"/>
    </row>
    <row r="8824" spans="3:5">
      <c r="C8824" s="17"/>
      <c r="D8824" s="17"/>
      <c r="E8824" s="7"/>
    </row>
    <row r="8825" spans="3:5">
      <c r="C8825" s="17"/>
      <c r="D8825" s="17"/>
      <c r="E8825" s="7"/>
    </row>
    <row r="8826" spans="3:5">
      <c r="C8826" s="17"/>
      <c r="D8826" s="17"/>
      <c r="E8826" s="7"/>
    </row>
    <row r="8827" spans="3:5">
      <c r="C8827" s="17"/>
      <c r="D8827" s="17"/>
      <c r="E8827" s="7"/>
    </row>
    <row r="8828" spans="3:5">
      <c r="C8828" s="17"/>
      <c r="D8828" s="17"/>
      <c r="E8828" s="7"/>
    </row>
    <row r="8829" spans="3:5">
      <c r="C8829" s="17"/>
      <c r="D8829" s="17"/>
      <c r="E8829" s="7"/>
    </row>
    <row r="8830" spans="3:5">
      <c r="C8830" s="17"/>
      <c r="D8830" s="17"/>
      <c r="E8830" s="7"/>
    </row>
    <row r="8831" spans="3:5">
      <c r="C8831" s="17"/>
      <c r="D8831" s="17"/>
      <c r="E8831" s="7"/>
    </row>
    <row r="8832" spans="3:5">
      <c r="C8832" s="17"/>
      <c r="D8832" s="17"/>
      <c r="E8832" s="7"/>
    </row>
    <row r="8833" spans="3:5">
      <c r="C8833" s="17"/>
      <c r="D8833" s="17"/>
      <c r="E8833" s="7"/>
    </row>
    <row r="8834" spans="3:5">
      <c r="C8834" s="17"/>
      <c r="D8834" s="17"/>
      <c r="E8834" s="7"/>
    </row>
    <row r="8835" spans="3:5">
      <c r="C8835" s="17"/>
      <c r="D8835" s="17"/>
      <c r="E8835" s="7"/>
    </row>
    <row r="8836" spans="3:5">
      <c r="C8836" s="17"/>
      <c r="D8836" s="17"/>
      <c r="E8836" s="7"/>
    </row>
    <row r="8837" spans="3:5">
      <c r="C8837" s="17"/>
      <c r="D8837" s="17"/>
      <c r="E8837" s="7"/>
    </row>
    <row r="8838" spans="3:5">
      <c r="C8838" s="17"/>
      <c r="D8838" s="17"/>
      <c r="E8838" s="7"/>
    </row>
    <row r="8839" spans="3:5">
      <c r="C8839" s="17"/>
      <c r="D8839" s="17"/>
      <c r="E8839" s="7"/>
    </row>
    <row r="8840" spans="3:5">
      <c r="C8840" s="17"/>
      <c r="D8840" s="17"/>
      <c r="E8840" s="7"/>
    </row>
    <row r="8841" spans="3:5">
      <c r="C8841" s="17"/>
      <c r="D8841" s="17"/>
      <c r="E8841" s="7"/>
    </row>
    <row r="8842" spans="3:5">
      <c r="C8842" s="17"/>
      <c r="D8842" s="17"/>
      <c r="E8842" s="7"/>
    </row>
    <row r="8843" spans="3:5">
      <c r="C8843" s="17"/>
      <c r="D8843" s="17"/>
      <c r="E8843" s="7"/>
    </row>
    <row r="8844" spans="3:5">
      <c r="C8844" s="17"/>
      <c r="D8844" s="17"/>
      <c r="E8844" s="7"/>
    </row>
    <row r="8845" spans="3:5">
      <c r="C8845" s="17"/>
      <c r="D8845" s="17"/>
      <c r="E8845" s="7"/>
    </row>
    <row r="8846" spans="3:5">
      <c r="C8846" s="17"/>
      <c r="D8846" s="17"/>
      <c r="E8846" s="7"/>
    </row>
    <row r="8847" spans="3:5">
      <c r="C8847" s="17"/>
      <c r="D8847" s="17"/>
      <c r="E8847" s="7"/>
    </row>
    <row r="8848" spans="3:5">
      <c r="C8848" s="17"/>
      <c r="D8848" s="17"/>
      <c r="E8848" s="7"/>
    </row>
    <row r="8849" spans="3:5">
      <c r="C8849" s="17"/>
      <c r="D8849" s="17"/>
      <c r="E8849" s="7"/>
    </row>
    <row r="8850" spans="3:5">
      <c r="C8850" s="17"/>
      <c r="D8850" s="17"/>
      <c r="E8850" s="7"/>
    </row>
    <row r="8851" spans="3:5">
      <c r="C8851" s="17"/>
      <c r="D8851" s="17"/>
      <c r="E8851" s="7"/>
    </row>
    <row r="8852" spans="3:5">
      <c r="C8852" s="17"/>
      <c r="D8852" s="17"/>
      <c r="E8852" s="7"/>
    </row>
    <row r="8853" spans="3:5">
      <c r="C8853" s="17"/>
      <c r="D8853" s="17"/>
      <c r="E8853" s="7"/>
    </row>
    <row r="8854" spans="3:5">
      <c r="C8854" s="17"/>
      <c r="D8854" s="17"/>
      <c r="E8854" s="7"/>
    </row>
    <row r="8855" spans="3:5">
      <c r="C8855" s="17"/>
      <c r="D8855" s="17"/>
      <c r="E8855" s="7"/>
    </row>
    <row r="8856" spans="3:5">
      <c r="C8856" s="17"/>
      <c r="D8856" s="17"/>
      <c r="E8856" s="7"/>
    </row>
    <row r="8857" spans="3:5">
      <c r="C8857" s="17"/>
      <c r="D8857" s="17"/>
      <c r="E8857" s="7"/>
    </row>
    <row r="8858" spans="3:5">
      <c r="C8858" s="17"/>
      <c r="D8858" s="17"/>
      <c r="E8858" s="7"/>
    </row>
    <row r="8859" spans="3:5">
      <c r="C8859" s="17"/>
      <c r="D8859" s="17"/>
      <c r="E8859" s="7"/>
    </row>
    <row r="8860" spans="3:5">
      <c r="C8860" s="17"/>
      <c r="D8860" s="17"/>
      <c r="E8860" s="7"/>
    </row>
    <row r="8861" spans="3:5">
      <c r="C8861" s="17"/>
      <c r="D8861" s="17"/>
      <c r="E8861" s="7"/>
    </row>
    <row r="8862" spans="3:5">
      <c r="C8862" s="17"/>
      <c r="D8862" s="17"/>
      <c r="E8862" s="7"/>
    </row>
    <row r="8863" spans="3:5">
      <c r="C8863" s="17"/>
      <c r="D8863" s="17"/>
      <c r="E8863" s="7"/>
    </row>
    <row r="8864" spans="3:5">
      <c r="C8864" s="17"/>
      <c r="D8864" s="17"/>
      <c r="E8864" s="7"/>
    </row>
    <row r="8865" spans="3:5">
      <c r="C8865" s="17"/>
      <c r="D8865" s="17"/>
      <c r="E8865" s="7"/>
    </row>
    <row r="8866" spans="3:5">
      <c r="C8866" s="17"/>
      <c r="D8866" s="17"/>
      <c r="E8866" s="7"/>
    </row>
    <row r="8867" spans="3:5">
      <c r="C8867" s="17"/>
      <c r="D8867" s="17"/>
      <c r="E8867" s="7"/>
    </row>
    <row r="8868" spans="3:5">
      <c r="C8868" s="17"/>
      <c r="D8868" s="17"/>
      <c r="E8868" s="7"/>
    </row>
    <row r="8869" spans="3:5">
      <c r="C8869" s="17"/>
      <c r="D8869" s="17"/>
      <c r="E8869" s="7"/>
    </row>
    <row r="8870" spans="3:5">
      <c r="C8870" s="17"/>
      <c r="D8870" s="17"/>
      <c r="E8870" s="7"/>
    </row>
    <row r="8871" spans="3:5">
      <c r="C8871" s="17"/>
      <c r="D8871" s="17"/>
      <c r="E8871" s="7"/>
    </row>
    <row r="8872" spans="3:5">
      <c r="C8872" s="17"/>
      <c r="D8872" s="17"/>
      <c r="E8872" s="7"/>
    </row>
    <row r="8873" spans="3:5">
      <c r="C8873" s="17"/>
      <c r="D8873" s="17"/>
      <c r="E8873" s="7"/>
    </row>
    <row r="8874" spans="3:5">
      <c r="C8874" s="17"/>
      <c r="D8874" s="17"/>
      <c r="E8874" s="7"/>
    </row>
    <row r="8875" spans="3:5">
      <c r="C8875" s="17"/>
      <c r="D8875" s="17"/>
      <c r="E8875" s="7"/>
    </row>
    <row r="8876" spans="3:5">
      <c r="C8876" s="17"/>
      <c r="D8876" s="17"/>
      <c r="E8876" s="7"/>
    </row>
    <row r="8877" spans="3:5">
      <c r="C8877" s="17"/>
      <c r="D8877" s="17"/>
      <c r="E8877" s="7"/>
    </row>
    <row r="8878" spans="3:5">
      <c r="C8878" s="17"/>
      <c r="D8878" s="17"/>
      <c r="E8878" s="7"/>
    </row>
    <row r="8879" spans="3:5">
      <c r="C8879" s="17"/>
      <c r="D8879" s="17"/>
      <c r="E8879" s="7"/>
    </row>
    <row r="8880" spans="3:5">
      <c r="C8880" s="17"/>
      <c r="D8880" s="17"/>
      <c r="E8880" s="7"/>
    </row>
    <row r="8881" spans="3:5">
      <c r="C8881" s="17"/>
      <c r="D8881" s="17"/>
      <c r="E8881" s="7"/>
    </row>
    <row r="8882" spans="3:5">
      <c r="C8882" s="17"/>
      <c r="D8882" s="17"/>
      <c r="E8882" s="7"/>
    </row>
    <row r="8883" spans="3:5">
      <c r="C8883" s="17"/>
      <c r="D8883" s="17"/>
      <c r="E8883" s="7"/>
    </row>
    <row r="8884" spans="3:5">
      <c r="C8884" s="17"/>
      <c r="D8884" s="17"/>
      <c r="E8884" s="7"/>
    </row>
    <row r="8885" spans="3:5">
      <c r="C8885" s="17"/>
      <c r="D8885" s="17"/>
      <c r="E8885" s="7"/>
    </row>
    <row r="8886" spans="3:5">
      <c r="C8886" s="17"/>
      <c r="D8886" s="17"/>
      <c r="E8886" s="7"/>
    </row>
    <row r="8887" spans="3:5">
      <c r="C8887" s="17"/>
      <c r="D8887" s="17"/>
      <c r="E8887" s="7"/>
    </row>
    <row r="8888" spans="3:5">
      <c r="C8888" s="17"/>
      <c r="D8888" s="17"/>
      <c r="E8888" s="7"/>
    </row>
    <row r="8889" spans="3:5">
      <c r="C8889" s="17"/>
      <c r="D8889" s="17"/>
      <c r="E8889" s="7"/>
    </row>
    <row r="8890" spans="3:5">
      <c r="C8890" s="17"/>
      <c r="D8890" s="17"/>
      <c r="E8890" s="7"/>
    </row>
    <row r="8891" spans="3:5">
      <c r="C8891" s="17"/>
      <c r="D8891" s="17"/>
      <c r="E8891" s="7"/>
    </row>
    <row r="8892" spans="3:5">
      <c r="C8892" s="17"/>
      <c r="D8892" s="17"/>
      <c r="E8892" s="7"/>
    </row>
    <row r="8893" spans="3:5">
      <c r="C8893" s="17"/>
      <c r="D8893" s="17"/>
      <c r="E8893" s="7"/>
    </row>
    <row r="8894" spans="3:5">
      <c r="C8894" s="17"/>
      <c r="D8894" s="17"/>
      <c r="E8894" s="7"/>
    </row>
    <row r="8895" spans="3:5">
      <c r="C8895" s="17"/>
      <c r="D8895" s="17"/>
      <c r="E8895" s="7"/>
    </row>
    <row r="8896" spans="3:5">
      <c r="C8896" s="17"/>
      <c r="D8896" s="17"/>
      <c r="E8896" s="7"/>
    </row>
    <row r="8897" spans="3:5">
      <c r="C8897" s="17"/>
      <c r="D8897" s="17"/>
      <c r="E8897" s="7"/>
    </row>
    <row r="8898" spans="3:5">
      <c r="C8898" s="17"/>
      <c r="D8898" s="17"/>
      <c r="E8898" s="7"/>
    </row>
    <row r="8899" spans="3:5">
      <c r="C8899" s="17"/>
      <c r="D8899" s="17"/>
      <c r="E8899" s="7"/>
    </row>
    <row r="8900" spans="3:5">
      <c r="C8900" s="17"/>
      <c r="D8900" s="17"/>
      <c r="E8900" s="7"/>
    </row>
    <row r="8901" spans="3:5">
      <c r="C8901" s="17"/>
      <c r="D8901" s="17"/>
      <c r="E8901" s="7"/>
    </row>
    <row r="8902" spans="3:5">
      <c r="C8902" s="17"/>
      <c r="D8902" s="17"/>
      <c r="E8902" s="7"/>
    </row>
    <row r="8903" spans="3:5">
      <c r="C8903" s="17"/>
      <c r="D8903" s="17"/>
      <c r="E8903" s="7"/>
    </row>
    <row r="8904" spans="3:5">
      <c r="C8904" s="17"/>
      <c r="D8904" s="17"/>
      <c r="E8904" s="7"/>
    </row>
    <row r="8905" spans="3:5">
      <c r="C8905" s="17"/>
      <c r="D8905" s="17"/>
      <c r="E8905" s="7"/>
    </row>
    <row r="8906" spans="3:5">
      <c r="C8906" s="17"/>
      <c r="D8906" s="17"/>
      <c r="E8906" s="7"/>
    </row>
    <row r="8907" spans="3:5">
      <c r="C8907" s="17"/>
      <c r="D8907" s="17"/>
      <c r="E8907" s="7"/>
    </row>
    <row r="8908" spans="3:5">
      <c r="C8908" s="17"/>
      <c r="D8908" s="17"/>
      <c r="E8908" s="7"/>
    </row>
    <row r="8909" spans="3:5">
      <c r="C8909" s="17"/>
      <c r="D8909" s="17"/>
      <c r="E8909" s="7"/>
    </row>
    <row r="8910" spans="3:5">
      <c r="C8910" s="17"/>
      <c r="D8910" s="17"/>
      <c r="E8910" s="7"/>
    </row>
    <row r="8911" spans="3:5">
      <c r="C8911" s="17"/>
      <c r="D8911" s="17"/>
      <c r="E8911" s="7"/>
    </row>
    <row r="8912" spans="3:5">
      <c r="C8912" s="17"/>
      <c r="D8912" s="17"/>
      <c r="E8912" s="7"/>
    </row>
    <row r="8913" spans="3:5">
      <c r="C8913" s="17"/>
      <c r="D8913" s="17"/>
      <c r="E8913" s="7"/>
    </row>
    <row r="8914" spans="3:5">
      <c r="C8914" s="17"/>
      <c r="D8914" s="17"/>
      <c r="E8914" s="7"/>
    </row>
    <row r="8915" spans="3:5">
      <c r="C8915" s="17"/>
      <c r="D8915" s="17"/>
      <c r="E8915" s="7"/>
    </row>
    <row r="8916" spans="3:5">
      <c r="C8916" s="17"/>
      <c r="D8916" s="17"/>
      <c r="E8916" s="7"/>
    </row>
    <row r="8917" spans="3:5">
      <c r="C8917" s="17"/>
      <c r="D8917" s="17"/>
      <c r="E8917" s="7"/>
    </row>
    <row r="8918" spans="3:5">
      <c r="C8918" s="17"/>
      <c r="D8918" s="17"/>
      <c r="E8918" s="7"/>
    </row>
    <row r="8919" spans="3:5">
      <c r="C8919" s="17"/>
      <c r="D8919" s="17"/>
      <c r="E8919" s="7"/>
    </row>
    <row r="8920" spans="3:5">
      <c r="C8920" s="17"/>
      <c r="D8920" s="17"/>
      <c r="E8920" s="7"/>
    </row>
    <row r="8921" spans="3:5">
      <c r="C8921" s="17"/>
      <c r="D8921" s="17"/>
      <c r="E8921" s="7"/>
    </row>
    <row r="8922" spans="3:5">
      <c r="C8922" s="17"/>
      <c r="D8922" s="17"/>
      <c r="E8922" s="7"/>
    </row>
    <row r="8923" spans="3:5">
      <c r="C8923" s="17"/>
      <c r="D8923" s="17"/>
      <c r="E8923" s="7"/>
    </row>
    <row r="8924" spans="3:5">
      <c r="C8924" s="17"/>
      <c r="D8924" s="17"/>
      <c r="E8924" s="7"/>
    </row>
    <row r="8925" spans="3:5">
      <c r="C8925" s="17"/>
      <c r="D8925" s="17"/>
      <c r="E8925" s="7"/>
    </row>
    <row r="8926" spans="3:5">
      <c r="C8926" s="17"/>
      <c r="D8926" s="17"/>
      <c r="E8926" s="7"/>
    </row>
    <row r="8927" spans="3:5">
      <c r="C8927" s="17"/>
      <c r="D8927" s="17"/>
      <c r="E8927" s="7"/>
    </row>
    <row r="8928" spans="3:5">
      <c r="C8928" s="17"/>
      <c r="D8928" s="17"/>
      <c r="E8928" s="7"/>
    </row>
    <row r="8929" spans="3:5">
      <c r="C8929" s="17"/>
      <c r="D8929" s="17"/>
      <c r="E8929" s="7"/>
    </row>
    <row r="8930" spans="3:5">
      <c r="C8930" s="17"/>
      <c r="D8930" s="17"/>
      <c r="E8930" s="7"/>
    </row>
    <row r="8931" spans="3:5">
      <c r="C8931" s="17"/>
      <c r="D8931" s="17"/>
      <c r="E8931" s="7"/>
    </row>
    <row r="8932" spans="3:5">
      <c r="C8932" s="17"/>
      <c r="D8932" s="17"/>
      <c r="E8932" s="7"/>
    </row>
    <row r="8933" spans="3:5">
      <c r="C8933" s="17"/>
      <c r="D8933" s="17"/>
      <c r="E8933" s="7"/>
    </row>
    <row r="8934" spans="3:5">
      <c r="C8934" s="17"/>
      <c r="D8934" s="17"/>
      <c r="E8934" s="7"/>
    </row>
    <row r="8935" spans="3:5">
      <c r="C8935" s="17"/>
      <c r="D8935" s="17"/>
      <c r="E8935" s="7"/>
    </row>
    <row r="8936" spans="3:5">
      <c r="C8936" s="17"/>
      <c r="D8936" s="17"/>
      <c r="E8936" s="7"/>
    </row>
    <row r="8937" spans="3:5">
      <c r="C8937" s="17"/>
      <c r="D8937" s="17"/>
      <c r="E8937" s="7"/>
    </row>
    <row r="8938" spans="3:5">
      <c r="C8938" s="17"/>
      <c r="D8938" s="17"/>
      <c r="E8938" s="7"/>
    </row>
    <row r="8939" spans="3:5">
      <c r="C8939" s="17"/>
      <c r="D8939" s="17"/>
      <c r="E8939" s="7"/>
    </row>
    <row r="8940" spans="3:5">
      <c r="C8940" s="17"/>
      <c r="D8940" s="17"/>
      <c r="E8940" s="7"/>
    </row>
    <row r="8941" spans="3:5">
      <c r="C8941" s="17"/>
      <c r="D8941" s="17"/>
      <c r="E8941" s="7"/>
    </row>
    <row r="8942" spans="3:5">
      <c r="C8942" s="17"/>
      <c r="D8942" s="17"/>
      <c r="E8942" s="7"/>
    </row>
    <row r="8943" spans="3:5">
      <c r="C8943" s="17"/>
      <c r="D8943" s="17"/>
      <c r="E8943" s="7"/>
    </row>
    <row r="8944" spans="3:5">
      <c r="C8944" s="17"/>
      <c r="D8944" s="17"/>
      <c r="E8944" s="7"/>
    </row>
    <row r="8945" spans="3:5">
      <c r="C8945" s="17"/>
      <c r="D8945" s="17"/>
      <c r="E8945" s="7"/>
    </row>
    <row r="8946" spans="3:5">
      <c r="C8946" s="17"/>
      <c r="D8946" s="17"/>
      <c r="E8946" s="7"/>
    </row>
    <row r="8947" spans="3:5">
      <c r="C8947" s="17"/>
      <c r="D8947" s="17"/>
      <c r="E8947" s="7"/>
    </row>
    <row r="8948" spans="3:5">
      <c r="C8948" s="17"/>
      <c r="D8948" s="17"/>
      <c r="E8948" s="7"/>
    </row>
    <row r="8949" spans="3:5">
      <c r="C8949" s="17"/>
      <c r="D8949" s="17"/>
      <c r="E8949" s="7"/>
    </row>
    <row r="8950" spans="3:5">
      <c r="C8950" s="17"/>
      <c r="D8950" s="17"/>
      <c r="E8950" s="7"/>
    </row>
    <row r="8951" spans="3:5">
      <c r="C8951" s="17"/>
      <c r="D8951" s="17"/>
      <c r="E8951" s="7"/>
    </row>
    <row r="8952" spans="3:5">
      <c r="C8952" s="17"/>
      <c r="D8952" s="17"/>
      <c r="E8952" s="7"/>
    </row>
    <row r="8953" spans="3:5">
      <c r="C8953" s="17"/>
      <c r="D8953" s="17"/>
      <c r="E8953" s="7"/>
    </row>
    <row r="8954" spans="3:5">
      <c r="C8954" s="17"/>
      <c r="D8954" s="17"/>
      <c r="E8954" s="7"/>
    </row>
    <row r="8955" spans="3:5">
      <c r="C8955" s="17"/>
      <c r="D8955" s="17"/>
      <c r="E8955" s="7"/>
    </row>
    <row r="8956" spans="3:5">
      <c r="C8956" s="17"/>
      <c r="D8956" s="17"/>
      <c r="E8956" s="7"/>
    </row>
    <row r="8957" spans="3:5">
      <c r="C8957" s="17"/>
      <c r="D8957" s="17"/>
      <c r="E8957" s="7"/>
    </row>
    <row r="8958" spans="3:5">
      <c r="C8958" s="17"/>
      <c r="D8958" s="17"/>
      <c r="E8958" s="7"/>
    </row>
    <row r="8959" spans="3:5">
      <c r="C8959" s="17"/>
      <c r="D8959" s="17"/>
      <c r="E8959" s="7"/>
    </row>
    <row r="8960" spans="3:5">
      <c r="C8960" s="17"/>
      <c r="D8960" s="17"/>
      <c r="E8960" s="7"/>
    </row>
    <row r="8961" spans="3:5">
      <c r="C8961" s="17"/>
      <c r="D8961" s="17"/>
      <c r="E8961" s="7"/>
    </row>
    <row r="8962" spans="3:5">
      <c r="C8962" s="17"/>
      <c r="D8962" s="17"/>
      <c r="E8962" s="7"/>
    </row>
    <row r="8963" spans="3:5">
      <c r="C8963" s="17"/>
      <c r="D8963" s="17"/>
      <c r="E8963" s="7"/>
    </row>
    <row r="8964" spans="3:5">
      <c r="C8964" s="17"/>
      <c r="D8964" s="17"/>
      <c r="E8964" s="7"/>
    </row>
    <row r="8965" spans="3:5">
      <c r="C8965" s="17"/>
      <c r="D8965" s="17"/>
      <c r="E8965" s="7"/>
    </row>
    <row r="8966" spans="3:5">
      <c r="C8966" s="17"/>
      <c r="D8966" s="17"/>
      <c r="E8966" s="7"/>
    </row>
    <row r="8967" spans="3:5">
      <c r="C8967" s="17"/>
      <c r="D8967" s="17"/>
      <c r="E8967" s="7"/>
    </row>
    <row r="8968" spans="3:5">
      <c r="C8968" s="17"/>
      <c r="D8968" s="17"/>
      <c r="E8968" s="7"/>
    </row>
    <row r="8969" spans="3:5">
      <c r="C8969" s="17"/>
      <c r="D8969" s="17"/>
      <c r="E8969" s="7"/>
    </row>
    <row r="8970" spans="3:5">
      <c r="C8970" s="17"/>
      <c r="D8970" s="17"/>
      <c r="E8970" s="7"/>
    </row>
    <row r="8971" spans="3:5">
      <c r="C8971" s="17"/>
      <c r="D8971" s="17"/>
      <c r="E8971" s="7"/>
    </row>
    <row r="8972" spans="3:5">
      <c r="C8972" s="17"/>
      <c r="D8972" s="17"/>
      <c r="E8972" s="7"/>
    </row>
    <row r="8973" spans="3:5">
      <c r="C8973" s="17"/>
      <c r="D8973" s="17"/>
      <c r="E8973" s="7"/>
    </row>
    <row r="8974" spans="3:5">
      <c r="C8974" s="17"/>
      <c r="D8974" s="17"/>
      <c r="E8974" s="7"/>
    </row>
    <row r="8975" spans="3:5">
      <c r="C8975" s="17"/>
      <c r="D8975" s="17"/>
      <c r="E8975" s="7"/>
    </row>
    <row r="8976" spans="3:5">
      <c r="C8976" s="17"/>
      <c r="D8976" s="17"/>
      <c r="E8976" s="7"/>
    </row>
    <row r="8977" spans="3:5">
      <c r="C8977" s="17"/>
      <c r="D8977" s="17"/>
      <c r="E8977" s="7"/>
    </row>
    <row r="8978" spans="3:5">
      <c r="C8978" s="17"/>
      <c r="D8978" s="17"/>
      <c r="E8978" s="7"/>
    </row>
    <row r="8979" spans="3:5">
      <c r="C8979" s="17"/>
      <c r="D8979" s="17"/>
      <c r="E8979" s="7"/>
    </row>
    <row r="8980" spans="3:5">
      <c r="C8980" s="17"/>
      <c r="D8980" s="17"/>
      <c r="E8980" s="7"/>
    </row>
    <row r="8981" spans="3:5">
      <c r="C8981" s="17"/>
      <c r="D8981" s="17"/>
      <c r="E8981" s="7"/>
    </row>
    <row r="8982" spans="3:5">
      <c r="C8982" s="17"/>
      <c r="D8982" s="17"/>
      <c r="E8982" s="7"/>
    </row>
    <row r="8983" spans="3:5">
      <c r="C8983" s="17"/>
      <c r="D8983" s="17"/>
      <c r="E8983" s="7"/>
    </row>
    <row r="8984" spans="3:5">
      <c r="C8984" s="17"/>
      <c r="D8984" s="17"/>
      <c r="E8984" s="7"/>
    </row>
    <row r="8985" spans="3:5">
      <c r="C8985" s="17"/>
      <c r="D8985" s="17"/>
      <c r="E8985" s="7"/>
    </row>
    <row r="8986" spans="3:5">
      <c r="C8986" s="17"/>
      <c r="D8986" s="17"/>
      <c r="E8986" s="7"/>
    </row>
    <row r="8987" spans="3:5">
      <c r="C8987" s="17"/>
      <c r="D8987" s="17"/>
      <c r="E8987" s="7"/>
    </row>
    <row r="8988" spans="3:5">
      <c r="C8988" s="17"/>
      <c r="D8988" s="17"/>
      <c r="E8988" s="7"/>
    </row>
    <row r="8989" spans="3:5">
      <c r="C8989" s="17"/>
      <c r="D8989" s="17"/>
      <c r="E8989" s="7"/>
    </row>
    <row r="8990" spans="3:5">
      <c r="C8990" s="17"/>
      <c r="D8990" s="17"/>
      <c r="E8990" s="7"/>
    </row>
    <row r="8991" spans="3:5">
      <c r="C8991" s="17"/>
      <c r="D8991" s="17"/>
      <c r="E8991" s="7"/>
    </row>
    <row r="8992" spans="3:5">
      <c r="C8992" s="17"/>
      <c r="D8992" s="17"/>
      <c r="E8992" s="7"/>
    </row>
    <row r="8993" spans="3:5">
      <c r="C8993" s="17"/>
      <c r="D8993" s="17"/>
      <c r="E8993" s="7"/>
    </row>
    <row r="8994" spans="3:5">
      <c r="C8994" s="17"/>
      <c r="D8994" s="17"/>
      <c r="E8994" s="7"/>
    </row>
    <row r="8995" spans="3:5">
      <c r="C8995" s="17"/>
      <c r="D8995" s="17"/>
      <c r="E8995" s="7"/>
    </row>
    <row r="8996" spans="3:5">
      <c r="C8996" s="17"/>
      <c r="D8996" s="17"/>
      <c r="E8996" s="7"/>
    </row>
    <row r="8997" spans="3:5">
      <c r="C8997" s="17"/>
      <c r="D8997" s="17"/>
      <c r="E8997" s="7"/>
    </row>
    <row r="8998" spans="3:5">
      <c r="C8998" s="17"/>
      <c r="D8998" s="17"/>
      <c r="E8998" s="7"/>
    </row>
    <row r="8999" spans="3:5">
      <c r="C8999" s="17"/>
      <c r="D8999" s="17"/>
      <c r="E8999" s="7"/>
    </row>
    <row r="9000" spans="3:5">
      <c r="C9000" s="17"/>
      <c r="D9000" s="17"/>
      <c r="E9000" s="7"/>
    </row>
    <row r="9001" spans="3:5">
      <c r="C9001" s="17"/>
      <c r="D9001" s="17"/>
      <c r="E9001" s="7"/>
    </row>
    <row r="9002" spans="3:5">
      <c r="C9002" s="17"/>
      <c r="D9002" s="17"/>
      <c r="E9002" s="7"/>
    </row>
    <row r="9003" spans="3:5">
      <c r="C9003" s="17"/>
      <c r="D9003" s="17"/>
      <c r="E9003" s="7"/>
    </row>
    <row r="9004" spans="3:5">
      <c r="C9004" s="17"/>
      <c r="D9004" s="17"/>
      <c r="E9004" s="7"/>
    </row>
    <row r="9005" spans="3:5">
      <c r="C9005" s="17"/>
      <c r="D9005" s="17"/>
      <c r="E9005" s="7"/>
    </row>
    <row r="9006" spans="3:5">
      <c r="C9006" s="17"/>
      <c r="D9006" s="17"/>
      <c r="E9006" s="7"/>
    </row>
    <row r="9007" spans="3:5">
      <c r="C9007" s="17"/>
      <c r="D9007" s="17"/>
      <c r="E9007" s="7"/>
    </row>
    <row r="9008" spans="3:5">
      <c r="C9008" s="17"/>
      <c r="D9008" s="17"/>
      <c r="E9008" s="7"/>
    </row>
    <row r="9009" spans="3:5">
      <c r="C9009" s="17"/>
      <c r="D9009" s="17"/>
      <c r="E9009" s="7"/>
    </row>
    <row r="9010" spans="3:5">
      <c r="C9010" s="17"/>
      <c r="D9010" s="17"/>
      <c r="E9010" s="7"/>
    </row>
    <row r="9011" spans="3:5">
      <c r="C9011" s="17"/>
      <c r="D9011" s="17"/>
      <c r="E9011" s="7"/>
    </row>
    <row r="9012" spans="3:5">
      <c r="C9012" s="17"/>
      <c r="D9012" s="17"/>
      <c r="E9012" s="7"/>
    </row>
    <row r="9013" spans="3:5">
      <c r="C9013" s="17"/>
      <c r="D9013" s="17"/>
      <c r="E9013" s="7"/>
    </row>
    <row r="9014" spans="3:5">
      <c r="C9014" s="17"/>
      <c r="D9014" s="17"/>
      <c r="E9014" s="7"/>
    </row>
    <row r="9015" spans="3:5">
      <c r="C9015" s="17"/>
      <c r="D9015" s="17"/>
      <c r="E9015" s="7"/>
    </row>
    <row r="9016" spans="3:5">
      <c r="C9016" s="17"/>
      <c r="D9016" s="17"/>
      <c r="E9016" s="7"/>
    </row>
    <row r="9017" spans="3:5">
      <c r="C9017" s="17"/>
      <c r="D9017" s="17"/>
      <c r="E9017" s="7"/>
    </row>
    <row r="9018" spans="3:5">
      <c r="C9018" s="17"/>
      <c r="D9018" s="17"/>
      <c r="E9018" s="7"/>
    </row>
    <row r="9019" spans="3:5">
      <c r="C9019" s="17"/>
      <c r="D9019" s="17"/>
      <c r="E9019" s="7"/>
    </row>
    <row r="9020" spans="3:5">
      <c r="C9020" s="17"/>
      <c r="D9020" s="17"/>
      <c r="E9020" s="7"/>
    </row>
    <row r="9021" spans="3:5">
      <c r="C9021" s="17"/>
      <c r="D9021" s="17"/>
      <c r="E9021" s="7"/>
    </row>
    <row r="9022" spans="3:5">
      <c r="C9022" s="17"/>
      <c r="D9022" s="17"/>
      <c r="E9022" s="7"/>
    </row>
    <row r="9023" spans="3:5">
      <c r="C9023" s="17"/>
      <c r="D9023" s="17"/>
      <c r="E9023" s="7"/>
    </row>
    <row r="9024" spans="3:5">
      <c r="C9024" s="17"/>
      <c r="D9024" s="17"/>
      <c r="E9024" s="7"/>
    </row>
    <row r="9025" spans="3:5">
      <c r="C9025" s="17"/>
      <c r="D9025" s="17"/>
      <c r="E9025" s="7"/>
    </row>
    <row r="9026" spans="3:5">
      <c r="C9026" s="17"/>
      <c r="D9026" s="17"/>
      <c r="E9026" s="7"/>
    </row>
    <row r="9027" spans="3:5">
      <c r="C9027" s="17"/>
      <c r="D9027" s="17"/>
      <c r="E9027" s="7"/>
    </row>
    <row r="9028" spans="3:5">
      <c r="C9028" s="17"/>
      <c r="D9028" s="17"/>
      <c r="E9028" s="7"/>
    </row>
    <row r="9029" spans="3:5">
      <c r="C9029" s="17"/>
      <c r="D9029" s="17"/>
      <c r="E9029" s="7"/>
    </row>
    <row r="9030" spans="3:5">
      <c r="C9030" s="17"/>
      <c r="D9030" s="17"/>
      <c r="E9030" s="7"/>
    </row>
    <row r="9031" spans="3:5">
      <c r="C9031" s="17"/>
      <c r="D9031" s="17"/>
      <c r="E9031" s="7"/>
    </row>
    <row r="9032" spans="3:5">
      <c r="C9032" s="17"/>
      <c r="D9032" s="17"/>
      <c r="E9032" s="7"/>
    </row>
    <row r="9033" spans="3:5">
      <c r="C9033" s="17"/>
      <c r="D9033" s="17"/>
      <c r="E9033" s="7"/>
    </row>
    <row r="9034" spans="3:5">
      <c r="C9034" s="17"/>
      <c r="D9034" s="17"/>
      <c r="E9034" s="7"/>
    </row>
    <row r="9035" spans="3:5">
      <c r="C9035" s="17"/>
      <c r="D9035" s="17"/>
      <c r="E9035" s="7"/>
    </row>
    <row r="9036" spans="3:5">
      <c r="C9036" s="17"/>
      <c r="D9036" s="17"/>
      <c r="E9036" s="7"/>
    </row>
    <row r="9037" spans="3:5">
      <c r="C9037" s="17"/>
      <c r="D9037" s="17"/>
      <c r="E9037" s="7"/>
    </row>
    <row r="9038" spans="3:5">
      <c r="C9038" s="17"/>
      <c r="D9038" s="17"/>
      <c r="E9038" s="7"/>
    </row>
    <row r="9039" spans="3:5">
      <c r="C9039" s="17"/>
      <c r="D9039" s="17"/>
      <c r="E9039" s="7"/>
    </row>
    <row r="9040" spans="3:5">
      <c r="C9040" s="17"/>
      <c r="D9040" s="17"/>
      <c r="E9040" s="7"/>
    </row>
    <row r="9041" spans="3:5">
      <c r="C9041" s="17"/>
      <c r="D9041" s="17"/>
      <c r="E9041" s="7"/>
    </row>
    <row r="9042" spans="3:5">
      <c r="C9042" s="17"/>
      <c r="D9042" s="17"/>
      <c r="E9042" s="7"/>
    </row>
    <row r="9043" spans="3:5">
      <c r="C9043" s="17"/>
      <c r="D9043" s="17"/>
      <c r="E9043" s="7"/>
    </row>
    <row r="9044" spans="3:5">
      <c r="C9044" s="17"/>
      <c r="D9044" s="17"/>
      <c r="E9044" s="7"/>
    </row>
    <row r="9045" spans="3:5">
      <c r="C9045" s="17"/>
      <c r="D9045" s="17"/>
      <c r="E9045" s="7"/>
    </row>
    <row r="9046" spans="3:5">
      <c r="C9046" s="17"/>
      <c r="D9046" s="17"/>
      <c r="E9046" s="7"/>
    </row>
    <row r="9047" spans="3:5">
      <c r="C9047" s="17"/>
      <c r="D9047" s="17"/>
      <c r="E9047" s="7"/>
    </row>
    <row r="9048" spans="3:5">
      <c r="C9048" s="17"/>
      <c r="D9048" s="17"/>
      <c r="E9048" s="7"/>
    </row>
    <row r="9049" spans="3:5">
      <c r="C9049" s="17"/>
      <c r="D9049" s="17"/>
      <c r="E9049" s="7"/>
    </row>
    <row r="9050" spans="3:5">
      <c r="C9050" s="17"/>
      <c r="D9050" s="17"/>
      <c r="E9050" s="7"/>
    </row>
    <row r="9051" spans="3:5">
      <c r="C9051" s="17"/>
      <c r="D9051" s="17"/>
      <c r="E9051" s="7"/>
    </row>
    <row r="9052" spans="3:5">
      <c r="C9052" s="17"/>
      <c r="D9052" s="17"/>
      <c r="E9052" s="7"/>
    </row>
    <row r="9053" spans="3:5">
      <c r="C9053" s="17"/>
      <c r="D9053" s="17"/>
      <c r="E9053" s="7"/>
    </row>
    <row r="9054" spans="3:5">
      <c r="C9054" s="17"/>
      <c r="D9054" s="17"/>
      <c r="E9054" s="7"/>
    </row>
    <row r="9055" spans="3:5">
      <c r="C9055" s="17"/>
      <c r="D9055" s="17"/>
      <c r="E9055" s="7"/>
    </row>
    <row r="9056" spans="3:5">
      <c r="C9056" s="17"/>
      <c r="D9056" s="17"/>
      <c r="E9056" s="7"/>
    </row>
    <row r="9057" spans="3:5">
      <c r="C9057" s="17"/>
      <c r="D9057" s="17"/>
      <c r="E9057" s="7"/>
    </row>
    <row r="9058" spans="3:5">
      <c r="C9058" s="17"/>
      <c r="D9058" s="17"/>
      <c r="E9058" s="7"/>
    </row>
    <row r="9059" spans="3:5">
      <c r="C9059" s="17"/>
      <c r="D9059" s="17"/>
      <c r="E9059" s="7"/>
    </row>
    <row r="9060" spans="3:5">
      <c r="C9060" s="17"/>
      <c r="D9060" s="17"/>
      <c r="E9060" s="7"/>
    </row>
    <row r="9061" spans="3:5">
      <c r="C9061" s="17"/>
      <c r="D9061" s="17"/>
      <c r="E9061" s="7"/>
    </row>
    <row r="9062" spans="3:5">
      <c r="C9062" s="17"/>
      <c r="D9062" s="17"/>
      <c r="E9062" s="7"/>
    </row>
    <row r="9063" spans="3:5">
      <c r="C9063" s="17"/>
      <c r="D9063" s="17"/>
      <c r="E9063" s="7"/>
    </row>
    <row r="9064" spans="3:5">
      <c r="C9064" s="17"/>
      <c r="D9064" s="17"/>
      <c r="E9064" s="7"/>
    </row>
    <row r="9065" spans="3:5">
      <c r="C9065" s="17"/>
      <c r="D9065" s="17"/>
      <c r="E9065" s="7"/>
    </row>
    <row r="9066" spans="3:5">
      <c r="C9066" s="17"/>
      <c r="D9066" s="17"/>
      <c r="E9066" s="7"/>
    </row>
    <row r="9067" spans="3:5">
      <c r="C9067" s="17"/>
      <c r="D9067" s="17"/>
      <c r="E9067" s="7"/>
    </row>
    <row r="9068" spans="3:5">
      <c r="C9068" s="17"/>
      <c r="D9068" s="17"/>
      <c r="E9068" s="7"/>
    </row>
    <row r="9069" spans="3:5">
      <c r="C9069" s="17"/>
      <c r="D9069" s="17"/>
      <c r="E9069" s="7"/>
    </row>
    <row r="9070" spans="3:5">
      <c r="C9070" s="17"/>
      <c r="D9070" s="17"/>
      <c r="E9070" s="7"/>
    </row>
    <row r="9071" spans="3:5">
      <c r="C9071" s="17"/>
      <c r="D9071" s="17"/>
      <c r="E9071" s="7"/>
    </row>
    <row r="9072" spans="3:5">
      <c r="C9072" s="17"/>
      <c r="D9072" s="17"/>
      <c r="E9072" s="7"/>
    </row>
    <row r="9073" spans="3:5">
      <c r="C9073" s="17"/>
      <c r="D9073" s="17"/>
      <c r="E9073" s="7"/>
    </row>
    <row r="9074" spans="3:5">
      <c r="C9074" s="17"/>
      <c r="D9074" s="17"/>
      <c r="E9074" s="7"/>
    </row>
    <row r="9075" spans="3:5">
      <c r="C9075" s="17"/>
      <c r="D9075" s="17"/>
      <c r="E9075" s="7"/>
    </row>
    <row r="9076" spans="3:5">
      <c r="C9076" s="17"/>
      <c r="D9076" s="17"/>
      <c r="E9076" s="7"/>
    </row>
    <row r="9077" spans="3:5">
      <c r="C9077" s="17"/>
      <c r="D9077" s="17"/>
      <c r="E9077" s="7"/>
    </row>
    <row r="9078" spans="3:5">
      <c r="C9078" s="17"/>
      <c r="D9078" s="17"/>
      <c r="E9078" s="7"/>
    </row>
    <row r="9079" spans="3:5">
      <c r="C9079" s="17"/>
      <c r="D9079" s="17"/>
      <c r="E9079" s="7"/>
    </row>
    <row r="9080" spans="3:5">
      <c r="C9080" s="17"/>
      <c r="D9080" s="17"/>
      <c r="E9080" s="7"/>
    </row>
    <row r="9081" spans="3:5">
      <c r="C9081" s="17"/>
      <c r="D9081" s="17"/>
      <c r="E9081" s="7"/>
    </row>
    <row r="9082" spans="3:5">
      <c r="C9082" s="17"/>
      <c r="D9082" s="17"/>
      <c r="E9082" s="7"/>
    </row>
    <row r="9083" spans="3:5">
      <c r="C9083" s="17"/>
      <c r="D9083" s="17"/>
      <c r="E9083" s="7"/>
    </row>
    <row r="9084" spans="3:5">
      <c r="C9084" s="17"/>
      <c r="D9084" s="17"/>
      <c r="E9084" s="7"/>
    </row>
    <row r="9085" spans="3:5">
      <c r="C9085" s="17"/>
      <c r="D9085" s="17"/>
      <c r="E9085" s="7"/>
    </row>
    <row r="9086" spans="3:5">
      <c r="C9086" s="17"/>
      <c r="D9086" s="17"/>
      <c r="E9086" s="7"/>
    </row>
    <row r="9087" spans="3:5">
      <c r="C9087" s="17"/>
      <c r="D9087" s="17"/>
      <c r="E9087" s="7"/>
    </row>
    <row r="9088" spans="3:5">
      <c r="C9088" s="17"/>
      <c r="D9088" s="17"/>
      <c r="E9088" s="7"/>
    </row>
    <row r="9089" spans="3:5">
      <c r="C9089" s="17"/>
      <c r="D9089" s="17"/>
      <c r="E9089" s="7"/>
    </row>
    <row r="9090" spans="3:5">
      <c r="C9090" s="17"/>
      <c r="D9090" s="17"/>
      <c r="E9090" s="7"/>
    </row>
    <row r="9091" spans="3:5">
      <c r="C9091" s="17"/>
      <c r="D9091" s="17"/>
      <c r="E9091" s="7"/>
    </row>
    <row r="9092" spans="3:5">
      <c r="C9092" s="17"/>
      <c r="D9092" s="17"/>
      <c r="E9092" s="7"/>
    </row>
    <row r="9093" spans="3:5">
      <c r="C9093" s="17"/>
      <c r="D9093" s="17"/>
      <c r="E9093" s="7"/>
    </row>
    <row r="9094" spans="3:5">
      <c r="C9094" s="17"/>
      <c r="D9094" s="17"/>
      <c r="E9094" s="7"/>
    </row>
    <row r="9095" spans="3:5">
      <c r="C9095" s="17"/>
      <c r="D9095" s="17"/>
      <c r="E9095" s="7"/>
    </row>
    <row r="9096" spans="3:5">
      <c r="C9096" s="17"/>
      <c r="D9096" s="17"/>
      <c r="E9096" s="7"/>
    </row>
    <row r="9097" spans="3:5">
      <c r="C9097" s="17"/>
      <c r="D9097" s="17"/>
      <c r="E9097" s="7"/>
    </row>
    <row r="9098" spans="3:5">
      <c r="C9098" s="17"/>
      <c r="D9098" s="17"/>
      <c r="E9098" s="7"/>
    </row>
    <row r="9099" spans="3:5">
      <c r="C9099" s="17"/>
      <c r="D9099" s="17"/>
      <c r="E9099" s="7"/>
    </row>
    <row r="9100" spans="3:5">
      <c r="C9100" s="17"/>
      <c r="D9100" s="17"/>
      <c r="E9100" s="7"/>
    </row>
    <row r="9101" spans="3:5">
      <c r="C9101" s="17"/>
      <c r="D9101" s="17"/>
      <c r="E9101" s="7"/>
    </row>
    <row r="9102" spans="3:5">
      <c r="C9102" s="17"/>
      <c r="D9102" s="17"/>
      <c r="E9102" s="7"/>
    </row>
    <row r="9103" spans="3:5">
      <c r="C9103" s="17"/>
      <c r="D9103" s="17"/>
      <c r="E9103" s="7"/>
    </row>
    <row r="9104" spans="3:5">
      <c r="C9104" s="17"/>
      <c r="D9104" s="17"/>
      <c r="E9104" s="7"/>
    </row>
    <row r="9105" spans="3:5">
      <c r="C9105" s="17"/>
      <c r="D9105" s="17"/>
      <c r="E9105" s="7"/>
    </row>
    <row r="9106" spans="3:5">
      <c r="C9106" s="17"/>
      <c r="D9106" s="17"/>
      <c r="E9106" s="7"/>
    </row>
    <row r="9107" spans="3:5">
      <c r="C9107" s="17"/>
      <c r="D9107" s="17"/>
      <c r="E9107" s="7"/>
    </row>
    <row r="9108" spans="3:5">
      <c r="C9108" s="17"/>
      <c r="D9108" s="17"/>
      <c r="E9108" s="7"/>
    </row>
    <row r="9109" spans="3:5">
      <c r="C9109" s="17"/>
      <c r="D9109" s="17"/>
      <c r="E9109" s="7"/>
    </row>
    <row r="9110" spans="3:5">
      <c r="C9110" s="17"/>
      <c r="D9110" s="17"/>
      <c r="E9110" s="7"/>
    </row>
    <row r="9111" spans="3:5">
      <c r="C9111" s="17"/>
      <c r="D9111" s="17"/>
      <c r="E9111" s="7"/>
    </row>
    <row r="9112" spans="3:5">
      <c r="C9112" s="17"/>
      <c r="D9112" s="17"/>
      <c r="E9112" s="7"/>
    </row>
    <row r="9113" spans="3:5">
      <c r="C9113" s="17"/>
      <c r="D9113" s="17"/>
      <c r="E9113" s="7"/>
    </row>
    <row r="9114" spans="3:5">
      <c r="C9114" s="17"/>
      <c r="D9114" s="17"/>
      <c r="E9114" s="7"/>
    </row>
    <row r="9115" spans="3:5">
      <c r="C9115" s="17"/>
      <c r="D9115" s="17"/>
      <c r="E9115" s="7"/>
    </row>
    <row r="9116" spans="3:5">
      <c r="C9116" s="17"/>
      <c r="D9116" s="17"/>
      <c r="E9116" s="7"/>
    </row>
    <row r="9117" spans="3:5">
      <c r="C9117" s="17"/>
      <c r="D9117" s="17"/>
      <c r="E9117" s="7"/>
    </row>
    <row r="9118" spans="3:5">
      <c r="C9118" s="17"/>
      <c r="D9118" s="17"/>
      <c r="E9118" s="7"/>
    </row>
    <row r="9119" spans="3:5">
      <c r="C9119" s="17"/>
      <c r="D9119" s="17"/>
      <c r="E9119" s="7"/>
    </row>
    <row r="9120" spans="3:5">
      <c r="C9120" s="17"/>
      <c r="D9120" s="17"/>
      <c r="E9120" s="7"/>
    </row>
    <row r="9121" spans="3:5">
      <c r="C9121" s="17"/>
      <c r="D9121" s="17"/>
      <c r="E9121" s="7"/>
    </row>
    <row r="9122" spans="3:5">
      <c r="C9122" s="17"/>
      <c r="D9122" s="17"/>
      <c r="E9122" s="7"/>
    </row>
    <row r="9123" spans="3:5">
      <c r="C9123" s="17"/>
      <c r="D9123" s="17"/>
      <c r="E9123" s="7"/>
    </row>
    <row r="9124" spans="3:5">
      <c r="C9124" s="17"/>
      <c r="D9124" s="17"/>
      <c r="E9124" s="7"/>
    </row>
    <row r="9125" spans="3:5">
      <c r="C9125" s="17"/>
      <c r="D9125" s="17"/>
      <c r="E9125" s="7"/>
    </row>
    <row r="9126" spans="3:5">
      <c r="C9126" s="17"/>
      <c r="D9126" s="17"/>
      <c r="E9126" s="7"/>
    </row>
    <row r="9127" spans="3:5">
      <c r="C9127" s="17"/>
      <c r="D9127" s="17"/>
      <c r="E9127" s="7"/>
    </row>
    <row r="9128" spans="3:5">
      <c r="C9128" s="17"/>
      <c r="D9128" s="17"/>
      <c r="E9128" s="7"/>
    </row>
    <row r="9129" spans="3:5">
      <c r="C9129" s="17"/>
      <c r="D9129" s="17"/>
      <c r="E9129" s="7"/>
    </row>
    <row r="9130" spans="3:5">
      <c r="C9130" s="17"/>
      <c r="D9130" s="17"/>
      <c r="E9130" s="7"/>
    </row>
    <row r="9131" spans="3:5">
      <c r="C9131" s="17"/>
      <c r="D9131" s="17"/>
      <c r="E9131" s="7"/>
    </row>
    <row r="9132" spans="3:5">
      <c r="C9132" s="17"/>
      <c r="D9132" s="17"/>
      <c r="E9132" s="7"/>
    </row>
    <row r="9133" spans="3:5">
      <c r="C9133" s="17"/>
      <c r="D9133" s="17"/>
      <c r="E9133" s="7"/>
    </row>
    <row r="9134" spans="3:5">
      <c r="C9134" s="17"/>
      <c r="D9134" s="17"/>
      <c r="E9134" s="7"/>
    </row>
    <row r="9135" spans="3:5">
      <c r="C9135" s="17"/>
      <c r="D9135" s="17"/>
      <c r="E9135" s="7"/>
    </row>
    <row r="9136" spans="3:5">
      <c r="C9136" s="17"/>
      <c r="D9136" s="17"/>
      <c r="E9136" s="7"/>
    </row>
    <row r="9137" spans="3:5">
      <c r="C9137" s="17"/>
      <c r="D9137" s="17"/>
      <c r="E9137" s="7"/>
    </row>
    <row r="9138" spans="3:5">
      <c r="C9138" s="17"/>
      <c r="D9138" s="17"/>
      <c r="E9138" s="7"/>
    </row>
    <row r="9139" spans="3:5">
      <c r="C9139" s="17"/>
      <c r="D9139" s="17"/>
      <c r="E9139" s="7"/>
    </row>
    <row r="9140" spans="3:5">
      <c r="C9140" s="17"/>
      <c r="D9140" s="17"/>
      <c r="E9140" s="7"/>
    </row>
    <row r="9141" spans="3:5">
      <c r="C9141" s="17"/>
      <c r="D9141" s="17"/>
      <c r="E9141" s="7"/>
    </row>
    <row r="9142" spans="3:5">
      <c r="C9142" s="17"/>
      <c r="D9142" s="17"/>
      <c r="E9142" s="7"/>
    </row>
    <row r="9143" spans="3:5">
      <c r="C9143" s="17"/>
      <c r="D9143" s="17"/>
      <c r="E9143" s="7"/>
    </row>
    <row r="9144" spans="3:5">
      <c r="C9144" s="17"/>
      <c r="D9144" s="17"/>
      <c r="E9144" s="7"/>
    </row>
    <row r="9145" spans="3:5">
      <c r="C9145" s="17"/>
      <c r="D9145" s="17"/>
      <c r="E9145" s="7"/>
    </row>
    <row r="9146" spans="3:5">
      <c r="C9146" s="17"/>
      <c r="D9146" s="17"/>
      <c r="E9146" s="7"/>
    </row>
    <row r="9147" spans="3:5">
      <c r="C9147" s="17"/>
      <c r="D9147" s="17"/>
      <c r="E9147" s="7"/>
    </row>
    <row r="9148" spans="3:5">
      <c r="C9148" s="17"/>
      <c r="D9148" s="17"/>
      <c r="E9148" s="7"/>
    </row>
    <row r="9149" spans="3:5">
      <c r="C9149" s="17"/>
      <c r="D9149" s="17"/>
      <c r="E9149" s="7"/>
    </row>
    <row r="9150" spans="3:5">
      <c r="C9150" s="17"/>
      <c r="D9150" s="17"/>
      <c r="E9150" s="7"/>
    </row>
    <row r="9151" spans="3:5">
      <c r="C9151" s="17"/>
      <c r="D9151" s="17"/>
      <c r="E9151" s="7"/>
    </row>
    <row r="9152" spans="3:5">
      <c r="C9152" s="17"/>
      <c r="D9152" s="17"/>
      <c r="E9152" s="7"/>
    </row>
    <row r="9153" spans="3:5">
      <c r="C9153" s="17"/>
      <c r="D9153" s="17"/>
      <c r="E9153" s="7"/>
    </row>
    <row r="9154" spans="3:5">
      <c r="C9154" s="17"/>
      <c r="D9154" s="17"/>
      <c r="E9154" s="7"/>
    </row>
    <row r="9155" spans="3:5">
      <c r="C9155" s="17"/>
      <c r="D9155" s="17"/>
      <c r="E9155" s="7"/>
    </row>
    <row r="9156" spans="3:5">
      <c r="C9156" s="17"/>
      <c r="D9156" s="17"/>
      <c r="E9156" s="7"/>
    </row>
    <row r="9157" spans="3:5">
      <c r="C9157" s="17"/>
      <c r="D9157" s="17"/>
      <c r="E9157" s="7"/>
    </row>
    <row r="9158" spans="3:5">
      <c r="C9158" s="17"/>
      <c r="D9158" s="17"/>
      <c r="E9158" s="7"/>
    </row>
    <row r="9159" spans="3:5">
      <c r="C9159" s="17"/>
      <c r="D9159" s="17"/>
      <c r="E9159" s="7"/>
    </row>
    <row r="9160" spans="3:5">
      <c r="C9160" s="17"/>
      <c r="D9160" s="17"/>
      <c r="E9160" s="7"/>
    </row>
    <row r="9161" spans="3:5">
      <c r="C9161" s="17"/>
      <c r="D9161" s="17"/>
      <c r="E9161" s="7"/>
    </row>
    <row r="9162" spans="3:5">
      <c r="C9162" s="17"/>
      <c r="D9162" s="17"/>
      <c r="E9162" s="7"/>
    </row>
    <row r="9163" spans="3:5">
      <c r="C9163" s="17"/>
      <c r="D9163" s="17"/>
      <c r="E9163" s="7"/>
    </row>
    <row r="9164" spans="3:5">
      <c r="C9164" s="17"/>
      <c r="D9164" s="17"/>
      <c r="E9164" s="7"/>
    </row>
    <row r="9165" spans="3:5">
      <c r="C9165" s="17"/>
      <c r="D9165" s="17"/>
      <c r="E9165" s="7"/>
    </row>
    <row r="9166" spans="3:5">
      <c r="C9166" s="17"/>
      <c r="D9166" s="17"/>
      <c r="E9166" s="7"/>
    </row>
    <row r="9167" spans="3:5">
      <c r="C9167" s="17"/>
      <c r="D9167" s="17"/>
      <c r="E9167" s="7"/>
    </row>
    <row r="9168" spans="3:5">
      <c r="C9168" s="17"/>
      <c r="D9168" s="17"/>
      <c r="E9168" s="7"/>
    </row>
    <row r="9169" spans="3:5">
      <c r="C9169" s="17"/>
      <c r="D9169" s="17"/>
      <c r="E9169" s="7"/>
    </row>
    <row r="9170" spans="3:5">
      <c r="C9170" s="17"/>
      <c r="D9170" s="17"/>
      <c r="E9170" s="7"/>
    </row>
    <row r="9171" spans="3:5">
      <c r="C9171" s="17"/>
      <c r="D9171" s="17"/>
      <c r="E9171" s="7"/>
    </row>
    <row r="9172" spans="3:5">
      <c r="C9172" s="17"/>
      <c r="D9172" s="17"/>
      <c r="E9172" s="7"/>
    </row>
    <row r="9173" spans="3:5">
      <c r="C9173" s="17"/>
      <c r="D9173" s="17"/>
      <c r="E9173" s="7"/>
    </row>
    <row r="9174" spans="3:5">
      <c r="C9174" s="17"/>
      <c r="D9174" s="17"/>
      <c r="E9174" s="7"/>
    </row>
    <row r="9175" spans="3:5">
      <c r="C9175" s="17"/>
      <c r="D9175" s="17"/>
      <c r="E9175" s="7"/>
    </row>
    <row r="9176" spans="3:5">
      <c r="C9176" s="17"/>
      <c r="D9176" s="17"/>
      <c r="E9176" s="7"/>
    </row>
    <row r="9177" spans="3:5">
      <c r="C9177" s="17"/>
      <c r="D9177" s="17"/>
      <c r="E9177" s="7"/>
    </row>
    <row r="9178" spans="3:5">
      <c r="C9178" s="17"/>
      <c r="D9178" s="17"/>
      <c r="E9178" s="7"/>
    </row>
    <row r="9179" spans="3:5">
      <c r="C9179" s="17"/>
      <c r="D9179" s="17"/>
      <c r="E9179" s="7"/>
    </row>
    <row r="9180" spans="3:5">
      <c r="C9180" s="17"/>
      <c r="D9180" s="17"/>
      <c r="E9180" s="7"/>
    </row>
    <row r="9181" spans="3:5">
      <c r="C9181" s="17"/>
      <c r="D9181" s="17"/>
      <c r="E9181" s="7"/>
    </row>
    <row r="9182" spans="3:5">
      <c r="C9182" s="17"/>
      <c r="D9182" s="17"/>
      <c r="E9182" s="7"/>
    </row>
    <row r="9183" spans="3:5">
      <c r="C9183" s="17"/>
      <c r="D9183" s="17"/>
      <c r="E9183" s="7"/>
    </row>
    <row r="9184" spans="3:5">
      <c r="C9184" s="17"/>
      <c r="D9184" s="17"/>
      <c r="E9184" s="7"/>
    </row>
    <row r="9185" spans="3:5">
      <c r="C9185" s="17"/>
      <c r="D9185" s="17"/>
      <c r="E9185" s="7"/>
    </row>
    <row r="9186" spans="3:5">
      <c r="C9186" s="17"/>
      <c r="D9186" s="17"/>
      <c r="E9186" s="7"/>
    </row>
    <row r="9187" spans="3:5">
      <c r="C9187" s="17"/>
      <c r="D9187" s="17"/>
      <c r="E9187" s="7"/>
    </row>
    <row r="9188" spans="3:5">
      <c r="C9188" s="17"/>
      <c r="D9188" s="17"/>
      <c r="E9188" s="7"/>
    </row>
    <row r="9189" spans="3:5">
      <c r="C9189" s="17"/>
      <c r="D9189" s="17"/>
      <c r="E9189" s="7"/>
    </row>
    <row r="9190" spans="3:5">
      <c r="C9190" s="17"/>
      <c r="D9190" s="17"/>
      <c r="E9190" s="7"/>
    </row>
    <row r="9191" spans="3:5">
      <c r="C9191" s="17"/>
      <c r="D9191" s="17"/>
      <c r="E9191" s="7"/>
    </row>
    <row r="9192" spans="3:5">
      <c r="C9192" s="17"/>
      <c r="D9192" s="17"/>
      <c r="E9192" s="7"/>
    </row>
    <row r="9193" spans="3:5">
      <c r="C9193" s="17"/>
      <c r="D9193" s="17"/>
      <c r="E9193" s="7"/>
    </row>
    <row r="9194" spans="3:5">
      <c r="C9194" s="17"/>
      <c r="D9194" s="17"/>
      <c r="E9194" s="7"/>
    </row>
    <row r="9195" spans="3:5">
      <c r="C9195" s="17"/>
      <c r="D9195" s="17"/>
      <c r="E9195" s="7"/>
    </row>
    <row r="9196" spans="3:5">
      <c r="C9196" s="17"/>
      <c r="D9196" s="17"/>
      <c r="E9196" s="7"/>
    </row>
    <row r="9197" spans="3:5">
      <c r="C9197" s="17"/>
      <c r="D9197" s="17"/>
      <c r="E9197" s="7"/>
    </row>
    <row r="9198" spans="3:5">
      <c r="C9198" s="17"/>
      <c r="D9198" s="17"/>
      <c r="E9198" s="7"/>
    </row>
    <row r="9199" spans="3:5">
      <c r="C9199" s="17"/>
      <c r="D9199" s="17"/>
      <c r="E9199" s="7"/>
    </row>
    <row r="9200" spans="3:5">
      <c r="C9200" s="17"/>
      <c r="D9200" s="17"/>
      <c r="E9200" s="7"/>
    </row>
    <row r="9201" spans="3:5">
      <c r="C9201" s="17"/>
      <c r="D9201" s="17"/>
      <c r="E9201" s="7"/>
    </row>
    <row r="9202" spans="3:5">
      <c r="C9202" s="17"/>
      <c r="D9202" s="17"/>
      <c r="E9202" s="7"/>
    </row>
    <row r="9203" spans="3:5">
      <c r="C9203" s="17"/>
      <c r="D9203" s="17"/>
      <c r="E9203" s="7"/>
    </row>
    <row r="9204" spans="3:5">
      <c r="C9204" s="17"/>
      <c r="D9204" s="17"/>
      <c r="E9204" s="7"/>
    </row>
    <row r="9205" spans="3:5">
      <c r="C9205" s="17"/>
      <c r="D9205" s="17"/>
      <c r="E9205" s="7"/>
    </row>
    <row r="9206" spans="3:5">
      <c r="C9206" s="17"/>
      <c r="D9206" s="17"/>
      <c r="E9206" s="7"/>
    </row>
    <row r="9207" spans="3:5">
      <c r="C9207" s="17"/>
      <c r="D9207" s="17"/>
      <c r="E9207" s="7"/>
    </row>
    <row r="9208" spans="3:5">
      <c r="C9208" s="17"/>
      <c r="D9208" s="17"/>
      <c r="E9208" s="7"/>
    </row>
    <row r="9209" spans="3:5">
      <c r="C9209" s="17"/>
      <c r="D9209" s="17"/>
      <c r="E9209" s="7"/>
    </row>
    <row r="9210" spans="3:5">
      <c r="C9210" s="17"/>
      <c r="D9210" s="17"/>
      <c r="E9210" s="7"/>
    </row>
    <row r="9211" spans="3:5">
      <c r="C9211" s="17"/>
      <c r="D9211" s="17"/>
      <c r="E9211" s="7"/>
    </row>
    <row r="9212" spans="3:5">
      <c r="C9212" s="17"/>
      <c r="D9212" s="17"/>
      <c r="E9212" s="7"/>
    </row>
    <row r="9213" spans="3:5">
      <c r="C9213" s="17"/>
      <c r="D9213" s="17"/>
      <c r="E9213" s="7"/>
    </row>
    <row r="9214" spans="3:5">
      <c r="C9214" s="17"/>
      <c r="D9214" s="17"/>
      <c r="E9214" s="7"/>
    </row>
    <row r="9215" spans="3:5">
      <c r="C9215" s="17"/>
      <c r="D9215" s="17"/>
      <c r="E9215" s="7"/>
    </row>
    <row r="9216" spans="3:5">
      <c r="C9216" s="17"/>
      <c r="D9216" s="17"/>
      <c r="E9216" s="7"/>
    </row>
    <row r="9217" spans="3:5">
      <c r="C9217" s="17"/>
      <c r="D9217" s="17"/>
      <c r="E9217" s="7"/>
    </row>
    <row r="9218" spans="3:5">
      <c r="C9218" s="17"/>
      <c r="D9218" s="17"/>
      <c r="E9218" s="7"/>
    </row>
    <row r="9219" spans="3:5">
      <c r="C9219" s="17"/>
      <c r="D9219" s="17"/>
      <c r="E9219" s="7"/>
    </row>
    <row r="9220" spans="3:5">
      <c r="C9220" s="17"/>
      <c r="D9220" s="17"/>
      <c r="E9220" s="7"/>
    </row>
    <row r="9221" spans="3:5">
      <c r="C9221" s="17"/>
      <c r="D9221" s="17"/>
      <c r="E9221" s="7"/>
    </row>
    <row r="9222" spans="3:5">
      <c r="C9222" s="17"/>
      <c r="D9222" s="17"/>
      <c r="E9222" s="7"/>
    </row>
    <row r="9223" spans="3:5">
      <c r="C9223" s="17"/>
      <c r="D9223" s="17"/>
      <c r="E9223" s="7"/>
    </row>
    <row r="9224" spans="3:5">
      <c r="C9224" s="17"/>
      <c r="D9224" s="17"/>
      <c r="E9224" s="7"/>
    </row>
    <row r="9225" spans="3:5">
      <c r="C9225" s="17"/>
      <c r="D9225" s="17"/>
      <c r="E9225" s="7"/>
    </row>
    <row r="9226" spans="3:5">
      <c r="C9226" s="17"/>
      <c r="D9226" s="17"/>
      <c r="E9226" s="7"/>
    </row>
    <row r="9227" spans="3:5">
      <c r="C9227" s="17"/>
      <c r="D9227" s="17"/>
      <c r="E9227" s="7"/>
    </row>
    <row r="9228" spans="3:5">
      <c r="C9228" s="17"/>
      <c r="D9228" s="17"/>
      <c r="E9228" s="7"/>
    </row>
    <row r="9229" spans="3:5">
      <c r="C9229" s="17"/>
      <c r="D9229" s="17"/>
      <c r="E9229" s="7"/>
    </row>
    <row r="9230" spans="3:5">
      <c r="C9230" s="17"/>
      <c r="D9230" s="17"/>
      <c r="E9230" s="7"/>
    </row>
    <row r="9231" spans="3:5">
      <c r="C9231" s="17"/>
      <c r="D9231" s="17"/>
      <c r="E9231" s="7"/>
    </row>
    <row r="9232" spans="3:5">
      <c r="C9232" s="17"/>
      <c r="D9232" s="17"/>
      <c r="E9232" s="7"/>
    </row>
    <row r="9233" spans="3:5">
      <c r="C9233" s="17"/>
      <c r="D9233" s="17"/>
      <c r="E9233" s="7"/>
    </row>
    <row r="9234" spans="3:5">
      <c r="C9234" s="17"/>
      <c r="D9234" s="17"/>
      <c r="E9234" s="7"/>
    </row>
    <row r="9235" spans="3:5">
      <c r="C9235" s="17"/>
      <c r="D9235" s="17"/>
      <c r="E9235" s="7"/>
    </row>
    <row r="9236" spans="3:5">
      <c r="C9236" s="17"/>
      <c r="D9236" s="17"/>
      <c r="E9236" s="7"/>
    </row>
    <row r="9237" spans="3:5">
      <c r="C9237" s="17"/>
      <c r="D9237" s="17"/>
      <c r="E9237" s="7"/>
    </row>
    <row r="9238" spans="3:5">
      <c r="C9238" s="17"/>
      <c r="D9238" s="17"/>
      <c r="E9238" s="7"/>
    </row>
    <row r="9239" spans="3:5">
      <c r="C9239" s="17"/>
      <c r="D9239" s="17"/>
      <c r="E9239" s="7"/>
    </row>
    <row r="9240" spans="3:5">
      <c r="C9240" s="17"/>
      <c r="D9240" s="17"/>
      <c r="E9240" s="7"/>
    </row>
    <row r="9241" spans="3:5">
      <c r="C9241" s="17"/>
      <c r="D9241" s="17"/>
      <c r="E9241" s="7"/>
    </row>
    <row r="9242" spans="3:5">
      <c r="C9242" s="17"/>
      <c r="D9242" s="17"/>
      <c r="E9242" s="7"/>
    </row>
    <row r="9243" spans="3:5">
      <c r="C9243" s="17"/>
      <c r="D9243" s="17"/>
      <c r="E9243" s="7"/>
    </row>
    <row r="9244" spans="3:5">
      <c r="C9244" s="17"/>
      <c r="D9244" s="17"/>
      <c r="E9244" s="7"/>
    </row>
    <row r="9245" spans="3:5">
      <c r="C9245" s="17"/>
      <c r="D9245" s="17"/>
      <c r="E9245" s="7"/>
    </row>
    <row r="9246" spans="3:5">
      <c r="C9246" s="17"/>
      <c r="D9246" s="17"/>
      <c r="E9246" s="7"/>
    </row>
    <row r="9247" spans="3:5">
      <c r="C9247" s="17"/>
      <c r="D9247" s="17"/>
      <c r="E9247" s="7"/>
    </row>
    <row r="9248" spans="3:5">
      <c r="C9248" s="17"/>
      <c r="D9248" s="17"/>
      <c r="E9248" s="7"/>
    </row>
    <row r="9249" spans="3:5">
      <c r="C9249" s="17"/>
      <c r="D9249" s="17"/>
      <c r="E9249" s="7"/>
    </row>
    <row r="9250" spans="3:5">
      <c r="C9250" s="17"/>
      <c r="D9250" s="17"/>
      <c r="E9250" s="7"/>
    </row>
    <row r="9251" spans="3:5">
      <c r="C9251" s="17"/>
      <c r="D9251" s="17"/>
      <c r="E9251" s="7"/>
    </row>
    <row r="9252" spans="3:5">
      <c r="C9252" s="17"/>
      <c r="D9252" s="17"/>
      <c r="E9252" s="7"/>
    </row>
    <row r="9253" spans="3:5">
      <c r="C9253" s="17"/>
      <c r="D9253" s="17"/>
      <c r="E9253" s="7"/>
    </row>
    <row r="9254" spans="3:5">
      <c r="C9254" s="17"/>
      <c r="D9254" s="17"/>
      <c r="E9254" s="7"/>
    </row>
    <row r="9255" spans="3:5">
      <c r="C9255" s="17"/>
      <c r="D9255" s="17"/>
      <c r="E9255" s="7"/>
    </row>
    <row r="9256" spans="3:5">
      <c r="C9256" s="17"/>
      <c r="D9256" s="17"/>
      <c r="E9256" s="7"/>
    </row>
    <row r="9257" spans="3:5">
      <c r="C9257" s="17"/>
      <c r="D9257" s="17"/>
      <c r="E9257" s="7"/>
    </row>
    <row r="9258" spans="3:5">
      <c r="C9258" s="17"/>
      <c r="D9258" s="17"/>
      <c r="E9258" s="7"/>
    </row>
    <row r="9259" spans="3:5">
      <c r="C9259" s="17"/>
      <c r="D9259" s="17"/>
      <c r="E9259" s="7"/>
    </row>
    <row r="9260" spans="3:5">
      <c r="C9260" s="17"/>
      <c r="D9260" s="17"/>
      <c r="E9260" s="7"/>
    </row>
    <row r="9261" spans="3:5">
      <c r="C9261" s="17"/>
      <c r="D9261" s="17"/>
      <c r="E9261" s="7"/>
    </row>
    <row r="9262" spans="3:5">
      <c r="C9262" s="17"/>
      <c r="D9262" s="17"/>
      <c r="E9262" s="7"/>
    </row>
    <row r="9263" spans="3:5">
      <c r="C9263" s="17"/>
      <c r="D9263" s="17"/>
      <c r="E9263" s="7"/>
    </row>
    <row r="9264" spans="3:5">
      <c r="C9264" s="17"/>
      <c r="D9264" s="17"/>
      <c r="E9264" s="7"/>
    </row>
    <row r="9265" spans="3:5">
      <c r="C9265" s="17"/>
      <c r="D9265" s="17"/>
      <c r="E9265" s="7"/>
    </row>
    <row r="9266" spans="3:5">
      <c r="C9266" s="17"/>
      <c r="D9266" s="17"/>
      <c r="E9266" s="7"/>
    </row>
    <row r="9267" spans="3:5">
      <c r="C9267" s="17"/>
      <c r="D9267" s="17"/>
      <c r="E9267" s="7"/>
    </row>
    <row r="9268" spans="3:5">
      <c r="C9268" s="17"/>
      <c r="D9268" s="17"/>
      <c r="E9268" s="7"/>
    </row>
    <row r="9269" spans="3:5">
      <c r="C9269" s="17"/>
      <c r="D9269" s="17"/>
      <c r="E9269" s="7"/>
    </row>
    <row r="9270" spans="3:5">
      <c r="C9270" s="17"/>
      <c r="D9270" s="17"/>
      <c r="E9270" s="7"/>
    </row>
    <row r="9271" spans="3:5">
      <c r="C9271" s="17"/>
      <c r="D9271" s="17"/>
      <c r="E9271" s="7"/>
    </row>
    <row r="9272" spans="3:5">
      <c r="C9272" s="17"/>
      <c r="D9272" s="17"/>
      <c r="E9272" s="7"/>
    </row>
    <row r="9273" spans="3:5">
      <c r="C9273" s="17"/>
      <c r="D9273" s="17"/>
      <c r="E9273" s="7"/>
    </row>
    <row r="9274" spans="3:5">
      <c r="C9274" s="17"/>
      <c r="D9274" s="17"/>
      <c r="E9274" s="7"/>
    </row>
    <row r="9275" spans="3:5">
      <c r="C9275" s="17"/>
      <c r="D9275" s="17"/>
      <c r="E9275" s="7"/>
    </row>
    <row r="9276" spans="3:5">
      <c r="C9276" s="17"/>
      <c r="D9276" s="17"/>
      <c r="E9276" s="7"/>
    </row>
    <row r="9277" spans="3:5">
      <c r="C9277" s="17"/>
      <c r="D9277" s="17"/>
      <c r="E9277" s="7"/>
    </row>
    <row r="9278" spans="3:5">
      <c r="C9278" s="17"/>
      <c r="D9278" s="17"/>
      <c r="E9278" s="7"/>
    </row>
    <row r="9279" spans="3:5">
      <c r="C9279" s="17"/>
      <c r="D9279" s="17"/>
      <c r="E9279" s="7"/>
    </row>
    <row r="9280" spans="3:5">
      <c r="C9280" s="17"/>
      <c r="D9280" s="17"/>
      <c r="E9280" s="7"/>
    </row>
    <row r="9281" spans="3:5">
      <c r="C9281" s="17"/>
      <c r="D9281" s="17"/>
      <c r="E9281" s="7"/>
    </row>
    <row r="9282" spans="3:5">
      <c r="C9282" s="17"/>
      <c r="D9282" s="17"/>
      <c r="E9282" s="7"/>
    </row>
    <row r="9283" spans="3:5">
      <c r="C9283" s="17"/>
      <c r="D9283" s="17"/>
      <c r="E9283" s="7"/>
    </row>
    <row r="9284" spans="3:5">
      <c r="C9284" s="17"/>
      <c r="D9284" s="17"/>
      <c r="E9284" s="7"/>
    </row>
    <row r="9285" spans="3:5">
      <c r="C9285" s="17"/>
      <c r="D9285" s="17"/>
      <c r="E9285" s="7"/>
    </row>
    <row r="9286" spans="3:5">
      <c r="C9286" s="17"/>
      <c r="D9286" s="17"/>
      <c r="E9286" s="7"/>
    </row>
    <row r="9287" spans="3:5">
      <c r="C9287" s="17"/>
      <c r="D9287" s="17"/>
      <c r="E9287" s="7"/>
    </row>
    <row r="9288" spans="3:5">
      <c r="C9288" s="17"/>
      <c r="D9288" s="17"/>
      <c r="E9288" s="7"/>
    </row>
    <row r="9289" spans="3:5">
      <c r="C9289" s="17"/>
      <c r="D9289" s="17"/>
      <c r="E9289" s="7"/>
    </row>
    <row r="9290" spans="3:5">
      <c r="C9290" s="17"/>
      <c r="D9290" s="17"/>
      <c r="E9290" s="7"/>
    </row>
    <row r="9291" spans="3:5">
      <c r="C9291" s="17"/>
      <c r="D9291" s="17"/>
      <c r="E9291" s="7"/>
    </row>
    <row r="9292" spans="3:5">
      <c r="C9292" s="17"/>
      <c r="D9292" s="17"/>
      <c r="E9292" s="7"/>
    </row>
    <row r="9293" spans="3:5">
      <c r="C9293" s="17"/>
      <c r="D9293" s="17"/>
      <c r="E9293" s="7"/>
    </row>
    <row r="9294" spans="3:5">
      <c r="C9294" s="17"/>
      <c r="D9294" s="17"/>
      <c r="E9294" s="7"/>
    </row>
    <row r="9295" spans="3:5">
      <c r="C9295" s="17"/>
      <c r="D9295" s="17"/>
      <c r="E9295" s="7"/>
    </row>
    <row r="9296" spans="3:5">
      <c r="C9296" s="17"/>
      <c r="D9296" s="17"/>
      <c r="E9296" s="7"/>
    </row>
    <row r="9297" spans="3:5">
      <c r="C9297" s="17"/>
      <c r="D9297" s="17"/>
      <c r="E9297" s="7"/>
    </row>
    <row r="9298" spans="3:5">
      <c r="C9298" s="17"/>
      <c r="D9298" s="17"/>
      <c r="E9298" s="7"/>
    </row>
    <row r="9299" spans="3:5">
      <c r="C9299" s="17"/>
      <c r="D9299" s="17"/>
      <c r="E9299" s="7"/>
    </row>
    <row r="9300" spans="3:5">
      <c r="C9300" s="17"/>
      <c r="D9300" s="17"/>
      <c r="E9300" s="7"/>
    </row>
    <row r="9301" spans="3:5">
      <c r="C9301" s="17"/>
      <c r="D9301" s="17"/>
      <c r="E9301" s="7"/>
    </row>
    <row r="9302" spans="3:5">
      <c r="C9302" s="17"/>
      <c r="D9302" s="17"/>
      <c r="E9302" s="7"/>
    </row>
    <row r="9303" spans="3:5">
      <c r="C9303" s="17"/>
      <c r="D9303" s="17"/>
      <c r="E9303" s="7"/>
    </row>
    <row r="9304" spans="3:5">
      <c r="C9304" s="17"/>
      <c r="D9304" s="17"/>
      <c r="E9304" s="7"/>
    </row>
    <row r="9305" spans="3:5">
      <c r="C9305" s="17"/>
      <c r="D9305" s="17"/>
      <c r="E9305" s="7"/>
    </row>
    <row r="9306" spans="3:5">
      <c r="C9306" s="17"/>
      <c r="D9306" s="17"/>
      <c r="E9306" s="7"/>
    </row>
    <row r="9307" spans="3:5">
      <c r="C9307" s="17"/>
      <c r="D9307" s="17"/>
      <c r="E9307" s="7"/>
    </row>
    <row r="9308" spans="3:5">
      <c r="C9308" s="17"/>
      <c r="D9308" s="17"/>
      <c r="E9308" s="7"/>
    </row>
    <row r="9309" spans="3:5">
      <c r="C9309" s="17"/>
      <c r="D9309" s="17"/>
      <c r="E9309" s="7"/>
    </row>
    <row r="9310" spans="3:5">
      <c r="C9310" s="17"/>
      <c r="D9310" s="17"/>
      <c r="E9310" s="7"/>
    </row>
    <row r="9311" spans="3:5">
      <c r="C9311" s="17"/>
      <c r="D9311" s="17"/>
      <c r="E9311" s="7"/>
    </row>
    <row r="9312" spans="3:5">
      <c r="C9312" s="17"/>
      <c r="D9312" s="17"/>
      <c r="E9312" s="7"/>
    </row>
    <row r="9313" spans="3:5">
      <c r="C9313" s="17"/>
      <c r="D9313" s="17"/>
      <c r="E9313" s="7"/>
    </row>
    <row r="9314" spans="3:5">
      <c r="C9314" s="17"/>
      <c r="D9314" s="17"/>
      <c r="E9314" s="7"/>
    </row>
    <row r="9315" spans="3:5">
      <c r="C9315" s="17"/>
      <c r="D9315" s="17"/>
      <c r="E9315" s="7"/>
    </row>
    <row r="9316" spans="3:5">
      <c r="C9316" s="17"/>
      <c r="D9316" s="17"/>
      <c r="E9316" s="7"/>
    </row>
    <row r="9317" spans="3:5">
      <c r="C9317" s="17"/>
      <c r="D9317" s="17"/>
      <c r="E9317" s="7"/>
    </row>
    <row r="9318" spans="3:5">
      <c r="C9318" s="17"/>
      <c r="D9318" s="17"/>
      <c r="E9318" s="7"/>
    </row>
    <row r="9319" spans="3:5">
      <c r="C9319" s="17"/>
      <c r="D9319" s="17"/>
      <c r="E9319" s="7"/>
    </row>
    <row r="9320" spans="3:5">
      <c r="C9320" s="17"/>
      <c r="D9320" s="17"/>
      <c r="E9320" s="7"/>
    </row>
    <row r="9321" spans="3:5">
      <c r="C9321" s="17"/>
      <c r="D9321" s="17"/>
      <c r="E9321" s="7"/>
    </row>
    <row r="9322" spans="3:5">
      <c r="C9322" s="17"/>
      <c r="D9322" s="17"/>
      <c r="E9322" s="7"/>
    </row>
    <row r="9323" spans="3:5">
      <c r="C9323" s="17"/>
      <c r="D9323" s="17"/>
      <c r="E9323" s="7"/>
    </row>
    <row r="9324" spans="3:5">
      <c r="C9324" s="17"/>
      <c r="D9324" s="17"/>
      <c r="E9324" s="7"/>
    </row>
    <row r="9325" spans="3:5">
      <c r="C9325" s="17"/>
      <c r="D9325" s="17"/>
      <c r="E9325" s="7"/>
    </row>
    <row r="9326" spans="3:5">
      <c r="C9326" s="17"/>
      <c r="D9326" s="17"/>
      <c r="E9326" s="7"/>
    </row>
    <row r="9327" spans="3:5">
      <c r="C9327" s="17"/>
      <c r="D9327" s="17"/>
      <c r="E9327" s="7"/>
    </row>
    <row r="9328" spans="3:5">
      <c r="C9328" s="17"/>
      <c r="D9328" s="17"/>
      <c r="E9328" s="7"/>
    </row>
    <row r="9329" spans="3:5">
      <c r="C9329" s="17"/>
      <c r="D9329" s="17"/>
      <c r="E9329" s="7"/>
    </row>
    <row r="9330" spans="3:5">
      <c r="C9330" s="17"/>
      <c r="D9330" s="17"/>
      <c r="E9330" s="7"/>
    </row>
    <row r="9331" spans="3:5">
      <c r="C9331" s="17"/>
      <c r="D9331" s="17"/>
      <c r="E9331" s="7"/>
    </row>
    <row r="9332" spans="3:5">
      <c r="C9332" s="17"/>
      <c r="D9332" s="17"/>
      <c r="E9332" s="7"/>
    </row>
    <row r="9333" spans="3:5">
      <c r="C9333" s="17"/>
      <c r="D9333" s="17"/>
      <c r="E9333" s="7"/>
    </row>
    <row r="9334" spans="3:5">
      <c r="C9334" s="17"/>
      <c r="D9334" s="17"/>
      <c r="E9334" s="7"/>
    </row>
    <row r="9335" spans="3:5">
      <c r="C9335" s="17"/>
      <c r="D9335" s="17"/>
      <c r="E9335" s="7"/>
    </row>
    <row r="9336" spans="3:5">
      <c r="C9336" s="17"/>
      <c r="D9336" s="17"/>
      <c r="E9336" s="7"/>
    </row>
    <row r="9337" spans="3:5">
      <c r="C9337" s="17"/>
      <c r="D9337" s="17"/>
      <c r="E9337" s="7"/>
    </row>
    <row r="9338" spans="3:5">
      <c r="C9338" s="17"/>
      <c r="D9338" s="17"/>
      <c r="E9338" s="7"/>
    </row>
    <row r="9339" spans="3:5">
      <c r="C9339" s="17"/>
      <c r="D9339" s="17"/>
      <c r="E9339" s="7"/>
    </row>
    <row r="9340" spans="3:5">
      <c r="C9340" s="17"/>
      <c r="D9340" s="17"/>
      <c r="E9340" s="7"/>
    </row>
    <row r="9341" spans="3:5">
      <c r="C9341" s="17"/>
      <c r="D9341" s="17"/>
      <c r="E9341" s="7"/>
    </row>
    <row r="9342" spans="3:5">
      <c r="C9342" s="17"/>
      <c r="D9342" s="17"/>
      <c r="E9342" s="7"/>
    </row>
    <row r="9343" spans="3:5">
      <c r="C9343" s="17"/>
      <c r="D9343" s="17"/>
      <c r="E9343" s="7"/>
    </row>
    <row r="9344" spans="3:5">
      <c r="C9344" s="17"/>
      <c r="D9344" s="17"/>
      <c r="E9344" s="7"/>
    </row>
    <row r="9345" spans="3:5">
      <c r="C9345" s="17"/>
      <c r="D9345" s="17"/>
      <c r="E9345" s="7"/>
    </row>
    <row r="9346" spans="3:5">
      <c r="C9346" s="17"/>
      <c r="D9346" s="17"/>
      <c r="E9346" s="7"/>
    </row>
    <row r="9347" spans="3:5">
      <c r="C9347" s="17"/>
      <c r="D9347" s="17"/>
      <c r="E9347" s="7"/>
    </row>
    <row r="9348" spans="3:5">
      <c r="C9348" s="17"/>
      <c r="D9348" s="17"/>
      <c r="E9348" s="7"/>
    </row>
    <row r="9349" spans="3:5">
      <c r="C9349" s="17"/>
      <c r="D9349" s="17"/>
      <c r="E9349" s="7"/>
    </row>
    <row r="9350" spans="3:5">
      <c r="C9350" s="17"/>
      <c r="D9350" s="17"/>
      <c r="E9350" s="7"/>
    </row>
    <row r="9351" spans="3:5">
      <c r="C9351" s="17"/>
      <c r="D9351" s="17"/>
      <c r="E9351" s="7"/>
    </row>
    <row r="9352" spans="3:5">
      <c r="C9352" s="17"/>
      <c r="D9352" s="17"/>
      <c r="E9352" s="7"/>
    </row>
    <row r="9353" spans="3:5">
      <c r="C9353" s="17"/>
      <c r="D9353" s="17"/>
      <c r="E9353" s="7"/>
    </row>
    <row r="9354" spans="3:5">
      <c r="C9354" s="17"/>
      <c r="D9354" s="17"/>
      <c r="E9354" s="7"/>
    </row>
    <row r="9355" spans="3:5">
      <c r="C9355" s="17"/>
      <c r="D9355" s="17"/>
      <c r="E9355" s="7"/>
    </row>
    <row r="9356" spans="3:5">
      <c r="C9356" s="17"/>
      <c r="D9356" s="17"/>
      <c r="E9356" s="7"/>
    </row>
    <row r="9357" spans="3:5">
      <c r="C9357" s="17"/>
      <c r="D9357" s="17"/>
      <c r="E9357" s="7"/>
    </row>
    <row r="9358" spans="3:5">
      <c r="C9358" s="17"/>
      <c r="D9358" s="17"/>
      <c r="E9358" s="7"/>
    </row>
    <row r="9359" spans="3:5">
      <c r="C9359" s="17"/>
      <c r="D9359" s="17"/>
      <c r="E9359" s="7"/>
    </row>
    <row r="9360" spans="3:5">
      <c r="C9360" s="17"/>
      <c r="D9360" s="17"/>
      <c r="E9360" s="7"/>
    </row>
    <row r="9361" spans="3:5">
      <c r="C9361" s="17"/>
      <c r="D9361" s="17"/>
      <c r="E9361" s="7"/>
    </row>
    <row r="9362" spans="3:5">
      <c r="C9362" s="17"/>
      <c r="D9362" s="17"/>
      <c r="E9362" s="7"/>
    </row>
    <row r="9363" spans="3:5">
      <c r="C9363" s="17"/>
      <c r="D9363" s="17"/>
      <c r="E9363" s="7"/>
    </row>
    <row r="9364" spans="3:5">
      <c r="C9364" s="17"/>
      <c r="D9364" s="17"/>
      <c r="E9364" s="7"/>
    </row>
    <row r="9365" spans="3:5">
      <c r="C9365" s="17"/>
      <c r="D9365" s="17"/>
      <c r="E9365" s="7"/>
    </row>
    <row r="9366" spans="3:5">
      <c r="C9366" s="17"/>
      <c r="D9366" s="17"/>
      <c r="E9366" s="7"/>
    </row>
    <row r="9367" spans="3:5">
      <c r="C9367" s="17"/>
      <c r="D9367" s="17"/>
      <c r="E9367" s="7"/>
    </row>
    <row r="9368" spans="3:5">
      <c r="C9368" s="17"/>
      <c r="D9368" s="17"/>
      <c r="E9368" s="7"/>
    </row>
    <row r="9369" spans="3:5">
      <c r="C9369" s="17"/>
      <c r="D9369" s="17"/>
      <c r="E9369" s="7"/>
    </row>
    <row r="9370" spans="3:5">
      <c r="C9370" s="17"/>
      <c r="D9370" s="17"/>
      <c r="E9370" s="7"/>
    </row>
    <row r="9371" spans="3:5">
      <c r="C9371" s="17"/>
      <c r="D9371" s="17"/>
      <c r="E9371" s="7"/>
    </row>
    <row r="9372" spans="3:5">
      <c r="C9372" s="17"/>
      <c r="D9372" s="17"/>
      <c r="E9372" s="7"/>
    </row>
    <row r="9373" spans="3:5">
      <c r="C9373" s="17"/>
      <c r="D9373" s="17"/>
      <c r="E9373" s="7"/>
    </row>
    <row r="9374" spans="3:5">
      <c r="C9374" s="17"/>
      <c r="D9374" s="17"/>
      <c r="E9374" s="7"/>
    </row>
    <row r="9375" spans="3:5">
      <c r="C9375" s="17"/>
      <c r="D9375" s="17"/>
      <c r="E9375" s="7"/>
    </row>
    <row r="9376" spans="3:5">
      <c r="C9376" s="17"/>
      <c r="D9376" s="17"/>
      <c r="E9376" s="7"/>
    </row>
    <row r="9377" spans="3:5">
      <c r="C9377" s="17"/>
      <c r="D9377" s="17"/>
      <c r="E9377" s="7"/>
    </row>
    <row r="9378" spans="3:5">
      <c r="C9378" s="17"/>
      <c r="D9378" s="17"/>
      <c r="E9378" s="7"/>
    </row>
    <row r="9379" spans="3:5">
      <c r="C9379" s="17"/>
      <c r="D9379" s="17"/>
      <c r="E9379" s="7"/>
    </row>
    <row r="9380" spans="3:5">
      <c r="C9380" s="17"/>
      <c r="D9380" s="17"/>
      <c r="E9380" s="7"/>
    </row>
    <row r="9381" spans="3:5">
      <c r="C9381" s="17"/>
      <c r="D9381" s="17"/>
      <c r="E9381" s="7"/>
    </row>
    <row r="9382" spans="3:5">
      <c r="C9382" s="17"/>
      <c r="D9382" s="17"/>
      <c r="E9382" s="7"/>
    </row>
    <row r="9383" spans="3:5">
      <c r="C9383" s="17"/>
      <c r="D9383" s="17"/>
      <c r="E9383" s="7"/>
    </row>
    <row r="9384" spans="3:5">
      <c r="C9384" s="17"/>
      <c r="D9384" s="17"/>
      <c r="E9384" s="7"/>
    </row>
    <row r="9385" spans="3:5">
      <c r="C9385" s="17"/>
      <c r="D9385" s="17"/>
      <c r="E9385" s="7"/>
    </row>
    <row r="9386" spans="3:5">
      <c r="C9386" s="17"/>
      <c r="D9386" s="17"/>
      <c r="E9386" s="7"/>
    </row>
    <row r="9387" spans="3:5">
      <c r="C9387" s="17"/>
      <c r="D9387" s="17"/>
      <c r="E9387" s="7"/>
    </row>
    <row r="9388" spans="3:5">
      <c r="C9388" s="17"/>
      <c r="D9388" s="17"/>
      <c r="E9388" s="7"/>
    </row>
    <row r="9389" spans="3:5">
      <c r="C9389" s="17"/>
      <c r="D9389" s="17"/>
      <c r="E9389" s="7"/>
    </row>
    <row r="9390" spans="3:5">
      <c r="C9390" s="17"/>
      <c r="D9390" s="17"/>
      <c r="E9390" s="7"/>
    </row>
    <row r="9391" spans="3:5">
      <c r="C9391" s="17"/>
      <c r="D9391" s="17"/>
      <c r="E9391" s="7"/>
    </row>
    <row r="9392" spans="3:5">
      <c r="C9392" s="17"/>
      <c r="D9392" s="17"/>
      <c r="E9392" s="7"/>
    </row>
    <row r="9393" spans="3:5">
      <c r="C9393" s="17"/>
      <c r="D9393" s="17"/>
      <c r="E9393" s="7"/>
    </row>
    <row r="9394" spans="3:5">
      <c r="C9394" s="17"/>
      <c r="D9394" s="17"/>
      <c r="E9394" s="7"/>
    </row>
    <row r="9395" spans="3:5">
      <c r="C9395" s="17"/>
      <c r="D9395" s="17"/>
      <c r="E9395" s="7"/>
    </row>
    <row r="9396" spans="3:5">
      <c r="C9396" s="17"/>
      <c r="D9396" s="17"/>
      <c r="E9396" s="7"/>
    </row>
    <row r="9397" spans="3:5">
      <c r="C9397" s="17"/>
      <c r="D9397" s="17"/>
      <c r="E9397" s="7"/>
    </row>
    <row r="9398" spans="3:5">
      <c r="C9398" s="17"/>
      <c r="D9398" s="17"/>
      <c r="E9398" s="7"/>
    </row>
    <row r="9399" spans="3:5">
      <c r="C9399" s="17"/>
      <c r="D9399" s="17"/>
      <c r="E9399" s="7"/>
    </row>
    <row r="9400" spans="3:5">
      <c r="C9400" s="17"/>
      <c r="D9400" s="17"/>
      <c r="E9400" s="7"/>
    </row>
    <row r="9401" spans="3:5">
      <c r="C9401" s="17"/>
      <c r="D9401" s="17"/>
      <c r="E9401" s="7"/>
    </row>
    <row r="9402" spans="3:5">
      <c r="C9402" s="17"/>
      <c r="D9402" s="17"/>
      <c r="E9402" s="7"/>
    </row>
    <row r="9403" spans="3:5">
      <c r="C9403" s="17"/>
      <c r="D9403" s="17"/>
      <c r="E9403" s="7"/>
    </row>
    <row r="9404" spans="3:5">
      <c r="C9404" s="17"/>
      <c r="D9404" s="17"/>
      <c r="E9404" s="7"/>
    </row>
    <row r="9405" spans="3:5">
      <c r="C9405" s="17"/>
      <c r="D9405" s="17"/>
      <c r="E9405" s="7"/>
    </row>
    <row r="9406" spans="3:5">
      <c r="C9406" s="17"/>
      <c r="D9406" s="17"/>
      <c r="E9406" s="7"/>
    </row>
    <row r="9407" spans="3:5">
      <c r="C9407" s="17"/>
      <c r="D9407" s="17"/>
      <c r="E9407" s="7"/>
    </row>
    <row r="9408" spans="3:5">
      <c r="C9408" s="17"/>
      <c r="D9408" s="17"/>
      <c r="E9408" s="7"/>
    </row>
    <row r="9409" spans="3:5">
      <c r="C9409" s="17"/>
      <c r="D9409" s="17"/>
      <c r="E9409" s="7"/>
    </row>
    <row r="9410" spans="3:5">
      <c r="C9410" s="17"/>
      <c r="D9410" s="17"/>
      <c r="E9410" s="7"/>
    </row>
    <row r="9411" spans="3:5">
      <c r="C9411" s="17"/>
      <c r="D9411" s="17"/>
      <c r="E9411" s="7"/>
    </row>
    <row r="9412" spans="3:5">
      <c r="C9412" s="17"/>
      <c r="D9412" s="17"/>
      <c r="E9412" s="7"/>
    </row>
    <row r="9413" spans="3:5">
      <c r="C9413" s="17"/>
      <c r="D9413" s="17"/>
      <c r="E9413" s="7"/>
    </row>
    <row r="9414" spans="3:5">
      <c r="C9414" s="17"/>
      <c r="D9414" s="17"/>
      <c r="E9414" s="7"/>
    </row>
    <row r="9415" spans="3:5">
      <c r="C9415" s="17"/>
      <c r="D9415" s="17"/>
      <c r="E9415" s="7"/>
    </row>
    <row r="9416" spans="3:5">
      <c r="C9416" s="17"/>
      <c r="D9416" s="17"/>
      <c r="E9416" s="7"/>
    </row>
    <row r="9417" spans="3:5">
      <c r="C9417" s="17"/>
      <c r="D9417" s="17"/>
      <c r="E9417" s="7"/>
    </row>
    <row r="9418" spans="3:5">
      <c r="C9418" s="17"/>
      <c r="D9418" s="17"/>
      <c r="E9418" s="7"/>
    </row>
    <row r="9419" spans="3:5">
      <c r="C9419" s="17"/>
      <c r="D9419" s="17"/>
      <c r="E9419" s="7"/>
    </row>
    <row r="9420" spans="3:5">
      <c r="C9420" s="17"/>
      <c r="D9420" s="17"/>
      <c r="E9420" s="7"/>
    </row>
    <row r="9421" spans="3:5">
      <c r="C9421" s="17"/>
      <c r="D9421" s="17"/>
      <c r="E9421" s="7"/>
    </row>
    <row r="9422" spans="3:5">
      <c r="C9422" s="17"/>
      <c r="D9422" s="17"/>
      <c r="E9422" s="7"/>
    </row>
    <row r="9423" spans="3:5">
      <c r="C9423" s="17"/>
      <c r="D9423" s="17"/>
      <c r="E9423" s="7"/>
    </row>
    <row r="9424" spans="3:5">
      <c r="C9424" s="17"/>
      <c r="D9424" s="17"/>
      <c r="E9424" s="7"/>
    </row>
    <row r="9425" spans="3:5">
      <c r="C9425" s="17"/>
      <c r="D9425" s="17"/>
      <c r="E9425" s="7"/>
    </row>
    <row r="9426" spans="3:5">
      <c r="C9426" s="17"/>
      <c r="D9426" s="17"/>
      <c r="E9426" s="7"/>
    </row>
    <row r="9427" spans="3:5">
      <c r="C9427" s="17"/>
      <c r="D9427" s="17"/>
      <c r="E9427" s="7"/>
    </row>
    <row r="9428" spans="3:5">
      <c r="C9428" s="17"/>
      <c r="D9428" s="17"/>
      <c r="E9428" s="7"/>
    </row>
    <row r="9429" spans="3:5">
      <c r="C9429" s="17"/>
      <c r="D9429" s="17"/>
      <c r="E9429" s="7"/>
    </row>
    <row r="9430" spans="3:5">
      <c r="C9430" s="17"/>
      <c r="D9430" s="17"/>
      <c r="E9430" s="7"/>
    </row>
    <row r="9431" spans="3:5">
      <c r="C9431" s="17"/>
      <c r="D9431" s="17"/>
      <c r="E9431" s="7"/>
    </row>
    <row r="9432" spans="3:5">
      <c r="C9432" s="17"/>
      <c r="D9432" s="17"/>
      <c r="E9432" s="7"/>
    </row>
    <row r="9433" spans="3:5">
      <c r="C9433" s="17"/>
      <c r="D9433" s="17"/>
      <c r="E9433" s="7"/>
    </row>
    <row r="9434" spans="3:5">
      <c r="C9434" s="17"/>
      <c r="D9434" s="17"/>
      <c r="E9434" s="7"/>
    </row>
    <row r="9435" spans="3:5">
      <c r="C9435" s="17"/>
      <c r="D9435" s="17"/>
      <c r="E9435" s="7"/>
    </row>
    <row r="9436" spans="3:5">
      <c r="C9436" s="17"/>
      <c r="D9436" s="17"/>
      <c r="E9436" s="7"/>
    </row>
    <row r="9437" spans="3:5">
      <c r="C9437" s="17"/>
      <c r="D9437" s="17"/>
      <c r="E9437" s="7"/>
    </row>
    <row r="9438" spans="3:5">
      <c r="C9438" s="17"/>
      <c r="D9438" s="17"/>
      <c r="E9438" s="7"/>
    </row>
    <row r="9439" spans="3:5">
      <c r="C9439" s="17"/>
      <c r="D9439" s="17"/>
      <c r="E9439" s="7"/>
    </row>
    <row r="9440" spans="3:5">
      <c r="C9440" s="17"/>
      <c r="D9440" s="17"/>
      <c r="E9440" s="7"/>
    </row>
    <row r="9441" spans="3:5">
      <c r="C9441" s="17"/>
      <c r="D9441" s="17"/>
      <c r="E9441" s="7"/>
    </row>
    <row r="9442" spans="3:5">
      <c r="C9442" s="17"/>
      <c r="D9442" s="17"/>
      <c r="E9442" s="7"/>
    </row>
    <row r="9443" spans="3:5">
      <c r="C9443" s="17"/>
      <c r="D9443" s="17"/>
      <c r="E9443" s="7"/>
    </row>
    <row r="9444" spans="3:5">
      <c r="C9444" s="17"/>
      <c r="D9444" s="17"/>
      <c r="E9444" s="7"/>
    </row>
    <row r="9445" spans="3:5">
      <c r="C9445" s="17"/>
      <c r="D9445" s="17"/>
      <c r="E9445" s="7"/>
    </row>
    <row r="9446" spans="3:5">
      <c r="C9446" s="17"/>
      <c r="D9446" s="17"/>
      <c r="E9446" s="7"/>
    </row>
    <row r="9447" spans="3:5">
      <c r="C9447" s="17"/>
      <c r="D9447" s="17"/>
      <c r="E9447" s="7"/>
    </row>
    <row r="9448" spans="3:5">
      <c r="C9448" s="17"/>
      <c r="D9448" s="17"/>
      <c r="E9448" s="7"/>
    </row>
    <row r="9449" spans="3:5">
      <c r="C9449" s="17"/>
      <c r="D9449" s="17"/>
      <c r="E9449" s="7"/>
    </row>
    <row r="9450" spans="3:5">
      <c r="C9450" s="17"/>
      <c r="D9450" s="17"/>
      <c r="E9450" s="7"/>
    </row>
    <row r="9451" spans="3:5">
      <c r="C9451" s="17"/>
      <c r="D9451" s="17"/>
      <c r="E9451" s="7"/>
    </row>
    <row r="9452" spans="3:5">
      <c r="C9452" s="17"/>
      <c r="D9452" s="17"/>
      <c r="E9452" s="7"/>
    </row>
    <row r="9453" spans="3:5">
      <c r="C9453" s="17"/>
      <c r="D9453" s="17"/>
      <c r="E9453" s="7"/>
    </row>
    <row r="9454" spans="3:5">
      <c r="C9454" s="17"/>
      <c r="D9454" s="17"/>
      <c r="E9454" s="7"/>
    </row>
    <row r="9455" spans="3:5">
      <c r="C9455" s="17"/>
      <c r="D9455" s="17"/>
      <c r="E9455" s="7"/>
    </row>
    <row r="9456" spans="3:5">
      <c r="C9456" s="17"/>
      <c r="D9456" s="17"/>
      <c r="E9456" s="7"/>
    </row>
    <row r="9457" spans="3:5">
      <c r="C9457" s="17"/>
      <c r="D9457" s="17"/>
      <c r="E9457" s="7"/>
    </row>
    <row r="9458" spans="3:5">
      <c r="C9458" s="17"/>
      <c r="D9458" s="17"/>
      <c r="E9458" s="7"/>
    </row>
    <row r="9459" spans="3:5">
      <c r="C9459" s="17"/>
      <c r="D9459" s="17"/>
      <c r="E9459" s="7"/>
    </row>
    <row r="9460" spans="3:5">
      <c r="C9460" s="17"/>
      <c r="D9460" s="17"/>
      <c r="E9460" s="7"/>
    </row>
    <row r="9461" spans="3:5">
      <c r="C9461" s="17"/>
      <c r="D9461" s="17"/>
      <c r="E9461" s="7"/>
    </row>
    <row r="9462" spans="3:5">
      <c r="C9462" s="17"/>
      <c r="D9462" s="17"/>
      <c r="E9462" s="7"/>
    </row>
    <row r="9463" spans="3:5">
      <c r="C9463" s="17"/>
      <c r="D9463" s="17"/>
      <c r="E9463" s="7"/>
    </row>
    <row r="9464" spans="3:5">
      <c r="C9464" s="17"/>
      <c r="D9464" s="17"/>
      <c r="E9464" s="7"/>
    </row>
    <row r="9465" spans="3:5">
      <c r="C9465" s="17"/>
      <c r="D9465" s="17"/>
      <c r="E9465" s="7"/>
    </row>
    <row r="9466" spans="3:5">
      <c r="C9466" s="17"/>
      <c r="D9466" s="17"/>
      <c r="E9466" s="7"/>
    </row>
    <row r="9467" spans="3:5">
      <c r="C9467" s="17"/>
      <c r="D9467" s="17"/>
      <c r="E9467" s="7"/>
    </row>
    <row r="9468" spans="3:5">
      <c r="C9468" s="17"/>
      <c r="D9468" s="17"/>
      <c r="E9468" s="7"/>
    </row>
    <row r="9469" spans="3:5">
      <c r="C9469" s="17"/>
      <c r="D9469" s="17"/>
      <c r="E9469" s="7"/>
    </row>
    <row r="9470" spans="3:5">
      <c r="C9470" s="17"/>
      <c r="D9470" s="17"/>
      <c r="E9470" s="7"/>
    </row>
    <row r="9471" spans="3:5">
      <c r="C9471" s="17"/>
      <c r="D9471" s="17"/>
      <c r="E9471" s="7"/>
    </row>
    <row r="9472" spans="3:5">
      <c r="C9472" s="17"/>
      <c r="D9472" s="17"/>
      <c r="E9472" s="7"/>
    </row>
    <row r="9473" spans="3:5">
      <c r="C9473" s="17"/>
      <c r="D9473" s="17"/>
      <c r="E9473" s="7"/>
    </row>
    <row r="9474" spans="3:5">
      <c r="C9474" s="17"/>
      <c r="D9474" s="17"/>
      <c r="E9474" s="7"/>
    </row>
    <row r="9475" spans="3:5">
      <c r="C9475" s="17"/>
      <c r="D9475" s="17"/>
      <c r="E9475" s="7"/>
    </row>
    <row r="9476" spans="3:5">
      <c r="C9476" s="17"/>
      <c r="D9476" s="17"/>
      <c r="E9476" s="7"/>
    </row>
    <row r="9477" spans="3:5">
      <c r="C9477" s="17"/>
      <c r="D9477" s="17"/>
      <c r="E9477" s="7"/>
    </row>
    <row r="9478" spans="3:5">
      <c r="C9478" s="17"/>
      <c r="D9478" s="17"/>
      <c r="E9478" s="7"/>
    </row>
    <row r="9479" spans="3:5">
      <c r="C9479" s="17"/>
      <c r="D9479" s="17"/>
      <c r="E9479" s="7"/>
    </row>
    <row r="9480" spans="3:5">
      <c r="C9480" s="17"/>
      <c r="D9480" s="17"/>
      <c r="E9480" s="7"/>
    </row>
    <row r="9481" spans="3:5">
      <c r="C9481" s="17"/>
      <c r="D9481" s="17"/>
      <c r="E9481" s="7"/>
    </row>
    <row r="9482" spans="3:5">
      <c r="C9482" s="17"/>
      <c r="D9482" s="17"/>
      <c r="E9482" s="7"/>
    </row>
    <row r="9483" spans="3:5">
      <c r="C9483" s="17"/>
      <c r="D9483" s="17"/>
      <c r="E9483" s="7"/>
    </row>
    <row r="9484" spans="3:5">
      <c r="C9484" s="17"/>
      <c r="D9484" s="17"/>
      <c r="E9484" s="7"/>
    </row>
    <row r="9485" spans="3:5">
      <c r="C9485" s="17"/>
      <c r="D9485" s="17"/>
      <c r="E9485" s="7"/>
    </row>
    <row r="9486" spans="3:5">
      <c r="C9486" s="17"/>
      <c r="D9486" s="17"/>
      <c r="E9486" s="7"/>
    </row>
    <row r="9487" spans="3:5">
      <c r="C9487" s="17"/>
      <c r="D9487" s="17"/>
      <c r="E9487" s="7"/>
    </row>
    <row r="9488" spans="3:5">
      <c r="C9488" s="17"/>
      <c r="D9488" s="17"/>
      <c r="E9488" s="7"/>
    </row>
    <row r="9489" spans="3:5">
      <c r="C9489" s="17"/>
      <c r="D9489" s="17"/>
      <c r="E9489" s="7"/>
    </row>
    <row r="9490" spans="3:5">
      <c r="C9490" s="17"/>
      <c r="D9490" s="17"/>
      <c r="E9490" s="7"/>
    </row>
    <row r="9491" spans="3:5">
      <c r="C9491" s="17"/>
      <c r="D9491" s="17"/>
      <c r="E9491" s="7"/>
    </row>
    <row r="9492" spans="3:5">
      <c r="C9492" s="17"/>
      <c r="D9492" s="17"/>
      <c r="E9492" s="7"/>
    </row>
    <row r="9493" spans="3:5">
      <c r="C9493" s="17"/>
      <c r="D9493" s="17"/>
      <c r="E9493" s="7"/>
    </row>
    <row r="9494" spans="3:5">
      <c r="C9494" s="17"/>
      <c r="D9494" s="17"/>
      <c r="E9494" s="7"/>
    </row>
    <row r="9495" spans="3:5">
      <c r="C9495" s="17"/>
      <c r="D9495" s="17"/>
      <c r="E9495" s="7"/>
    </row>
    <row r="9496" spans="3:5">
      <c r="C9496" s="17"/>
      <c r="D9496" s="17"/>
      <c r="E9496" s="7"/>
    </row>
    <row r="9497" spans="3:5">
      <c r="C9497" s="17"/>
      <c r="D9497" s="17"/>
      <c r="E9497" s="7"/>
    </row>
    <row r="9498" spans="3:5">
      <c r="C9498" s="17"/>
      <c r="D9498" s="17"/>
      <c r="E9498" s="7"/>
    </row>
    <row r="9499" spans="3:5">
      <c r="C9499" s="17"/>
      <c r="D9499" s="17"/>
      <c r="E9499" s="7"/>
    </row>
    <row r="9500" spans="3:5">
      <c r="C9500" s="17"/>
      <c r="D9500" s="17"/>
      <c r="E9500" s="7"/>
    </row>
    <row r="9501" spans="3:5">
      <c r="C9501" s="17"/>
      <c r="D9501" s="17"/>
      <c r="E9501" s="7"/>
    </row>
    <row r="9502" spans="3:5">
      <c r="C9502" s="17"/>
      <c r="D9502" s="17"/>
      <c r="E9502" s="7"/>
    </row>
    <row r="9503" spans="3:5">
      <c r="C9503" s="17"/>
      <c r="D9503" s="17"/>
      <c r="E9503" s="7"/>
    </row>
    <row r="9504" spans="3:5">
      <c r="C9504" s="17"/>
      <c r="D9504" s="17"/>
      <c r="E9504" s="7"/>
    </row>
    <row r="9505" spans="3:5">
      <c r="C9505" s="17"/>
      <c r="D9505" s="17"/>
      <c r="E9505" s="7"/>
    </row>
    <row r="9506" spans="3:5">
      <c r="C9506" s="17"/>
      <c r="D9506" s="17"/>
      <c r="E9506" s="7"/>
    </row>
    <row r="9507" spans="3:5">
      <c r="C9507" s="17"/>
      <c r="D9507" s="17"/>
      <c r="E9507" s="7"/>
    </row>
    <row r="9508" spans="3:5">
      <c r="C9508" s="17"/>
      <c r="D9508" s="17"/>
      <c r="E9508" s="7"/>
    </row>
    <row r="9509" spans="3:5">
      <c r="C9509" s="17"/>
      <c r="D9509" s="17"/>
      <c r="E9509" s="7"/>
    </row>
    <row r="9510" spans="3:5">
      <c r="C9510" s="17"/>
      <c r="D9510" s="17"/>
      <c r="E9510" s="7"/>
    </row>
    <row r="9511" spans="3:5">
      <c r="C9511" s="17"/>
      <c r="D9511" s="17"/>
      <c r="E9511" s="7"/>
    </row>
    <row r="9512" spans="3:5">
      <c r="C9512" s="17"/>
      <c r="D9512" s="17"/>
      <c r="E9512" s="7"/>
    </row>
    <row r="9513" spans="3:5">
      <c r="C9513" s="17"/>
      <c r="D9513" s="17"/>
      <c r="E9513" s="7"/>
    </row>
    <row r="9514" spans="3:5">
      <c r="C9514" s="17"/>
      <c r="D9514" s="17"/>
      <c r="E9514" s="7"/>
    </row>
    <row r="9515" spans="3:5">
      <c r="C9515" s="17"/>
      <c r="D9515" s="17"/>
      <c r="E9515" s="7"/>
    </row>
    <row r="9516" spans="3:5">
      <c r="C9516" s="17"/>
      <c r="D9516" s="17"/>
      <c r="E9516" s="7"/>
    </row>
    <row r="9517" spans="3:5">
      <c r="C9517" s="17"/>
      <c r="D9517" s="17"/>
      <c r="E9517" s="7"/>
    </row>
    <row r="9518" spans="3:5">
      <c r="C9518" s="17"/>
      <c r="D9518" s="17"/>
      <c r="E9518" s="7"/>
    </row>
    <row r="9519" spans="3:5">
      <c r="C9519" s="17"/>
      <c r="D9519" s="17"/>
      <c r="E9519" s="7"/>
    </row>
    <row r="9520" spans="3:5">
      <c r="C9520" s="17"/>
      <c r="D9520" s="17"/>
      <c r="E9520" s="7"/>
    </row>
    <row r="9521" spans="3:5">
      <c r="C9521" s="17"/>
      <c r="D9521" s="17"/>
      <c r="E9521" s="7"/>
    </row>
    <row r="9522" spans="3:5">
      <c r="C9522" s="17"/>
      <c r="D9522" s="17"/>
      <c r="E9522" s="7"/>
    </row>
    <row r="9523" spans="3:5">
      <c r="C9523" s="17"/>
      <c r="D9523" s="17"/>
      <c r="E9523" s="7"/>
    </row>
    <row r="9524" spans="3:5">
      <c r="C9524" s="17"/>
      <c r="D9524" s="17"/>
      <c r="E9524" s="7"/>
    </row>
    <row r="9525" spans="3:5">
      <c r="C9525" s="17"/>
      <c r="D9525" s="17"/>
      <c r="E9525" s="7"/>
    </row>
    <row r="9526" spans="3:5">
      <c r="C9526" s="17"/>
      <c r="D9526" s="17"/>
      <c r="E9526" s="7"/>
    </row>
    <row r="9527" spans="3:5">
      <c r="C9527" s="17"/>
      <c r="D9527" s="17"/>
      <c r="E9527" s="7"/>
    </row>
    <row r="9528" spans="3:5">
      <c r="C9528" s="17"/>
      <c r="D9528" s="17"/>
      <c r="E9528" s="7"/>
    </row>
    <row r="9529" spans="3:5">
      <c r="C9529" s="17"/>
      <c r="D9529" s="17"/>
      <c r="E9529" s="7"/>
    </row>
    <row r="9530" spans="3:5">
      <c r="C9530" s="17"/>
      <c r="D9530" s="17"/>
      <c r="E9530" s="7"/>
    </row>
    <row r="9531" spans="3:5">
      <c r="C9531" s="17"/>
      <c r="D9531" s="17"/>
      <c r="E9531" s="7"/>
    </row>
    <row r="9532" spans="3:5">
      <c r="C9532" s="17"/>
      <c r="D9532" s="17"/>
      <c r="E9532" s="7"/>
    </row>
    <row r="9533" spans="3:5">
      <c r="C9533" s="17"/>
      <c r="D9533" s="17"/>
      <c r="E9533" s="7"/>
    </row>
    <row r="9534" spans="3:5">
      <c r="C9534" s="17"/>
      <c r="D9534" s="17"/>
      <c r="E9534" s="7"/>
    </row>
    <row r="9535" spans="3:5">
      <c r="C9535" s="17"/>
      <c r="D9535" s="17"/>
      <c r="E9535" s="7"/>
    </row>
    <row r="9536" spans="3:5">
      <c r="C9536" s="17"/>
      <c r="D9536" s="17"/>
      <c r="E9536" s="7"/>
    </row>
    <row r="9537" spans="3:5">
      <c r="C9537" s="17"/>
      <c r="D9537" s="17"/>
      <c r="E9537" s="7"/>
    </row>
    <row r="9538" spans="3:5">
      <c r="C9538" s="17"/>
      <c r="D9538" s="17"/>
      <c r="E9538" s="7"/>
    </row>
    <row r="9539" spans="3:5">
      <c r="C9539" s="17"/>
      <c r="D9539" s="17"/>
      <c r="E9539" s="7"/>
    </row>
    <row r="9540" spans="3:5">
      <c r="C9540" s="17"/>
      <c r="D9540" s="17"/>
      <c r="E9540" s="7"/>
    </row>
    <row r="9541" spans="3:5">
      <c r="C9541" s="17"/>
      <c r="D9541" s="17"/>
      <c r="E9541" s="7"/>
    </row>
    <row r="9542" spans="3:5">
      <c r="C9542" s="17"/>
      <c r="D9542" s="17"/>
      <c r="E9542" s="7"/>
    </row>
    <row r="9543" spans="3:5">
      <c r="C9543" s="17"/>
      <c r="D9543" s="17"/>
      <c r="E9543" s="7"/>
    </row>
    <row r="9544" spans="3:5">
      <c r="C9544" s="17"/>
      <c r="D9544" s="17"/>
      <c r="E9544" s="7"/>
    </row>
    <row r="9545" spans="3:5">
      <c r="C9545" s="17"/>
      <c r="D9545" s="17"/>
      <c r="E9545" s="7"/>
    </row>
    <row r="9546" spans="3:5">
      <c r="C9546" s="17"/>
      <c r="D9546" s="17"/>
      <c r="E9546" s="7"/>
    </row>
    <row r="9547" spans="3:5">
      <c r="C9547" s="17"/>
      <c r="D9547" s="17"/>
      <c r="E9547" s="7"/>
    </row>
    <row r="9548" spans="3:5">
      <c r="C9548" s="17"/>
      <c r="D9548" s="17"/>
      <c r="E9548" s="7"/>
    </row>
    <row r="9549" spans="3:5">
      <c r="C9549" s="17"/>
      <c r="D9549" s="17"/>
      <c r="E9549" s="7"/>
    </row>
    <row r="9550" spans="3:5">
      <c r="C9550" s="17"/>
      <c r="D9550" s="17"/>
      <c r="E9550" s="7"/>
    </row>
    <row r="9551" spans="3:5">
      <c r="C9551" s="17"/>
      <c r="D9551" s="17"/>
      <c r="E9551" s="7"/>
    </row>
    <row r="9552" spans="3:5">
      <c r="C9552" s="17"/>
      <c r="D9552" s="17"/>
      <c r="E9552" s="7"/>
    </row>
    <row r="9553" spans="3:5">
      <c r="C9553" s="17"/>
      <c r="D9553" s="17"/>
      <c r="E9553" s="7"/>
    </row>
    <row r="9554" spans="3:5">
      <c r="C9554" s="17"/>
      <c r="D9554" s="17"/>
      <c r="E9554" s="7"/>
    </row>
    <row r="9555" spans="3:5">
      <c r="C9555" s="17"/>
      <c r="D9555" s="17"/>
      <c r="E9555" s="7"/>
    </row>
    <row r="9556" spans="3:5">
      <c r="C9556" s="17"/>
      <c r="D9556" s="17"/>
      <c r="E9556" s="7"/>
    </row>
    <row r="9557" spans="3:5">
      <c r="C9557" s="17"/>
      <c r="D9557" s="17"/>
      <c r="E9557" s="7"/>
    </row>
    <row r="9558" spans="3:5">
      <c r="C9558" s="17"/>
      <c r="D9558" s="17"/>
      <c r="E9558" s="7"/>
    </row>
    <row r="9559" spans="3:5">
      <c r="C9559" s="17"/>
      <c r="D9559" s="17"/>
      <c r="E9559" s="7"/>
    </row>
    <row r="9560" spans="3:5">
      <c r="C9560" s="17"/>
      <c r="D9560" s="17"/>
      <c r="E9560" s="7"/>
    </row>
    <row r="9561" spans="3:5">
      <c r="C9561" s="17"/>
      <c r="D9561" s="17"/>
      <c r="E9561" s="7"/>
    </row>
    <row r="9562" spans="3:5">
      <c r="C9562" s="17"/>
      <c r="D9562" s="17"/>
      <c r="E9562" s="7"/>
    </row>
    <row r="9563" spans="3:5">
      <c r="C9563" s="17"/>
      <c r="D9563" s="17"/>
      <c r="E9563" s="7"/>
    </row>
    <row r="9564" spans="3:5">
      <c r="C9564" s="17"/>
      <c r="D9564" s="17"/>
      <c r="E9564" s="7"/>
    </row>
    <row r="9565" spans="3:5">
      <c r="C9565" s="17"/>
      <c r="D9565" s="17"/>
      <c r="E9565" s="7"/>
    </row>
    <row r="9566" spans="3:5">
      <c r="C9566" s="17"/>
      <c r="D9566" s="17"/>
      <c r="E9566" s="7"/>
    </row>
    <row r="9567" spans="3:5">
      <c r="C9567" s="17"/>
      <c r="D9567" s="17"/>
      <c r="E9567" s="7"/>
    </row>
    <row r="9568" spans="3:5">
      <c r="C9568" s="17"/>
      <c r="D9568" s="17"/>
      <c r="E9568" s="7"/>
    </row>
    <row r="9569" spans="3:5">
      <c r="C9569" s="17"/>
      <c r="D9569" s="17"/>
      <c r="E9569" s="7"/>
    </row>
    <row r="9570" spans="3:5">
      <c r="C9570" s="17"/>
      <c r="D9570" s="17"/>
      <c r="E9570" s="7"/>
    </row>
    <row r="9571" spans="3:5">
      <c r="C9571" s="17"/>
      <c r="D9571" s="17"/>
      <c r="E9571" s="7"/>
    </row>
    <row r="9572" spans="3:5">
      <c r="C9572" s="17"/>
      <c r="D9572" s="17"/>
      <c r="E9572" s="7"/>
    </row>
    <row r="9573" spans="3:5">
      <c r="C9573" s="17"/>
      <c r="D9573" s="17"/>
      <c r="E9573" s="7"/>
    </row>
    <row r="9574" spans="3:5">
      <c r="C9574" s="17"/>
      <c r="D9574" s="17"/>
      <c r="E9574" s="7"/>
    </row>
    <row r="9575" spans="3:5">
      <c r="C9575" s="17"/>
      <c r="D9575" s="17"/>
      <c r="E9575" s="7"/>
    </row>
    <row r="9576" spans="3:5">
      <c r="C9576" s="17"/>
      <c r="D9576" s="17"/>
      <c r="E9576" s="7"/>
    </row>
    <row r="9577" spans="3:5">
      <c r="C9577" s="17"/>
      <c r="D9577" s="17"/>
      <c r="E9577" s="7"/>
    </row>
    <row r="9578" spans="3:5">
      <c r="C9578" s="17"/>
      <c r="D9578" s="17"/>
      <c r="E9578" s="7"/>
    </row>
    <row r="9579" spans="3:5">
      <c r="C9579" s="17"/>
      <c r="D9579" s="17"/>
      <c r="E9579" s="7"/>
    </row>
    <row r="9580" spans="3:5">
      <c r="C9580" s="17"/>
      <c r="D9580" s="17"/>
      <c r="E9580" s="7"/>
    </row>
    <row r="9581" spans="3:5">
      <c r="C9581" s="17"/>
      <c r="D9581" s="17"/>
      <c r="E9581" s="7"/>
    </row>
    <row r="9582" spans="3:5">
      <c r="C9582" s="17"/>
      <c r="D9582" s="17"/>
      <c r="E9582" s="7"/>
    </row>
    <row r="9583" spans="3:5">
      <c r="C9583" s="17"/>
      <c r="D9583" s="17"/>
      <c r="E9583" s="7"/>
    </row>
    <row r="9584" spans="3:5">
      <c r="C9584" s="17"/>
      <c r="D9584" s="17"/>
      <c r="E9584" s="7"/>
    </row>
    <row r="9585" spans="3:5">
      <c r="C9585" s="17"/>
      <c r="D9585" s="17"/>
      <c r="E9585" s="7"/>
    </row>
    <row r="9586" spans="3:5">
      <c r="C9586" s="17"/>
      <c r="D9586" s="17"/>
      <c r="E9586" s="7"/>
    </row>
    <row r="9587" spans="3:5">
      <c r="C9587" s="17"/>
      <c r="D9587" s="17"/>
      <c r="E9587" s="7"/>
    </row>
    <row r="9588" spans="3:5">
      <c r="C9588" s="17"/>
      <c r="D9588" s="17"/>
      <c r="E9588" s="7"/>
    </row>
    <row r="9589" spans="3:5">
      <c r="C9589" s="17"/>
      <c r="D9589" s="17"/>
      <c r="E9589" s="7"/>
    </row>
    <row r="9590" spans="3:5">
      <c r="C9590" s="17"/>
      <c r="D9590" s="17"/>
      <c r="E9590" s="7"/>
    </row>
    <row r="9591" spans="3:5">
      <c r="C9591" s="17"/>
      <c r="D9591" s="17"/>
      <c r="E9591" s="7"/>
    </row>
    <row r="9592" spans="3:5">
      <c r="C9592" s="17"/>
      <c r="D9592" s="17"/>
      <c r="E9592" s="7"/>
    </row>
    <row r="9593" spans="3:5">
      <c r="C9593" s="17"/>
      <c r="D9593" s="17"/>
      <c r="E9593" s="7"/>
    </row>
    <row r="9594" spans="3:5">
      <c r="C9594" s="17"/>
      <c r="D9594" s="17"/>
      <c r="E9594" s="7"/>
    </row>
    <row r="9595" spans="3:5">
      <c r="C9595" s="17"/>
      <c r="D9595" s="17"/>
      <c r="E9595" s="7"/>
    </row>
    <row r="9596" spans="3:5">
      <c r="C9596" s="17"/>
      <c r="D9596" s="17"/>
      <c r="E9596" s="7"/>
    </row>
    <row r="9597" spans="3:5">
      <c r="C9597" s="17"/>
      <c r="D9597" s="17"/>
      <c r="E9597" s="7"/>
    </row>
    <row r="9598" spans="3:5">
      <c r="C9598" s="17"/>
      <c r="D9598" s="17"/>
      <c r="E9598" s="7"/>
    </row>
    <row r="9599" spans="3:5">
      <c r="C9599" s="17"/>
      <c r="D9599" s="17"/>
      <c r="E9599" s="7"/>
    </row>
    <row r="9600" spans="3:5">
      <c r="C9600" s="17"/>
      <c r="D9600" s="17"/>
      <c r="E9600" s="7"/>
    </row>
    <row r="9601" spans="3:5">
      <c r="C9601" s="17"/>
      <c r="D9601" s="17"/>
      <c r="E9601" s="7"/>
    </row>
    <row r="9602" spans="3:5">
      <c r="C9602" s="17"/>
      <c r="D9602" s="17"/>
      <c r="E9602" s="7"/>
    </row>
    <row r="9603" spans="3:5">
      <c r="C9603" s="17"/>
      <c r="D9603" s="17"/>
      <c r="E9603" s="7"/>
    </row>
    <row r="9604" spans="3:5">
      <c r="C9604" s="17"/>
      <c r="D9604" s="17"/>
      <c r="E9604" s="7"/>
    </row>
    <row r="9605" spans="3:5">
      <c r="C9605" s="17"/>
      <c r="D9605" s="17"/>
      <c r="E9605" s="7"/>
    </row>
    <row r="9606" spans="3:5">
      <c r="C9606" s="17"/>
      <c r="D9606" s="17"/>
      <c r="E9606" s="7"/>
    </row>
    <row r="9607" spans="3:5">
      <c r="C9607" s="17"/>
      <c r="D9607" s="17"/>
      <c r="E9607" s="7"/>
    </row>
    <row r="9608" spans="3:5">
      <c r="C9608" s="17"/>
      <c r="D9608" s="17"/>
      <c r="E9608" s="7"/>
    </row>
    <row r="9609" spans="3:5">
      <c r="C9609" s="17"/>
      <c r="D9609" s="17"/>
      <c r="E9609" s="7"/>
    </row>
    <row r="9610" spans="3:5">
      <c r="C9610" s="17"/>
      <c r="D9610" s="17"/>
      <c r="E9610" s="7"/>
    </row>
    <row r="9611" spans="3:5">
      <c r="C9611" s="17"/>
      <c r="D9611" s="17"/>
      <c r="E9611" s="7"/>
    </row>
    <row r="9612" spans="3:5">
      <c r="C9612" s="17"/>
      <c r="D9612" s="17"/>
      <c r="E9612" s="7"/>
    </row>
    <row r="9613" spans="3:5">
      <c r="C9613" s="17"/>
      <c r="D9613" s="17"/>
      <c r="E9613" s="7"/>
    </row>
    <row r="9614" spans="3:5">
      <c r="C9614" s="17"/>
      <c r="D9614" s="17"/>
      <c r="E9614" s="7"/>
    </row>
    <row r="9615" spans="3:5">
      <c r="C9615" s="17"/>
      <c r="D9615" s="17"/>
      <c r="E9615" s="7"/>
    </row>
    <row r="9616" spans="3:5">
      <c r="C9616" s="17"/>
      <c r="D9616" s="17"/>
      <c r="E9616" s="7"/>
    </row>
    <row r="9617" spans="3:5">
      <c r="C9617" s="17"/>
      <c r="D9617" s="17"/>
      <c r="E9617" s="7"/>
    </row>
    <row r="9618" spans="3:5">
      <c r="C9618" s="17"/>
      <c r="D9618" s="17"/>
      <c r="E9618" s="7"/>
    </row>
    <row r="9619" spans="3:5">
      <c r="C9619" s="17"/>
      <c r="D9619" s="17"/>
      <c r="E9619" s="7"/>
    </row>
    <row r="9620" spans="3:5">
      <c r="C9620" s="17"/>
      <c r="D9620" s="17"/>
      <c r="E9620" s="7"/>
    </row>
    <row r="9621" spans="3:5">
      <c r="C9621" s="17"/>
      <c r="D9621" s="17"/>
      <c r="E9621" s="7"/>
    </row>
    <row r="9622" spans="3:5">
      <c r="C9622" s="17"/>
      <c r="D9622" s="17"/>
      <c r="E9622" s="7"/>
    </row>
    <row r="9623" spans="3:5">
      <c r="C9623" s="17"/>
      <c r="D9623" s="17"/>
      <c r="E9623" s="7"/>
    </row>
    <row r="9624" spans="3:5">
      <c r="C9624" s="17"/>
      <c r="D9624" s="17"/>
      <c r="E9624" s="7"/>
    </row>
    <row r="9625" spans="3:5">
      <c r="C9625" s="17"/>
      <c r="D9625" s="17"/>
      <c r="E9625" s="7"/>
    </row>
    <row r="9626" spans="3:5">
      <c r="C9626" s="17"/>
      <c r="D9626" s="17"/>
      <c r="E9626" s="7"/>
    </row>
    <row r="9627" spans="3:5">
      <c r="C9627" s="17"/>
      <c r="D9627" s="17"/>
      <c r="E9627" s="7"/>
    </row>
    <row r="9628" spans="3:5">
      <c r="C9628" s="17"/>
      <c r="D9628" s="17"/>
      <c r="E9628" s="7"/>
    </row>
    <row r="9629" spans="3:5">
      <c r="C9629" s="17"/>
      <c r="D9629" s="17"/>
      <c r="E9629" s="7"/>
    </row>
    <row r="9630" spans="3:5">
      <c r="C9630" s="17"/>
      <c r="D9630" s="17"/>
      <c r="E9630" s="7"/>
    </row>
    <row r="9631" spans="3:5">
      <c r="C9631" s="17"/>
      <c r="D9631" s="17"/>
      <c r="E9631" s="7"/>
    </row>
    <row r="9632" spans="3:5">
      <c r="C9632" s="17"/>
      <c r="D9632" s="17"/>
      <c r="E9632" s="7"/>
    </row>
    <row r="9633" spans="3:5">
      <c r="C9633" s="17"/>
      <c r="D9633" s="17"/>
      <c r="E9633" s="7"/>
    </row>
    <row r="9634" spans="3:5">
      <c r="C9634" s="17"/>
      <c r="D9634" s="17"/>
      <c r="E9634" s="7"/>
    </row>
    <row r="9635" spans="3:5">
      <c r="C9635" s="17"/>
      <c r="D9635" s="17"/>
      <c r="E9635" s="7"/>
    </row>
    <row r="9636" spans="3:5">
      <c r="C9636" s="17"/>
      <c r="D9636" s="17"/>
      <c r="E9636" s="7"/>
    </row>
    <row r="9637" spans="3:5">
      <c r="C9637" s="17"/>
      <c r="D9637" s="17"/>
      <c r="E9637" s="7"/>
    </row>
    <row r="9638" spans="3:5">
      <c r="C9638" s="17"/>
      <c r="D9638" s="17"/>
      <c r="E9638" s="7"/>
    </row>
    <row r="9639" spans="3:5">
      <c r="C9639" s="17"/>
      <c r="D9639" s="17"/>
      <c r="E9639" s="7"/>
    </row>
    <row r="9640" spans="3:5">
      <c r="C9640" s="17"/>
      <c r="D9640" s="17"/>
      <c r="E9640" s="7"/>
    </row>
    <row r="9641" spans="3:5">
      <c r="C9641" s="17"/>
      <c r="D9641" s="17"/>
      <c r="E9641" s="7"/>
    </row>
    <row r="9642" spans="3:5">
      <c r="C9642" s="17"/>
      <c r="D9642" s="17"/>
      <c r="E9642" s="7"/>
    </row>
    <row r="9643" spans="3:5">
      <c r="C9643" s="17"/>
      <c r="D9643" s="17"/>
      <c r="E9643" s="7"/>
    </row>
    <row r="9644" spans="3:5">
      <c r="C9644" s="17"/>
      <c r="D9644" s="17"/>
      <c r="E9644" s="7"/>
    </row>
    <row r="9645" spans="3:5">
      <c r="C9645" s="17"/>
      <c r="D9645" s="17"/>
      <c r="E9645" s="7"/>
    </row>
    <row r="9646" spans="3:5">
      <c r="C9646" s="17"/>
      <c r="D9646" s="17"/>
      <c r="E9646" s="7"/>
    </row>
    <row r="9647" spans="3:5">
      <c r="C9647" s="17"/>
      <c r="D9647" s="17"/>
      <c r="E9647" s="7"/>
    </row>
    <row r="9648" spans="3:5">
      <c r="C9648" s="17"/>
      <c r="D9648" s="17"/>
      <c r="E9648" s="7"/>
    </row>
    <row r="9649" spans="3:5">
      <c r="C9649" s="17"/>
      <c r="D9649" s="17"/>
      <c r="E9649" s="7"/>
    </row>
    <row r="9650" spans="3:5">
      <c r="C9650" s="17"/>
      <c r="D9650" s="17"/>
      <c r="E9650" s="7"/>
    </row>
    <row r="9651" spans="3:5">
      <c r="C9651" s="17"/>
      <c r="D9651" s="17"/>
      <c r="E9651" s="7"/>
    </row>
    <row r="9652" spans="3:5">
      <c r="C9652" s="17"/>
      <c r="D9652" s="17"/>
      <c r="E9652" s="7"/>
    </row>
    <row r="9653" spans="3:5">
      <c r="C9653" s="17"/>
      <c r="D9653" s="17"/>
      <c r="E9653" s="7"/>
    </row>
    <row r="9654" spans="3:5">
      <c r="C9654" s="17"/>
      <c r="D9654" s="17"/>
      <c r="E9654" s="7"/>
    </row>
    <row r="9655" spans="3:5">
      <c r="C9655" s="17"/>
      <c r="D9655" s="17"/>
      <c r="E9655" s="7"/>
    </row>
    <row r="9656" spans="3:5">
      <c r="C9656" s="17"/>
      <c r="D9656" s="17"/>
      <c r="E9656" s="7"/>
    </row>
    <row r="9657" spans="3:5">
      <c r="C9657" s="17"/>
      <c r="D9657" s="17"/>
      <c r="E9657" s="7"/>
    </row>
    <row r="9658" spans="3:5">
      <c r="C9658" s="17"/>
      <c r="D9658" s="17"/>
      <c r="E9658" s="7"/>
    </row>
    <row r="9659" spans="3:5">
      <c r="C9659" s="17"/>
      <c r="D9659" s="17"/>
      <c r="E9659" s="7"/>
    </row>
    <row r="9660" spans="3:5">
      <c r="C9660" s="17"/>
      <c r="D9660" s="17"/>
      <c r="E9660" s="7"/>
    </row>
    <row r="9661" spans="3:5">
      <c r="C9661" s="17"/>
      <c r="D9661" s="17"/>
      <c r="E9661" s="7"/>
    </row>
    <row r="9662" spans="3:5">
      <c r="C9662" s="17"/>
      <c r="D9662" s="17"/>
      <c r="E9662" s="7"/>
    </row>
    <row r="9663" spans="3:5">
      <c r="C9663" s="17"/>
      <c r="D9663" s="17"/>
      <c r="E9663" s="7"/>
    </row>
    <row r="9664" spans="3:5">
      <c r="C9664" s="17"/>
      <c r="D9664" s="17"/>
      <c r="E9664" s="7"/>
    </row>
    <row r="9665" spans="3:5">
      <c r="C9665" s="17"/>
      <c r="D9665" s="17"/>
      <c r="E9665" s="7"/>
    </row>
    <row r="9666" spans="3:5">
      <c r="C9666" s="17"/>
      <c r="D9666" s="17"/>
      <c r="E9666" s="7"/>
    </row>
    <row r="9667" spans="3:5">
      <c r="C9667" s="17"/>
      <c r="D9667" s="17"/>
      <c r="E9667" s="7"/>
    </row>
    <row r="9668" spans="3:5">
      <c r="C9668" s="17"/>
      <c r="D9668" s="17"/>
      <c r="E9668" s="7"/>
    </row>
    <row r="9669" spans="3:5">
      <c r="C9669" s="17"/>
      <c r="D9669" s="17"/>
      <c r="E9669" s="7"/>
    </row>
    <row r="9670" spans="3:5">
      <c r="C9670" s="17"/>
      <c r="D9670" s="17"/>
      <c r="E9670" s="7"/>
    </row>
    <row r="9671" spans="3:5">
      <c r="C9671" s="17"/>
      <c r="D9671" s="17"/>
      <c r="E9671" s="7"/>
    </row>
    <row r="9672" spans="3:5">
      <c r="C9672" s="17"/>
      <c r="D9672" s="17"/>
      <c r="E9672" s="7"/>
    </row>
    <row r="9673" spans="3:5">
      <c r="C9673" s="17"/>
      <c r="D9673" s="17"/>
      <c r="E9673" s="7"/>
    </row>
    <row r="9674" spans="3:5">
      <c r="C9674" s="17"/>
      <c r="D9674" s="17"/>
      <c r="E9674" s="7"/>
    </row>
    <row r="9675" spans="3:5">
      <c r="C9675" s="17"/>
      <c r="D9675" s="17"/>
      <c r="E9675" s="7"/>
    </row>
    <row r="9676" spans="3:5">
      <c r="C9676" s="17"/>
      <c r="D9676" s="17"/>
      <c r="E9676" s="7"/>
    </row>
    <row r="9677" spans="3:5">
      <c r="C9677" s="17"/>
      <c r="D9677" s="17"/>
      <c r="E9677" s="7"/>
    </row>
    <row r="9678" spans="3:5">
      <c r="C9678" s="17"/>
      <c r="D9678" s="17"/>
      <c r="E9678" s="7"/>
    </row>
    <row r="9679" spans="3:5">
      <c r="C9679" s="17"/>
      <c r="D9679" s="17"/>
      <c r="E9679" s="7"/>
    </row>
    <row r="9680" spans="3:5">
      <c r="C9680" s="17"/>
      <c r="D9680" s="17"/>
      <c r="E9680" s="7"/>
    </row>
    <row r="9681" spans="3:5">
      <c r="C9681" s="17"/>
      <c r="D9681" s="17"/>
      <c r="E9681" s="7"/>
    </row>
    <row r="9682" spans="3:5">
      <c r="C9682" s="17"/>
      <c r="D9682" s="17"/>
      <c r="E9682" s="7"/>
    </row>
    <row r="9683" spans="3:5">
      <c r="C9683" s="17"/>
      <c r="D9683" s="17"/>
      <c r="E9683" s="7"/>
    </row>
    <row r="9684" spans="3:5">
      <c r="C9684" s="17"/>
      <c r="D9684" s="17"/>
      <c r="E9684" s="7"/>
    </row>
    <row r="9685" spans="3:5">
      <c r="C9685" s="17"/>
      <c r="D9685" s="17"/>
      <c r="E9685" s="7"/>
    </row>
    <row r="9686" spans="3:5">
      <c r="C9686" s="17"/>
      <c r="D9686" s="17"/>
      <c r="E9686" s="7"/>
    </row>
    <row r="9687" spans="3:5">
      <c r="C9687" s="17"/>
      <c r="D9687" s="17"/>
      <c r="E9687" s="7"/>
    </row>
    <row r="9688" spans="3:5">
      <c r="C9688" s="17"/>
      <c r="D9688" s="17"/>
      <c r="E9688" s="7"/>
    </row>
    <row r="9689" spans="3:5">
      <c r="C9689" s="17"/>
      <c r="D9689" s="17"/>
      <c r="E9689" s="7"/>
    </row>
    <row r="9690" spans="3:5">
      <c r="C9690" s="17"/>
      <c r="D9690" s="17"/>
      <c r="E9690" s="7"/>
    </row>
    <row r="9691" spans="3:5">
      <c r="C9691" s="17"/>
      <c r="D9691" s="17"/>
      <c r="E9691" s="7"/>
    </row>
    <row r="9692" spans="3:5">
      <c r="C9692" s="17"/>
      <c r="D9692" s="17"/>
      <c r="E9692" s="7"/>
    </row>
    <row r="9693" spans="3:5">
      <c r="C9693" s="17"/>
      <c r="D9693" s="17"/>
      <c r="E9693" s="7"/>
    </row>
    <row r="9694" spans="3:5">
      <c r="C9694" s="17"/>
      <c r="D9694" s="17"/>
      <c r="E9694" s="7"/>
    </row>
    <row r="9695" spans="3:5">
      <c r="C9695" s="17"/>
      <c r="D9695" s="17"/>
      <c r="E9695" s="7"/>
    </row>
    <row r="9696" spans="3:5">
      <c r="C9696" s="17"/>
      <c r="D9696" s="17"/>
      <c r="E9696" s="7"/>
    </row>
    <row r="9697" spans="3:5">
      <c r="C9697" s="17"/>
      <c r="D9697" s="17"/>
      <c r="E9697" s="7"/>
    </row>
    <row r="9698" spans="3:5">
      <c r="C9698" s="17"/>
      <c r="D9698" s="17"/>
      <c r="E9698" s="7"/>
    </row>
    <row r="9699" spans="3:5">
      <c r="C9699" s="17"/>
      <c r="D9699" s="17"/>
      <c r="E9699" s="7"/>
    </row>
    <row r="9700" spans="3:5">
      <c r="C9700" s="17"/>
      <c r="D9700" s="17"/>
      <c r="E9700" s="7"/>
    </row>
    <row r="9701" spans="3:5">
      <c r="C9701" s="17"/>
      <c r="D9701" s="17"/>
      <c r="E9701" s="7"/>
    </row>
    <row r="9702" spans="3:5">
      <c r="C9702" s="17"/>
      <c r="D9702" s="17"/>
      <c r="E9702" s="7"/>
    </row>
    <row r="9703" spans="3:5">
      <c r="C9703" s="17"/>
      <c r="D9703" s="17"/>
      <c r="E9703" s="7"/>
    </row>
    <row r="9704" spans="3:5">
      <c r="C9704" s="17"/>
      <c r="D9704" s="17"/>
      <c r="E9704" s="7"/>
    </row>
    <row r="9705" spans="3:5">
      <c r="C9705" s="17"/>
      <c r="D9705" s="17"/>
      <c r="E9705" s="7"/>
    </row>
    <row r="9706" spans="3:5">
      <c r="C9706" s="17"/>
      <c r="D9706" s="17"/>
      <c r="E9706" s="7"/>
    </row>
    <row r="9707" spans="3:5">
      <c r="C9707" s="17"/>
      <c r="D9707" s="17"/>
      <c r="E9707" s="7"/>
    </row>
    <row r="9708" spans="3:5">
      <c r="C9708" s="17"/>
      <c r="D9708" s="17"/>
      <c r="E9708" s="7"/>
    </row>
    <row r="9709" spans="3:5">
      <c r="C9709" s="17"/>
      <c r="D9709" s="17"/>
      <c r="E9709" s="7"/>
    </row>
    <row r="9710" spans="3:5">
      <c r="C9710" s="17"/>
      <c r="D9710" s="17"/>
      <c r="E9710" s="7"/>
    </row>
    <row r="9711" spans="3:5">
      <c r="C9711" s="17"/>
      <c r="D9711" s="17"/>
      <c r="E9711" s="7"/>
    </row>
    <row r="9712" spans="3:5">
      <c r="C9712" s="17"/>
      <c r="D9712" s="17"/>
      <c r="E9712" s="7"/>
    </row>
    <row r="9713" spans="3:5">
      <c r="C9713" s="17"/>
      <c r="D9713" s="17"/>
      <c r="E9713" s="7"/>
    </row>
    <row r="9714" spans="3:5">
      <c r="C9714" s="17"/>
      <c r="D9714" s="17"/>
      <c r="E9714" s="7"/>
    </row>
    <row r="9715" spans="3:5">
      <c r="C9715" s="17"/>
      <c r="D9715" s="17"/>
      <c r="E9715" s="7"/>
    </row>
    <row r="9716" spans="3:5">
      <c r="C9716" s="17"/>
      <c r="D9716" s="17"/>
      <c r="E9716" s="7"/>
    </row>
    <row r="9717" spans="3:5">
      <c r="C9717" s="17"/>
      <c r="D9717" s="17"/>
      <c r="E9717" s="7"/>
    </row>
    <row r="9718" spans="3:5">
      <c r="C9718" s="17"/>
      <c r="D9718" s="17"/>
      <c r="E9718" s="7"/>
    </row>
    <row r="9719" spans="3:5">
      <c r="C9719" s="17"/>
      <c r="D9719" s="17"/>
      <c r="E9719" s="7"/>
    </row>
    <row r="9720" spans="3:5">
      <c r="C9720" s="17"/>
      <c r="D9720" s="17"/>
      <c r="E9720" s="7"/>
    </row>
    <row r="9721" spans="3:5">
      <c r="C9721" s="17"/>
      <c r="D9721" s="17"/>
      <c r="E9721" s="7"/>
    </row>
    <row r="9722" spans="3:5">
      <c r="C9722" s="17"/>
      <c r="D9722" s="17"/>
      <c r="E9722" s="7"/>
    </row>
    <row r="9723" spans="3:5">
      <c r="C9723" s="17"/>
      <c r="D9723" s="17"/>
      <c r="E9723" s="7"/>
    </row>
    <row r="9724" spans="3:5">
      <c r="C9724" s="17"/>
      <c r="D9724" s="17"/>
      <c r="E9724" s="7"/>
    </row>
    <row r="9725" spans="3:5">
      <c r="C9725" s="17"/>
      <c r="D9725" s="17"/>
      <c r="E9725" s="7"/>
    </row>
    <row r="9726" spans="3:5">
      <c r="C9726" s="17"/>
      <c r="D9726" s="17"/>
      <c r="E9726" s="7"/>
    </row>
    <row r="9727" spans="3:5">
      <c r="C9727" s="17"/>
      <c r="D9727" s="17"/>
      <c r="E9727" s="7"/>
    </row>
    <row r="9728" spans="3:5">
      <c r="C9728" s="17"/>
      <c r="D9728" s="17"/>
      <c r="E9728" s="7"/>
    </row>
    <row r="9729" spans="3:5">
      <c r="C9729" s="17"/>
      <c r="D9729" s="17"/>
      <c r="E9729" s="7"/>
    </row>
    <row r="9730" spans="3:5">
      <c r="C9730" s="17"/>
      <c r="D9730" s="17"/>
      <c r="E9730" s="7"/>
    </row>
    <row r="9731" spans="3:5">
      <c r="C9731" s="17"/>
      <c r="D9731" s="17"/>
      <c r="E9731" s="7"/>
    </row>
    <row r="9732" spans="3:5">
      <c r="C9732" s="17"/>
      <c r="D9732" s="17"/>
      <c r="E9732" s="7"/>
    </row>
    <row r="9733" spans="3:5">
      <c r="C9733" s="17"/>
      <c r="D9733" s="17"/>
      <c r="E9733" s="7"/>
    </row>
    <row r="9734" spans="3:5">
      <c r="C9734" s="17"/>
      <c r="D9734" s="17"/>
      <c r="E9734" s="7"/>
    </row>
    <row r="9735" spans="3:5">
      <c r="C9735" s="17"/>
      <c r="D9735" s="17"/>
      <c r="E9735" s="7"/>
    </row>
    <row r="9736" spans="3:5">
      <c r="C9736" s="17"/>
      <c r="D9736" s="17"/>
      <c r="E9736" s="7"/>
    </row>
    <row r="9737" spans="3:5">
      <c r="C9737" s="17"/>
      <c r="D9737" s="17"/>
      <c r="E9737" s="7"/>
    </row>
    <row r="9738" spans="3:5">
      <c r="C9738" s="17"/>
      <c r="D9738" s="17"/>
      <c r="E9738" s="7"/>
    </row>
    <row r="9739" spans="3:5">
      <c r="C9739" s="17"/>
      <c r="D9739" s="17"/>
      <c r="E9739" s="7"/>
    </row>
    <row r="9740" spans="3:5">
      <c r="C9740" s="17"/>
      <c r="D9740" s="17"/>
      <c r="E9740" s="7"/>
    </row>
    <row r="9741" spans="3:5">
      <c r="C9741" s="17"/>
      <c r="D9741" s="17"/>
      <c r="E9741" s="7"/>
    </row>
    <row r="9742" spans="3:5">
      <c r="C9742" s="17"/>
      <c r="D9742" s="17"/>
      <c r="E9742" s="7"/>
    </row>
    <row r="9743" spans="3:5">
      <c r="C9743" s="17"/>
      <c r="D9743" s="17"/>
      <c r="E9743" s="7"/>
    </row>
    <row r="9744" spans="3:5">
      <c r="C9744" s="17"/>
      <c r="D9744" s="17"/>
      <c r="E9744" s="7"/>
    </row>
    <row r="9745" spans="3:5">
      <c r="C9745" s="17"/>
      <c r="D9745" s="17"/>
      <c r="E9745" s="7"/>
    </row>
    <row r="9746" spans="3:5">
      <c r="C9746" s="17"/>
      <c r="D9746" s="17"/>
      <c r="E9746" s="7"/>
    </row>
    <row r="9747" spans="3:5">
      <c r="C9747" s="17"/>
      <c r="D9747" s="17"/>
      <c r="E9747" s="7"/>
    </row>
    <row r="9748" spans="3:5">
      <c r="C9748" s="17"/>
      <c r="D9748" s="17"/>
      <c r="E9748" s="7"/>
    </row>
    <row r="9749" spans="3:5">
      <c r="C9749" s="17"/>
      <c r="D9749" s="17"/>
      <c r="E9749" s="7"/>
    </row>
    <row r="9750" spans="3:5">
      <c r="C9750" s="17"/>
      <c r="D9750" s="17"/>
      <c r="E9750" s="7"/>
    </row>
    <row r="9751" spans="3:5">
      <c r="C9751" s="17"/>
      <c r="D9751" s="17"/>
      <c r="E9751" s="7"/>
    </row>
    <row r="9752" spans="3:5">
      <c r="C9752" s="17"/>
      <c r="D9752" s="17"/>
      <c r="E9752" s="7"/>
    </row>
    <row r="9753" spans="3:5">
      <c r="C9753" s="17"/>
      <c r="D9753" s="17"/>
      <c r="E9753" s="7"/>
    </row>
    <row r="9754" spans="3:5">
      <c r="C9754" s="17"/>
      <c r="D9754" s="17"/>
      <c r="E9754" s="7"/>
    </row>
    <row r="9755" spans="3:5">
      <c r="C9755" s="17"/>
      <c r="D9755" s="17"/>
      <c r="E9755" s="7"/>
    </row>
    <row r="9756" spans="3:5">
      <c r="C9756" s="17"/>
      <c r="D9756" s="17"/>
      <c r="E9756" s="7"/>
    </row>
    <row r="9757" spans="3:5">
      <c r="C9757" s="17"/>
      <c r="D9757" s="17"/>
      <c r="E9757" s="7"/>
    </row>
    <row r="9758" spans="3:5">
      <c r="C9758" s="17"/>
      <c r="D9758" s="17"/>
      <c r="E9758" s="7"/>
    </row>
    <row r="9759" spans="3:5">
      <c r="C9759" s="17"/>
      <c r="D9759" s="17"/>
      <c r="E9759" s="7"/>
    </row>
    <row r="9760" spans="3:5">
      <c r="C9760" s="17"/>
      <c r="D9760" s="17"/>
      <c r="E9760" s="7"/>
    </row>
    <row r="9761" spans="3:5">
      <c r="C9761" s="17"/>
      <c r="D9761" s="17"/>
      <c r="E9761" s="7"/>
    </row>
    <row r="9762" spans="3:5">
      <c r="C9762" s="17"/>
      <c r="D9762" s="17"/>
      <c r="E9762" s="7"/>
    </row>
    <row r="9763" spans="3:5">
      <c r="C9763" s="17"/>
      <c r="D9763" s="17"/>
      <c r="E9763" s="7"/>
    </row>
    <row r="9764" spans="3:5">
      <c r="C9764" s="17"/>
      <c r="D9764" s="17"/>
      <c r="E9764" s="7"/>
    </row>
    <row r="9765" spans="3:5">
      <c r="C9765" s="17"/>
      <c r="D9765" s="17"/>
      <c r="E9765" s="7"/>
    </row>
    <row r="9766" spans="3:5">
      <c r="C9766" s="17"/>
      <c r="D9766" s="17"/>
      <c r="E9766" s="7"/>
    </row>
    <row r="9767" spans="3:5">
      <c r="C9767" s="17"/>
      <c r="D9767" s="17"/>
      <c r="E9767" s="7"/>
    </row>
    <row r="9768" spans="3:5">
      <c r="C9768" s="17"/>
      <c r="D9768" s="17"/>
      <c r="E9768" s="7"/>
    </row>
    <row r="9769" spans="3:5">
      <c r="C9769" s="17"/>
      <c r="D9769" s="17"/>
      <c r="E9769" s="7"/>
    </row>
    <row r="9770" spans="3:5">
      <c r="C9770" s="17"/>
      <c r="D9770" s="17"/>
      <c r="E9770" s="7"/>
    </row>
    <row r="9771" spans="3:5">
      <c r="C9771" s="17"/>
      <c r="D9771" s="17"/>
      <c r="E9771" s="7"/>
    </row>
    <row r="9772" spans="3:5">
      <c r="C9772" s="17"/>
      <c r="D9772" s="17"/>
      <c r="E9772" s="7"/>
    </row>
    <row r="9773" spans="3:5">
      <c r="C9773" s="17"/>
      <c r="D9773" s="17"/>
      <c r="E9773" s="7"/>
    </row>
    <row r="9774" spans="3:5">
      <c r="C9774" s="17"/>
      <c r="D9774" s="17"/>
      <c r="E9774" s="7"/>
    </row>
    <row r="9775" spans="3:5">
      <c r="C9775" s="17"/>
      <c r="D9775" s="17"/>
      <c r="E9775" s="7"/>
    </row>
    <row r="9776" spans="3:5">
      <c r="C9776" s="17"/>
      <c r="D9776" s="17"/>
      <c r="E9776" s="7"/>
    </row>
    <row r="9777" spans="3:5">
      <c r="C9777" s="17"/>
      <c r="D9777" s="17"/>
      <c r="E9777" s="7"/>
    </row>
    <row r="9778" spans="3:5">
      <c r="C9778" s="17"/>
      <c r="D9778" s="17"/>
      <c r="E9778" s="7"/>
    </row>
    <row r="9779" spans="3:5">
      <c r="C9779" s="17"/>
      <c r="D9779" s="17"/>
      <c r="E9779" s="7"/>
    </row>
    <row r="9780" spans="3:5">
      <c r="C9780" s="17"/>
      <c r="D9780" s="17"/>
      <c r="E9780" s="7"/>
    </row>
    <row r="9781" spans="3:5">
      <c r="C9781" s="17"/>
      <c r="D9781" s="17"/>
      <c r="E9781" s="7"/>
    </row>
    <row r="9782" spans="3:5">
      <c r="C9782" s="17"/>
      <c r="D9782" s="17"/>
      <c r="E9782" s="7"/>
    </row>
    <row r="9783" spans="3:5">
      <c r="C9783" s="17"/>
      <c r="D9783" s="17"/>
      <c r="E9783" s="7"/>
    </row>
    <row r="9784" spans="3:5">
      <c r="C9784" s="17"/>
      <c r="D9784" s="17"/>
      <c r="E9784" s="7"/>
    </row>
    <row r="9785" spans="3:5">
      <c r="C9785" s="17"/>
      <c r="D9785" s="17"/>
      <c r="E9785" s="7"/>
    </row>
    <row r="9786" spans="3:5">
      <c r="C9786" s="17"/>
      <c r="D9786" s="17"/>
      <c r="E9786" s="7"/>
    </row>
    <row r="9787" spans="3:5">
      <c r="C9787" s="17"/>
      <c r="D9787" s="17"/>
      <c r="E9787" s="7"/>
    </row>
    <row r="9788" spans="3:5">
      <c r="C9788" s="17"/>
      <c r="D9788" s="17"/>
      <c r="E9788" s="7"/>
    </row>
    <row r="9789" spans="3:5">
      <c r="C9789" s="17"/>
      <c r="D9789" s="17"/>
      <c r="E9789" s="7"/>
    </row>
    <row r="9790" spans="3:5">
      <c r="C9790" s="17"/>
      <c r="D9790" s="17"/>
      <c r="E9790" s="7"/>
    </row>
    <row r="9791" spans="3:5">
      <c r="C9791" s="17"/>
      <c r="D9791" s="17"/>
      <c r="E9791" s="7"/>
    </row>
    <row r="9792" spans="3:5">
      <c r="C9792" s="17"/>
      <c r="D9792" s="17"/>
      <c r="E9792" s="7"/>
    </row>
    <row r="9793" spans="3:5">
      <c r="C9793" s="17"/>
      <c r="D9793" s="17"/>
      <c r="E9793" s="7"/>
    </row>
    <row r="9794" spans="3:5">
      <c r="C9794" s="17"/>
      <c r="D9794" s="17"/>
      <c r="E9794" s="7"/>
    </row>
    <row r="9795" spans="3:5">
      <c r="C9795" s="17"/>
      <c r="D9795" s="17"/>
      <c r="E9795" s="7"/>
    </row>
    <row r="9796" spans="3:5">
      <c r="C9796" s="17"/>
      <c r="D9796" s="17"/>
      <c r="E9796" s="7"/>
    </row>
    <row r="9797" spans="3:5">
      <c r="C9797" s="17"/>
      <c r="D9797" s="17"/>
      <c r="E9797" s="7"/>
    </row>
    <row r="9798" spans="3:5">
      <c r="C9798" s="17"/>
      <c r="D9798" s="17"/>
      <c r="E9798" s="7"/>
    </row>
    <row r="9799" spans="3:5">
      <c r="C9799" s="17"/>
      <c r="D9799" s="17"/>
      <c r="E9799" s="7"/>
    </row>
    <row r="9800" spans="3:5">
      <c r="C9800" s="17"/>
      <c r="D9800" s="17"/>
      <c r="E9800" s="7"/>
    </row>
    <row r="9801" spans="3:5">
      <c r="C9801" s="17"/>
      <c r="D9801" s="17"/>
      <c r="E9801" s="7"/>
    </row>
    <row r="9802" spans="3:5">
      <c r="C9802" s="17"/>
      <c r="D9802" s="17"/>
      <c r="E9802" s="7"/>
    </row>
    <row r="9803" spans="3:5">
      <c r="C9803" s="17"/>
      <c r="D9803" s="17"/>
      <c r="E9803" s="7"/>
    </row>
    <row r="9804" spans="3:5">
      <c r="C9804" s="17"/>
      <c r="D9804" s="17"/>
      <c r="E9804" s="7"/>
    </row>
    <row r="9805" spans="3:5">
      <c r="C9805" s="17"/>
      <c r="D9805" s="17"/>
      <c r="E9805" s="7"/>
    </row>
    <row r="9806" spans="3:5">
      <c r="C9806" s="17"/>
      <c r="D9806" s="17"/>
      <c r="E9806" s="7"/>
    </row>
    <row r="9807" spans="3:5">
      <c r="C9807" s="17"/>
      <c r="D9807" s="17"/>
      <c r="E9807" s="7"/>
    </row>
    <row r="9808" spans="3:5">
      <c r="C9808" s="17"/>
      <c r="D9808" s="17"/>
      <c r="E9808" s="7"/>
    </row>
    <row r="9809" spans="3:5">
      <c r="C9809" s="17"/>
      <c r="D9809" s="17"/>
      <c r="E9809" s="7"/>
    </row>
    <row r="9810" spans="3:5">
      <c r="C9810" s="17"/>
      <c r="D9810" s="17"/>
      <c r="E9810" s="7"/>
    </row>
    <row r="9811" spans="3:5">
      <c r="C9811" s="17"/>
      <c r="D9811" s="17"/>
      <c r="E9811" s="7"/>
    </row>
    <row r="9812" spans="3:5">
      <c r="C9812" s="17"/>
      <c r="D9812" s="17"/>
      <c r="E9812" s="7"/>
    </row>
    <row r="9813" spans="3:5">
      <c r="C9813" s="17"/>
      <c r="D9813" s="17"/>
      <c r="E9813" s="7"/>
    </row>
    <row r="9814" spans="3:5">
      <c r="C9814" s="17"/>
      <c r="D9814" s="17"/>
      <c r="E9814" s="7"/>
    </row>
    <row r="9815" spans="3:5">
      <c r="C9815" s="17"/>
      <c r="D9815" s="17"/>
      <c r="E9815" s="7"/>
    </row>
    <row r="9816" spans="3:5">
      <c r="C9816" s="17"/>
      <c r="D9816" s="17"/>
      <c r="E9816" s="7"/>
    </row>
    <row r="9817" spans="3:5">
      <c r="C9817" s="17"/>
      <c r="D9817" s="17"/>
      <c r="E9817" s="7"/>
    </row>
    <row r="9818" spans="3:5">
      <c r="C9818" s="17"/>
      <c r="D9818" s="17"/>
      <c r="E9818" s="7"/>
    </row>
    <row r="9819" spans="3:5">
      <c r="C9819" s="17"/>
      <c r="D9819" s="17"/>
      <c r="E9819" s="7"/>
    </row>
    <row r="9820" spans="3:5">
      <c r="C9820" s="17"/>
      <c r="D9820" s="17"/>
      <c r="E9820" s="7"/>
    </row>
    <row r="9821" spans="3:5">
      <c r="C9821" s="17"/>
      <c r="D9821" s="17"/>
      <c r="E9821" s="7"/>
    </row>
    <row r="9822" spans="3:5">
      <c r="C9822" s="17"/>
      <c r="D9822" s="17"/>
      <c r="E9822" s="7"/>
    </row>
    <row r="9823" spans="3:5">
      <c r="C9823" s="17"/>
      <c r="D9823" s="17"/>
      <c r="E9823" s="7"/>
    </row>
    <row r="9824" spans="3:5">
      <c r="C9824" s="17"/>
      <c r="D9824" s="17"/>
      <c r="E9824" s="7"/>
    </row>
    <row r="9825" spans="3:5">
      <c r="C9825" s="17"/>
      <c r="D9825" s="17"/>
      <c r="E9825" s="7"/>
    </row>
    <row r="9826" spans="3:5">
      <c r="C9826" s="17"/>
      <c r="D9826" s="17"/>
      <c r="E9826" s="7"/>
    </row>
    <row r="9827" spans="3:5">
      <c r="C9827" s="17"/>
      <c r="D9827" s="17"/>
      <c r="E9827" s="7"/>
    </row>
    <row r="9828" spans="3:5">
      <c r="C9828" s="17"/>
      <c r="D9828" s="17"/>
      <c r="E9828" s="7"/>
    </row>
    <row r="9829" spans="3:5">
      <c r="C9829" s="17"/>
      <c r="D9829" s="17"/>
      <c r="E9829" s="7"/>
    </row>
    <row r="9830" spans="3:5">
      <c r="C9830" s="17"/>
      <c r="D9830" s="17"/>
      <c r="E9830" s="7"/>
    </row>
    <row r="9831" spans="3:5">
      <c r="C9831" s="17"/>
      <c r="D9831" s="17"/>
      <c r="E9831" s="7"/>
    </row>
    <row r="9832" spans="3:5">
      <c r="C9832" s="17"/>
      <c r="D9832" s="17"/>
      <c r="E9832" s="7"/>
    </row>
    <row r="9833" spans="3:5">
      <c r="C9833" s="17"/>
      <c r="D9833" s="17"/>
      <c r="E9833" s="7"/>
    </row>
    <row r="9834" spans="3:5">
      <c r="C9834" s="17"/>
      <c r="D9834" s="17"/>
      <c r="E9834" s="7"/>
    </row>
    <row r="9835" spans="3:5">
      <c r="C9835" s="17"/>
      <c r="D9835" s="17"/>
      <c r="E9835" s="7"/>
    </row>
    <row r="9836" spans="3:5">
      <c r="C9836" s="17"/>
      <c r="D9836" s="17"/>
      <c r="E9836" s="7"/>
    </row>
    <row r="9837" spans="3:5">
      <c r="C9837" s="17"/>
      <c r="D9837" s="17"/>
      <c r="E9837" s="7"/>
    </row>
    <row r="9838" spans="3:5">
      <c r="C9838" s="17"/>
      <c r="D9838" s="17"/>
      <c r="E9838" s="7"/>
    </row>
    <row r="9839" spans="3:5">
      <c r="C9839" s="17"/>
      <c r="D9839" s="17"/>
      <c r="E9839" s="7"/>
    </row>
    <row r="9840" spans="3:5">
      <c r="C9840" s="17"/>
      <c r="D9840" s="17"/>
      <c r="E9840" s="7"/>
    </row>
    <row r="9841" spans="3:5">
      <c r="C9841" s="17"/>
      <c r="D9841" s="17"/>
      <c r="E9841" s="7"/>
    </row>
    <row r="9842" spans="3:5">
      <c r="C9842" s="17"/>
      <c r="D9842" s="17"/>
      <c r="E9842" s="7"/>
    </row>
    <row r="9843" spans="3:5">
      <c r="C9843" s="17"/>
      <c r="D9843" s="17"/>
      <c r="E9843" s="7"/>
    </row>
    <row r="9844" spans="3:5">
      <c r="C9844" s="17"/>
      <c r="D9844" s="17"/>
      <c r="E9844" s="7"/>
    </row>
    <row r="9845" spans="3:5">
      <c r="C9845" s="17"/>
      <c r="D9845" s="17"/>
      <c r="E9845" s="7"/>
    </row>
    <row r="9846" spans="3:5">
      <c r="C9846" s="17"/>
      <c r="D9846" s="17"/>
      <c r="E9846" s="7"/>
    </row>
    <row r="9847" spans="3:5">
      <c r="C9847" s="17"/>
      <c r="D9847" s="17"/>
      <c r="E9847" s="7"/>
    </row>
    <row r="9848" spans="3:5">
      <c r="C9848" s="17"/>
      <c r="D9848" s="17"/>
      <c r="E9848" s="7"/>
    </row>
    <row r="9849" spans="3:5">
      <c r="C9849" s="17"/>
      <c r="D9849" s="17"/>
      <c r="E9849" s="7"/>
    </row>
    <row r="9850" spans="3:5">
      <c r="C9850" s="17"/>
      <c r="D9850" s="17"/>
      <c r="E9850" s="7"/>
    </row>
    <row r="9851" spans="3:5">
      <c r="C9851" s="17"/>
      <c r="D9851" s="17"/>
      <c r="E9851" s="7"/>
    </row>
    <row r="9852" spans="3:5">
      <c r="C9852" s="17"/>
      <c r="D9852" s="17"/>
      <c r="E9852" s="7"/>
    </row>
    <row r="9853" spans="3:5">
      <c r="C9853" s="17"/>
      <c r="D9853" s="17"/>
      <c r="E9853" s="7"/>
    </row>
    <row r="9854" spans="3:5">
      <c r="C9854" s="17"/>
      <c r="D9854" s="17"/>
      <c r="E9854" s="7"/>
    </row>
    <row r="9855" spans="3:5">
      <c r="C9855" s="17"/>
      <c r="D9855" s="17"/>
      <c r="E9855" s="7"/>
    </row>
    <row r="9856" spans="3:5">
      <c r="C9856" s="17"/>
      <c r="D9856" s="17"/>
      <c r="E9856" s="7"/>
    </row>
    <row r="9857" spans="3:5">
      <c r="C9857" s="17"/>
      <c r="D9857" s="17"/>
      <c r="E9857" s="7"/>
    </row>
    <row r="9858" spans="3:5">
      <c r="C9858" s="17"/>
      <c r="D9858" s="17"/>
      <c r="E9858" s="7"/>
    </row>
    <row r="9859" spans="3:5">
      <c r="C9859" s="17"/>
      <c r="D9859" s="17"/>
      <c r="E9859" s="7"/>
    </row>
    <row r="9860" spans="3:5">
      <c r="C9860" s="17"/>
      <c r="D9860" s="17"/>
      <c r="E9860" s="7"/>
    </row>
    <row r="9861" spans="3:5">
      <c r="C9861" s="17"/>
      <c r="D9861" s="17"/>
      <c r="E9861" s="7"/>
    </row>
    <row r="9862" spans="3:5">
      <c r="C9862" s="17"/>
      <c r="D9862" s="17"/>
      <c r="E9862" s="7"/>
    </row>
    <row r="9863" spans="3:5">
      <c r="C9863" s="17"/>
      <c r="D9863" s="17"/>
      <c r="E9863" s="7"/>
    </row>
    <row r="9864" spans="3:5">
      <c r="C9864" s="17"/>
      <c r="D9864" s="17"/>
      <c r="E9864" s="7"/>
    </row>
    <row r="9865" spans="3:5">
      <c r="C9865" s="17"/>
      <c r="D9865" s="17"/>
      <c r="E9865" s="7"/>
    </row>
    <row r="9866" spans="3:5">
      <c r="C9866" s="17"/>
      <c r="D9866" s="17"/>
      <c r="E9866" s="7"/>
    </row>
    <row r="9867" spans="3:5">
      <c r="C9867" s="17"/>
      <c r="D9867" s="17"/>
      <c r="E9867" s="7"/>
    </row>
    <row r="9868" spans="3:5">
      <c r="C9868" s="17"/>
      <c r="D9868" s="17"/>
      <c r="E9868" s="7"/>
    </row>
    <row r="9869" spans="3:5">
      <c r="C9869" s="17"/>
      <c r="D9869" s="17"/>
      <c r="E9869" s="7"/>
    </row>
    <row r="9870" spans="3:5">
      <c r="C9870" s="17"/>
      <c r="D9870" s="17"/>
      <c r="E9870" s="7"/>
    </row>
    <row r="9871" spans="3:5">
      <c r="C9871" s="17"/>
      <c r="D9871" s="17"/>
      <c r="E9871" s="7"/>
    </row>
    <row r="9872" spans="3:5">
      <c r="C9872" s="17"/>
      <c r="D9872" s="17"/>
      <c r="E9872" s="7"/>
    </row>
    <row r="9873" spans="3:5">
      <c r="C9873" s="17"/>
      <c r="D9873" s="17"/>
      <c r="E9873" s="7"/>
    </row>
    <row r="9874" spans="3:5">
      <c r="C9874" s="17"/>
      <c r="D9874" s="17"/>
      <c r="E9874" s="7"/>
    </row>
    <row r="9875" spans="3:5">
      <c r="C9875" s="17"/>
      <c r="D9875" s="17"/>
      <c r="E9875" s="7"/>
    </row>
    <row r="9876" spans="3:5">
      <c r="C9876" s="17"/>
      <c r="D9876" s="17"/>
      <c r="E9876" s="7"/>
    </row>
    <row r="9877" spans="3:5">
      <c r="C9877" s="17"/>
      <c r="D9877" s="17"/>
      <c r="E9877" s="7"/>
    </row>
    <row r="9878" spans="3:5">
      <c r="C9878" s="17"/>
      <c r="D9878" s="17"/>
      <c r="E9878" s="7"/>
    </row>
    <row r="9879" spans="3:5">
      <c r="C9879" s="17"/>
      <c r="D9879" s="17"/>
      <c r="E9879" s="7"/>
    </row>
    <row r="9880" spans="3:5">
      <c r="C9880" s="17"/>
      <c r="D9880" s="17"/>
      <c r="E9880" s="7"/>
    </row>
    <row r="9881" spans="3:5">
      <c r="C9881" s="17"/>
      <c r="D9881" s="17"/>
      <c r="E9881" s="7"/>
    </row>
    <row r="9882" spans="3:5">
      <c r="C9882" s="17"/>
      <c r="D9882" s="17"/>
      <c r="E9882" s="7"/>
    </row>
    <row r="9883" spans="3:5">
      <c r="C9883" s="17"/>
      <c r="D9883" s="17"/>
      <c r="E9883" s="7"/>
    </row>
    <row r="9884" spans="3:5">
      <c r="C9884" s="17"/>
      <c r="D9884" s="17"/>
      <c r="E9884" s="7"/>
    </row>
    <row r="9885" spans="3:5">
      <c r="C9885" s="17"/>
      <c r="D9885" s="17"/>
      <c r="E9885" s="7"/>
    </row>
    <row r="9886" spans="3:5">
      <c r="C9886" s="17"/>
      <c r="D9886" s="17"/>
      <c r="E9886" s="7"/>
    </row>
    <row r="9887" spans="3:5">
      <c r="C9887" s="17"/>
      <c r="D9887" s="17"/>
      <c r="E9887" s="7"/>
    </row>
    <row r="9888" spans="3:5">
      <c r="C9888" s="17"/>
      <c r="D9888" s="17"/>
      <c r="E9888" s="7"/>
    </row>
    <row r="9889" spans="3:5">
      <c r="C9889" s="17"/>
      <c r="D9889" s="17"/>
      <c r="E9889" s="7"/>
    </row>
    <row r="9890" spans="3:5">
      <c r="C9890" s="17"/>
      <c r="D9890" s="17"/>
      <c r="E9890" s="7"/>
    </row>
    <row r="9891" spans="3:5">
      <c r="C9891" s="17"/>
      <c r="D9891" s="17"/>
      <c r="E9891" s="7"/>
    </row>
    <row r="9892" spans="3:5">
      <c r="C9892" s="17"/>
      <c r="D9892" s="17"/>
      <c r="E9892" s="7"/>
    </row>
    <row r="9893" spans="3:5">
      <c r="C9893" s="17"/>
      <c r="D9893" s="17"/>
      <c r="E9893" s="7"/>
    </row>
    <row r="9894" spans="3:5">
      <c r="C9894" s="17"/>
      <c r="D9894" s="17"/>
      <c r="E9894" s="7"/>
    </row>
    <row r="9895" spans="3:5">
      <c r="C9895" s="17"/>
      <c r="D9895" s="17"/>
      <c r="E9895" s="7"/>
    </row>
    <row r="9896" spans="3:5">
      <c r="C9896" s="17"/>
      <c r="D9896" s="17"/>
      <c r="E9896" s="7"/>
    </row>
    <row r="9897" spans="3:5">
      <c r="C9897" s="17"/>
      <c r="D9897" s="17"/>
      <c r="E9897" s="7"/>
    </row>
    <row r="9898" spans="3:5">
      <c r="C9898" s="17"/>
      <c r="D9898" s="17"/>
      <c r="E9898" s="7"/>
    </row>
    <row r="9899" spans="3:5">
      <c r="C9899" s="17"/>
      <c r="D9899" s="17"/>
      <c r="E9899" s="7"/>
    </row>
    <row r="9900" spans="3:5">
      <c r="C9900" s="17"/>
      <c r="D9900" s="17"/>
      <c r="E9900" s="7"/>
    </row>
    <row r="9901" spans="3:5">
      <c r="C9901" s="17"/>
      <c r="D9901" s="17"/>
      <c r="E9901" s="7"/>
    </row>
    <row r="9902" spans="3:5">
      <c r="C9902" s="17"/>
      <c r="D9902" s="17"/>
      <c r="E9902" s="7"/>
    </row>
    <row r="9903" spans="3:5">
      <c r="C9903" s="17"/>
      <c r="D9903" s="17"/>
      <c r="E9903" s="7"/>
    </row>
    <row r="9904" spans="3:5">
      <c r="C9904" s="17"/>
      <c r="D9904" s="17"/>
      <c r="E9904" s="7"/>
    </row>
    <row r="9905" spans="3:5">
      <c r="C9905" s="17"/>
      <c r="D9905" s="17"/>
      <c r="E9905" s="7"/>
    </row>
    <row r="9906" spans="3:5">
      <c r="C9906" s="17"/>
      <c r="D9906" s="17"/>
      <c r="E9906" s="7"/>
    </row>
    <row r="9907" spans="3:5">
      <c r="C9907" s="17"/>
      <c r="D9907" s="17"/>
      <c r="E9907" s="7"/>
    </row>
    <row r="9908" spans="3:5">
      <c r="C9908" s="17"/>
      <c r="D9908" s="17"/>
      <c r="E9908" s="7"/>
    </row>
    <row r="9909" spans="3:5">
      <c r="C9909" s="17"/>
      <c r="D9909" s="17"/>
      <c r="E9909" s="7"/>
    </row>
    <row r="9910" spans="3:5">
      <c r="C9910" s="17"/>
      <c r="D9910" s="17"/>
      <c r="E9910" s="7"/>
    </row>
    <row r="9911" spans="3:5">
      <c r="C9911" s="17"/>
      <c r="D9911" s="17"/>
      <c r="E9911" s="7"/>
    </row>
    <row r="9912" spans="3:5">
      <c r="C9912" s="17"/>
      <c r="D9912" s="17"/>
      <c r="E9912" s="7"/>
    </row>
    <row r="9913" spans="3:5">
      <c r="C9913" s="17"/>
      <c r="D9913" s="17"/>
      <c r="E9913" s="7"/>
    </row>
    <row r="9914" spans="3:5">
      <c r="C9914" s="17"/>
      <c r="D9914" s="17"/>
      <c r="E9914" s="7"/>
    </row>
    <row r="9915" spans="3:5">
      <c r="C9915" s="17"/>
      <c r="D9915" s="17"/>
      <c r="E9915" s="7"/>
    </row>
    <row r="9916" spans="3:5">
      <c r="C9916" s="17"/>
      <c r="D9916" s="17"/>
      <c r="E9916" s="7"/>
    </row>
    <row r="9917" spans="3:5">
      <c r="C9917" s="17"/>
      <c r="D9917" s="17"/>
      <c r="E9917" s="7"/>
    </row>
    <row r="9918" spans="3:5">
      <c r="C9918" s="17"/>
      <c r="D9918" s="17"/>
      <c r="E9918" s="7"/>
    </row>
    <row r="9919" spans="3:5">
      <c r="C9919" s="17"/>
      <c r="D9919" s="17"/>
      <c r="E9919" s="7"/>
    </row>
    <row r="9920" spans="3:5">
      <c r="C9920" s="17"/>
      <c r="D9920" s="17"/>
      <c r="E9920" s="7"/>
    </row>
    <row r="9921" spans="3:5">
      <c r="C9921" s="17"/>
      <c r="D9921" s="17"/>
      <c r="E9921" s="7"/>
    </row>
    <row r="9922" spans="3:5">
      <c r="C9922" s="17"/>
      <c r="D9922" s="17"/>
      <c r="E9922" s="7"/>
    </row>
    <row r="9923" spans="3:5">
      <c r="C9923" s="17"/>
      <c r="D9923" s="17"/>
      <c r="E9923" s="7"/>
    </row>
    <row r="9924" spans="3:5">
      <c r="C9924" s="17"/>
      <c r="D9924" s="17"/>
      <c r="E9924" s="7"/>
    </row>
    <row r="9925" spans="3:5">
      <c r="C9925" s="17"/>
      <c r="D9925" s="17"/>
      <c r="E9925" s="7"/>
    </row>
    <row r="9926" spans="3:5">
      <c r="C9926" s="17"/>
      <c r="D9926" s="17"/>
      <c r="E9926" s="7"/>
    </row>
    <row r="9927" spans="3:5">
      <c r="C9927" s="17"/>
      <c r="D9927" s="17"/>
      <c r="E9927" s="7"/>
    </row>
    <row r="9928" spans="3:5">
      <c r="C9928" s="17"/>
      <c r="D9928" s="17"/>
      <c r="E9928" s="7"/>
    </row>
    <row r="9929" spans="3:5">
      <c r="C9929" s="17"/>
      <c r="D9929" s="17"/>
      <c r="E9929" s="7"/>
    </row>
    <row r="9930" spans="3:5">
      <c r="C9930" s="17"/>
      <c r="D9930" s="17"/>
      <c r="E9930" s="7"/>
    </row>
    <row r="9931" spans="3:5">
      <c r="C9931" s="17"/>
      <c r="D9931" s="17"/>
      <c r="E9931" s="7"/>
    </row>
    <row r="9932" spans="3:5">
      <c r="C9932" s="17"/>
      <c r="D9932" s="17"/>
      <c r="E9932" s="7"/>
    </row>
    <row r="9933" spans="3:5">
      <c r="C9933" s="17"/>
      <c r="D9933" s="17"/>
      <c r="E9933" s="7"/>
    </row>
    <row r="9934" spans="3:5">
      <c r="C9934" s="17"/>
      <c r="D9934" s="17"/>
      <c r="E9934" s="7"/>
    </row>
    <row r="9935" spans="3:5">
      <c r="C9935" s="17"/>
      <c r="D9935" s="17"/>
      <c r="E9935" s="7"/>
    </row>
    <row r="9936" spans="3:5">
      <c r="C9936" s="17"/>
      <c r="D9936" s="17"/>
      <c r="E9936" s="7"/>
    </row>
    <row r="9937" spans="3:5">
      <c r="C9937" s="17"/>
      <c r="D9937" s="17"/>
      <c r="E9937" s="7"/>
    </row>
    <row r="9938" spans="3:5">
      <c r="C9938" s="17"/>
      <c r="D9938" s="17"/>
      <c r="E9938" s="7"/>
    </row>
    <row r="9939" spans="3:5">
      <c r="C9939" s="17"/>
      <c r="D9939" s="17"/>
      <c r="E9939" s="7"/>
    </row>
    <row r="9940" spans="3:5">
      <c r="C9940" s="17"/>
      <c r="D9940" s="17"/>
      <c r="E9940" s="7"/>
    </row>
    <row r="9941" spans="3:5">
      <c r="C9941" s="17"/>
      <c r="D9941" s="17"/>
      <c r="E9941" s="7"/>
    </row>
    <row r="9942" spans="3:5">
      <c r="C9942" s="17"/>
      <c r="D9942" s="17"/>
      <c r="E9942" s="7"/>
    </row>
    <row r="9943" spans="3:5">
      <c r="C9943" s="17"/>
      <c r="D9943" s="17"/>
      <c r="E9943" s="7"/>
    </row>
    <row r="9944" spans="3:5">
      <c r="C9944" s="17"/>
      <c r="D9944" s="17"/>
      <c r="E9944" s="7"/>
    </row>
    <row r="9945" spans="3:5">
      <c r="C9945" s="17"/>
      <c r="D9945" s="17"/>
      <c r="E9945" s="7"/>
    </row>
    <row r="9946" spans="3:5">
      <c r="C9946" s="17"/>
      <c r="D9946" s="17"/>
      <c r="E9946" s="7"/>
    </row>
    <row r="9947" spans="3:5">
      <c r="C9947" s="17"/>
      <c r="D9947" s="17"/>
      <c r="E9947" s="7"/>
    </row>
    <row r="9948" spans="3:5">
      <c r="C9948" s="17"/>
      <c r="D9948" s="17"/>
      <c r="E9948" s="7"/>
    </row>
    <row r="9949" spans="3:5">
      <c r="C9949" s="17"/>
      <c r="D9949" s="17"/>
      <c r="E9949" s="7"/>
    </row>
    <row r="9950" spans="3:5">
      <c r="C9950" s="17"/>
      <c r="D9950" s="17"/>
      <c r="E9950" s="7"/>
    </row>
    <row r="9951" spans="3:5">
      <c r="C9951" s="17"/>
      <c r="D9951" s="17"/>
      <c r="E9951" s="7"/>
    </row>
    <row r="9952" spans="3:5">
      <c r="C9952" s="17"/>
      <c r="D9952" s="17"/>
      <c r="E9952" s="7"/>
    </row>
    <row r="9953" spans="3:5">
      <c r="C9953" s="17"/>
      <c r="D9953" s="17"/>
      <c r="E9953" s="7"/>
    </row>
    <row r="9954" spans="3:5">
      <c r="C9954" s="17"/>
      <c r="D9954" s="17"/>
      <c r="E9954" s="7"/>
    </row>
    <row r="9955" spans="3:5">
      <c r="C9955" s="17"/>
      <c r="D9955" s="17"/>
      <c r="E9955" s="7"/>
    </row>
    <row r="9956" spans="3:5">
      <c r="C9956" s="17"/>
      <c r="D9956" s="17"/>
      <c r="E9956" s="7"/>
    </row>
    <row r="9957" spans="3:5">
      <c r="C9957" s="17"/>
      <c r="D9957" s="17"/>
      <c r="E9957" s="7"/>
    </row>
    <row r="9958" spans="3:5">
      <c r="C9958" s="17"/>
      <c r="D9958" s="17"/>
      <c r="E9958" s="7"/>
    </row>
    <row r="9959" spans="3:5">
      <c r="C9959" s="17"/>
      <c r="D9959" s="17"/>
      <c r="E9959" s="7"/>
    </row>
    <row r="9960" spans="3:5">
      <c r="C9960" s="17"/>
      <c r="D9960" s="17"/>
      <c r="E9960" s="7"/>
    </row>
    <row r="9961" spans="3:5">
      <c r="C9961" s="17"/>
      <c r="D9961" s="17"/>
      <c r="E9961" s="7"/>
    </row>
    <row r="9962" spans="3:5">
      <c r="C9962" s="17"/>
      <c r="D9962" s="17"/>
      <c r="E9962" s="7"/>
    </row>
    <row r="9963" spans="3:5">
      <c r="C9963" s="17"/>
      <c r="D9963" s="17"/>
      <c r="E9963" s="7"/>
    </row>
    <row r="9964" spans="3:5">
      <c r="C9964" s="17"/>
      <c r="D9964" s="17"/>
      <c r="E9964" s="7"/>
    </row>
    <row r="9965" spans="3:5">
      <c r="C9965" s="17"/>
      <c r="D9965" s="17"/>
      <c r="E9965" s="7"/>
    </row>
    <row r="9966" spans="3:5">
      <c r="C9966" s="17"/>
      <c r="D9966" s="17"/>
      <c r="E9966" s="7"/>
    </row>
    <row r="9967" spans="3:5">
      <c r="C9967" s="17"/>
      <c r="D9967" s="17"/>
      <c r="E9967" s="7"/>
    </row>
    <row r="9968" spans="3:5">
      <c r="C9968" s="17"/>
      <c r="D9968" s="17"/>
      <c r="E9968" s="7"/>
    </row>
    <row r="9969" spans="3:5">
      <c r="C9969" s="17"/>
      <c r="D9969" s="17"/>
      <c r="E9969" s="7"/>
    </row>
    <row r="9970" spans="3:5">
      <c r="C9970" s="17"/>
      <c r="D9970" s="17"/>
      <c r="E9970" s="7"/>
    </row>
    <row r="9971" spans="3:5">
      <c r="C9971" s="17"/>
      <c r="D9971" s="17"/>
      <c r="E9971" s="7"/>
    </row>
    <row r="9972" spans="3:5">
      <c r="C9972" s="17"/>
      <c r="D9972" s="17"/>
      <c r="E9972" s="7"/>
    </row>
    <row r="9973" spans="3:5">
      <c r="C9973" s="17"/>
      <c r="D9973" s="17"/>
      <c r="E9973" s="7"/>
    </row>
    <row r="9974" spans="3:5">
      <c r="C9974" s="17"/>
      <c r="D9974" s="17"/>
      <c r="E9974" s="7"/>
    </row>
    <row r="9975" spans="3:5">
      <c r="C9975" s="17"/>
      <c r="D9975" s="17"/>
      <c r="E9975" s="7"/>
    </row>
    <row r="9976" spans="3:5">
      <c r="C9976" s="17"/>
      <c r="D9976" s="17"/>
      <c r="E9976" s="7"/>
    </row>
    <row r="9977" spans="3:5">
      <c r="C9977" s="17"/>
      <c r="D9977" s="17"/>
      <c r="E9977" s="7"/>
    </row>
    <row r="9978" spans="3:5">
      <c r="C9978" s="17"/>
      <c r="D9978" s="17"/>
      <c r="E9978" s="7"/>
    </row>
    <row r="9979" spans="3:5">
      <c r="C9979" s="17"/>
      <c r="D9979" s="17"/>
      <c r="E9979" s="7"/>
    </row>
    <row r="9980" spans="3:5">
      <c r="C9980" s="17"/>
      <c r="D9980" s="17"/>
      <c r="E9980" s="7"/>
    </row>
    <row r="9981" spans="3:5">
      <c r="C9981" s="17"/>
      <c r="D9981" s="17"/>
      <c r="E9981" s="7"/>
    </row>
    <row r="9982" spans="3:5">
      <c r="C9982" s="17"/>
      <c r="D9982" s="17"/>
      <c r="E9982" s="7"/>
    </row>
    <row r="9983" spans="3:5">
      <c r="C9983" s="17"/>
      <c r="D9983" s="17"/>
      <c r="E9983" s="7"/>
    </row>
    <row r="9984" spans="3:5">
      <c r="C9984" s="17"/>
      <c r="D9984" s="17"/>
      <c r="E9984" s="7"/>
    </row>
    <row r="9985" spans="3:5">
      <c r="C9985" s="17"/>
      <c r="D9985" s="17"/>
      <c r="E9985" s="7"/>
    </row>
    <row r="9986" spans="3:5">
      <c r="C9986" s="17"/>
      <c r="D9986" s="17"/>
      <c r="E9986" s="7"/>
    </row>
    <row r="9987" spans="3:5">
      <c r="C9987" s="17"/>
      <c r="D9987" s="17"/>
      <c r="E9987" s="7"/>
    </row>
    <row r="9988" spans="3:5">
      <c r="C9988" s="17"/>
      <c r="D9988" s="17"/>
      <c r="E9988" s="7"/>
    </row>
    <row r="9989" spans="3:5">
      <c r="C9989" s="17"/>
      <c r="D9989" s="17"/>
      <c r="E9989" s="7"/>
    </row>
    <row r="9990" spans="3:5">
      <c r="C9990" s="17"/>
      <c r="D9990" s="17"/>
      <c r="E9990" s="7"/>
    </row>
    <row r="9991" spans="3:5">
      <c r="C9991" s="17"/>
      <c r="D9991" s="17"/>
      <c r="E9991" s="7"/>
    </row>
    <row r="9992" spans="3:5">
      <c r="C9992" s="17"/>
      <c r="D9992" s="17"/>
      <c r="E9992" s="7"/>
    </row>
    <row r="9993" spans="3:5">
      <c r="C9993" s="17"/>
      <c r="D9993" s="17"/>
      <c r="E9993" s="7"/>
    </row>
    <row r="9994" spans="3:5">
      <c r="C9994" s="17"/>
      <c r="D9994" s="17"/>
      <c r="E9994" s="7"/>
    </row>
    <row r="9995" spans="3:5">
      <c r="C9995" s="17"/>
      <c r="D9995" s="17"/>
      <c r="E9995" s="7"/>
    </row>
    <row r="9996" spans="3:5">
      <c r="C9996" s="17"/>
      <c r="D9996" s="17"/>
      <c r="E9996" s="7"/>
    </row>
    <row r="9997" spans="3:5">
      <c r="C9997" s="17"/>
      <c r="D9997" s="17"/>
      <c r="E9997" s="7"/>
    </row>
    <row r="9998" spans="3:5">
      <c r="C9998" s="17"/>
      <c r="D9998" s="17"/>
      <c r="E9998" s="7"/>
    </row>
    <row r="9999" spans="3:5">
      <c r="C9999" s="17"/>
      <c r="D9999" s="17"/>
      <c r="E9999" s="7"/>
    </row>
    <row r="10000" spans="3:5">
      <c r="C10000" s="17"/>
      <c r="D10000" s="17"/>
      <c r="E10000" s="7"/>
    </row>
    <row r="10001" spans="3:5">
      <c r="C10001" s="17"/>
      <c r="D10001" s="17"/>
      <c r="E10001" s="7"/>
    </row>
    <row r="10002" spans="3:5">
      <c r="C10002" s="17"/>
      <c r="D10002" s="17"/>
      <c r="E10002" s="7"/>
    </row>
    <row r="10003" spans="3:5">
      <c r="C10003" s="17"/>
      <c r="D10003" s="17"/>
      <c r="E10003" s="7"/>
    </row>
    <row r="10004" spans="3:5">
      <c r="C10004" s="17"/>
      <c r="D10004" s="17"/>
      <c r="E10004" s="7"/>
    </row>
    <row r="10005" spans="3:5">
      <c r="C10005" s="17"/>
      <c r="D10005" s="17"/>
      <c r="E10005" s="7"/>
    </row>
    <row r="10006" spans="3:5">
      <c r="C10006" s="17"/>
      <c r="D10006" s="17"/>
      <c r="E10006" s="7"/>
    </row>
    <row r="10007" spans="3:5">
      <c r="C10007" s="17"/>
      <c r="D10007" s="17"/>
      <c r="E10007" s="7"/>
    </row>
    <row r="10008" spans="3:5">
      <c r="C10008" s="17"/>
      <c r="D10008" s="17"/>
      <c r="E10008" s="7"/>
    </row>
    <row r="10009" spans="3:5">
      <c r="C10009" s="17"/>
      <c r="D10009" s="17"/>
      <c r="E10009" s="7"/>
    </row>
    <row r="10010" spans="3:5">
      <c r="C10010" s="17"/>
      <c r="D10010" s="17"/>
      <c r="E10010" s="7"/>
    </row>
    <row r="10011" spans="3:5">
      <c r="C10011" s="17"/>
      <c r="D10011" s="17"/>
      <c r="E10011" s="7"/>
    </row>
    <row r="10012" spans="3:5">
      <c r="C10012" s="17"/>
      <c r="D10012" s="17"/>
      <c r="E10012" s="7"/>
    </row>
    <row r="10013" spans="3:5">
      <c r="C10013" s="17"/>
      <c r="D10013" s="17"/>
      <c r="E10013" s="7"/>
    </row>
    <row r="10014" spans="3:5">
      <c r="C10014" s="17"/>
      <c r="D10014" s="17"/>
      <c r="E10014" s="7"/>
    </row>
    <row r="10015" spans="3:5">
      <c r="C10015" s="17"/>
      <c r="D10015" s="17"/>
      <c r="E10015" s="7"/>
    </row>
    <row r="10016" spans="3:5">
      <c r="C10016" s="17"/>
      <c r="D10016" s="17"/>
      <c r="E10016" s="7"/>
    </row>
    <row r="10017" spans="3:5">
      <c r="C10017" s="17"/>
      <c r="D10017" s="17"/>
      <c r="E10017" s="7"/>
    </row>
    <row r="10018" spans="3:5">
      <c r="C10018" s="17"/>
      <c r="D10018" s="17"/>
      <c r="E10018" s="7"/>
    </row>
    <row r="10019" spans="3:5">
      <c r="C10019" s="17"/>
      <c r="D10019" s="17"/>
      <c r="E10019" s="7"/>
    </row>
    <row r="10020" spans="3:5">
      <c r="C10020" s="17"/>
      <c r="D10020" s="17"/>
      <c r="E10020" s="7"/>
    </row>
    <row r="10021" spans="3:5">
      <c r="C10021" s="17"/>
      <c r="D10021" s="17"/>
      <c r="E10021" s="7"/>
    </row>
    <row r="10022" spans="3:5">
      <c r="C10022" s="17"/>
      <c r="D10022" s="17"/>
      <c r="E10022" s="7"/>
    </row>
    <row r="10023" spans="3:5">
      <c r="C10023" s="17"/>
      <c r="D10023" s="17"/>
      <c r="E10023" s="7"/>
    </row>
    <row r="10024" spans="3:5">
      <c r="C10024" s="17"/>
      <c r="D10024" s="17"/>
      <c r="E10024" s="7"/>
    </row>
    <row r="10025" spans="3:5">
      <c r="C10025" s="17"/>
      <c r="D10025" s="17"/>
      <c r="E10025" s="7"/>
    </row>
    <row r="10026" spans="3:5">
      <c r="C10026" s="17"/>
      <c r="D10026" s="17"/>
      <c r="E10026" s="7"/>
    </row>
    <row r="10027" spans="3:5">
      <c r="C10027" s="17"/>
      <c r="D10027" s="17"/>
      <c r="E10027" s="7"/>
    </row>
    <row r="10028" spans="3:5">
      <c r="C10028" s="17"/>
      <c r="D10028" s="17"/>
      <c r="E10028" s="7"/>
    </row>
    <row r="10029" spans="3:5">
      <c r="C10029" s="17"/>
      <c r="D10029" s="17"/>
      <c r="E10029" s="7"/>
    </row>
    <row r="10030" spans="3:5">
      <c r="C10030" s="17"/>
      <c r="D10030" s="17"/>
      <c r="E10030" s="7"/>
    </row>
    <row r="10031" spans="3:5">
      <c r="C10031" s="17"/>
      <c r="D10031" s="17"/>
      <c r="E10031" s="7"/>
    </row>
    <row r="10032" spans="3:5">
      <c r="C10032" s="17"/>
      <c r="D10032" s="17"/>
      <c r="E10032" s="7"/>
    </row>
    <row r="10033" spans="3:5">
      <c r="C10033" s="17"/>
      <c r="D10033" s="17"/>
      <c r="E10033" s="7"/>
    </row>
    <row r="10034" spans="3:5">
      <c r="C10034" s="17"/>
      <c r="D10034" s="17"/>
      <c r="E10034" s="7"/>
    </row>
    <row r="10035" spans="3:5">
      <c r="C10035" s="17"/>
      <c r="D10035" s="17"/>
      <c r="E10035" s="7"/>
    </row>
    <row r="10036" spans="3:5">
      <c r="C10036" s="17"/>
      <c r="D10036" s="17"/>
      <c r="E10036" s="7"/>
    </row>
    <row r="10037" spans="3:5">
      <c r="C10037" s="17"/>
      <c r="D10037" s="17"/>
      <c r="E10037" s="7"/>
    </row>
    <row r="10038" spans="3:5">
      <c r="C10038" s="17"/>
      <c r="D10038" s="17"/>
      <c r="E10038" s="7"/>
    </row>
    <row r="10039" spans="3:5">
      <c r="C10039" s="17"/>
      <c r="D10039" s="17"/>
      <c r="E10039" s="7"/>
    </row>
    <row r="10040" spans="3:5">
      <c r="C10040" s="17"/>
      <c r="D10040" s="17"/>
      <c r="E10040" s="7"/>
    </row>
    <row r="10041" spans="3:5">
      <c r="C10041" s="17"/>
      <c r="D10041" s="17"/>
      <c r="E10041" s="7"/>
    </row>
    <row r="10042" spans="3:5">
      <c r="C10042" s="17"/>
      <c r="D10042" s="17"/>
      <c r="E10042" s="7"/>
    </row>
    <row r="10043" spans="3:5">
      <c r="C10043" s="17"/>
      <c r="D10043" s="17"/>
      <c r="E10043" s="7"/>
    </row>
    <row r="10044" spans="3:5">
      <c r="C10044" s="17"/>
      <c r="D10044" s="17"/>
      <c r="E10044" s="7"/>
    </row>
    <row r="10045" spans="3:5">
      <c r="C10045" s="17"/>
      <c r="D10045" s="17"/>
      <c r="E10045" s="7"/>
    </row>
    <row r="10046" spans="3:5">
      <c r="C10046" s="17"/>
      <c r="D10046" s="17"/>
      <c r="E10046" s="7"/>
    </row>
    <row r="10047" spans="3:5">
      <c r="C10047" s="17"/>
      <c r="D10047" s="17"/>
      <c r="E10047" s="7"/>
    </row>
    <row r="10048" spans="3:5">
      <c r="C10048" s="17"/>
      <c r="D10048" s="17"/>
      <c r="E10048" s="7"/>
    </row>
    <row r="10049" spans="3:5">
      <c r="C10049" s="17"/>
      <c r="D10049" s="17"/>
      <c r="E10049" s="7"/>
    </row>
    <row r="10050" spans="3:5">
      <c r="C10050" s="17"/>
      <c r="D10050" s="17"/>
      <c r="E10050" s="7"/>
    </row>
    <row r="10051" spans="3:5">
      <c r="C10051" s="17"/>
      <c r="D10051" s="17"/>
      <c r="E10051" s="7"/>
    </row>
    <row r="10052" spans="3:5">
      <c r="C10052" s="17"/>
      <c r="D10052" s="17"/>
      <c r="E10052" s="7"/>
    </row>
    <row r="10053" spans="3:5">
      <c r="C10053" s="17"/>
      <c r="D10053" s="17"/>
      <c r="E10053" s="7"/>
    </row>
    <row r="10054" spans="3:5">
      <c r="C10054" s="17"/>
      <c r="D10054" s="17"/>
      <c r="E10054" s="7"/>
    </row>
    <row r="10055" spans="3:5">
      <c r="C10055" s="17"/>
      <c r="D10055" s="17"/>
      <c r="E10055" s="7"/>
    </row>
    <row r="10056" spans="3:5">
      <c r="C10056" s="17"/>
      <c r="D10056" s="17"/>
      <c r="E10056" s="7"/>
    </row>
    <row r="10057" spans="3:5">
      <c r="C10057" s="17"/>
      <c r="D10057" s="17"/>
      <c r="E10057" s="7"/>
    </row>
    <row r="10058" spans="3:5">
      <c r="C10058" s="17"/>
      <c r="D10058" s="17"/>
      <c r="E10058" s="7"/>
    </row>
    <row r="10059" spans="3:5">
      <c r="C10059" s="17"/>
      <c r="D10059" s="17"/>
      <c r="E10059" s="7"/>
    </row>
    <row r="10060" spans="3:5">
      <c r="C10060" s="17"/>
      <c r="D10060" s="17"/>
      <c r="E10060" s="7"/>
    </row>
    <row r="10061" spans="3:5">
      <c r="C10061" s="17"/>
      <c r="D10061" s="17"/>
      <c r="E10061" s="7"/>
    </row>
    <row r="10062" spans="3:5">
      <c r="C10062" s="17"/>
      <c r="D10062" s="17"/>
      <c r="E10062" s="7"/>
    </row>
    <row r="10063" spans="3:5">
      <c r="C10063" s="17"/>
      <c r="D10063" s="17"/>
      <c r="E10063" s="7"/>
    </row>
    <row r="10064" spans="3:5">
      <c r="C10064" s="17"/>
      <c r="D10064" s="17"/>
      <c r="E10064" s="7"/>
    </row>
    <row r="10065" spans="3:5">
      <c r="C10065" s="17"/>
      <c r="D10065" s="17"/>
      <c r="E10065" s="7"/>
    </row>
    <row r="10066" spans="3:5">
      <c r="C10066" s="17"/>
      <c r="D10066" s="17"/>
      <c r="E10066" s="7"/>
    </row>
    <row r="10067" spans="3:5">
      <c r="C10067" s="17"/>
      <c r="D10067" s="17"/>
      <c r="E10067" s="7"/>
    </row>
    <row r="10068" spans="3:5">
      <c r="C10068" s="17"/>
      <c r="D10068" s="17"/>
      <c r="E10068" s="7"/>
    </row>
    <row r="10069" spans="3:5">
      <c r="C10069" s="17"/>
      <c r="D10069" s="17"/>
      <c r="E10069" s="7"/>
    </row>
    <row r="10070" spans="3:5">
      <c r="C10070" s="17"/>
      <c r="D10070" s="17"/>
      <c r="E10070" s="7"/>
    </row>
    <row r="10071" spans="3:5">
      <c r="C10071" s="17"/>
      <c r="D10071" s="17"/>
      <c r="E10071" s="7"/>
    </row>
    <row r="10072" spans="3:5">
      <c r="C10072" s="17"/>
      <c r="D10072" s="17"/>
      <c r="E10072" s="7"/>
    </row>
    <row r="10073" spans="3:5">
      <c r="C10073" s="17"/>
      <c r="D10073" s="17"/>
      <c r="E10073" s="7"/>
    </row>
    <row r="10074" spans="3:5">
      <c r="C10074" s="17"/>
      <c r="D10074" s="17"/>
      <c r="E10074" s="7"/>
    </row>
    <row r="10075" spans="3:5">
      <c r="C10075" s="17"/>
      <c r="D10075" s="17"/>
      <c r="E10075" s="7"/>
    </row>
    <row r="10076" spans="3:5">
      <c r="C10076" s="17"/>
      <c r="D10076" s="17"/>
      <c r="E10076" s="7"/>
    </row>
    <row r="10077" spans="3:5">
      <c r="C10077" s="17"/>
      <c r="D10077" s="17"/>
      <c r="E10077" s="7"/>
    </row>
    <row r="10078" spans="3:5">
      <c r="C10078" s="17"/>
      <c r="D10078" s="17"/>
      <c r="E10078" s="7"/>
    </row>
    <row r="10079" spans="3:5">
      <c r="C10079" s="17"/>
      <c r="D10079" s="17"/>
      <c r="E10079" s="7"/>
    </row>
    <row r="10080" spans="3:5">
      <c r="C10080" s="17"/>
      <c r="D10080" s="17"/>
      <c r="E10080" s="7"/>
    </row>
    <row r="10081" spans="3:5">
      <c r="C10081" s="17"/>
      <c r="D10081" s="17"/>
      <c r="E10081" s="7"/>
    </row>
    <row r="10082" spans="3:5">
      <c r="C10082" s="17"/>
      <c r="D10082" s="17"/>
      <c r="E10082" s="7"/>
    </row>
    <row r="10083" spans="3:5">
      <c r="C10083" s="17"/>
      <c r="D10083" s="17"/>
      <c r="E10083" s="7"/>
    </row>
    <row r="10084" spans="3:5">
      <c r="C10084" s="17"/>
      <c r="D10084" s="17"/>
      <c r="E10084" s="7"/>
    </row>
    <row r="10085" spans="3:5">
      <c r="C10085" s="17"/>
      <c r="D10085" s="17"/>
      <c r="E10085" s="7"/>
    </row>
    <row r="10086" spans="3:5">
      <c r="C10086" s="17"/>
      <c r="D10086" s="17"/>
      <c r="E10086" s="7"/>
    </row>
    <row r="10087" spans="3:5">
      <c r="C10087" s="17"/>
      <c r="D10087" s="17"/>
      <c r="E10087" s="7"/>
    </row>
    <row r="10088" spans="3:5">
      <c r="C10088" s="17"/>
      <c r="D10088" s="17"/>
      <c r="E10088" s="7"/>
    </row>
    <row r="10089" spans="3:5">
      <c r="C10089" s="17"/>
      <c r="D10089" s="17"/>
      <c r="E10089" s="7"/>
    </row>
    <row r="10090" spans="3:5">
      <c r="C10090" s="17"/>
      <c r="D10090" s="17"/>
      <c r="E10090" s="7"/>
    </row>
    <row r="10091" spans="3:5">
      <c r="C10091" s="17"/>
      <c r="D10091" s="17"/>
      <c r="E10091" s="7"/>
    </row>
    <row r="10092" spans="3:5">
      <c r="C10092" s="17"/>
      <c r="D10092" s="17"/>
      <c r="E10092" s="7"/>
    </row>
    <row r="10093" spans="3:5">
      <c r="C10093" s="17"/>
      <c r="D10093" s="17"/>
      <c r="E10093" s="7"/>
    </row>
    <row r="10094" spans="3:5">
      <c r="C10094" s="17"/>
      <c r="D10094" s="17"/>
      <c r="E10094" s="7"/>
    </row>
    <row r="10095" spans="3:5">
      <c r="C10095" s="17"/>
      <c r="D10095" s="17"/>
      <c r="E10095" s="7"/>
    </row>
    <row r="10096" spans="3:5">
      <c r="C10096" s="17"/>
      <c r="D10096" s="17"/>
      <c r="E10096" s="7"/>
    </row>
    <row r="10097" spans="3:5">
      <c r="C10097" s="17"/>
      <c r="D10097" s="17"/>
      <c r="E10097" s="7"/>
    </row>
    <row r="10098" spans="3:5">
      <c r="C10098" s="17"/>
      <c r="D10098" s="17"/>
      <c r="E10098" s="7"/>
    </row>
    <row r="10099" spans="3:5">
      <c r="C10099" s="17"/>
      <c r="D10099" s="17"/>
      <c r="E10099" s="7"/>
    </row>
    <row r="10100" spans="3:5">
      <c r="C10100" s="17"/>
      <c r="D10100" s="17"/>
      <c r="E10100" s="7"/>
    </row>
    <row r="10101" spans="3:5">
      <c r="C10101" s="17"/>
      <c r="D10101" s="17"/>
      <c r="E10101" s="7"/>
    </row>
    <row r="10102" spans="3:5">
      <c r="C10102" s="17"/>
      <c r="D10102" s="17"/>
      <c r="E10102" s="7"/>
    </row>
    <row r="10103" spans="3:5">
      <c r="C10103" s="17"/>
      <c r="D10103" s="17"/>
      <c r="E10103" s="7"/>
    </row>
    <row r="10104" spans="3:5">
      <c r="C10104" s="17"/>
      <c r="D10104" s="17"/>
      <c r="E10104" s="7"/>
    </row>
    <row r="10105" spans="3:5">
      <c r="C10105" s="17"/>
      <c r="D10105" s="17"/>
      <c r="E10105" s="7"/>
    </row>
    <row r="10106" spans="3:5">
      <c r="C10106" s="17"/>
      <c r="D10106" s="17"/>
      <c r="E10106" s="7"/>
    </row>
    <row r="10107" spans="3:5">
      <c r="C10107" s="17"/>
      <c r="D10107" s="17"/>
      <c r="E10107" s="7"/>
    </row>
    <row r="10108" spans="3:5">
      <c r="C10108" s="17"/>
      <c r="D10108" s="17"/>
      <c r="E10108" s="7"/>
    </row>
    <row r="10109" spans="3:5">
      <c r="C10109" s="17"/>
      <c r="D10109" s="17"/>
      <c r="E10109" s="7"/>
    </row>
    <row r="10110" spans="3:5">
      <c r="C10110" s="17"/>
      <c r="D10110" s="17"/>
      <c r="E10110" s="7"/>
    </row>
    <row r="10111" spans="3:5">
      <c r="C10111" s="17"/>
      <c r="D10111" s="17"/>
      <c r="E10111" s="7"/>
    </row>
    <row r="10112" spans="3:5">
      <c r="C10112" s="17"/>
      <c r="D10112" s="17"/>
      <c r="E10112" s="7"/>
    </row>
    <row r="10113" spans="3:5">
      <c r="C10113" s="17"/>
      <c r="D10113" s="17"/>
      <c r="E10113" s="7"/>
    </row>
    <row r="10114" spans="3:5">
      <c r="C10114" s="17"/>
      <c r="D10114" s="17"/>
      <c r="E10114" s="7"/>
    </row>
    <row r="10115" spans="3:5">
      <c r="C10115" s="17"/>
      <c r="D10115" s="17"/>
      <c r="E10115" s="7"/>
    </row>
    <row r="10116" spans="3:5">
      <c r="C10116" s="17"/>
      <c r="D10116" s="17"/>
      <c r="E10116" s="7"/>
    </row>
    <row r="10117" spans="3:5">
      <c r="C10117" s="17"/>
      <c r="D10117" s="17"/>
      <c r="E10117" s="7"/>
    </row>
    <row r="10118" spans="3:5">
      <c r="C10118" s="17"/>
      <c r="D10118" s="17"/>
      <c r="E10118" s="7"/>
    </row>
    <row r="10119" spans="3:5">
      <c r="C10119" s="17"/>
      <c r="D10119" s="17"/>
      <c r="E10119" s="7"/>
    </row>
    <row r="10120" spans="3:5">
      <c r="C10120" s="17"/>
      <c r="D10120" s="17"/>
      <c r="E10120" s="7"/>
    </row>
    <row r="10121" spans="3:5">
      <c r="C10121" s="17"/>
      <c r="D10121" s="17"/>
      <c r="E10121" s="7"/>
    </row>
    <row r="10122" spans="3:5">
      <c r="C10122" s="17"/>
      <c r="D10122" s="17"/>
      <c r="E10122" s="7"/>
    </row>
    <row r="10123" spans="3:5">
      <c r="C10123" s="17"/>
      <c r="D10123" s="17"/>
      <c r="E10123" s="7"/>
    </row>
    <row r="10124" spans="3:5">
      <c r="C10124" s="17"/>
      <c r="D10124" s="17"/>
      <c r="E10124" s="7"/>
    </row>
    <row r="10125" spans="3:5">
      <c r="C10125" s="17"/>
      <c r="D10125" s="17"/>
      <c r="E10125" s="7"/>
    </row>
    <row r="10126" spans="3:5">
      <c r="C10126" s="17"/>
      <c r="D10126" s="17"/>
      <c r="E10126" s="7"/>
    </row>
    <row r="10127" spans="3:5">
      <c r="C10127" s="17"/>
      <c r="D10127" s="17"/>
      <c r="E10127" s="7"/>
    </row>
    <row r="10128" spans="3:5">
      <c r="C10128" s="17"/>
      <c r="D10128" s="17"/>
      <c r="E10128" s="7"/>
    </row>
    <row r="10129" spans="3:5">
      <c r="C10129" s="17"/>
      <c r="D10129" s="17"/>
      <c r="E10129" s="7"/>
    </row>
    <row r="10130" spans="3:5">
      <c r="C10130" s="17"/>
      <c r="D10130" s="17"/>
      <c r="E10130" s="7"/>
    </row>
    <row r="10131" spans="3:5">
      <c r="C10131" s="17"/>
      <c r="D10131" s="17"/>
      <c r="E10131" s="7"/>
    </row>
    <row r="10132" spans="3:5">
      <c r="C10132" s="17"/>
      <c r="D10132" s="17"/>
      <c r="E10132" s="7"/>
    </row>
    <row r="10133" spans="3:5">
      <c r="C10133" s="17"/>
      <c r="D10133" s="17"/>
      <c r="E10133" s="7"/>
    </row>
    <row r="10134" spans="3:5">
      <c r="C10134" s="17"/>
      <c r="D10134" s="17"/>
      <c r="E10134" s="7"/>
    </row>
    <row r="10135" spans="3:5">
      <c r="C10135" s="17"/>
      <c r="D10135" s="17"/>
      <c r="E10135" s="7"/>
    </row>
    <row r="10136" spans="3:5">
      <c r="C10136" s="17"/>
      <c r="D10136" s="17"/>
      <c r="E10136" s="7"/>
    </row>
    <row r="10137" spans="3:5">
      <c r="C10137" s="17"/>
      <c r="D10137" s="17"/>
      <c r="E10137" s="7"/>
    </row>
    <row r="10138" spans="3:5">
      <c r="C10138" s="17"/>
      <c r="D10138" s="17"/>
      <c r="E10138" s="7"/>
    </row>
    <row r="10139" spans="3:5">
      <c r="C10139" s="17"/>
      <c r="D10139" s="17"/>
      <c r="E10139" s="7"/>
    </row>
    <row r="10140" spans="3:5">
      <c r="C10140" s="17"/>
      <c r="D10140" s="17"/>
      <c r="E10140" s="7"/>
    </row>
    <row r="10141" spans="3:5">
      <c r="C10141" s="17"/>
      <c r="D10141" s="17"/>
      <c r="E10141" s="7"/>
    </row>
    <row r="10142" spans="3:5">
      <c r="C10142" s="17"/>
      <c r="D10142" s="17"/>
      <c r="E10142" s="7"/>
    </row>
    <row r="10143" spans="3:5">
      <c r="C10143" s="17"/>
      <c r="D10143" s="17"/>
      <c r="E10143" s="7"/>
    </row>
    <row r="10144" spans="3:5">
      <c r="C10144" s="17"/>
      <c r="D10144" s="17"/>
      <c r="E10144" s="7"/>
    </row>
    <row r="10145" spans="3:5">
      <c r="C10145" s="17"/>
      <c r="D10145" s="17"/>
      <c r="E10145" s="7"/>
    </row>
    <row r="10146" spans="3:5">
      <c r="C10146" s="17"/>
      <c r="D10146" s="17"/>
      <c r="E10146" s="7"/>
    </row>
    <row r="10147" spans="3:5">
      <c r="C10147" s="17"/>
      <c r="D10147" s="17"/>
      <c r="E10147" s="7"/>
    </row>
    <row r="10148" spans="3:5">
      <c r="C10148" s="17"/>
      <c r="D10148" s="17"/>
      <c r="E10148" s="7"/>
    </row>
    <row r="10149" spans="3:5">
      <c r="C10149" s="17"/>
      <c r="D10149" s="17"/>
      <c r="E10149" s="7"/>
    </row>
    <row r="10150" spans="3:5">
      <c r="C10150" s="17"/>
      <c r="D10150" s="17"/>
      <c r="E10150" s="7"/>
    </row>
    <row r="10151" spans="3:5">
      <c r="C10151" s="17"/>
      <c r="D10151" s="17"/>
      <c r="E10151" s="7"/>
    </row>
    <row r="10152" spans="3:5">
      <c r="C10152" s="17"/>
      <c r="D10152" s="17"/>
      <c r="E10152" s="7"/>
    </row>
    <row r="10153" spans="3:5">
      <c r="C10153" s="17"/>
      <c r="D10153" s="17"/>
      <c r="E10153" s="7"/>
    </row>
    <row r="10154" spans="3:5">
      <c r="C10154" s="17"/>
      <c r="D10154" s="17"/>
      <c r="E10154" s="7"/>
    </row>
    <row r="10155" spans="3:5">
      <c r="C10155" s="17"/>
      <c r="D10155" s="17"/>
      <c r="E10155" s="7"/>
    </row>
    <row r="10156" spans="3:5">
      <c r="C10156" s="17"/>
      <c r="D10156" s="17"/>
      <c r="E10156" s="7"/>
    </row>
    <row r="10157" spans="3:5">
      <c r="C10157" s="17"/>
      <c r="D10157" s="17"/>
      <c r="E10157" s="7"/>
    </row>
    <row r="10158" spans="3:5">
      <c r="C10158" s="17"/>
      <c r="D10158" s="17"/>
      <c r="E10158" s="7"/>
    </row>
    <row r="10159" spans="3:5">
      <c r="C10159" s="17"/>
      <c r="D10159" s="17"/>
      <c r="E10159" s="7"/>
    </row>
    <row r="10160" spans="3:5">
      <c r="C10160" s="17"/>
      <c r="D10160" s="17"/>
      <c r="E10160" s="7"/>
    </row>
    <row r="10161" spans="3:5">
      <c r="C10161" s="17"/>
      <c r="D10161" s="17"/>
      <c r="E10161" s="7"/>
    </row>
    <row r="10162" spans="3:5">
      <c r="C10162" s="17"/>
      <c r="D10162" s="17"/>
      <c r="E10162" s="7"/>
    </row>
    <row r="10163" spans="3:5">
      <c r="C10163" s="17"/>
      <c r="D10163" s="17"/>
      <c r="E10163" s="7"/>
    </row>
    <row r="10164" spans="3:5">
      <c r="C10164" s="17"/>
      <c r="D10164" s="17"/>
      <c r="E10164" s="7"/>
    </row>
    <row r="10165" spans="3:5">
      <c r="C10165" s="17"/>
      <c r="D10165" s="17"/>
      <c r="E10165" s="7"/>
    </row>
    <row r="10166" spans="3:5">
      <c r="C10166" s="17"/>
      <c r="D10166" s="17"/>
      <c r="E10166" s="7"/>
    </row>
    <row r="10167" spans="3:5">
      <c r="C10167" s="17"/>
      <c r="D10167" s="17"/>
      <c r="E10167" s="7"/>
    </row>
    <row r="10168" spans="3:5">
      <c r="C10168" s="17"/>
      <c r="D10168" s="17"/>
      <c r="E10168" s="7"/>
    </row>
    <row r="10169" spans="3:5">
      <c r="C10169" s="17"/>
      <c r="D10169" s="17"/>
      <c r="E10169" s="7"/>
    </row>
    <row r="10170" spans="3:5">
      <c r="C10170" s="17"/>
      <c r="D10170" s="17"/>
      <c r="E10170" s="7"/>
    </row>
    <row r="10171" spans="3:5">
      <c r="C10171" s="17"/>
      <c r="D10171" s="17"/>
      <c r="E10171" s="7"/>
    </row>
    <row r="10172" spans="3:5">
      <c r="C10172" s="17"/>
      <c r="D10172" s="17"/>
      <c r="E10172" s="7"/>
    </row>
    <row r="10173" spans="3:5">
      <c r="C10173" s="17"/>
      <c r="D10173" s="17"/>
      <c r="E10173" s="7"/>
    </row>
    <row r="10174" spans="3:5">
      <c r="C10174" s="17"/>
      <c r="D10174" s="17"/>
      <c r="E10174" s="7"/>
    </row>
    <row r="10175" spans="3:5">
      <c r="C10175" s="17"/>
      <c r="D10175" s="17"/>
      <c r="E10175" s="7"/>
    </row>
    <row r="10176" spans="3:5">
      <c r="C10176" s="17"/>
      <c r="D10176" s="17"/>
      <c r="E10176" s="7"/>
    </row>
    <row r="10177" spans="3:5">
      <c r="C10177" s="17"/>
      <c r="D10177" s="17"/>
      <c r="E10177" s="7"/>
    </row>
    <row r="10178" spans="3:5">
      <c r="C10178" s="17"/>
      <c r="D10178" s="17"/>
      <c r="E10178" s="7"/>
    </row>
    <row r="10179" spans="3:5">
      <c r="C10179" s="17"/>
      <c r="D10179" s="17"/>
      <c r="E10179" s="7"/>
    </row>
    <row r="10180" spans="3:5">
      <c r="C10180" s="17"/>
      <c r="D10180" s="17"/>
      <c r="E10180" s="7"/>
    </row>
    <row r="10181" spans="3:5">
      <c r="C10181" s="17"/>
      <c r="D10181" s="17"/>
      <c r="E10181" s="7"/>
    </row>
    <row r="10182" spans="3:5">
      <c r="C10182" s="17"/>
      <c r="D10182" s="17"/>
      <c r="E10182" s="7"/>
    </row>
    <row r="10183" spans="3:5">
      <c r="C10183" s="17"/>
      <c r="D10183" s="17"/>
      <c r="E10183" s="7"/>
    </row>
    <row r="10184" spans="3:5">
      <c r="C10184" s="17"/>
      <c r="D10184" s="17"/>
      <c r="E10184" s="7"/>
    </row>
    <row r="10185" spans="3:5">
      <c r="C10185" s="17"/>
      <c r="D10185" s="17"/>
      <c r="E10185" s="7"/>
    </row>
    <row r="10186" spans="3:5">
      <c r="C10186" s="17"/>
      <c r="D10186" s="17"/>
      <c r="E10186" s="7"/>
    </row>
    <row r="10187" spans="3:5">
      <c r="C10187" s="17"/>
      <c r="D10187" s="17"/>
      <c r="E10187" s="7"/>
    </row>
    <row r="10188" spans="3:5">
      <c r="C10188" s="17"/>
      <c r="D10188" s="17"/>
      <c r="E10188" s="7"/>
    </row>
    <row r="10189" spans="3:5">
      <c r="C10189" s="17"/>
      <c r="D10189" s="17"/>
      <c r="E10189" s="7"/>
    </row>
    <row r="10190" spans="3:5">
      <c r="C10190" s="17"/>
      <c r="D10190" s="17"/>
      <c r="E10190" s="7"/>
    </row>
    <row r="10191" spans="3:5">
      <c r="C10191" s="17"/>
      <c r="D10191" s="17"/>
      <c r="E10191" s="7"/>
    </row>
    <row r="10192" spans="3:5">
      <c r="C10192" s="17"/>
      <c r="D10192" s="17"/>
      <c r="E10192" s="7"/>
    </row>
    <row r="10193" spans="3:5">
      <c r="C10193" s="17"/>
      <c r="D10193" s="17"/>
      <c r="E10193" s="7"/>
    </row>
    <row r="10194" spans="3:5">
      <c r="C10194" s="17"/>
      <c r="D10194" s="17"/>
      <c r="E10194" s="7"/>
    </row>
    <row r="10195" spans="3:5">
      <c r="C10195" s="17"/>
      <c r="D10195" s="17"/>
      <c r="E10195" s="7"/>
    </row>
    <row r="10196" spans="3:5">
      <c r="C10196" s="17"/>
      <c r="D10196" s="17"/>
      <c r="E10196" s="7"/>
    </row>
    <row r="10197" spans="3:5">
      <c r="C10197" s="17"/>
      <c r="D10197" s="17"/>
      <c r="E10197" s="7"/>
    </row>
    <row r="10198" spans="3:5">
      <c r="C10198" s="17"/>
      <c r="D10198" s="17"/>
      <c r="E10198" s="7"/>
    </row>
    <row r="10199" spans="3:5">
      <c r="C10199" s="17"/>
      <c r="D10199" s="17"/>
      <c r="E10199" s="7"/>
    </row>
    <row r="10200" spans="3:5">
      <c r="C10200" s="17"/>
      <c r="D10200" s="17"/>
      <c r="E10200" s="7"/>
    </row>
    <row r="10201" spans="3:5">
      <c r="C10201" s="17"/>
      <c r="D10201" s="17"/>
      <c r="E10201" s="7"/>
    </row>
    <row r="10202" spans="3:5">
      <c r="C10202" s="17"/>
      <c r="D10202" s="17"/>
      <c r="E10202" s="7"/>
    </row>
    <row r="10203" spans="3:5">
      <c r="C10203" s="17"/>
      <c r="D10203" s="17"/>
      <c r="E10203" s="7"/>
    </row>
    <row r="10204" spans="3:5">
      <c r="C10204" s="17"/>
      <c r="D10204" s="17"/>
      <c r="E10204" s="7"/>
    </row>
    <row r="10205" spans="3:5">
      <c r="C10205" s="17"/>
      <c r="D10205" s="17"/>
      <c r="E10205" s="7"/>
    </row>
    <row r="10206" spans="3:5">
      <c r="C10206" s="17"/>
      <c r="D10206" s="17"/>
      <c r="E10206" s="7"/>
    </row>
    <row r="10207" spans="3:5">
      <c r="C10207" s="17"/>
      <c r="D10207" s="17"/>
      <c r="E10207" s="7"/>
    </row>
    <row r="10208" spans="3:5">
      <c r="C10208" s="17"/>
      <c r="D10208" s="17"/>
      <c r="E10208" s="7"/>
    </row>
    <row r="10209" spans="3:5">
      <c r="C10209" s="17"/>
      <c r="D10209" s="17"/>
      <c r="E10209" s="7"/>
    </row>
    <row r="10210" spans="3:5">
      <c r="C10210" s="17"/>
      <c r="D10210" s="17"/>
      <c r="E10210" s="7"/>
    </row>
    <row r="10211" spans="3:5">
      <c r="C10211" s="17"/>
      <c r="D10211" s="17"/>
      <c r="E10211" s="7"/>
    </row>
    <row r="10212" spans="3:5">
      <c r="C10212" s="17"/>
      <c r="D10212" s="17"/>
      <c r="E10212" s="7"/>
    </row>
    <row r="10213" spans="3:5">
      <c r="C10213" s="17"/>
      <c r="D10213" s="17"/>
      <c r="E10213" s="7"/>
    </row>
    <row r="10214" spans="3:5">
      <c r="C10214" s="17"/>
      <c r="D10214" s="17"/>
      <c r="E10214" s="7"/>
    </row>
    <row r="10215" spans="3:5">
      <c r="C10215" s="17"/>
      <c r="D10215" s="17"/>
      <c r="E10215" s="7"/>
    </row>
    <row r="10216" spans="3:5">
      <c r="C10216" s="17"/>
      <c r="D10216" s="17"/>
      <c r="E10216" s="7"/>
    </row>
    <row r="10217" spans="3:5">
      <c r="C10217" s="17"/>
      <c r="D10217" s="17"/>
      <c r="E10217" s="7"/>
    </row>
    <row r="10218" spans="3:5">
      <c r="C10218" s="17"/>
      <c r="D10218" s="17"/>
      <c r="E10218" s="7"/>
    </row>
    <row r="10219" spans="3:5">
      <c r="C10219" s="17"/>
      <c r="D10219" s="17"/>
      <c r="E10219" s="7"/>
    </row>
    <row r="10220" spans="3:5">
      <c r="C10220" s="17"/>
      <c r="D10220" s="17"/>
      <c r="E10220" s="7"/>
    </row>
    <row r="10221" spans="3:5">
      <c r="C10221" s="17"/>
      <c r="D10221" s="17"/>
      <c r="E10221" s="7"/>
    </row>
    <row r="10222" spans="3:5">
      <c r="C10222" s="17"/>
      <c r="D10222" s="17"/>
      <c r="E10222" s="7"/>
    </row>
    <row r="10223" spans="3:5">
      <c r="C10223" s="17"/>
      <c r="D10223" s="17"/>
      <c r="E10223" s="7"/>
    </row>
    <row r="10224" spans="3:5">
      <c r="C10224" s="17"/>
      <c r="D10224" s="17"/>
      <c r="E10224" s="7"/>
    </row>
    <row r="10225" spans="3:5">
      <c r="C10225" s="17"/>
      <c r="D10225" s="17"/>
      <c r="E10225" s="7"/>
    </row>
    <row r="10226" spans="3:5">
      <c r="C10226" s="17"/>
      <c r="D10226" s="17"/>
      <c r="E10226" s="7"/>
    </row>
    <row r="10227" spans="3:5">
      <c r="C10227" s="17"/>
      <c r="D10227" s="17"/>
      <c r="E10227" s="7"/>
    </row>
    <row r="10228" spans="3:5">
      <c r="C10228" s="17"/>
      <c r="D10228" s="17"/>
      <c r="E10228" s="7"/>
    </row>
    <row r="10229" spans="3:5">
      <c r="C10229" s="17"/>
      <c r="D10229" s="17"/>
      <c r="E10229" s="7"/>
    </row>
    <row r="10230" spans="3:5">
      <c r="C10230" s="17"/>
      <c r="D10230" s="17"/>
      <c r="E10230" s="7"/>
    </row>
    <row r="10231" spans="3:5">
      <c r="C10231" s="17"/>
      <c r="D10231" s="17"/>
      <c r="E10231" s="7"/>
    </row>
    <row r="10232" spans="3:5">
      <c r="C10232" s="17"/>
      <c r="D10232" s="17"/>
      <c r="E10232" s="7"/>
    </row>
    <row r="10233" spans="3:5">
      <c r="C10233" s="17"/>
      <c r="D10233" s="17"/>
      <c r="E10233" s="7"/>
    </row>
    <row r="10234" spans="3:5">
      <c r="C10234" s="17"/>
      <c r="D10234" s="17"/>
      <c r="E10234" s="7"/>
    </row>
    <row r="10235" spans="3:5">
      <c r="C10235" s="17"/>
      <c r="D10235" s="17"/>
      <c r="E10235" s="7"/>
    </row>
    <row r="10236" spans="3:5">
      <c r="C10236" s="17"/>
      <c r="D10236" s="17"/>
      <c r="E10236" s="7"/>
    </row>
    <row r="10237" spans="3:5">
      <c r="C10237" s="17"/>
      <c r="D10237" s="17"/>
      <c r="E10237" s="7"/>
    </row>
    <row r="10238" spans="3:5">
      <c r="C10238" s="17"/>
      <c r="D10238" s="17"/>
      <c r="E10238" s="7"/>
    </row>
    <row r="10239" spans="3:5">
      <c r="C10239" s="17"/>
      <c r="D10239" s="17"/>
      <c r="E10239" s="7"/>
    </row>
    <row r="10240" spans="3:5">
      <c r="C10240" s="17"/>
      <c r="D10240" s="17"/>
      <c r="E10240" s="7"/>
    </row>
    <row r="10241" spans="3:5">
      <c r="C10241" s="17"/>
      <c r="D10241" s="17"/>
      <c r="E10241" s="7"/>
    </row>
    <row r="10242" spans="3:5">
      <c r="C10242" s="17"/>
      <c r="D10242" s="17"/>
      <c r="E10242" s="7"/>
    </row>
    <row r="10243" spans="3:5">
      <c r="C10243" s="17"/>
      <c r="D10243" s="17"/>
      <c r="E10243" s="7"/>
    </row>
    <row r="10244" spans="3:5">
      <c r="C10244" s="17"/>
      <c r="D10244" s="17"/>
      <c r="E10244" s="7"/>
    </row>
    <row r="10245" spans="3:5">
      <c r="C10245" s="17"/>
      <c r="D10245" s="17"/>
      <c r="E10245" s="7"/>
    </row>
    <row r="10246" spans="3:5">
      <c r="C10246" s="17"/>
      <c r="D10246" s="17"/>
      <c r="E10246" s="7"/>
    </row>
    <row r="10247" spans="3:5">
      <c r="C10247" s="17"/>
      <c r="D10247" s="17"/>
      <c r="E10247" s="7"/>
    </row>
    <row r="10248" spans="3:5">
      <c r="C10248" s="17"/>
      <c r="D10248" s="17"/>
      <c r="E10248" s="7"/>
    </row>
    <row r="10249" spans="3:5">
      <c r="C10249" s="17"/>
      <c r="D10249" s="17"/>
      <c r="E10249" s="7"/>
    </row>
    <row r="10250" spans="3:5">
      <c r="C10250" s="17"/>
      <c r="D10250" s="17"/>
      <c r="E10250" s="7"/>
    </row>
    <row r="10251" spans="3:5">
      <c r="C10251" s="17"/>
      <c r="D10251" s="17"/>
      <c r="E10251" s="7"/>
    </row>
    <row r="10252" spans="3:5">
      <c r="C10252" s="17"/>
      <c r="D10252" s="17"/>
      <c r="E10252" s="7"/>
    </row>
    <row r="10253" spans="3:5">
      <c r="C10253" s="17"/>
      <c r="D10253" s="17"/>
      <c r="E10253" s="7"/>
    </row>
    <row r="10254" spans="3:5">
      <c r="C10254" s="17"/>
      <c r="D10254" s="17"/>
      <c r="E10254" s="7"/>
    </row>
    <row r="10255" spans="3:5">
      <c r="C10255" s="17"/>
      <c r="D10255" s="17"/>
      <c r="E10255" s="7"/>
    </row>
    <row r="10256" spans="3:5">
      <c r="C10256" s="17"/>
      <c r="D10256" s="17"/>
      <c r="E10256" s="7"/>
    </row>
    <row r="10257" spans="3:5">
      <c r="C10257" s="17"/>
      <c r="D10257" s="17"/>
      <c r="E10257" s="7"/>
    </row>
    <row r="10258" spans="3:5">
      <c r="C10258" s="17"/>
      <c r="D10258" s="17"/>
      <c r="E10258" s="7"/>
    </row>
    <row r="10259" spans="3:5">
      <c r="C10259" s="17"/>
      <c r="D10259" s="17"/>
      <c r="E10259" s="7"/>
    </row>
    <row r="10260" spans="3:5">
      <c r="C10260" s="17"/>
      <c r="D10260" s="17"/>
      <c r="E10260" s="7"/>
    </row>
    <row r="10261" spans="3:5">
      <c r="C10261" s="17"/>
      <c r="D10261" s="17"/>
      <c r="E10261" s="7"/>
    </row>
    <row r="10262" spans="3:5">
      <c r="C10262" s="17"/>
      <c r="D10262" s="17"/>
      <c r="E10262" s="7"/>
    </row>
    <row r="10263" spans="3:5">
      <c r="C10263" s="17"/>
      <c r="D10263" s="17"/>
      <c r="E10263" s="7"/>
    </row>
    <row r="10264" spans="3:5">
      <c r="C10264" s="17"/>
      <c r="D10264" s="17"/>
      <c r="E10264" s="7"/>
    </row>
    <row r="10265" spans="3:5">
      <c r="C10265" s="17"/>
      <c r="D10265" s="17"/>
      <c r="E10265" s="7"/>
    </row>
    <row r="10266" spans="3:5">
      <c r="C10266" s="17"/>
      <c r="D10266" s="17"/>
      <c r="E10266" s="7"/>
    </row>
    <row r="10267" spans="3:5">
      <c r="C10267" s="17"/>
      <c r="D10267" s="17"/>
      <c r="E10267" s="7"/>
    </row>
    <row r="10268" spans="3:5">
      <c r="C10268" s="17"/>
      <c r="D10268" s="17"/>
      <c r="E10268" s="7"/>
    </row>
    <row r="10269" spans="3:5">
      <c r="C10269" s="17"/>
      <c r="D10269" s="17"/>
      <c r="E10269" s="7"/>
    </row>
    <row r="10270" spans="3:5">
      <c r="C10270" s="17"/>
      <c r="D10270" s="17"/>
      <c r="E10270" s="7"/>
    </row>
    <row r="10271" spans="3:5">
      <c r="C10271" s="17"/>
      <c r="D10271" s="17"/>
      <c r="E10271" s="7"/>
    </row>
    <row r="10272" spans="3:5">
      <c r="C10272" s="17"/>
      <c r="D10272" s="17"/>
      <c r="E10272" s="7"/>
    </row>
    <row r="10273" spans="3:5">
      <c r="C10273" s="17"/>
      <c r="D10273" s="17"/>
      <c r="E10273" s="7"/>
    </row>
    <row r="10274" spans="3:5">
      <c r="C10274" s="17"/>
      <c r="D10274" s="17"/>
      <c r="E10274" s="7"/>
    </row>
    <row r="10275" spans="3:5">
      <c r="C10275" s="17"/>
      <c r="D10275" s="17"/>
      <c r="E10275" s="7"/>
    </row>
    <row r="10276" spans="3:5">
      <c r="C10276" s="17"/>
      <c r="D10276" s="17"/>
      <c r="E10276" s="7"/>
    </row>
    <row r="10277" spans="3:5">
      <c r="C10277" s="17"/>
      <c r="D10277" s="17"/>
      <c r="E10277" s="7"/>
    </row>
    <row r="10278" spans="3:5">
      <c r="C10278" s="17"/>
      <c r="D10278" s="17"/>
      <c r="E10278" s="7"/>
    </row>
    <row r="10279" spans="3:5">
      <c r="C10279" s="17"/>
      <c r="D10279" s="17"/>
      <c r="E10279" s="7"/>
    </row>
    <row r="10280" spans="3:5">
      <c r="C10280" s="17"/>
      <c r="D10280" s="17"/>
      <c r="E10280" s="7"/>
    </row>
    <row r="10281" spans="3:5">
      <c r="C10281" s="17"/>
      <c r="D10281" s="17"/>
      <c r="E10281" s="7"/>
    </row>
    <row r="10282" spans="3:5">
      <c r="C10282" s="17"/>
      <c r="D10282" s="17"/>
      <c r="E10282" s="7"/>
    </row>
    <row r="10283" spans="3:5">
      <c r="C10283" s="17"/>
      <c r="D10283" s="17"/>
      <c r="E10283" s="7"/>
    </row>
    <row r="10284" spans="3:5">
      <c r="C10284" s="17"/>
      <c r="D10284" s="17"/>
      <c r="E10284" s="7"/>
    </row>
    <row r="10285" spans="3:5">
      <c r="C10285" s="17"/>
      <c r="D10285" s="17"/>
      <c r="E10285" s="7"/>
    </row>
    <row r="10286" spans="3:5">
      <c r="C10286" s="17"/>
      <c r="D10286" s="17"/>
      <c r="E10286" s="7"/>
    </row>
    <row r="10287" spans="3:5">
      <c r="C10287" s="17"/>
      <c r="D10287" s="17"/>
      <c r="E10287" s="7"/>
    </row>
    <row r="10288" spans="3:5">
      <c r="C10288" s="17"/>
      <c r="D10288" s="17"/>
      <c r="E10288" s="7"/>
    </row>
    <row r="10289" spans="3:5">
      <c r="C10289" s="17"/>
      <c r="D10289" s="17"/>
      <c r="E10289" s="7"/>
    </row>
    <row r="10290" spans="3:5">
      <c r="C10290" s="17"/>
      <c r="D10290" s="17"/>
      <c r="E10290" s="7"/>
    </row>
    <row r="10291" spans="3:5">
      <c r="C10291" s="17"/>
      <c r="D10291" s="17"/>
      <c r="E10291" s="7"/>
    </row>
    <row r="10292" spans="3:5">
      <c r="C10292" s="17"/>
      <c r="D10292" s="17"/>
      <c r="E10292" s="7"/>
    </row>
    <row r="10293" spans="3:5">
      <c r="C10293" s="17"/>
      <c r="D10293" s="17"/>
      <c r="E10293" s="7"/>
    </row>
    <row r="10294" spans="3:5">
      <c r="C10294" s="17"/>
      <c r="D10294" s="17"/>
      <c r="E10294" s="7"/>
    </row>
    <row r="10295" spans="3:5">
      <c r="C10295" s="17"/>
      <c r="D10295" s="17"/>
      <c r="E10295" s="7"/>
    </row>
    <row r="10296" spans="3:5">
      <c r="C10296" s="17"/>
      <c r="D10296" s="17"/>
      <c r="E10296" s="7"/>
    </row>
    <row r="10297" spans="3:5">
      <c r="C10297" s="17"/>
      <c r="D10297" s="17"/>
      <c r="E10297" s="7"/>
    </row>
    <row r="10298" spans="3:5">
      <c r="C10298" s="17"/>
      <c r="D10298" s="17"/>
      <c r="E10298" s="7"/>
    </row>
    <row r="10299" spans="3:5">
      <c r="C10299" s="17"/>
      <c r="D10299" s="17"/>
      <c r="E10299" s="7"/>
    </row>
    <row r="10300" spans="3:5">
      <c r="C10300" s="17"/>
      <c r="D10300" s="17"/>
      <c r="E10300" s="7"/>
    </row>
    <row r="10301" spans="3:5">
      <c r="C10301" s="17"/>
      <c r="D10301" s="17"/>
      <c r="E10301" s="7"/>
    </row>
    <row r="10302" spans="3:5">
      <c r="C10302" s="17"/>
      <c r="D10302" s="17"/>
      <c r="E10302" s="7"/>
    </row>
    <row r="10303" spans="3:5">
      <c r="C10303" s="17"/>
      <c r="D10303" s="17"/>
      <c r="E10303" s="7"/>
    </row>
    <row r="10304" spans="3:5">
      <c r="C10304" s="17"/>
      <c r="D10304" s="17"/>
      <c r="E10304" s="7"/>
    </row>
    <row r="10305" spans="3:5">
      <c r="C10305" s="17"/>
      <c r="D10305" s="17"/>
      <c r="E10305" s="7"/>
    </row>
    <row r="10306" spans="3:5">
      <c r="C10306" s="17"/>
      <c r="D10306" s="17"/>
      <c r="E10306" s="7"/>
    </row>
    <row r="10307" spans="3:5">
      <c r="C10307" s="17"/>
      <c r="D10307" s="17"/>
      <c r="E10307" s="7"/>
    </row>
    <row r="10308" spans="3:5">
      <c r="C10308" s="17"/>
      <c r="D10308" s="17"/>
      <c r="E10308" s="7"/>
    </row>
    <row r="10309" spans="3:5">
      <c r="C10309" s="17"/>
      <c r="D10309" s="17"/>
      <c r="E10309" s="7"/>
    </row>
    <row r="10310" spans="3:5">
      <c r="C10310" s="17"/>
      <c r="D10310" s="17"/>
      <c r="E10310" s="7"/>
    </row>
    <row r="10311" spans="3:5">
      <c r="C10311" s="17"/>
      <c r="D10311" s="17"/>
      <c r="E10311" s="7"/>
    </row>
    <row r="10312" spans="3:5">
      <c r="C10312" s="17"/>
      <c r="D10312" s="17"/>
      <c r="E10312" s="7"/>
    </row>
    <row r="10313" spans="3:5">
      <c r="C10313" s="17"/>
      <c r="D10313" s="17"/>
      <c r="E10313" s="7"/>
    </row>
    <row r="10314" spans="3:5">
      <c r="C10314" s="17"/>
      <c r="D10314" s="17"/>
      <c r="E10314" s="7"/>
    </row>
    <row r="10315" spans="3:5">
      <c r="C10315" s="17"/>
      <c r="D10315" s="17"/>
      <c r="E10315" s="7"/>
    </row>
    <row r="10316" spans="3:5">
      <c r="C10316" s="17"/>
      <c r="D10316" s="17"/>
      <c r="E10316" s="7"/>
    </row>
    <row r="10317" spans="3:5">
      <c r="C10317" s="17"/>
      <c r="D10317" s="17"/>
      <c r="E10317" s="7"/>
    </row>
    <row r="10318" spans="3:5">
      <c r="C10318" s="17"/>
      <c r="D10318" s="17"/>
      <c r="E10318" s="7"/>
    </row>
    <row r="10319" spans="3:5">
      <c r="C10319" s="17"/>
      <c r="D10319" s="17"/>
      <c r="E10319" s="7"/>
    </row>
    <row r="10320" spans="3:5">
      <c r="C10320" s="17"/>
      <c r="D10320" s="17"/>
      <c r="E10320" s="7"/>
    </row>
    <row r="10321" spans="3:5">
      <c r="C10321" s="17"/>
      <c r="D10321" s="17"/>
      <c r="E10321" s="7"/>
    </row>
    <row r="10322" spans="3:5">
      <c r="C10322" s="17"/>
      <c r="D10322" s="17"/>
      <c r="E10322" s="7"/>
    </row>
    <row r="10323" spans="3:5">
      <c r="C10323" s="17"/>
      <c r="D10323" s="17"/>
      <c r="E10323" s="7"/>
    </row>
    <row r="10324" spans="3:5">
      <c r="C10324" s="17"/>
      <c r="D10324" s="17"/>
      <c r="E10324" s="7"/>
    </row>
    <row r="10325" spans="3:5">
      <c r="C10325" s="17"/>
      <c r="D10325" s="17"/>
      <c r="E10325" s="7"/>
    </row>
    <row r="10326" spans="3:5">
      <c r="C10326" s="17"/>
      <c r="D10326" s="17"/>
      <c r="E10326" s="7"/>
    </row>
    <row r="10327" spans="3:5">
      <c r="C10327" s="17"/>
      <c r="D10327" s="17"/>
      <c r="E10327" s="7"/>
    </row>
    <row r="10328" spans="3:5">
      <c r="C10328" s="17"/>
      <c r="D10328" s="17"/>
      <c r="E10328" s="7"/>
    </row>
    <row r="10329" spans="3:5">
      <c r="C10329" s="17"/>
      <c r="D10329" s="17"/>
      <c r="E10329" s="7"/>
    </row>
    <row r="10330" spans="3:5">
      <c r="C10330" s="17"/>
      <c r="D10330" s="17"/>
      <c r="E10330" s="7"/>
    </row>
    <row r="10331" spans="3:5">
      <c r="C10331" s="17"/>
      <c r="D10331" s="17"/>
      <c r="E10331" s="7"/>
    </row>
    <row r="10332" spans="3:5">
      <c r="C10332" s="17"/>
      <c r="D10332" s="17"/>
      <c r="E10332" s="7"/>
    </row>
    <row r="10333" spans="3:5">
      <c r="C10333" s="17"/>
      <c r="D10333" s="17"/>
      <c r="E10333" s="7"/>
    </row>
    <row r="10334" spans="3:5">
      <c r="C10334" s="17"/>
      <c r="D10334" s="17"/>
      <c r="E10334" s="7"/>
    </row>
    <row r="10335" spans="3:5">
      <c r="C10335" s="17"/>
      <c r="D10335" s="17"/>
      <c r="E10335" s="7"/>
    </row>
    <row r="10336" spans="3:5">
      <c r="C10336" s="17"/>
      <c r="D10336" s="17"/>
      <c r="E10336" s="7"/>
    </row>
    <row r="10337" spans="3:5">
      <c r="C10337" s="17"/>
      <c r="D10337" s="17"/>
      <c r="E10337" s="7"/>
    </row>
    <row r="10338" spans="3:5">
      <c r="C10338" s="17"/>
      <c r="D10338" s="17"/>
      <c r="E10338" s="7"/>
    </row>
    <row r="10339" spans="3:5">
      <c r="C10339" s="17"/>
      <c r="D10339" s="17"/>
      <c r="E10339" s="7"/>
    </row>
    <row r="10340" spans="3:5">
      <c r="C10340" s="17"/>
      <c r="D10340" s="17"/>
      <c r="E10340" s="7"/>
    </row>
    <row r="10341" spans="3:5">
      <c r="C10341" s="17"/>
      <c r="D10341" s="17"/>
      <c r="E10341" s="7"/>
    </row>
    <row r="10342" spans="3:5">
      <c r="C10342" s="17"/>
      <c r="D10342" s="17"/>
      <c r="E10342" s="7"/>
    </row>
    <row r="10343" spans="3:5">
      <c r="C10343" s="17"/>
      <c r="D10343" s="17"/>
      <c r="E10343" s="7"/>
    </row>
    <row r="10344" spans="3:5">
      <c r="C10344" s="17"/>
      <c r="D10344" s="17"/>
      <c r="E10344" s="7"/>
    </row>
    <row r="10345" spans="3:5">
      <c r="C10345" s="17"/>
      <c r="D10345" s="17"/>
      <c r="E10345" s="7"/>
    </row>
    <row r="10346" spans="3:5">
      <c r="C10346" s="17"/>
      <c r="D10346" s="17"/>
      <c r="E10346" s="7"/>
    </row>
    <row r="10347" spans="3:5">
      <c r="C10347" s="17"/>
      <c r="D10347" s="17"/>
      <c r="E10347" s="7"/>
    </row>
    <row r="10348" spans="3:5">
      <c r="C10348" s="17"/>
      <c r="D10348" s="17"/>
      <c r="E10348" s="7"/>
    </row>
    <row r="10349" spans="3:5">
      <c r="C10349" s="17"/>
      <c r="D10349" s="17"/>
      <c r="E10349" s="7"/>
    </row>
    <row r="10350" spans="3:5">
      <c r="C10350" s="17"/>
      <c r="D10350" s="17"/>
      <c r="E10350" s="7"/>
    </row>
    <row r="10351" spans="3:5">
      <c r="C10351" s="17"/>
      <c r="D10351" s="17"/>
      <c r="E10351" s="7"/>
    </row>
    <row r="10352" spans="3:5">
      <c r="C10352" s="17"/>
      <c r="D10352" s="17"/>
      <c r="E10352" s="7"/>
    </row>
    <row r="10353" spans="3:5">
      <c r="C10353" s="17"/>
      <c r="D10353" s="17"/>
      <c r="E10353" s="7"/>
    </row>
    <row r="10354" spans="3:5">
      <c r="C10354" s="17"/>
      <c r="D10354" s="17"/>
      <c r="E10354" s="7"/>
    </row>
    <row r="10355" spans="3:5">
      <c r="C10355" s="17"/>
      <c r="D10355" s="17"/>
      <c r="E10355" s="7"/>
    </row>
    <row r="10356" spans="3:5">
      <c r="C10356" s="17"/>
      <c r="D10356" s="17"/>
      <c r="E10356" s="7"/>
    </row>
    <row r="10357" spans="3:5">
      <c r="C10357" s="17"/>
      <c r="D10357" s="17"/>
      <c r="E10357" s="7"/>
    </row>
    <row r="10358" spans="3:5">
      <c r="C10358" s="17"/>
      <c r="D10358" s="17"/>
      <c r="E10358" s="7"/>
    </row>
    <row r="10359" spans="3:5">
      <c r="C10359" s="17"/>
      <c r="D10359" s="17"/>
      <c r="E10359" s="7"/>
    </row>
    <row r="10360" spans="3:5">
      <c r="C10360" s="17"/>
      <c r="D10360" s="17"/>
      <c r="E10360" s="7"/>
    </row>
    <row r="10361" spans="3:5">
      <c r="C10361" s="17"/>
      <c r="D10361" s="17"/>
      <c r="E10361" s="7"/>
    </row>
    <row r="10362" spans="3:5">
      <c r="C10362" s="17"/>
      <c r="D10362" s="17"/>
      <c r="E10362" s="7"/>
    </row>
    <row r="10363" spans="3:5">
      <c r="C10363" s="17"/>
      <c r="D10363" s="17"/>
      <c r="E10363" s="7"/>
    </row>
    <row r="10364" spans="3:5">
      <c r="C10364" s="17"/>
      <c r="D10364" s="17"/>
      <c r="E10364" s="7"/>
    </row>
    <row r="10365" spans="3:5">
      <c r="C10365" s="17"/>
      <c r="D10365" s="17"/>
      <c r="E10365" s="7"/>
    </row>
    <row r="10366" spans="3:5">
      <c r="C10366" s="17"/>
      <c r="D10366" s="17"/>
      <c r="E10366" s="7"/>
    </row>
    <row r="10367" spans="3:5">
      <c r="C10367" s="17"/>
      <c r="D10367" s="17"/>
      <c r="E10367" s="7"/>
    </row>
    <row r="10368" spans="3:5">
      <c r="C10368" s="17"/>
      <c r="D10368" s="17"/>
      <c r="E10368" s="7"/>
    </row>
    <row r="10369" spans="3:5">
      <c r="C10369" s="17"/>
      <c r="D10369" s="17"/>
      <c r="E10369" s="7"/>
    </row>
    <row r="10370" spans="3:5">
      <c r="C10370" s="17"/>
      <c r="D10370" s="17"/>
      <c r="E10370" s="7"/>
    </row>
    <row r="10371" spans="3:5">
      <c r="C10371" s="17"/>
      <c r="D10371" s="17"/>
      <c r="E10371" s="7"/>
    </row>
    <row r="10372" spans="3:5">
      <c r="C10372" s="17"/>
      <c r="D10372" s="17"/>
      <c r="E10372" s="7"/>
    </row>
    <row r="10373" spans="3:5">
      <c r="C10373" s="17"/>
      <c r="D10373" s="17"/>
      <c r="E10373" s="7"/>
    </row>
    <row r="10374" spans="3:5">
      <c r="C10374" s="17"/>
      <c r="D10374" s="17"/>
      <c r="E10374" s="7"/>
    </row>
    <row r="10375" spans="3:5">
      <c r="C10375" s="17"/>
      <c r="D10375" s="17"/>
      <c r="E10375" s="7"/>
    </row>
    <row r="10376" spans="3:5">
      <c r="C10376" s="17"/>
      <c r="D10376" s="17"/>
      <c r="E10376" s="7"/>
    </row>
    <row r="10377" spans="3:5">
      <c r="C10377" s="17"/>
      <c r="D10377" s="17"/>
      <c r="E10377" s="7"/>
    </row>
    <row r="10378" spans="3:5">
      <c r="C10378" s="17"/>
      <c r="D10378" s="17"/>
      <c r="E10378" s="7"/>
    </row>
    <row r="10379" spans="3:5">
      <c r="C10379" s="17"/>
      <c r="D10379" s="17"/>
      <c r="E10379" s="7"/>
    </row>
    <row r="10380" spans="3:5">
      <c r="C10380" s="17"/>
      <c r="D10380" s="17"/>
      <c r="E10380" s="7"/>
    </row>
    <row r="10381" spans="3:5">
      <c r="C10381" s="17"/>
      <c r="D10381" s="17"/>
      <c r="E10381" s="7"/>
    </row>
    <row r="10382" spans="3:5">
      <c r="C10382" s="17"/>
      <c r="D10382" s="17"/>
      <c r="E10382" s="7"/>
    </row>
    <row r="10383" spans="3:5">
      <c r="C10383" s="17"/>
      <c r="D10383" s="17"/>
      <c r="E10383" s="7"/>
    </row>
    <row r="10384" spans="3:5">
      <c r="C10384" s="17"/>
      <c r="D10384" s="17"/>
      <c r="E10384" s="7"/>
    </row>
    <row r="10385" spans="3:5">
      <c r="C10385" s="17"/>
      <c r="D10385" s="17"/>
      <c r="E10385" s="7"/>
    </row>
    <row r="10386" spans="3:5">
      <c r="C10386" s="17"/>
      <c r="D10386" s="17"/>
      <c r="E10386" s="7"/>
    </row>
    <row r="10387" spans="3:5">
      <c r="C10387" s="17"/>
      <c r="D10387" s="17"/>
      <c r="E10387" s="7"/>
    </row>
    <row r="10388" spans="3:5">
      <c r="C10388" s="17"/>
      <c r="D10388" s="17"/>
      <c r="E10388" s="7"/>
    </row>
    <row r="10389" spans="3:5">
      <c r="C10389" s="17"/>
      <c r="D10389" s="17"/>
      <c r="E10389" s="7"/>
    </row>
    <row r="10390" spans="3:5">
      <c r="C10390" s="17"/>
      <c r="D10390" s="17"/>
      <c r="E10390" s="7"/>
    </row>
    <row r="10391" spans="3:5">
      <c r="C10391" s="17"/>
      <c r="D10391" s="17"/>
      <c r="E10391" s="7"/>
    </row>
    <row r="10392" spans="3:5">
      <c r="C10392" s="17"/>
      <c r="D10392" s="17"/>
      <c r="E10392" s="7"/>
    </row>
    <row r="10393" spans="3:5">
      <c r="C10393" s="17"/>
      <c r="D10393" s="17"/>
      <c r="E10393" s="7"/>
    </row>
    <row r="10394" spans="3:5">
      <c r="C10394" s="17"/>
      <c r="D10394" s="17"/>
      <c r="E10394" s="7"/>
    </row>
    <row r="10395" spans="3:5">
      <c r="C10395" s="17"/>
      <c r="D10395" s="17"/>
      <c r="E10395" s="7"/>
    </row>
    <row r="10396" spans="3:5">
      <c r="C10396" s="17"/>
      <c r="D10396" s="17"/>
      <c r="E10396" s="7"/>
    </row>
    <row r="10397" spans="3:5">
      <c r="C10397" s="17"/>
      <c r="D10397" s="17"/>
      <c r="E10397" s="7"/>
    </row>
    <row r="10398" spans="3:5">
      <c r="C10398" s="17"/>
      <c r="D10398" s="17"/>
      <c r="E10398" s="7"/>
    </row>
    <row r="10399" spans="3:5">
      <c r="C10399" s="17"/>
      <c r="D10399" s="17"/>
      <c r="E10399" s="7"/>
    </row>
    <row r="10400" spans="3:5">
      <c r="C10400" s="17"/>
      <c r="D10400" s="17"/>
      <c r="E10400" s="7"/>
    </row>
    <row r="10401" spans="3:5">
      <c r="C10401" s="17"/>
      <c r="D10401" s="17"/>
      <c r="E10401" s="7"/>
    </row>
    <row r="10402" spans="3:5">
      <c r="C10402" s="17"/>
      <c r="D10402" s="17"/>
      <c r="E10402" s="7"/>
    </row>
    <row r="10403" spans="3:5">
      <c r="C10403" s="17"/>
      <c r="D10403" s="17"/>
      <c r="E10403" s="7"/>
    </row>
    <row r="10404" spans="3:5">
      <c r="C10404" s="17"/>
      <c r="D10404" s="17"/>
      <c r="E10404" s="7"/>
    </row>
    <row r="10405" spans="3:5">
      <c r="C10405" s="17"/>
      <c r="D10405" s="17"/>
      <c r="E10405" s="7"/>
    </row>
    <row r="10406" spans="3:5">
      <c r="C10406" s="17"/>
      <c r="D10406" s="17"/>
      <c r="E10406" s="7"/>
    </row>
    <row r="10407" spans="3:5">
      <c r="C10407" s="17"/>
      <c r="D10407" s="17"/>
      <c r="E10407" s="7"/>
    </row>
    <row r="10408" spans="3:5">
      <c r="C10408" s="17"/>
      <c r="D10408" s="17"/>
      <c r="E10408" s="7"/>
    </row>
    <row r="10409" spans="3:5">
      <c r="C10409" s="17"/>
      <c r="D10409" s="17"/>
      <c r="E10409" s="7"/>
    </row>
    <row r="10410" spans="3:5">
      <c r="C10410" s="17"/>
      <c r="D10410" s="17"/>
      <c r="E10410" s="7"/>
    </row>
    <row r="10411" spans="3:5">
      <c r="C10411" s="17"/>
      <c r="D10411" s="17"/>
      <c r="E10411" s="7"/>
    </row>
    <row r="10412" spans="3:5">
      <c r="C10412" s="17"/>
      <c r="D10412" s="17"/>
      <c r="E10412" s="7"/>
    </row>
    <row r="10413" spans="3:5">
      <c r="C10413" s="17"/>
      <c r="D10413" s="17"/>
      <c r="E10413" s="7"/>
    </row>
    <row r="10414" spans="3:5">
      <c r="C10414" s="17"/>
      <c r="D10414" s="17"/>
      <c r="E10414" s="7"/>
    </row>
    <row r="10415" spans="3:5">
      <c r="C10415" s="17"/>
      <c r="D10415" s="17"/>
      <c r="E10415" s="7"/>
    </row>
    <row r="10416" spans="3:5">
      <c r="C10416" s="17"/>
      <c r="D10416" s="17"/>
      <c r="E10416" s="7"/>
    </row>
    <row r="10417" spans="3:5">
      <c r="C10417" s="17"/>
      <c r="D10417" s="17"/>
      <c r="E10417" s="7"/>
    </row>
    <row r="10418" spans="3:5">
      <c r="C10418" s="17"/>
      <c r="D10418" s="17"/>
      <c r="E10418" s="7"/>
    </row>
    <row r="10419" spans="3:5">
      <c r="C10419" s="17"/>
      <c r="D10419" s="17"/>
      <c r="E10419" s="7"/>
    </row>
    <row r="10420" spans="3:5">
      <c r="C10420" s="17"/>
      <c r="D10420" s="17"/>
      <c r="E10420" s="7"/>
    </row>
    <row r="10421" spans="3:5">
      <c r="C10421" s="17"/>
      <c r="D10421" s="17"/>
      <c r="E10421" s="7"/>
    </row>
    <row r="10422" spans="3:5">
      <c r="C10422" s="17"/>
      <c r="D10422" s="17"/>
      <c r="E10422" s="7"/>
    </row>
    <row r="10423" spans="3:5">
      <c r="C10423" s="17"/>
      <c r="D10423" s="17"/>
      <c r="E10423" s="7"/>
    </row>
    <row r="10424" spans="3:5">
      <c r="C10424" s="17"/>
      <c r="D10424" s="17"/>
      <c r="E10424" s="7"/>
    </row>
    <row r="10425" spans="3:5">
      <c r="C10425" s="17"/>
      <c r="D10425" s="17"/>
      <c r="E10425" s="7"/>
    </row>
    <row r="10426" spans="3:5">
      <c r="C10426" s="17"/>
      <c r="D10426" s="17"/>
      <c r="E10426" s="7"/>
    </row>
    <row r="10427" spans="3:5">
      <c r="C10427" s="17"/>
      <c r="D10427" s="17"/>
      <c r="E10427" s="7"/>
    </row>
    <row r="10428" spans="3:5">
      <c r="C10428" s="17"/>
      <c r="D10428" s="17"/>
      <c r="E10428" s="7"/>
    </row>
    <row r="10429" spans="3:5">
      <c r="C10429" s="17"/>
      <c r="D10429" s="17"/>
      <c r="E10429" s="7"/>
    </row>
    <row r="10430" spans="3:5">
      <c r="C10430" s="17"/>
      <c r="D10430" s="17"/>
      <c r="E10430" s="7"/>
    </row>
    <row r="10431" spans="3:5">
      <c r="C10431" s="17"/>
      <c r="D10431" s="17"/>
      <c r="E10431" s="7"/>
    </row>
    <row r="10432" spans="3:5">
      <c r="C10432" s="17"/>
      <c r="D10432" s="17"/>
      <c r="E10432" s="7"/>
    </row>
    <row r="10433" spans="3:5">
      <c r="C10433" s="17"/>
      <c r="D10433" s="17"/>
      <c r="E10433" s="7"/>
    </row>
    <row r="10434" spans="3:5">
      <c r="C10434" s="17"/>
      <c r="D10434" s="17"/>
      <c r="E10434" s="7"/>
    </row>
    <row r="10435" spans="3:5">
      <c r="C10435" s="17"/>
      <c r="D10435" s="17"/>
      <c r="E10435" s="7"/>
    </row>
    <row r="10436" spans="3:5">
      <c r="C10436" s="17"/>
      <c r="D10436" s="17"/>
      <c r="E10436" s="7"/>
    </row>
    <row r="10437" spans="3:5">
      <c r="C10437" s="17"/>
      <c r="D10437" s="17"/>
      <c r="E10437" s="7"/>
    </row>
    <row r="10438" spans="3:5">
      <c r="C10438" s="17"/>
      <c r="D10438" s="17"/>
      <c r="E10438" s="7"/>
    </row>
    <row r="10439" spans="3:5">
      <c r="C10439" s="17"/>
      <c r="D10439" s="17"/>
      <c r="E10439" s="7"/>
    </row>
    <row r="10440" spans="3:5">
      <c r="C10440" s="17"/>
      <c r="D10440" s="17"/>
      <c r="E10440" s="7"/>
    </row>
    <row r="10441" spans="3:5">
      <c r="C10441" s="17"/>
      <c r="D10441" s="17"/>
      <c r="E10441" s="7"/>
    </row>
    <row r="10442" spans="3:5">
      <c r="C10442" s="17"/>
      <c r="D10442" s="17"/>
      <c r="E10442" s="7"/>
    </row>
    <row r="10443" spans="3:5">
      <c r="C10443" s="17"/>
      <c r="D10443" s="17"/>
      <c r="E10443" s="7"/>
    </row>
    <row r="10444" spans="3:5">
      <c r="C10444" s="17"/>
      <c r="D10444" s="17"/>
      <c r="E10444" s="7"/>
    </row>
    <row r="10445" spans="3:5">
      <c r="C10445" s="17"/>
      <c r="D10445" s="17"/>
      <c r="E10445" s="7"/>
    </row>
    <row r="10446" spans="3:5">
      <c r="C10446" s="17"/>
      <c r="D10446" s="17"/>
      <c r="E10446" s="7"/>
    </row>
    <row r="10447" spans="3:5">
      <c r="C10447" s="17"/>
      <c r="D10447" s="17"/>
      <c r="E10447" s="7"/>
    </row>
    <row r="10448" spans="3:5">
      <c r="C10448" s="17"/>
      <c r="D10448" s="17"/>
      <c r="E10448" s="7"/>
    </row>
    <row r="10449" spans="3:5">
      <c r="C10449" s="17"/>
      <c r="D10449" s="17"/>
      <c r="E10449" s="7"/>
    </row>
    <row r="10450" spans="3:5">
      <c r="C10450" s="17"/>
      <c r="D10450" s="17"/>
      <c r="E10450" s="7"/>
    </row>
    <row r="10451" spans="3:5">
      <c r="C10451" s="17"/>
      <c r="D10451" s="17"/>
      <c r="E10451" s="7"/>
    </row>
    <row r="10452" spans="3:5">
      <c r="C10452" s="17"/>
      <c r="D10452" s="17"/>
      <c r="E10452" s="7"/>
    </row>
    <row r="10453" spans="3:5">
      <c r="C10453" s="17"/>
      <c r="D10453" s="17"/>
      <c r="E10453" s="7"/>
    </row>
    <row r="10454" spans="3:5">
      <c r="C10454" s="17"/>
      <c r="D10454" s="17"/>
      <c r="E10454" s="7"/>
    </row>
    <row r="10455" spans="3:5">
      <c r="C10455" s="17"/>
      <c r="D10455" s="17"/>
      <c r="E10455" s="7"/>
    </row>
    <row r="10456" spans="3:5">
      <c r="C10456" s="17"/>
      <c r="D10456" s="17"/>
      <c r="E10456" s="7"/>
    </row>
    <row r="10457" spans="3:5">
      <c r="C10457" s="17"/>
      <c r="D10457" s="17"/>
      <c r="E10457" s="7"/>
    </row>
    <row r="10458" spans="3:5">
      <c r="C10458" s="17"/>
      <c r="D10458" s="17"/>
      <c r="E10458" s="7"/>
    </row>
    <row r="10459" spans="3:5">
      <c r="C10459" s="17"/>
      <c r="D10459" s="17"/>
      <c r="E10459" s="7"/>
    </row>
    <row r="10460" spans="3:5">
      <c r="C10460" s="17"/>
      <c r="D10460" s="17"/>
      <c r="E10460" s="7"/>
    </row>
    <row r="10461" spans="3:5">
      <c r="C10461" s="17"/>
      <c r="D10461" s="17"/>
      <c r="E10461" s="7"/>
    </row>
    <row r="10462" spans="3:5">
      <c r="C10462" s="17"/>
      <c r="D10462" s="17"/>
      <c r="E10462" s="7"/>
    </row>
    <row r="10463" spans="3:5">
      <c r="C10463" s="17"/>
      <c r="D10463" s="17"/>
      <c r="E10463" s="7"/>
    </row>
    <row r="10464" spans="3:5">
      <c r="C10464" s="17"/>
      <c r="D10464" s="17"/>
      <c r="E10464" s="7"/>
    </row>
    <row r="10465" spans="3:5">
      <c r="C10465" s="17"/>
      <c r="D10465" s="17"/>
      <c r="E10465" s="7"/>
    </row>
    <row r="10466" spans="3:5">
      <c r="C10466" s="17"/>
      <c r="D10466" s="17"/>
      <c r="E10466" s="7"/>
    </row>
    <row r="10467" spans="3:5">
      <c r="C10467" s="17"/>
      <c r="D10467" s="17"/>
      <c r="E10467" s="7"/>
    </row>
    <row r="10468" spans="3:5">
      <c r="C10468" s="17"/>
      <c r="D10468" s="17"/>
      <c r="E10468" s="7"/>
    </row>
    <row r="10469" spans="3:5">
      <c r="C10469" s="17"/>
      <c r="D10469" s="17"/>
      <c r="E10469" s="7"/>
    </row>
    <row r="10470" spans="3:5">
      <c r="C10470" s="17"/>
      <c r="D10470" s="17"/>
      <c r="E10470" s="7"/>
    </row>
    <row r="10471" spans="3:5">
      <c r="C10471" s="17"/>
      <c r="D10471" s="17"/>
      <c r="E10471" s="7"/>
    </row>
    <row r="10472" spans="3:5">
      <c r="C10472" s="17"/>
      <c r="D10472" s="17"/>
      <c r="E10472" s="7"/>
    </row>
    <row r="10473" spans="3:5">
      <c r="C10473" s="17"/>
      <c r="D10473" s="17"/>
      <c r="E10473" s="7"/>
    </row>
    <row r="10474" spans="3:5">
      <c r="C10474" s="17"/>
      <c r="D10474" s="17"/>
      <c r="E10474" s="7"/>
    </row>
    <row r="10475" spans="3:5">
      <c r="C10475" s="17"/>
      <c r="D10475" s="17"/>
      <c r="E10475" s="7"/>
    </row>
    <row r="10476" spans="3:5">
      <c r="C10476" s="17"/>
      <c r="D10476" s="17"/>
      <c r="E10476" s="7"/>
    </row>
    <row r="10477" spans="3:5">
      <c r="C10477" s="17"/>
      <c r="D10477" s="17"/>
      <c r="E10477" s="7"/>
    </row>
    <row r="10478" spans="3:5">
      <c r="C10478" s="17"/>
      <c r="D10478" s="17"/>
      <c r="E10478" s="7"/>
    </row>
    <row r="10479" spans="3:5">
      <c r="C10479" s="17"/>
      <c r="D10479" s="17"/>
      <c r="E10479" s="7"/>
    </row>
    <row r="10480" spans="3:5">
      <c r="C10480" s="17"/>
      <c r="D10480" s="17"/>
      <c r="E10480" s="7"/>
    </row>
    <row r="10481" spans="3:5">
      <c r="C10481" s="17"/>
      <c r="D10481" s="17"/>
      <c r="E10481" s="7"/>
    </row>
    <row r="10482" spans="3:5">
      <c r="C10482" s="17"/>
      <c r="D10482" s="17"/>
      <c r="E10482" s="7"/>
    </row>
    <row r="10483" spans="3:5">
      <c r="C10483" s="17"/>
      <c r="D10483" s="17"/>
      <c r="E10483" s="7"/>
    </row>
    <row r="10484" spans="3:5">
      <c r="C10484" s="17"/>
      <c r="D10484" s="17"/>
      <c r="E10484" s="7"/>
    </row>
    <row r="10485" spans="3:5">
      <c r="C10485" s="17"/>
      <c r="D10485" s="17"/>
      <c r="E10485" s="7"/>
    </row>
    <row r="10486" spans="3:5">
      <c r="C10486" s="17"/>
      <c r="D10486" s="17"/>
      <c r="E10486" s="7"/>
    </row>
    <row r="10487" spans="3:5">
      <c r="C10487" s="17"/>
      <c r="D10487" s="17"/>
      <c r="E10487" s="7"/>
    </row>
    <row r="10488" spans="3:5">
      <c r="C10488" s="17"/>
      <c r="D10488" s="17"/>
      <c r="E10488" s="7"/>
    </row>
    <row r="10489" spans="3:5">
      <c r="C10489" s="17"/>
      <c r="D10489" s="17"/>
      <c r="E10489" s="7"/>
    </row>
    <row r="10490" spans="3:5">
      <c r="C10490" s="17"/>
      <c r="D10490" s="17"/>
      <c r="E10490" s="7"/>
    </row>
    <row r="10491" spans="3:5">
      <c r="C10491" s="17"/>
      <c r="D10491" s="17"/>
      <c r="E10491" s="7"/>
    </row>
    <row r="10492" spans="3:5">
      <c r="C10492" s="17"/>
      <c r="D10492" s="17"/>
      <c r="E10492" s="7"/>
    </row>
    <row r="10493" spans="3:5">
      <c r="C10493" s="17"/>
      <c r="D10493" s="17"/>
      <c r="E10493" s="7"/>
    </row>
    <row r="10494" spans="3:5">
      <c r="C10494" s="17"/>
      <c r="D10494" s="17"/>
      <c r="E10494" s="7"/>
    </row>
    <row r="10495" spans="3:5">
      <c r="C10495" s="17"/>
      <c r="D10495" s="17"/>
      <c r="E10495" s="7"/>
    </row>
    <row r="10496" spans="3:5">
      <c r="C10496" s="17"/>
      <c r="D10496" s="17"/>
      <c r="E10496" s="7"/>
    </row>
    <row r="10497" spans="3:5">
      <c r="C10497" s="17"/>
      <c r="D10497" s="17"/>
      <c r="E10497" s="7"/>
    </row>
    <row r="10498" spans="3:5">
      <c r="C10498" s="17"/>
      <c r="D10498" s="17"/>
      <c r="E10498" s="7"/>
    </row>
    <row r="10499" spans="3:5">
      <c r="C10499" s="17"/>
      <c r="D10499" s="17"/>
      <c r="E10499" s="7"/>
    </row>
    <row r="10500" spans="3:5">
      <c r="C10500" s="17"/>
      <c r="D10500" s="17"/>
      <c r="E10500" s="7"/>
    </row>
    <row r="10501" spans="3:5">
      <c r="C10501" s="17"/>
      <c r="D10501" s="17"/>
      <c r="E10501" s="7"/>
    </row>
    <row r="10502" spans="3:5">
      <c r="C10502" s="17"/>
      <c r="D10502" s="17"/>
      <c r="E10502" s="7"/>
    </row>
    <row r="10503" spans="3:5">
      <c r="C10503" s="17"/>
      <c r="D10503" s="17"/>
      <c r="E10503" s="7"/>
    </row>
    <row r="10504" spans="3:5">
      <c r="C10504" s="17"/>
      <c r="D10504" s="17"/>
      <c r="E10504" s="7"/>
    </row>
    <row r="10505" spans="3:5">
      <c r="C10505" s="17"/>
      <c r="D10505" s="17"/>
      <c r="E10505" s="7"/>
    </row>
    <row r="10506" spans="3:5">
      <c r="C10506" s="17"/>
      <c r="D10506" s="17"/>
      <c r="E10506" s="7"/>
    </row>
    <row r="10507" spans="3:5">
      <c r="C10507" s="17"/>
      <c r="D10507" s="17"/>
      <c r="E10507" s="7"/>
    </row>
    <row r="10508" spans="3:5">
      <c r="C10508" s="17"/>
      <c r="D10508" s="17"/>
      <c r="E10508" s="7"/>
    </row>
    <row r="10509" spans="3:5">
      <c r="C10509" s="17"/>
      <c r="D10509" s="17"/>
      <c r="E10509" s="7"/>
    </row>
    <row r="10510" spans="3:5">
      <c r="C10510" s="17"/>
      <c r="D10510" s="17"/>
      <c r="E10510" s="7"/>
    </row>
    <row r="10511" spans="3:5">
      <c r="C10511" s="17"/>
      <c r="D10511" s="17"/>
      <c r="E10511" s="7"/>
    </row>
    <row r="10512" spans="3:5">
      <c r="C10512" s="17"/>
      <c r="D10512" s="17"/>
      <c r="E10512" s="7"/>
    </row>
    <row r="10513" spans="3:5">
      <c r="C10513" s="17"/>
      <c r="D10513" s="17"/>
      <c r="E10513" s="7"/>
    </row>
    <row r="10514" spans="3:5">
      <c r="C10514" s="17"/>
      <c r="D10514" s="17"/>
      <c r="E10514" s="7"/>
    </row>
    <row r="10515" spans="3:5">
      <c r="C10515" s="17"/>
      <c r="D10515" s="17"/>
      <c r="E10515" s="7"/>
    </row>
    <row r="10516" spans="3:5">
      <c r="C10516" s="17"/>
      <c r="D10516" s="17"/>
      <c r="E10516" s="7"/>
    </row>
    <row r="10517" spans="3:5">
      <c r="C10517" s="17"/>
      <c r="D10517" s="17"/>
      <c r="E10517" s="7"/>
    </row>
    <row r="10518" spans="3:5">
      <c r="C10518" s="17"/>
      <c r="D10518" s="17"/>
      <c r="E10518" s="7"/>
    </row>
    <row r="10519" spans="3:5">
      <c r="C10519" s="17"/>
      <c r="D10519" s="17"/>
      <c r="E10519" s="7"/>
    </row>
    <row r="10520" spans="3:5">
      <c r="C10520" s="17"/>
      <c r="D10520" s="17"/>
      <c r="E10520" s="7"/>
    </row>
    <row r="10521" spans="3:5">
      <c r="C10521" s="17"/>
      <c r="D10521" s="17"/>
      <c r="E10521" s="7"/>
    </row>
    <row r="10522" spans="3:5">
      <c r="C10522" s="17"/>
      <c r="D10522" s="17"/>
      <c r="E10522" s="7"/>
    </row>
    <row r="10523" spans="3:5">
      <c r="C10523" s="17"/>
      <c r="D10523" s="17"/>
      <c r="E10523" s="7"/>
    </row>
    <row r="10524" spans="3:5">
      <c r="C10524" s="17"/>
      <c r="D10524" s="17"/>
      <c r="E10524" s="7"/>
    </row>
    <row r="10525" spans="3:5">
      <c r="C10525" s="17"/>
      <c r="D10525" s="17"/>
      <c r="E10525" s="7"/>
    </row>
    <row r="10526" spans="3:5">
      <c r="C10526" s="17"/>
      <c r="D10526" s="17"/>
      <c r="E10526" s="7"/>
    </row>
    <row r="10527" spans="3:5">
      <c r="C10527" s="17"/>
      <c r="D10527" s="17"/>
      <c r="E10527" s="7"/>
    </row>
    <row r="10528" spans="3:5">
      <c r="C10528" s="17"/>
      <c r="D10528" s="17"/>
      <c r="E10528" s="7"/>
    </row>
    <row r="10529" spans="3:5">
      <c r="C10529" s="17"/>
      <c r="D10529" s="17"/>
      <c r="E10529" s="7"/>
    </row>
    <row r="10530" spans="3:5">
      <c r="C10530" s="17"/>
      <c r="D10530" s="17"/>
      <c r="E10530" s="7"/>
    </row>
    <row r="10531" spans="3:5">
      <c r="C10531" s="17"/>
      <c r="D10531" s="17"/>
      <c r="E10531" s="7"/>
    </row>
    <row r="10532" spans="3:5">
      <c r="C10532" s="17"/>
      <c r="D10532" s="17"/>
      <c r="E10532" s="7"/>
    </row>
    <row r="10533" spans="3:5">
      <c r="C10533" s="17"/>
      <c r="D10533" s="17"/>
      <c r="E10533" s="7"/>
    </row>
    <row r="10534" spans="3:5">
      <c r="C10534" s="17"/>
      <c r="D10534" s="17"/>
      <c r="E10534" s="7"/>
    </row>
    <row r="10535" spans="3:5">
      <c r="C10535" s="17"/>
      <c r="D10535" s="17"/>
      <c r="E10535" s="7"/>
    </row>
    <row r="10536" spans="3:5">
      <c r="C10536" s="17"/>
      <c r="D10536" s="17"/>
      <c r="E10536" s="7"/>
    </row>
    <row r="10537" spans="3:5">
      <c r="C10537" s="17"/>
      <c r="D10537" s="17"/>
      <c r="E10537" s="7"/>
    </row>
    <row r="10538" spans="3:5">
      <c r="C10538" s="17"/>
      <c r="D10538" s="17"/>
      <c r="E10538" s="7"/>
    </row>
    <row r="10539" spans="3:5">
      <c r="C10539" s="17"/>
      <c r="D10539" s="17"/>
      <c r="E10539" s="7"/>
    </row>
    <row r="10540" spans="3:5">
      <c r="C10540" s="17"/>
      <c r="D10540" s="17"/>
      <c r="E10540" s="7"/>
    </row>
    <row r="10541" spans="3:5">
      <c r="C10541" s="17"/>
      <c r="D10541" s="17"/>
      <c r="E10541" s="7"/>
    </row>
    <row r="10542" spans="3:5">
      <c r="C10542" s="17"/>
      <c r="D10542" s="17"/>
      <c r="E10542" s="7"/>
    </row>
    <row r="10543" spans="3:5">
      <c r="C10543" s="17"/>
      <c r="D10543" s="17"/>
      <c r="E10543" s="7"/>
    </row>
    <row r="10544" spans="3:5">
      <c r="C10544" s="17"/>
      <c r="D10544" s="17"/>
      <c r="E10544" s="7"/>
    </row>
    <row r="10545" spans="3:5">
      <c r="C10545" s="17"/>
      <c r="D10545" s="17"/>
      <c r="E10545" s="7"/>
    </row>
    <row r="10546" spans="3:5">
      <c r="C10546" s="17"/>
      <c r="D10546" s="17"/>
      <c r="E10546" s="7"/>
    </row>
    <row r="10547" spans="3:5">
      <c r="C10547" s="17"/>
      <c r="D10547" s="17"/>
      <c r="E10547" s="7"/>
    </row>
    <row r="10548" spans="3:5">
      <c r="C10548" s="17"/>
      <c r="D10548" s="17"/>
      <c r="E10548" s="7"/>
    </row>
    <row r="10549" spans="3:5">
      <c r="C10549" s="17"/>
      <c r="D10549" s="17"/>
      <c r="E10549" s="7"/>
    </row>
    <row r="10550" spans="3:5">
      <c r="C10550" s="17"/>
      <c r="D10550" s="17"/>
      <c r="E10550" s="7"/>
    </row>
    <row r="10551" spans="3:5">
      <c r="C10551" s="17"/>
      <c r="D10551" s="17"/>
      <c r="E10551" s="7"/>
    </row>
    <row r="10552" spans="3:5">
      <c r="C10552" s="17"/>
      <c r="D10552" s="17"/>
      <c r="E10552" s="7"/>
    </row>
    <row r="10553" spans="3:5">
      <c r="C10553" s="17"/>
      <c r="D10553" s="17"/>
      <c r="E10553" s="7"/>
    </row>
    <row r="10554" spans="3:5">
      <c r="C10554" s="17"/>
      <c r="D10554" s="17"/>
      <c r="E10554" s="7"/>
    </row>
    <row r="10555" spans="3:5">
      <c r="C10555" s="17"/>
      <c r="D10555" s="17"/>
      <c r="E10555" s="7"/>
    </row>
    <row r="10556" spans="3:5">
      <c r="C10556" s="17"/>
      <c r="D10556" s="17"/>
      <c r="E10556" s="7"/>
    </row>
    <row r="10557" spans="3:5">
      <c r="C10557" s="17"/>
      <c r="D10557" s="17"/>
      <c r="E10557" s="7"/>
    </row>
    <row r="10558" spans="3:5">
      <c r="C10558" s="17"/>
      <c r="D10558" s="17"/>
      <c r="E10558" s="7"/>
    </row>
    <row r="10559" spans="3:5">
      <c r="C10559" s="17"/>
      <c r="D10559" s="17"/>
      <c r="E10559" s="7"/>
    </row>
    <row r="10560" spans="3:5">
      <c r="C10560" s="17"/>
      <c r="D10560" s="17"/>
      <c r="E10560" s="7"/>
    </row>
    <row r="10561" spans="3:5">
      <c r="C10561" s="17"/>
      <c r="D10561" s="17"/>
      <c r="E10561" s="7"/>
    </row>
    <row r="10562" spans="3:5">
      <c r="C10562" s="17"/>
      <c r="D10562" s="17"/>
      <c r="E10562" s="7"/>
    </row>
    <row r="10563" spans="3:5">
      <c r="C10563" s="17"/>
      <c r="D10563" s="17"/>
      <c r="E10563" s="7"/>
    </row>
    <row r="10564" spans="3:5">
      <c r="C10564" s="17"/>
      <c r="D10564" s="17"/>
      <c r="E10564" s="7"/>
    </row>
    <row r="10565" spans="3:5">
      <c r="C10565" s="17"/>
      <c r="D10565" s="17"/>
      <c r="E10565" s="7"/>
    </row>
    <row r="10566" spans="3:5">
      <c r="C10566" s="17"/>
      <c r="D10566" s="17"/>
      <c r="E10566" s="7"/>
    </row>
    <row r="10567" spans="3:5">
      <c r="C10567" s="17"/>
      <c r="D10567" s="17"/>
      <c r="E10567" s="7"/>
    </row>
    <row r="10568" spans="3:5">
      <c r="C10568" s="17"/>
      <c r="D10568" s="17"/>
      <c r="E10568" s="7"/>
    </row>
    <row r="10569" spans="3:5">
      <c r="C10569" s="17"/>
      <c r="D10569" s="17"/>
      <c r="E10569" s="7"/>
    </row>
    <row r="10570" spans="3:5">
      <c r="C10570" s="17"/>
      <c r="D10570" s="17"/>
      <c r="E10570" s="7"/>
    </row>
    <row r="10571" spans="3:5">
      <c r="C10571" s="17"/>
      <c r="D10571" s="17"/>
      <c r="E10571" s="7"/>
    </row>
    <row r="10572" spans="3:5">
      <c r="C10572" s="17"/>
      <c r="D10572" s="17"/>
      <c r="E10572" s="7"/>
    </row>
    <row r="10573" spans="3:5">
      <c r="C10573" s="17"/>
      <c r="D10573" s="17"/>
      <c r="E10573" s="7"/>
    </row>
    <row r="10574" spans="3:5">
      <c r="C10574" s="17"/>
      <c r="D10574" s="17"/>
      <c r="E10574" s="7"/>
    </row>
    <row r="10575" spans="3:5">
      <c r="C10575" s="17"/>
      <c r="D10575" s="17"/>
      <c r="E10575" s="7"/>
    </row>
    <row r="10576" spans="3:5">
      <c r="C10576" s="17"/>
      <c r="D10576" s="17"/>
      <c r="E10576" s="7"/>
    </row>
    <row r="10577" spans="3:5">
      <c r="C10577" s="17"/>
      <c r="D10577" s="17"/>
      <c r="E10577" s="7"/>
    </row>
    <row r="10578" spans="3:5">
      <c r="C10578" s="17"/>
      <c r="D10578" s="17"/>
      <c r="E10578" s="7"/>
    </row>
    <row r="10579" spans="3:5">
      <c r="C10579" s="17"/>
      <c r="D10579" s="17"/>
      <c r="E10579" s="7"/>
    </row>
    <row r="10580" spans="3:5">
      <c r="C10580" s="17"/>
      <c r="D10580" s="17"/>
      <c r="E10580" s="7"/>
    </row>
    <row r="10581" spans="3:5">
      <c r="C10581" s="17"/>
      <c r="D10581" s="17"/>
      <c r="E10581" s="7"/>
    </row>
    <row r="10582" spans="3:5">
      <c r="C10582" s="17"/>
      <c r="D10582" s="17"/>
      <c r="E10582" s="7"/>
    </row>
    <row r="10583" spans="3:5">
      <c r="C10583" s="17"/>
      <c r="D10583" s="17"/>
      <c r="E10583" s="7"/>
    </row>
    <row r="10584" spans="3:5">
      <c r="C10584" s="17"/>
      <c r="D10584" s="17"/>
      <c r="E10584" s="7"/>
    </row>
    <row r="10585" spans="3:5">
      <c r="C10585" s="17"/>
      <c r="D10585" s="17"/>
      <c r="E10585" s="7"/>
    </row>
    <row r="10586" spans="3:5">
      <c r="C10586" s="17"/>
      <c r="D10586" s="17"/>
      <c r="E10586" s="7"/>
    </row>
    <row r="10587" spans="3:5">
      <c r="C10587" s="17"/>
      <c r="D10587" s="17"/>
      <c r="E10587" s="7"/>
    </row>
    <row r="10588" spans="3:5">
      <c r="C10588" s="17"/>
      <c r="D10588" s="17"/>
      <c r="E10588" s="7"/>
    </row>
    <row r="10589" spans="3:5">
      <c r="C10589" s="17"/>
      <c r="D10589" s="17"/>
      <c r="E10589" s="7"/>
    </row>
    <row r="10590" spans="3:5">
      <c r="C10590" s="17"/>
      <c r="D10590" s="17"/>
      <c r="E10590" s="7"/>
    </row>
    <row r="10591" spans="3:5">
      <c r="C10591" s="17"/>
      <c r="D10591" s="17"/>
      <c r="E10591" s="7"/>
    </row>
    <row r="10592" spans="3:5">
      <c r="C10592" s="17"/>
      <c r="D10592" s="17"/>
      <c r="E10592" s="7"/>
    </row>
    <row r="10593" spans="3:5">
      <c r="C10593" s="17"/>
      <c r="D10593" s="17"/>
      <c r="E10593" s="7"/>
    </row>
    <row r="10594" spans="3:5">
      <c r="C10594" s="17"/>
      <c r="D10594" s="17"/>
      <c r="E10594" s="7"/>
    </row>
    <row r="10595" spans="3:5">
      <c r="C10595" s="17"/>
      <c r="D10595" s="17"/>
      <c r="E10595" s="7"/>
    </row>
    <row r="10596" spans="3:5">
      <c r="C10596" s="17"/>
      <c r="D10596" s="17"/>
      <c r="E10596" s="7"/>
    </row>
    <row r="10597" spans="3:5">
      <c r="C10597" s="17"/>
      <c r="D10597" s="17"/>
      <c r="E10597" s="7"/>
    </row>
    <row r="10598" spans="3:5">
      <c r="C10598" s="17"/>
      <c r="D10598" s="17"/>
      <c r="E10598" s="7"/>
    </row>
    <row r="10599" spans="3:5">
      <c r="C10599" s="17"/>
      <c r="D10599" s="17"/>
      <c r="E10599" s="7"/>
    </row>
    <row r="10600" spans="3:5">
      <c r="C10600" s="17"/>
      <c r="D10600" s="17"/>
      <c r="E10600" s="7"/>
    </row>
    <row r="10601" spans="3:5">
      <c r="C10601" s="17"/>
      <c r="D10601" s="17"/>
      <c r="E10601" s="7"/>
    </row>
    <row r="10602" spans="3:5">
      <c r="C10602" s="17"/>
      <c r="D10602" s="17"/>
      <c r="E10602" s="7"/>
    </row>
    <row r="10603" spans="3:5">
      <c r="C10603" s="17"/>
      <c r="D10603" s="17"/>
      <c r="E10603" s="7"/>
    </row>
    <row r="10604" spans="3:5">
      <c r="C10604" s="17"/>
      <c r="D10604" s="17"/>
      <c r="E10604" s="7"/>
    </row>
    <row r="10605" spans="3:5">
      <c r="C10605" s="17"/>
      <c r="D10605" s="17"/>
      <c r="E10605" s="7"/>
    </row>
    <row r="10606" spans="3:5">
      <c r="C10606" s="17"/>
      <c r="D10606" s="17"/>
      <c r="E10606" s="7"/>
    </row>
    <row r="10607" spans="3:5">
      <c r="C10607" s="17"/>
      <c r="D10607" s="17"/>
      <c r="E10607" s="7"/>
    </row>
    <row r="10608" spans="3:5">
      <c r="C10608" s="17"/>
      <c r="D10608" s="17"/>
      <c r="E10608" s="7"/>
    </row>
    <row r="10609" spans="3:5">
      <c r="C10609" s="17"/>
      <c r="D10609" s="17"/>
      <c r="E10609" s="7"/>
    </row>
    <row r="10610" spans="3:5">
      <c r="C10610" s="17"/>
      <c r="D10610" s="17"/>
      <c r="E10610" s="7"/>
    </row>
    <row r="10611" spans="3:5">
      <c r="C10611" s="17"/>
      <c r="D10611" s="17"/>
      <c r="E10611" s="7"/>
    </row>
    <row r="10612" spans="3:5">
      <c r="C10612" s="17"/>
      <c r="D10612" s="17"/>
      <c r="E10612" s="7"/>
    </row>
    <row r="10613" spans="3:5">
      <c r="C10613" s="17"/>
      <c r="D10613" s="17"/>
      <c r="E10613" s="7"/>
    </row>
    <row r="10614" spans="3:5">
      <c r="C10614" s="17"/>
      <c r="D10614" s="17"/>
      <c r="E10614" s="7"/>
    </row>
    <row r="10615" spans="3:5">
      <c r="C10615" s="17"/>
      <c r="D10615" s="17"/>
      <c r="E10615" s="7"/>
    </row>
    <row r="10616" spans="3:5">
      <c r="C10616" s="17"/>
      <c r="D10616" s="17"/>
      <c r="E10616" s="7"/>
    </row>
    <row r="10617" spans="3:5">
      <c r="C10617" s="17"/>
      <c r="D10617" s="17"/>
      <c r="E10617" s="7"/>
    </row>
    <row r="10618" spans="3:5">
      <c r="C10618" s="17"/>
      <c r="D10618" s="17"/>
      <c r="E10618" s="7"/>
    </row>
    <row r="10619" spans="3:5">
      <c r="C10619" s="17"/>
      <c r="D10619" s="17"/>
      <c r="E10619" s="7"/>
    </row>
    <row r="10620" spans="3:5">
      <c r="C10620" s="17"/>
      <c r="D10620" s="17"/>
      <c r="E10620" s="7"/>
    </row>
    <row r="10621" spans="3:5">
      <c r="C10621" s="17"/>
      <c r="D10621" s="17"/>
      <c r="E10621" s="7"/>
    </row>
    <row r="10622" spans="3:5">
      <c r="C10622" s="17"/>
      <c r="D10622" s="17"/>
      <c r="E10622" s="7"/>
    </row>
    <row r="10623" spans="3:5">
      <c r="C10623" s="17"/>
      <c r="D10623" s="17"/>
      <c r="E10623" s="7"/>
    </row>
    <row r="10624" spans="3:5">
      <c r="C10624" s="17"/>
      <c r="D10624" s="17"/>
      <c r="E10624" s="7"/>
    </row>
    <row r="10625" spans="3:5">
      <c r="C10625" s="17"/>
      <c r="D10625" s="17"/>
      <c r="E10625" s="7"/>
    </row>
    <row r="10626" spans="3:5">
      <c r="C10626" s="17"/>
      <c r="D10626" s="17"/>
      <c r="E10626" s="7"/>
    </row>
    <row r="10627" spans="3:5">
      <c r="C10627" s="17"/>
      <c r="D10627" s="17"/>
      <c r="E10627" s="7"/>
    </row>
    <row r="10628" spans="3:5">
      <c r="C10628" s="17"/>
      <c r="D10628" s="17"/>
      <c r="E10628" s="7"/>
    </row>
    <row r="10629" spans="3:5">
      <c r="C10629" s="17"/>
      <c r="D10629" s="17"/>
      <c r="E10629" s="7"/>
    </row>
    <row r="10630" spans="3:5">
      <c r="C10630" s="17"/>
      <c r="D10630" s="17"/>
      <c r="E10630" s="7"/>
    </row>
    <row r="10631" spans="3:5">
      <c r="C10631" s="17"/>
      <c r="D10631" s="17"/>
      <c r="E10631" s="7"/>
    </row>
    <row r="10632" spans="3:5">
      <c r="C10632" s="17"/>
      <c r="D10632" s="17"/>
      <c r="E10632" s="7"/>
    </row>
    <row r="10633" spans="3:5">
      <c r="C10633" s="17"/>
      <c r="D10633" s="17"/>
      <c r="E10633" s="7"/>
    </row>
    <row r="10634" spans="3:5">
      <c r="C10634" s="17"/>
      <c r="D10634" s="17"/>
      <c r="E10634" s="7"/>
    </row>
    <row r="10635" spans="3:5">
      <c r="C10635" s="17"/>
      <c r="D10635" s="17"/>
      <c r="E10635" s="7"/>
    </row>
    <row r="10636" spans="3:5">
      <c r="C10636" s="17"/>
      <c r="D10636" s="17"/>
      <c r="E10636" s="7"/>
    </row>
    <row r="10637" spans="3:5">
      <c r="C10637" s="17"/>
      <c r="D10637" s="17"/>
      <c r="E10637" s="7"/>
    </row>
    <row r="10638" spans="3:5">
      <c r="C10638" s="17"/>
      <c r="D10638" s="17"/>
      <c r="E10638" s="7"/>
    </row>
    <row r="10639" spans="3:5">
      <c r="C10639" s="17"/>
      <c r="D10639" s="17"/>
      <c r="E10639" s="7"/>
    </row>
    <row r="10640" spans="3:5">
      <c r="C10640" s="17"/>
      <c r="D10640" s="17"/>
      <c r="E10640" s="7"/>
    </row>
    <row r="10641" spans="3:5">
      <c r="C10641" s="17"/>
      <c r="D10641" s="17"/>
      <c r="E10641" s="7"/>
    </row>
    <row r="10642" spans="3:5">
      <c r="C10642" s="17"/>
      <c r="D10642" s="17"/>
      <c r="E10642" s="7"/>
    </row>
    <row r="10643" spans="3:5">
      <c r="C10643" s="17"/>
      <c r="D10643" s="17"/>
      <c r="E10643" s="7"/>
    </row>
    <row r="10644" spans="3:5">
      <c r="C10644" s="17"/>
      <c r="D10644" s="17"/>
      <c r="E10644" s="7"/>
    </row>
    <row r="10645" spans="3:5">
      <c r="C10645" s="17"/>
      <c r="D10645" s="17"/>
      <c r="E10645" s="7"/>
    </row>
    <row r="10646" spans="3:5">
      <c r="C10646" s="17"/>
      <c r="D10646" s="17"/>
      <c r="E10646" s="7"/>
    </row>
    <row r="10647" spans="3:5">
      <c r="C10647" s="17"/>
      <c r="D10647" s="17"/>
      <c r="E10647" s="7"/>
    </row>
    <row r="10648" spans="3:5">
      <c r="C10648" s="17"/>
      <c r="D10648" s="17"/>
      <c r="E10648" s="7"/>
    </row>
    <row r="10649" spans="3:5">
      <c r="C10649" s="17"/>
      <c r="D10649" s="17"/>
      <c r="E10649" s="7"/>
    </row>
    <row r="10650" spans="3:5">
      <c r="C10650" s="17"/>
      <c r="D10650" s="17"/>
      <c r="E10650" s="7"/>
    </row>
    <row r="10651" spans="3:5">
      <c r="C10651" s="17"/>
      <c r="D10651" s="17"/>
      <c r="E10651" s="7"/>
    </row>
    <row r="10652" spans="3:5">
      <c r="C10652" s="17"/>
      <c r="D10652" s="17"/>
      <c r="E10652" s="7"/>
    </row>
    <row r="10653" spans="3:5">
      <c r="C10653" s="17"/>
      <c r="D10653" s="17"/>
      <c r="E10653" s="7"/>
    </row>
    <row r="10654" spans="3:5">
      <c r="C10654" s="17"/>
      <c r="D10654" s="17"/>
      <c r="E10654" s="7"/>
    </row>
    <row r="10655" spans="3:5">
      <c r="C10655" s="17"/>
      <c r="D10655" s="17"/>
      <c r="E10655" s="7"/>
    </row>
    <row r="10656" spans="3:5">
      <c r="C10656" s="17"/>
      <c r="D10656" s="17"/>
      <c r="E10656" s="7"/>
    </row>
    <row r="10657" spans="3:5">
      <c r="C10657" s="17"/>
      <c r="D10657" s="17"/>
      <c r="E10657" s="7"/>
    </row>
    <row r="10658" spans="3:5">
      <c r="C10658" s="17"/>
      <c r="D10658" s="17"/>
      <c r="E10658" s="7"/>
    </row>
    <row r="10659" spans="3:5">
      <c r="C10659" s="17"/>
      <c r="D10659" s="17"/>
      <c r="E10659" s="7"/>
    </row>
    <row r="10660" spans="3:5">
      <c r="C10660" s="17"/>
      <c r="D10660" s="17"/>
      <c r="E10660" s="7"/>
    </row>
    <row r="10661" spans="3:5">
      <c r="C10661" s="17"/>
      <c r="D10661" s="17"/>
      <c r="E10661" s="7"/>
    </row>
    <row r="10662" spans="3:5">
      <c r="C10662" s="17"/>
      <c r="D10662" s="17"/>
      <c r="E10662" s="7"/>
    </row>
    <row r="10663" spans="3:5">
      <c r="C10663" s="17"/>
      <c r="D10663" s="17"/>
      <c r="E10663" s="7"/>
    </row>
    <row r="10664" spans="3:5">
      <c r="C10664" s="17"/>
      <c r="D10664" s="17"/>
      <c r="E10664" s="7"/>
    </row>
    <row r="10665" spans="3:5">
      <c r="C10665" s="17"/>
      <c r="D10665" s="17"/>
      <c r="E10665" s="7"/>
    </row>
    <row r="10666" spans="3:5">
      <c r="C10666" s="17"/>
      <c r="D10666" s="17"/>
      <c r="E10666" s="7"/>
    </row>
    <row r="10667" spans="3:5">
      <c r="C10667" s="17"/>
      <c r="D10667" s="17"/>
      <c r="E10667" s="7"/>
    </row>
    <row r="10668" spans="3:5">
      <c r="C10668" s="17"/>
      <c r="D10668" s="17"/>
      <c r="E10668" s="7"/>
    </row>
    <row r="10669" spans="3:5">
      <c r="C10669" s="17"/>
      <c r="D10669" s="17"/>
      <c r="E10669" s="7"/>
    </row>
    <row r="10670" spans="3:5">
      <c r="C10670" s="17"/>
      <c r="D10670" s="17"/>
      <c r="E10670" s="7"/>
    </row>
    <row r="10671" spans="3:5">
      <c r="C10671" s="17"/>
      <c r="D10671" s="17"/>
      <c r="E10671" s="7"/>
    </row>
    <row r="10672" spans="3:5">
      <c r="C10672" s="17"/>
      <c r="D10672" s="17"/>
      <c r="E10672" s="7"/>
    </row>
    <row r="10673" spans="3:5">
      <c r="C10673" s="17"/>
      <c r="D10673" s="17"/>
      <c r="E10673" s="7"/>
    </row>
    <row r="10674" spans="3:5">
      <c r="C10674" s="17"/>
      <c r="D10674" s="17"/>
      <c r="E10674" s="7"/>
    </row>
    <row r="10675" spans="3:5">
      <c r="C10675" s="17"/>
      <c r="D10675" s="17"/>
      <c r="E10675" s="7"/>
    </row>
    <row r="10676" spans="3:5">
      <c r="C10676" s="17"/>
      <c r="D10676" s="17"/>
      <c r="E10676" s="7"/>
    </row>
    <row r="10677" spans="3:5">
      <c r="C10677" s="17"/>
      <c r="D10677" s="17"/>
      <c r="E10677" s="7"/>
    </row>
    <row r="10678" spans="3:5">
      <c r="C10678" s="17"/>
      <c r="D10678" s="17"/>
      <c r="E10678" s="7"/>
    </row>
    <row r="10679" spans="3:5">
      <c r="C10679" s="17"/>
      <c r="D10679" s="17"/>
      <c r="E10679" s="7"/>
    </row>
    <row r="10680" spans="3:5">
      <c r="C10680" s="17"/>
      <c r="D10680" s="17"/>
      <c r="E10680" s="7"/>
    </row>
    <row r="10681" spans="3:5">
      <c r="C10681" s="17"/>
      <c r="D10681" s="17"/>
      <c r="E10681" s="7"/>
    </row>
    <row r="10682" spans="3:5">
      <c r="C10682" s="17"/>
      <c r="D10682" s="17"/>
      <c r="E10682" s="7"/>
    </row>
    <row r="10683" spans="3:5">
      <c r="C10683" s="17"/>
      <c r="D10683" s="17"/>
      <c r="E10683" s="7"/>
    </row>
    <row r="10684" spans="3:5">
      <c r="C10684" s="17"/>
      <c r="D10684" s="17"/>
      <c r="E10684" s="7"/>
    </row>
    <row r="10685" spans="3:5">
      <c r="C10685" s="17"/>
      <c r="D10685" s="17"/>
      <c r="E10685" s="7"/>
    </row>
    <row r="10686" spans="3:5">
      <c r="C10686" s="17"/>
      <c r="D10686" s="17"/>
      <c r="E10686" s="7"/>
    </row>
    <row r="10687" spans="3:5">
      <c r="C10687" s="17"/>
      <c r="D10687" s="17"/>
      <c r="E10687" s="7"/>
    </row>
    <row r="10688" spans="3:5">
      <c r="C10688" s="17"/>
      <c r="D10688" s="17"/>
      <c r="E10688" s="7"/>
    </row>
    <row r="10689" spans="3:5">
      <c r="C10689" s="17"/>
      <c r="D10689" s="17"/>
      <c r="E10689" s="7"/>
    </row>
    <row r="10690" spans="3:5">
      <c r="C10690" s="17"/>
      <c r="D10690" s="17"/>
      <c r="E10690" s="7"/>
    </row>
    <row r="10691" spans="3:5">
      <c r="C10691" s="17"/>
      <c r="D10691" s="17"/>
      <c r="E10691" s="7"/>
    </row>
    <row r="10692" spans="3:5">
      <c r="C10692" s="17"/>
      <c r="D10692" s="17"/>
      <c r="E10692" s="7"/>
    </row>
    <row r="10693" spans="3:5">
      <c r="C10693" s="17"/>
      <c r="D10693" s="17"/>
      <c r="E10693" s="7"/>
    </row>
    <row r="10694" spans="3:5">
      <c r="C10694" s="17"/>
      <c r="D10694" s="17"/>
      <c r="E10694" s="7"/>
    </row>
    <row r="10695" spans="3:5">
      <c r="C10695" s="17"/>
      <c r="D10695" s="17"/>
      <c r="E10695" s="7"/>
    </row>
    <row r="10696" spans="3:5">
      <c r="C10696" s="17"/>
      <c r="D10696" s="17"/>
      <c r="E10696" s="7"/>
    </row>
    <row r="10697" spans="3:5">
      <c r="C10697" s="17"/>
      <c r="D10697" s="17"/>
      <c r="E10697" s="7"/>
    </row>
    <row r="10698" spans="3:5">
      <c r="C10698" s="17"/>
      <c r="D10698" s="17"/>
      <c r="E10698" s="7"/>
    </row>
    <row r="10699" spans="3:5">
      <c r="C10699" s="17"/>
      <c r="D10699" s="17"/>
      <c r="E10699" s="7"/>
    </row>
    <row r="10700" spans="3:5">
      <c r="C10700" s="17"/>
      <c r="D10700" s="17"/>
      <c r="E10700" s="7"/>
    </row>
    <row r="10701" spans="3:5">
      <c r="C10701" s="17"/>
      <c r="D10701" s="17"/>
      <c r="E10701" s="7"/>
    </row>
    <row r="10702" spans="3:5">
      <c r="C10702" s="17"/>
      <c r="D10702" s="17"/>
      <c r="E10702" s="7"/>
    </row>
    <row r="10703" spans="3:5">
      <c r="C10703" s="17"/>
      <c r="D10703" s="17"/>
      <c r="E10703" s="7"/>
    </row>
    <row r="10704" spans="3:5">
      <c r="C10704" s="17"/>
      <c r="D10704" s="17"/>
      <c r="E10704" s="7"/>
    </row>
    <row r="10705" spans="3:5">
      <c r="C10705" s="17"/>
      <c r="D10705" s="17"/>
      <c r="E10705" s="7"/>
    </row>
    <row r="10706" spans="3:5">
      <c r="C10706" s="17"/>
      <c r="D10706" s="17"/>
      <c r="E10706" s="7"/>
    </row>
    <row r="10707" spans="3:5">
      <c r="C10707" s="17"/>
      <c r="D10707" s="17"/>
      <c r="E10707" s="7"/>
    </row>
    <row r="10708" spans="3:5">
      <c r="C10708" s="17"/>
      <c r="D10708" s="17"/>
      <c r="E10708" s="7"/>
    </row>
    <row r="10709" spans="3:5">
      <c r="C10709" s="17"/>
      <c r="D10709" s="17"/>
      <c r="E10709" s="7"/>
    </row>
    <row r="10710" spans="3:5">
      <c r="C10710" s="17"/>
      <c r="D10710" s="17"/>
      <c r="E10710" s="7"/>
    </row>
    <row r="10711" spans="3:5">
      <c r="C10711" s="17"/>
      <c r="D10711" s="17"/>
      <c r="E10711" s="7"/>
    </row>
    <row r="10712" spans="3:5">
      <c r="C10712" s="17"/>
      <c r="D10712" s="17"/>
      <c r="E10712" s="7"/>
    </row>
    <row r="10713" spans="3:5">
      <c r="C10713" s="17"/>
      <c r="D10713" s="17"/>
      <c r="E10713" s="7"/>
    </row>
    <row r="10714" spans="3:5">
      <c r="C10714" s="17"/>
      <c r="D10714" s="17"/>
      <c r="E10714" s="7"/>
    </row>
    <row r="10715" spans="3:5">
      <c r="C10715" s="17"/>
      <c r="D10715" s="17"/>
      <c r="E10715" s="7"/>
    </row>
    <row r="10716" spans="3:5">
      <c r="C10716" s="17"/>
      <c r="D10716" s="17"/>
      <c r="E10716" s="7"/>
    </row>
    <row r="10717" spans="3:5">
      <c r="C10717" s="17"/>
      <c r="D10717" s="17"/>
      <c r="E10717" s="7"/>
    </row>
    <row r="10718" spans="3:5">
      <c r="C10718" s="17"/>
      <c r="D10718" s="17"/>
      <c r="E10718" s="7"/>
    </row>
    <row r="10719" spans="3:5">
      <c r="C10719" s="17"/>
      <c r="D10719" s="17"/>
      <c r="E10719" s="7"/>
    </row>
    <row r="10720" spans="3:5">
      <c r="C10720" s="17"/>
      <c r="D10720" s="17"/>
      <c r="E10720" s="7"/>
    </row>
    <row r="10721" spans="3:5">
      <c r="C10721" s="17"/>
      <c r="D10721" s="17"/>
      <c r="E10721" s="7"/>
    </row>
    <row r="10722" spans="3:5">
      <c r="C10722" s="17"/>
      <c r="D10722" s="17"/>
      <c r="E10722" s="7"/>
    </row>
    <row r="10723" spans="3:5">
      <c r="C10723" s="17"/>
      <c r="D10723" s="17"/>
      <c r="E10723" s="7"/>
    </row>
    <row r="10724" spans="3:5">
      <c r="C10724" s="17"/>
      <c r="D10724" s="17"/>
      <c r="E10724" s="7"/>
    </row>
    <row r="10725" spans="3:5">
      <c r="C10725" s="17"/>
      <c r="D10725" s="17"/>
      <c r="E10725" s="7"/>
    </row>
    <row r="10726" spans="3:5">
      <c r="C10726" s="17"/>
      <c r="D10726" s="17"/>
      <c r="E10726" s="7"/>
    </row>
    <row r="10727" spans="3:5">
      <c r="C10727" s="17"/>
      <c r="D10727" s="17"/>
      <c r="E10727" s="7"/>
    </row>
    <row r="10728" spans="3:5">
      <c r="C10728" s="17"/>
      <c r="D10728" s="17"/>
      <c r="E10728" s="7"/>
    </row>
    <row r="10729" spans="3:5">
      <c r="C10729" s="17"/>
      <c r="D10729" s="17"/>
      <c r="E10729" s="7"/>
    </row>
    <row r="10730" spans="3:5">
      <c r="C10730" s="17"/>
      <c r="D10730" s="17"/>
      <c r="E10730" s="7"/>
    </row>
    <row r="10731" spans="3:5">
      <c r="C10731" s="17"/>
      <c r="D10731" s="17"/>
      <c r="E10731" s="7"/>
    </row>
    <row r="10732" spans="3:5">
      <c r="C10732" s="17"/>
      <c r="D10732" s="17"/>
      <c r="E10732" s="7"/>
    </row>
    <row r="10733" spans="3:5">
      <c r="C10733" s="17"/>
      <c r="D10733" s="17"/>
      <c r="E10733" s="7"/>
    </row>
    <row r="10734" spans="3:5">
      <c r="C10734" s="17"/>
      <c r="D10734" s="17"/>
      <c r="E10734" s="7"/>
    </row>
    <row r="10735" spans="3:5">
      <c r="C10735" s="17"/>
      <c r="D10735" s="17"/>
      <c r="E10735" s="7"/>
    </row>
    <row r="10736" spans="3:5">
      <c r="C10736" s="17"/>
      <c r="D10736" s="17"/>
      <c r="E10736" s="7"/>
    </row>
    <row r="10737" spans="3:5">
      <c r="C10737" s="17"/>
      <c r="D10737" s="17"/>
      <c r="E10737" s="7"/>
    </row>
    <row r="10738" spans="3:5">
      <c r="C10738" s="17"/>
      <c r="D10738" s="17"/>
      <c r="E10738" s="7"/>
    </row>
    <row r="10739" spans="3:5">
      <c r="C10739" s="17"/>
      <c r="D10739" s="17"/>
      <c r="E10739" s="7"/>
    </row>
    <row r="10740" spans="3:5">
      <c r="C10740" s="17"/>
      <c r="D10740" s="17"/>
      <c r="E10740" s="7"/>
    </row>
    <row r="10741" spans="3:5">
      <c r="C10741" s="17"/>
      <c r="D10741" s="17"/>
      <c r="E10741" s="7"/>
    </row>
    <row r="10742" spans="3:5">
      <c r="C10742" s="17"/>
      <c r="D10742" s="17"/>
      <c r="E10742" s="7"/>
    </row>
    <row r="10743" spans="3:5">
      <c r="C10743" s="17"/>
      <c r="D10743" s="17"/>
      <c r="E10743" s="7"/>
    </row>
    <row r="10744" spans="3:5">
      <c r="C10744" s="17"/>
      <c r="D10744" s="17"/>
      <c r="E10744" s="7"/>
    </row>
    <row r="10745" spans="3:5">
      <c r="C10745" s="17"/>
      <c r="D10745" s="17"/>
      <c r="E10745" s="7"/>
    </row>
    <row r="10746" spans="3:5">
      <c r="C10746" s="17"/>
      <c r="D10746" s="17"/>
      <c r="E10746" s="7"/>
    </row>
    <row r="10747" spans="3:5">
      <c r="C10747" s="17"/>
      <c r="D10747" s="17"/>
      <c r="E10747" s="7"/>
    </row>
    <row r="10748" spans="3:5">
      <c r="C10748" s="17"/>
      <c r="D10748" s="17"/>
      <c r="E10748" s="7"/>
    </row>
    <row r="10749" spans="3:5">
      <c r="C10749" s="17"/>
      <c r="D10749" s="17"/>
      <c r="E10749" s="7"/>
    </row>
    <row r="10750" spans="3:5">
      <c r="C10750" s="17"/>
      <c r="D10750" s="17"/>
      <c r="E10750" s="7"/>
    </row>
    <row r="10751" spans="3:5">
      <c r="C10751" s="17"/>
      <c r="D10751" s="17"/>
      <c r="E10751" s="7"/>
    </row>
    <row r="10752" spans="3:5">
      <c r="C10752" s="17"/>
      <c r="D10752" s="17"/>
      <c r="E10752" s="7"/>
    </row>
    <row r="10753" spans="3:5">
      <c r="C10753" s="17"/>
      <c r="D10753" s="17"/>
      <c r="E10753" s="7"/>
    </row>
    <row r="10754" spans="3:5">
      <c r="C10754" s="17"/>
      <c r="D10754" s="17"/>
      <c r="E10754" s="7"/>
    </row>
    <row r="10755" spans="3:5">
      <c r="C10755" s="17"/>
      <c r="D10755" s="17"/>
      <c r="E10755" s="7"/>
    </row>
    <row r="10756" spans="3:5">
      <c r="C10756" s="17"/>
      <c r="D10756" s="17"/>
      <c r="E10756" s="7"/>
    </row>
    <row r="10757" spans="3:5">
      <c r="C10757" s="17"/>
      <c r="D10757" s="17"/>
      <c r="E10757" s="7"/>
    </row>
    <row r="10758" spans="3:5">
      <c r="C10758" s="17"/>
      <c r="D10758" s="17"/>
      <c r="E10758" s="7"/>
    </row>
    <row r="10759" spans="3:5">
      <c r="C10759" s="17"/>
      <c r="D10759" s="17"/>
      <c r="E10759" s="7"/>
    </row>
    <row r="10760" spans="3:5">
      <c r="C10760" s="17"/>
      <c r="D10760" s="17"/>
      <c r="E10760" s="7"/>
    </row>
    <row r="10761" spans="3:5">
      <c r="C10761" s="17"/>
      <c r="D10761" s="17"/>
      <c r="E10761" s="7"/>
    </row>
    <row r="10762" spans="3:5">
      <c r="C10762" s="17"/>
      <c r="D10762" s="17"/>
      <c r="E10762" s="7"/>
    </row>
    <row r="10763" spans="3:5">
      <c r="C10763" s="17"/>
      <c r="D10763" s="17"/>
      <c r="E10763" s="7"/>
    </row>
    <row r="10764" spans="3:5">
      <c r="C10764" s="17"/>
      <c r="D10764" s="17"/>
      <c r="E10764" s="7"/>
    </row>
    <row r="10765" spans="3:5">
      <c r="C10765" s="17"/>
      <c r="D10765" s="17"/>
      <c r="E10765" s="7"/>
    </row>
    <row r="10766" spans="3:5">
      <c r="C10766" s="17"/>
      <c r="D10766" s="17"/>
      <c r="E10766" s="7"/>
    </row>
    <row r="10767" spans="3:5">
      <c r="C10767" s="17"/>
      <c r="D10767" s="17"/>
      <c r="E10767" s="7"/>
    </row>
    <row r="10768" spans="3:5">
      <c r="C10768" s="17"/>
      <c r="D10768" s="17"/>
      <c r="E10768" s="7"/>
    </row>
    <row r="10769" spans="3:5">
      <c r="C10769" s="17"/>
      <c r="D10769" s="17"/>
      <c r="E10769" s="7"/>
    </row>
    <row r="10770" spans="3:5">
      <c r="C10770" s="17"/>
      <c r="D10770" s="17"/>
      <c r="E10770" s="7"/>
    </row>
    <row r="10771" spans="3:5">
      <c r="C10771" s="17"/>
      <c r="D10771" s="17"/>
      <c r="E10771" s="7"/>
    </row>
    <row r="10772" spans="3:5">
      <c r="C10772" s="17"/>
      <c r="D10772" s="17"/>
      <c r="E10772" s="7"/>
    </row>
    <row r="10773" spans="3:5">
      <c r="C10773" s="17"/>
      <c r="D10773" s="17"/>
      <c r="E10773" s="7"/>
    </row>
    <row r="10774" spans="3:5">
      <c r="C10774" s="17"/>
      <c r="D10774" s="17"/>
      <c r="E10774" s="7"/>
    </row>
    <row r="10775" spans="3:5">
      <c r="C10775" s="17"/>
      <c r="D10775" s="17"/>
      <c r="E10775" s="7"/>
    </row>
    <row r="10776" spans="3:5">
      <c r="C10776" s="17"/>
      <c r="D10776" s="17"/>
      <c r="E10776" s="7"/>
    </row>
    <row r="10777" spans="3:5">
      <c r="C10777" s="17"/>
      <c r="D10777" s="17"/>
      <c r="E10777" s="7"/>
    </row>
    <row r="10778" spans="3:5">
      <c r="C10778" s="17"/>
      <c r="D10778" s="17"/>
      <c r="E10778" s="7"/>
    </row>
    <row r="10779" spans="3:5">
      <c r="C10779" s="17"/>
      <c r="D10779" s="17"/>
      <c r="E10779" s="7"/>
    </row>
    <row r="10780" spans="3:5">
      <c r="C10780" s="17"/>
      <c r="D10780" s="17"/>
      <c r="E10780" s="7"/>
    </row>
    <row r="10781" spans="3:5">
      <c r="C10781" s="17"/>
      <c r="D10781" s="17"/>
      <c r="E10781" s="7"/>
    </row>
    <row r="10782" spans="3:5">
      <c r="C10782" s="17"/>
      <c r="D10782" s="17"/>
      <c r="E10782" s="7"/>
    </row>
    <row r="10783" spans="3:5">
      <c r="C10783" s="17"/>
      <c r="D10783" s="17"/>
      <c r="E10783" s="7"/>
    </row>
    <row r="10784" spans="3:5">
      <c r="C10784" s="17"/>
      <c r="D10784" s="17"/>
      <c r="E10784" s="7"/>
    </row>
    <row r="10785" spans="3:5">
      <c r="C10785" s="17"/>
      <c r="D10785" s="17"/>
      <c r="E10785" s="7"/>
    </row>
    <row r="10786" spans="3:5">
      <c r="C10786" s="17"/>
      <c r="D10786" s="17"/>
      <c r="E10786" s="7"/>
    </row>
    <row r="10787" spans="3:5">
      <c r="C10787" s="17"/>
      <c r="D10787" s="17"/>
      <c r="E10787" s="7"/>
    </row>
    <row r="10788" spans="3:5">
      <c r="C10788" s="17"/>
      <c r="D10788" s="17"/>
      <c r="E10788" s="7"/>
    </row>
    <row r="10789" spans="3:5">
      <c r="C10789" s="17"/>
      <c r="D10789" s="17"/>
      <c r="E10789" s="7"/>
    </row>
    <row r="10790" spans="3:5">
      <c r="C10790" s="17"/>
      <c r="D10790" s="17"/>
      <c r="E10790" s="7"/>
    </row>
    <row r="10791" spans="3:5">
      <c r="C10791" s="17"/>
      <c r="D10791" s="17"/>
      <c r="E10791" s="7"/>
    </row>
    <row r="10792" spans="3:5">
      <c r="C10792" s="17"/>
      <c r="D10792" s="17"/>
      <c r="E10792" s="7"/>
    </row>
    <row r="10793" spans="3:5">
      <c r="C10793" s="17"/>
      <c r="D10793" s="17"/>
      <c r="E10793" s="7"/>
    </row>
    <row r="10794" spans="3:5">
      <c r="C10794" s="17"/>
      <c r="D10794" s="17"/>
      <c r="E10794" s="7"/>
    </row>
    <row r="10795" spans="3:5">
      <c r="C10795" s="17"/>
      <c r="D10795" s="17"/>
      <c r="E10795" s="7"/>
    </row>
    <row r="10796" spans="3:5">
      <c r="C10796" s="17"/>
      <c r="D10796" s="17"/>
      <c r="E10796" s="7"/>
    </row>
    <row r="10797" spans="3:5">
      <c r="C10797" s="17"/>
      <c r="D10797" s="17"/>
      <c r="E10797" s="7"/>
    </row>
    <row r="10798" spans="3:5">
      <c r="C10798" s="17"/>
      <c r="D10798" s="17"/>
      <c r="E10798" s="7"/>
    </row>
    <row r="10799" spans="3:5">
      <c r="C10799" s="17"/>
      <c r="D10799" s="17"/>
      <c r="E10799" s="7"/>
    </row>
    <row r="10800" spans="3:5">
      <c r="C10800" s="17"/>
      <c r="D10800" s="17"/>
      <c r="E10800" s="7"/>
    </row>
    <row r="10801" spans="3:5">
      <c r="C10801" s="17"/>
      <c r="D10801" s="17"/>
      <c r="E10801" s="7"/>
    </row>
    <row r="10802" spans="3:5">
      <c r="C10802" s="17"/>
      <c r="D10802" s="17"/>
      <c r="E10802" s="7"/>
    </row>
    <row r="10803" spans="3:5">
      <c r="C10803" s="17"/>
      <c r="D10803" s="17"/>
      <c r="E10803" s="7"/>
    </row>
    <row r="10804" spans="3:5">
      <c r="C10804" s="17"/>
      <c r="D10804" s="17"/>
      <c r="E10804" s="7"/>
    </row>
    <row r="10805" spans="3:5">
      <c r="C10805" s="17"/>
      <c r="D10805" s="17"/>
      <c r="E10805" s="7"/>
    </row>
    <row r="10806" spans="3:5">
      <c r="C10806" s="17"/>
      <c r="D10806" s="17"/>
      <c r="E10806" s="7"/>
    </row>
    <row r="10807" spans="3:5">
      <c r="C10807" s="17"/>
      <c r="D10807" s="17"/>
      <c r="E10807" s="7"/>
    </row>
    <row r="10808" spans="3:5">
      <c r="C10808" s="17"/>
      <c r="D10808" s="17"/>
      <c r="E10808" s="7"/>
    </row>
    <row r="10809" spans="3:5">
      <c r="C10809" s="17"/>
      <c r="D10809" s="17"/>
      <c r="E10809" s="7"/>
    </row>
    <row r="10810" spans="3:5">
      <c r="C10810" s="17"/>
      <c r="D10810" s="17"/>
      <c r="E10810" s="7"/>
    </row>
    <row r="10811" spans="3:5">
      <c r="C10811" s="17"/>
      <c r="D10811" s="17"/>
      <c r="E10811" s="7"/>
    </row>
    <row r="10812" spans="3:5">
      <c r="C10812" s="17"/>
      <c r="D10812" s="17"/>
      <c r="E10812" s="7"/>
    </row>
    <row r="10813" spans="3:5">
      <c r="C10813" s="17"/>
      <c r="D10813" s="17"/>
      <c r="E10813" s="7"/>
    </row>
    <row r="10814" spans="3:5">
      <c r="C10814" s="17"/>
      <c r="D10814" s="17"/>
      <c r="E10814" s="7"/>
    </row>
    <row r="10815" spans="3:5">
      <c r="C10815" s="17"/>
      <c r="D10815" s="17"/>
      <c r="E10815" s="7"/>
    </row>
    <row r="10816" spans="3:5">
      <c r="C10816" s="17"/>
      <c r="D10816" s="17"/>
      <c r="E10816" s="7"/>
    </row>
    <row r="10817" spans="3:5">
      <c r="C10817" s="17"/>
      <c r="D10817" s="17"/>
      <c r="E10817" s="7"/>
    </row>
    <row r="10818" spans="3:5">
      <c r="C10818" s="17"/>
      <c r="D10818" s="17"/>
      <c r="E10818" s="7"/>
    </row>
    <row r="10819" spans="3:5">
      <c r="C10819" s="17"/>
      <c r="D10819" s="17"/>
      <c r="E10819" s="7"/>
    </row>
    <row r="10820" spans="3:5">
      <c r="C10820" s="17"/>
      <c r="D10820" s="17"/>
      <c r="E10820" s="7"/>
    </row>
    <row r="10821" spans="3:5">
      <c r="C10821" s="17"/>
      <c r="D10821" s="17"/>
      <c r="E10821" s="7"/>
    </row>
    <row r="10822" spans="3:5">
      <c r="C10822" s="17"/>
      <c r="D10822" s="17"/>
      <c r="E10822" s="7"/>
    </row>
    <row r="10823" spans="3:5">
      <c r="C10823" s="17"/>
      <c r="D10823" s="17"/>
      <c r="E10823" s="7"/>
    </row>
    <row r="10824" spans="3:5">
      <c r="C10824" s="17"/>
      <c r="D10824" s="17"/>
      <c r="E10824" s="7"/>
    </row>
    <row r="10825" spans="3:5">
      <c r="C10825" s="17"/>
      <c r="D10825" s="17"/>
      <c r="E10825" s="7"/>
    </row>
    <row r="10826" spans="3:5">
      <c r="C10826" s="17"/>
      <c r="D10826" s="17"/>
      <c r="E10826" s="7"/>
    </row>
    <row r="10827" spans="3:5">
      <c r="C10827" s="17"/>
      <c r="D10827" s="17"/>
      <c r="E10827" s="7"/>
    </row>
    <row r="10828" spans="3:5">
      <c r="C10828" s="17"/>
      <c r="D10828" s="17"/>
      <c r="E10828" s="7"/>
    </row>
    <row r="10829" spans="3:5">
      <c r="C10829" s="17"/>
      <c r="D10829" s="17"/>
      <c r="E10829" s="7"/>
    </row>
    <row r="10830" spans="3:5">
      <c r="C10830" s="17"/>
      <c r="D10830" s="17"/>
      <c r="E10830" s="7"/>
    </row>
    <row r="10831" spans="3:5">
      <c r="C10831" s="17"/>
      <c r="D10831" s="17"/>
      <c r="E10831" s="7"/>
    </row>
    <row r="10832" spans="3:5">
      <c r="C10832" s="17"/>
      <c r="D10832" s="17"/>
      <c r="E10832" s="7"/>
    </row>
    <row r="10833" spans="3:5">
      <c r="C10833" s="17"/>
      <c r="D10833" s="17"/>
      <c r="E10833" s="7"/>
    </row>
    <row r="10834" spans="3:5">
      <c r="C10834" s="17"/>
      <c r="D10834" s="17"/>
      <c r="E10834" s="7"/>
    </row>
    <row r="10835" spans="3:5">
      <c r="C10835" s="17"/>
      <c r="D10835" s="17"/>
      <c r="E10835" s="7"/>
    </row>
    <row r="10836" spans="3:5">
      <c r="C10836" s="17"/>
      <c r="D10836" s="17"/>
      <c r="E10836" s="7"/>
    </row>
    <row r="10837" spans="3:5">
      <c r="C10837" s="17"/>
      <c r="D10837" s="17"/>
      <c r="E10837" s="7"/>
    </row>
    <row r="10838" spans="3:5">
      <c r="C10838" s="17"/>
      <c r="D10838" s="17"/>
      <c r="E10838" s="7"/>
    </row>
    <row r="10839" spans="3:5">
      <c r="C10839" s="17"/>
      <c r="D10839" s="17"/>
      <c r="E10839" s="7"/>
    </row>
    <row r="10840" spans="3:5">
      <c r="C10840" s="17"/>
      <c r="D10840" s="17"/>
      <c r="E10840" s="7"/>
    </row>
    <row r="10841" spans="3:5">
      <c r="C10841" s="17"/>
      <c r="D10841" s="17"/>
      <c r="E10841" s="7"/>
    </row>
    <row r="10842" spans="3:5">
      <c r="C10842" s="17"/>
      <c r="D10842" s="17"/>
      <c r="E10842" s="7"/>
    </row>
    <row r="10843" spans="3:5">
      <c r="C10843" s="17"/>
      <c r="D10843" s="17"/>
      <c r="E10843" s="7"/>
    </row>
    <row r="10844" spans="3:5">
      <c r="C10844" s="17"/>
      <c r="D10844" s="17"/>
      <c r="E10844" s="7"/>
    </row>
    <row r="10845" spans="3:5">
      <c r="C10845" s="17"/>
      <c r="D10845" s="17"/>
      <c r="E10845" s="7"/>
    </row>
    <row r="10846" spans="3:5">
      <c r="C10846" s="17"/>
      <c r="D10846" s="17"/>
      <c r="E10846" s="7"/>
    </row>
    <row r="10847" spans="3:5">
      <c r="C10847" s="17"/>
      <c r="D10847" s="17"/>
      <c r="E10847" s="7"/>
    </row>
    <row r="10848" spans="3:5">
      <c r="C10848" s="17"/>
      <c r="D10848" s="17"/>
      <c r="E10848" s="7"/>
    </row>
    <row r="10849" spans="3:5">
      <c r="C10849" s="17"/>
      <c r="D10849" s="17"/>
      <c r="E10849" s="7"/>
    </row>
    <row r="10850" spans="3:5">
      <c r="C10850" s="17"/>
      <c r="D10850" s="17"/>
      <c r="E10850" s="7"/>
    </row>
    <row r="10851" spans="3:5">
      <c r="C10851" s="17"/>
      <c r="D10851" s="17"/>
      <c r="E10851" s="7"/>
    </row>
    <row r="10852" spans="3:5">
      <c r="C10852" s="17"/>
      <c r="D10852" s="17"/>
      <c r="E10852" s="7"/>
    </row>
    <row r="10853" spans="3:5">
      <c r="C10853" s="17"/>
      <c r="D10853" s="17"/>
      <c r="E10853" s="7"/>
    </row>
    <row r="10854" spans="3:5">
      <c r="C10854" s="17"/>
      <c r="D10854" s="17"/>
      <c r="E10854" s="7"/>
    </row>
    <row r="10855" spans="3:5">
      <c r="C10855" s="17"/>
      <c r="D10855" s="17"/>
      <c r="E10855" s="7"/>
    </row>
    <row r="10856" spans="3:5">
      <c r="C10856" s="17"/>
      <c r="D10856" s="17"/>
      <c r="E10856" s="7"/>
    </row>
    <row r="10857" spans="3:5">
      <c r="C10857" s="17"/>
      <c r="D10857" s="17"/>
      <c r="E10857" s="7"/>
    </row>
    <row r="10858" spans="3:5">
      <c r="C10858" s="17"/>
      <c r="D10858" s="17"/>
      <c r="E10858" s="7"/>
    </row>
    <row r="10859" spans="3:5">
      <c r="C10859" s="17"/>
      <c r="D10859" s="17"/>
      <c r="E10859" s="7"/>
    </row>
    <row r="10860" spans="3:5">
      <c r="C10860" s="17"/>
      <c r="D10860" s="17"/>
      <c r="E10860" s="7"/>
    </row>
    <row r="10861" spans="3:5">
      <c r="C10861" s="17"/>
      <c r="D10861" s="17"/>
      <c r="E10861" s="7"/>
    </row>
    <row r="10862" spans="3:5">
      <c r="C10862" s="17"/>
      <c r="D10862" s="17"/>
      <c r="E10862" s="7"/>
    </row>
    <row r="10863" spans="3:5">
      <c r="C10863" s="17"/>
      <c r="D10863" s="17"/>
      <c r="E10863" s="7"/>
    </row>
    <row r="10864" spans="3:5">
      <c r="C10864" s="17"/>
      <c r="D10864" s="17"/>
      <c r="E10864" s="7"/>
    </row>
    <row r="10865" spans="3:5">
      <c r="C10865" s="17"/>
      <c r="D10865" s="17"/>
      <c r="E10865" s="7"/>
    </row>
    <row r="10866" spans="3:5">
      <c r="C10866" s="17"/>
      <c r="D10866" s="17"/>
      <c r="E10866" s="7"/>
    </row>
    <row r="10867" spans="3:5">
      <c r="C10867" s="17"/>
      <c r="D10867" s="17"/>
      <c r="E10867" s="7"/>
    </row>
    <row r="10868" spans="3:5">
      <c r="C10868" s="17"/>
      <c r="D10868" s="17"/>
      <c r="E10868" s="7"/>
    </row>
    <row r="10869" spans="3:5">
      <c r="C10869" s="17"/>
      <c r="D10869" s="17"/>
      <c r="E10869" s="7"/>
    </row>
    <row r="10870" spans="3:5">
      <c r="C10870" s="17"/>
      <c r="D10870" s="17"/>
      <c r="E10870" s="7"/>
    </row>
    <row r="10871" spans="3:5">
      <c r="C10871" s="17"/>
      <c r="D10871" s="17"/>
      <c r="E10871" s="7"/>
    </row>
    <row r="10872" spans="3:5">
      <c r="C10872" s="17"/>
      <c r="D10872" s="17"/>
      <c r="E10872" s="7"/>
    </row>
    <row r="10873" spans="3:5">
      <c r="C10873" s="17"/>
      <c r="D10873" s="17"/>
      <c r="E10873" s="7"/>
    </row>
    <row r="10874" spans="3:5">
      <c r="C10874" s="17"/>
      <c r="D10874" s="17"/>
      <c r="E10874" s="7"/>
    </row>
    <row r="10875" spans="3:5">
      <c r="C10875" s="17"/>
      <c r="D10875" s="17"/>
      <c r="E10875" s="7"/>
    </row>
    <row r="10876" spans="3:5">
      <c r="C10876" s="17"/>
      <c r="D10876" s="17"/>
      <c r="E10876" s="7"/>
    </row>
    <row r="10877" spans="3:5">
      <c r="C10877" s="17"/>
      <c r="D10877" s="17"/>
      <c r="E10877" s="7"/>
    </row>
    <row r="10878" spans="3:5">
      <c r="C10878" s="17"/>
      <c r="D10878" s="17"/>
      <c r="E10878" s="7"/>
    </row>
    <row r="10879" spans="3:5">
      <c r="C10879" s="17"/>
      <c r="D10879" s="17"/>
      <c r="E10879" s="7"/>
    </row>
    <row r="10880" spans="3:5">
      <c r="C10880" s="17"/>
      <c r="D10880" s="17"/>
      <c r="E10880" s="7"/>
    </row>
    <row r="10881" spans="3:5">
      <c r="C10881" s="17"/>
      <c r="D10881" s="17"/>
      <c r="E10881" s="7"/>
    </row>
    <row r="10882" spans="3:5">
      <c r="C10882" s="17"/>
      <c r="D10882" s="17"/>
      <c r="E10882" s="7"/>
    </row>
    <row r="10883" spans="3:5">
      <c r="C10883" s="17"/>
      <c r="D10883" s="17"/>
      <c r="E10883" s="7"/>
    </row>
    <row r="10884" spans="3:5">
      <c r="C10884" s="17"/>
      <c r="D10884" s="17"/>
      <c r="E10884" s="7"/>
    </row>
    <row r="10885" spans="3:5">
      <c r="C10885" s="17"/>
      <c r="D10885" s="17"/>
      <c r="E10885" s="7"/>
    </row>
    <row r="10886" spans="3:5">
      <c r="C10886" s="17"/>
      <c r="D10886" s="17"/>
      <c r="E10886" s="7"/>
    </row>
    <row r="10887" spans="3:5">
      <c r="C10887" s="17"/>
      <c r="D10887" s="17"/>
      <c r="E10887" s="7"/>
    </row>
    <row r="10888" spans="3:5">
      <c r="C10888" s="17"/>
      <c r="D10888" s="17"/>
      <c r="E10888" s="7"/>
    </row>
    <row r="10889" spans="3:5">
      <c r="C10889" s="17"/>
      <c r="D10889" s="17"/>
      <c r="E10889" s="7"/>
    </row>
    <row r="10890" spans="3:5">
      <c r="C10890" s="17"/>
      <c r="D10890" s="17"/>
      <c r="E10890" s="7"/>
    </row>
    <row r="10891" spans="3:5">
      <c r="C10891" s="17"/>
      <c r="D10891" s="17"/>
      <c r="E10891" s="7"/>
    </row>
    <row r="10892" spans="3:5">
      <c r="C10892" s="17"/>
      <c r="D10892" s="17"/>
      <c r="E10892" s="7"/>
    </row>
    <row r="10893" spans="3:5">
      <c r="C10893" s="17"/>
      <c r="D10893" s="17"/>
      <c r="E10893" s="7"/>
    </row>
    <row r="10894" spans="3:5">
      <c r="C10894" s="17"/>
      <c r="D10894" s="17"/>
      <c r="E10894" s="7"/>
    </row>
    <row r="10895" spans="3:5">
      <c r="C10895" s="17"/>
      <c r="D10895" s="17"/>
      <c r="E10895" s="7"/>
    </row>
    <row r="10896" spans="3:5">
      <c r="C10896" s="17"/>
      <c r="D10896" s="17"/>
      <c r="E10896" s="7"/>
    </row>
    <row r="10897" spans="3:5">
      <c r="C10897" s="17"/>
      <c r="D10897" s="17"/>
      <c r="E10897" s="7"/>
    </row>
    <row r="10898" spans="3:5">
      <c r="C10898" s="17"/>
      <c r="D10898" s="17"/>
      <c r="E10898" s="7"/>
    </row>
    <row r="10899" spans="3:5">
      <c r="C10899" s="17"/>
      <c r="D10899" s="17"/>
      <c r="E10899" s="7"/>
    </row>
    <row r="10900" spans="3:5">
      <c r="C10900" s="17"/>
      <c r="D10900" s="17"/>
      <c r="E10900" s="7"/>
    </row>
    <row r="10901" spans="3:5">
      <c r="C10901" s="17"/>
      <c r="D10901" s="17"/>
      <c r="E10901" s="7"/>
    </row>
    <row r="10902" spans="3:5">
      <c r="C10902" s="17"/>
      <c r="D10902" s="17"/>
      <c r="E10902" s="7"/>
    </row>
    <row r="10903" spans="3:5">
      <c r="C10903" s="17"/>
      <c r="D10903" s="17"/>
      <c r="E10903" s="7"/>
    </row>
    <row r="10904" spans="3:5">
      <c r="C10904" s="17"/>
      <c r="D10904" s="17"/>
      <c r="E10904" s="7"/>
    </row>
    <row r="10905" spans="3:5">
      <c r="C10905" s="17"/>
      <c r="D10905" s="17"/>
      <c r="E10905" s="7"/>
    </row>
    <row r="10906" spans="3:5">
      <c r="C10906" s="17"/>
      <c r="D10906" s="17"/>
      <c r="E10906" s="7"/>
    </row>
    <row r="10907" spans="3:5">
      <c r="C10907" s="17"/>
      <c r="D10907" s="17"/>
      <c r="E10907" s="7"/>
    </row>
    <row r="10908" spans="3:5">
      <c r="C10908" s="17"/>
      <c r="D10908" s="17"/>
      <c r="E10908" s="7"/>
    </row>
    <row r="10909" spans="3:5">
      <c r="C10909" s="17"/>
      <c r="D10909" s="17"/>
      <c r="E10909" s="7"/>
    </row>
    <row r="10910" spans="3:5">
      <c r="C10910" s="17"/>
      <c r="D10910" s="17"/>
      <c r="E10910" s="7"/>
    </row>
    <row r="10911" spans="3:5">
      <c r="C10911" s="17"/>
      <c r="D10911" s="17"/>
      <c r="E10911" s="7"/>
    </row>
    <row r="10912" spans="3:5">
      <c r="C10912" s="17"/>
      <c r="D10912" s="17"/>
      <c r="E10912" s="7"/>
    </row>
    <row r="10913" spans="3:5">
      <c r="C10913" s="17"/>
      <c r="D10913" s="17"/>
      <c r="E10913" s="7"/>
    </row>
    <row r="10914" spans="3:5">
      <c r="C10914" s="17"/>
      <c r="D10914" s="17"/>
      <c r="E10914" s="7"/>
    </row>
    <row r="10915" spans="3:5">
      <c r="C10915" s="17"/>
      <c r="D10915" s="17"/>
      <c r="E10915" s="7"/>
    </row>
    <row r="10916" spans="3:5">
      <c r="C10916" s="17"/>
      <c r="D10916" s="17"/>
      <c r="E10916" s="7"/>
    </row>
    <row r="10917" spans="3:5">
      <c r="C10917" s="17"/>
      <c r="D10917" s="17"/>
      <c r="E10917" s="7"/>
    </row>
    <row r="10918" spans="3:5">
      <c r="C10918" s="17"/>
      <c r="D10918" s="17"/>
      <c r="E10918" s="7"/>
    </row>
    <row r="10919" spans="3:5">
      <c r="C10919" s="17"/>
      <c r="D10919" s="17"/>
      <c r="E10919" s="7"/>
    </row>
    <row r="10920" spans="3:5">
      <c r="C10920" s="17"/>
      <c r="D10920" s="17"/>
      <c r="E10920" s="7"/>
    </row>
    <row r="10921" spans="3:5">
      <c r="C10921" s="17"/>
      <c r="D10921" s="17"/>
      <c r="E10921" s="7"/>
    </row>
    <row r="10922" spans="3:5">
      <c r="C10922" s="17"/>
      <c r="D10922" s="17"/>
      <c r="E10922" s="7"/>
    </row>
    <row r="10923" spans="3:5">
      <c r="C10923" s="17"/>
      <c r="D10923" s="17"/>
      <c r="E10923" s="7"/>
    </row>
    <row r="10924" spans="3:5">
      <c r="C10924" s="17"/>
      <c r="D10924" s="17"/>
      <c r="E10924" s="7"/>
    </row>
    <row r="10925" spans="3:5">
      <c r="C10925" s="17"/>
      <c r="D10925" s="17"/>
      <c r="E10925" s="7"/>
    </row>
    <row r="10926" spans="3:5">
      <c r="C10926" s="17"/>
      <c r="D10926" s="17"/>
      <c r="E10926" s="7"/>
    </row>
    <row r="10927" spans="3:5">
      <c r="C10927" s="17"/>
      <c r="D10927" s="17"/>
      <c r="E10927" s="7"/>
    </row>
    <row r="10928" spans="3:5">
      <c r="C10928" s="17"/>
      <c r="D10928" s="17"/>
      <c r="E10928" s="7"/>
    </row>
    <row r="10929" spans="3:5">
      <c r="C10929" s="17"/>
      <c r="D10929" s="17"/>
      <c r="E10929" s="7"/>
    </row>
    <row r="10930" spans="3:5">
      <c r="C10930" s="17"/>
      <c r="D10930" s="17"/>
      <c r="E10930" s="7"/>
    </row>
    <row r="10931" spans="3:5">
      <c r="C10931" s="17"/>
      <c r="D10931" s="17"/>
      <c r="E10931" s="7"/>
    </row>
    <row r="10932" spans="3:5">
      <c r="C10932" s="17"/>
      <c r="D10932" s="17"/>
      <c r="E10932" s="7"/>
    </row>
    <row r="10933" spans="3:5">
      <c r="C10933" s="17"/>
      <c r="D10933" s="17"/>
      <c r="E10933" s="7"/>
    </row>
    <row r="10934" spans="3:5">
      <c r="C10934" s="17"/>
      <c r="D10934" s="17"/>
      <c r="E10934" s="7"/>
    </row>
    <row r="10935" spans="3:5">
      <c r="C10935" s="17"/>
      <c r="D10935" s="17"/>
      <c r="E10935" s="7"/>
    </row>
    <row r="10936" spans="3:5">
      <c r="C10936" s="17"/>
      <c r="D10936" s="17"/>
      <c r="E10936" s="7"/>
    </row>
    <row r="10937" spans="3:5">
      <c r="C10937" s="17"/>
      <c r="D10937" s="17"/>
      <c r="E10937" s="7"/>
    </row>
    <row r="10938" spans="3:5">
      <c r="C10938" s="17"/>
      <c r="D10938" s="17"/>
      <c r="E10938" s="7"/>
    </row>
    <row r="10939" spans="3:5">
      <c r="C10939" s="17"/>
      <c r="D10939" s="17"/>
      <c r="E10939" s="7"/>
    </row>
    <row r="10940" spans="3:5">
      <c r="C10940" s="17"/>
      <c r="D10940" s="17"/>
      <c r="E10940" s="7"/>
    </row>
    <row r="10941" spans="3:5">
      <c r="C10941" s="17"/>
      <c r="D10941" s="17"/>
      <c r="E10941" s="7"/>
    </row>
    <row r="10942" spans="3:5">
      <c r="C10942" s="17"/>
      <c r="D10942" s="17"/>
      <c r="E10942" s="7"/>
    </row>
    <row r="10943" spans="3:5">
      <c r="C10943" s="17"/>
      <c r="D10943" s="17"/>
      <c r="E10943" s="7"/>
    </row>
    <row r="10944" spans="3:5">
      <c r="C10944" s="17"/>
      <c r="D10944" s="17"/>
      <c r="E10944" s="7"/>
    </row>
    <row r="10945" spans="3:5">
      <c r="C10945" s="17"/>
      <c r="D10945" s="17"/>
      <c r="E10945" s="7"/>
    </row>
    <row r="10946" spans="3:5">
      <c r="C10946" s="17"/>
      <c r="D10946" s="17"/>
      <c r="E10946" s="7"/>
    </row>
    <row r="10947" spans="3:5">
      <c r="C10947" s="17"/>
      <c r="D10947" s="17"/>
      <c r="E10947" s="7"/>
    </row>
    <row r="10948" spans="3:5">
      <c r="C10948" s="17"/>
      <c r="D10948" s="17"/>
      <c r="E10948" s="7"/>
    </row>
    <row r="10949" spans="3:5">
      <c r="C10949" s="17"/>
      <c r="D10949" s="17"/>
      <c r="E10949" s="7"/>
    </row>
    <row r="10950" spans="3:5">
      <c r="C10950" s="17"/>
      <c r="D10950" s="17"/>
      <c r="E10950" s="7"/>
    </row>
    <row r="10951" spans="3:5">
      <c r="C10951" s="17"/>
      <c r="D10951" s="17"/>
      <c r="E10951" s="7"/>
    </row>
    <row r="10952" spans="3:5">
      <c r="C10952" s="17"/>
      <c r="D10952" s="17"/>
      <c r="E10952" s="7"/>
    </row>
    <row r="10953" spans="3:5">
      <c r="C10953" s="17"/>
      <c r="D10953" s="17"/>
      <c r="E10953" s="7"/>
    </row>
    <row r="10954" spans="3:5">
      <c r="C10954" s="17"/>
      <c r="D10954" s="17"/>
      <c r="E10954" s="7"/>
    </row>
    <row r="10955" spans="3:5">
      <c r="C10955" s="17"/>
      <c r="D10955" s="17"/>
      <c r="E10955" s="7"/>
    </row>
    <row r="10956" spans="3:5">
      <c r="C10956" s="17"/>
      <c r="D10956" s="17"/>
      <c r="E10956" s="7"/>
    </row>
    <row r="10957" spans="3:5">
      <c r="C10957" s="17"/>
      <c r="D10957" s="17"/>
      <c r="E10957" s="7"/>
    </row>
    <row r="10958" spans="3:5">
      <c r="C10958" s="17"/>
      <c r="D10958" s="17"/>
      <c r="E10958" s="7"/>
    </row>
    <row r="10959" spans="3:5">
      <c r="C10959" s="17"/>
      <c r="D10959" s="17"/>
      <c r="E10959" s="7"/>
    </row>
    <row r="10960" spans="3:5">
      <c r="C10960" s="17"/>
      <c r="D10960" s="17"/>
      <c r="E10960" s="7"/>
    </row>
    <row r="10961" spans="3:5">
      <c r="C10961" s="17"/>
      <c r="D10961" s="17"/>
      <c r="E10961" s="7"/>
    </row>
    <row r="10962" spans="3:5">
      <c r="C10962" s="17"/>
      <c r="D10962" s="17"/>
      <c r="E10962" s="7"/>
    </row>
    <row r="10963" spans="3:5">
      <c r="C10963" s="17"/>
      <c r="D10963" s="17"/>
      <c r="E10963" s="7"/>
    </row>
    <row r="10964" spans="3:5">
      <c r="C10964" s="17"/>
      <c r="D10964" s="17"/>
      <c r="E10964" s="7"/>
    </row>
    <row r="10965" spans="3:5">
      <c r="C10965" s="17"/>
      <c r="D10965" s="17"/>
      <c r="E10965" s="7"/>
    </row>
    <row r="10966" spans="3:5">
      <c r="C10966" s="17"/>
      <c r="D10966" s="17"/>
      <c r="E10966" s="7"/>
    </row>
    <row r="10967" spans="3:5">
      <c r="C10967" s="17"/>
      <c r="D10967" s="17"/>
      <c r="E10967" s="7"/>
    </row>
    <row r="10968" spans="3:5">
      <c r="C10968" s="17"/>
      <c r="D10968" s="17"/>
      <c r="E10968" s="7"/>
    </row>
    <row r="10969" spans="3:5">
      <c r="C10969" s="17"/>
      <c r="D10969" s="17"/>
      <c r="E10969" s="7"/>
    </row>
    <row r="10970" spans="3:5">
      <c r="C10970" s="17"/>
      <c r="D10970" s="17"/>
      <c r="E10970" s="7"/>
    </row>
    <row r="10971" spans="3:5">
      <c r="C10971" s="17"/>
      <c r="D10971" s="17"/>
      <c r="E10971" s="7"/>
    </row>
    <row r="10972" spans="3:5">
      <c r="C10972" s="17"/>
      <c r="D10972" s="17"/>
      <c r="E10972" s="7"/>
    </row>
    <row r="10973" spans="3:5">
      <c r="C10973" s="17"/>
      <c r="D10973" s="17"/>
      <c r="E10973" s="7"/>
    </row>
    <row r="10974" spans="3:5">
      <c r="C10974" s="17"/>
      <c r="D10974" s="17"/>
      <c r="E10974" s="7"/>
    </row>
    <row r="10975" spans="3:5">
      <c r="C10975" s="17"/>
      <c r="D10975" s="17"/>
      <c r="E10975" s="7"/>
    </row>
    <row r="10976" spans="3:5">
      <c r="C10976" s="17"/>
      <c r="D10976" s="17"/>
      <c r="E10976" s="7"/>
    </row>
    <row r="10977" spans="3:5">
      <c r="C10977" s="17"/>
      <c r="D10977" s="17"/>
      <c r="E10977" s="7"/>
    </row>
    <row r="10978" spans="3:5">
      <c r="C10978" s="17"/>
      <c r="D10978" s="17"/>
      <c r="E10978" s="7"/>
    </row>
    <row r="10979" spans="3:5">
      <c r="C10979" s="17"/>
      <c r="D10979" s="17"/>
      <c r="E10979" s="7"/>
    </row>
    <row r="10980" spans="3:5">
      <c r="C10980" s="17"/>
      <c r="D10980" s="17"/>
      <c r="E10980" s="7"/>
    </row>
    <row r="10981" spans="3:5">
      <c r="C10981" s="17"/>
      <c r="D10981" s="17"/>
      <c r="E10981" s="7"/>
    </row>
    <row r="10982" spans="3:5">
      <c r="C10982" s="17"/>
      <c r="D10982" s="17"/>
      <c r="E10982" s="7"/>
    </row>
    <row r="10983" spans="3:5">
      <c r="C10983" s="17"/>
      <c r="D10983" s="17"/>
      <c r="E10983" s="7"/>
    </row>
    <row r="10984" spans="3:5">
      <c r="C10984" s="17"/>
      <c r="D10984" s="17"/>
      <c r="E10984" s="7"/>
    </row>
    <row r="10985" spans="3:5">
      <c r="C10985" s="17"/>
      <c r="D10985" s="17"/>
      <c r="E10985" s="7"/>
    </row>
    <row r="10986" spans="3:5">
      <c r="C10986" s="17"/>
      <c r="D10986" s="17"/>
      <c r="E10986" s="7"/>
    </row>
    <row r="10987" spans="3:5">
      <c r="C10987" s="17"/>
      <c r="D10987" s="17"/>
      <c r="E10987" s="7"/>
    </row>
    <row r="10988" spans="3:5">
      <c r="C10988" s="17"/>
      <c r="D10988" s="17"/>
      <c r="E10988" s="7"/>
    </row>
    <row r="10989" spans="3:5">
      <c r="C10989" s="17"/>
      <c r="D10989" s="17"/>
      <c r="E10989" s="7"/>
    </row>
    <row r="10990" spans="3:5">
      <c r="C10990" s="17"/>
      <c r="D10990" s="17"/>
      <c r="E10990" s="7"/>
    </row>
    <row r="10991" spans="3:5">
      <c r="C10991" s="17"/>
      <c r="D10991" s="17"/>
      <c r="E10991" s="7"/>
    </row>
    <row r="10992" spans="3:5">
      <c r="C10992" s="17"/>
      <c r="D10992" s="17"/>
      <c r="E10992" s="7"/>
    </row>
    <row r="10993" spans="3:5">
      <c r="C10993" s="17"/>
      <c r="D10993" s="17"/>
      <c r="E10993" s="7"/>
    </row>
    <row r="10994" spans="3:5">
      <c r="C10994" s="17"/>
      <c r="D10994" s="17"/>
      <c r="E10994" s="7"/>
    </row>
    <row r="10995" spans="3:5">
      <c r="C10995" s="17"/>
      <c r="D10995" s="17"/>
      <c r="E10995" s="7"/>
    </row>
    <row r="10996" spans="3:5">
      <c r="C10996" s="17"/>
      <c r="D10996" s="17"/>
      <c r="E10996" s="7"/>
    </row>
    <row r="10997" spans="3:5">
      <c r="C10997" s="17"/>
      <c r="D10997" s="17"/>
      <c r="E10997" s="7"/>
    </row>
    <row r="10998" spans="3:5">
      <c r="C10998" s="17"/>
      <c r="D10998" s="17"/>
      <c r="E10998" s="7"/>
    </row>
    <row r="10999" spans="3:5">
      <c r="C10999" s="17"/>
      <c r="D10999" s="17"/>
      <c r="E10999" s="7"/>
    </row>
    <row r="11000" spans="3:5">
      <c r="C11000" s="17"/>
      <c r="D11000" s="17"/>
      <c r="E11000" s="7"/>
    </row>
    <row r="11001" spans="3:5">
      <c r="C11001" s="17"/>
      <c r="D11001" s="17"/>
      <c r="E11001" s="7"/>
    </row>
    <row r="11002" spans="3:5">
      <c r="C11002" s="17"/>
      <c r="D11002" s="17"/>
      <c r="E11002" s="7"/>
    </row>
    <row r="11003" spans="3:5">
      <c r="C11003" s="17"/>
      <c r="D11003" s="17"/>
      <c r="E11003" s="7"/>
    </row>
    <row r="11004" spans="3:5">
      <c r="C11004" s="17"/>
      <c r="D11004" s="17"/>
      <c r="E11004" s="7"/>
    </row>
    <row r="11005" spans="3:5">
      <c r="C11005" s="17"/>
      <c r="D11005" s="17"/>
      <c r="E11005" s="7"/>
    </row>
    <row r="11006" spans="3:5">
      <c r="C11006" s="17"/>
      <c r="D11006" s="17"/>
      <c r="E11006" s="7"/>
    </row>
    <row r="11007" spans="3:5">
      <c r="C11007" s="17"/>
      <c r="D11007" s="17"/>
      <c r="E11007" s="7"/>
    </row>
    <row r="11008" spans="3:5">
      <c r="C11008" s="17"/>
      <c r="D11008" s="17"/>
      <c r="E11008" s="7"/>
    </row>
    <row r="11009" spans="3:5">
      <c r="C11009" s="17"/>
      <c r="D11009" s="17"/>
      <c r="E11009" s="7"/>
    </row>
    <row r="11010" spans="3:5">
      <c r="C11010" s="17"/>
      <c r="D11010" s="17"/>
      <c r="E11010" s="7"/>
    </row>
    <row r="11011" spans="3:5">
      <c r="C11011" s="17"/>
      <c r="D11011" s="17"/>
      <c r="E11011" s="7"/>
    </row>
    <row r="11012" spans="3:5">
      <c r="C11012" s="17"/>
      <c r="D11012" s="17"/>
      <c r="E11012" s="7"/>
    </row>
    <row r="11013" spans="3:5">
      <c r="C11013" s="17"/>
      <c r="D11013" s="17"/>
      <c r="E11013" s="7"/>
    </row>
    <row r="11014" spans="3:5">
      <c r="C11014" s="17"/>
      <c r="D11014" s="17"/>
      <c r="E11014" s="7"/>
    </row>
    <row r="11015" spans="3:5">
      <c r="C11015" s="17"/>
      <c r="D11015" s="17"/>
      <c r="E11015" s="7"/>
    </row>
    <row r="11016" spans="3:5">
      <c r="C11016" s="17"/>
      <c r="D11016" s="17"/>
      <c r="E11016" s="7"/>
    </row>
    <row r="11017" spans="3:5">
      <c r="C11017" s="17"/>
      <c r="D11017" s="17"/>
      <c r="E11017" s="7"/>
    </row>
    <row r="11018" spans="3:5">
      <c r="C11018" s="17"/>
      <c r="D11018" s="17"/>
      <c r="E11018" s="7"/>
    </row>
    <row r="11019" spans="3:5">
      <c r="C11019" s="17"/>
      <c r="D11019" s="17"/>
      <c r="E11019" s="7"/>
    </row>
    <row r="11020" spans="3:5">
      <c r="C11020" s="17"/>
      <c r="D11020" s="17"/>
      <c r="E11020" s="7"/>
    </row>
    <row r="11021" spans="3:5">
      <c r="C11021" s="17"/>
      <c r="D11021" s="17"/>
      <c r="E11021" s="7"/>
    </row>
    <row r="11022" spans="3:5">
      <c r="C11022" s="17"/>
      <c r="D11022" s="17"/>
      <c r="E11022" s="7"/>
    </row>
    <row r="11023" spans="3:5">
      <c r="C11023" s="17"/>
      <c r="D11023" s="17"/>
      <c r="E11023" s="7"/>
    </row>
    <row r="11024" spans="3:5">
      <c r="C11024" s="17"/>
      <c r="D11024" s="17"/>
      <c r="E11024" s="7"/>
    </row>
    <row r="11025" spans="3:5">
      <c r="C11025" s="17"/>
      <c r="D11025" s="17"/>
      <c r="E11025" s="7"/>
    </row>
    <row r="11026" spans="3:5">
      <c r="C11026" s="17"/>
      <c r="D11026" s="17"/>
      <c r="E11026" s="7"/>
    </row>
    <row r="11027" spans="3:5">
      <c r="C11027" s="17"/>
      <c r="D11027" s="17"/>
      <c r="E11027" s="7"/>
    </row>
    <row r="11028" spans="3:5">
      <c r="C11028" s="17"/>
      <c r="D11028" s="17"/>
      <c r="E11028" s="7"/>
    </row>
    <row r="11029" spans="3:5">
      <c r="C11029" s="17"/>
      <c r="D11029" s="17"/>
      <c r="E11029" s="7"/>
    </row>
    <row r="11030" spans="3:5">
      <c r="C11030" s="17"/>
      <c r="D11030" s="17"/>
      <c r="E11030" s="7"/>
    </row>
    <row r="11031" spans="3:5">
      <c r="C11031" s="17"/>
      <c r="D11031" s="17"/>
      <c r="E11031" s="7"/>
    </row>
    <row r="11032" spans="3:5">
      <c r="C11032" s="17"/>
      <c r="D11032" s="17"/>
      <c r="E11032" s="7"/>
    </row>
    <row r="11033" spans="3:5">
      <c r="C11033" s="17"/>
      <c r="D11033" s="17"/>
      <c r="E11033" s="7"/>
    </row>
    <row r="11034" spans="3:5">
      <c r="C11034" s="17"/>
      <c r="D11034" s="17"/>
      <c r="E11034" s="7"/>
    </row>
    <row r="11035" spans="3:5">
      <c r="C11035" s="17"/>
      <c r="D11035" s="17"/>
      <c r="E11035" s="7"/>
    </row>
    <row r="11036" spans="3:5">
      <c r="C11036" s="17"/>
      <c r="D11036" s="17"/>
      <c r="E11036" s="7"/>
    </row>
    <row r="11037" spans="3:5">
      <c r="C11037" s="17"/>
      <c r="D11037" s="17"/>
      <c r="E11037" s="7"/>
    </row>
    <row r="11038" spans="3:5">
      <c r="C11038" s="17"/>
      <c r="D11038" s="17"/>
      <c r="E11038" s="7"/>
    </row>
    <row r="11039" spans="3:5">
      <c r="C11039" s="17"/>
      <c r="D11039" s="17"/>
      <c r="E11039" s="7"/>
    </row>
    <row r="11040" spans="3:5">
      <c r="C11040" s="17"/>
      <c r="D11040" s="17"/>
      <c r="E11040" s="7"/>
    </row>
    <row r="11041" spans="3:5">
      <c r="C11041" s="17"/>
      <c r="D11041" s="17"/>
      <c r="E11041" s="7"/>
    </row>
    <row r="11042" spans="3:5">
      <c r="C11042" s="17"/>
      <c r="D11042" s="17"/>
      <c r="E11042" s="7"/>
    </row>
    <row r="11043" spans="3:5">
      <c r="C11043" s="17"/>
      <c r="D11043" s="17"/>
      <c r="E11043" s="7"/>
    </row>
    <row r="11044" spans="3:5">
      <c r="C11044" s="17"/>
      <c r="D11044" s="17"/>
      <c r="E11044" s="7"/>
    </row>
    <row r="11045" spans="3:5">
      <c r="C11045" s="17"/>
      <c r="D11045" s="17"/>
      <c r="E11045" s="7"/>
    </row>
    <row r="11046" spans="3:5">
      <c r="C11046" s="17"/>
      <c r="D11046" s="17"/>
      <c r="E11046" s="7"/>
    </row>
    <row r="11047" spans="3:5">
      <c r="C11047" s="17"/>
      <c r="D11047" s="17"/>
      <c r="E11047" s="7"/>
    </row>
    <row r="11048" spans="3:5">
      <c r="C11048" s="17"/>
      <c r="D11048" s="17"/>
      <c r="E11048" s="7"/>
    </row>
    <row r="11049" spans="3:5">
      <c r="C11049" s="17"/>
      <c r="D11049" s="17"/>
      <c r="E11049" s="7"/>
    </row>
    <row r="11050" spans="3:5">
      <c r="C11050" s="17"/>
      <c r="D11050" s="17"/>
      <c r="E11050" s="7"/>
    </row>
    <row r="11051" spans="3:5">
      <c r="C11051" s="17"/>
      <c r="D11051" s="17"/>
      <c r="E11051" s="7"/>
    </row>
    <row r="11052" spans="3:5">
      <c r="C11052" s="17"/>
      <c r="D11052" s="17"/>
      <c r="E11052" s="7"/>
    </row>
    <row r="11053" spans="3:5">
      <c r="C11053" s="17"/>
      <c r="D11053" s="17"/>
      <c r="E11053" s="7"/>
    </row>
    <row r="11054" spans="3:5">
      <c r="C11054" s="17"/>
      <c r="D11054" s="17"/>
      <c r="E11054" s="7"/>
    </row>
    <row r="11055" spans="3:5">
      <c r="C11055" s="17"/>
      <c r="D11055" s="17"/>
      <c r="E11055" s="7"/>
    </row>
    <row r="11056" spans="3:5">
      <c r="C11056" s="17"/>
      <c r="D11056" s="17"/>
      <c r="E11056" s="7"/>
    </row>
    <row r="11057" spans="3:5">
      <c r="C11057" s="17"/>
      <c r="D11057" s="17"/>
      <c r="E11057" s="7"/>
    </row>
    <row r="11058" spans="3:5">
      <c r="C11058" s="17"/>
      <c r="D11058" s="17"/>
      <c r="E11058" s="7"/>
    </row>
    <row r="11059" spans="3:5">
      <c r="C11059" s="17"/>
      <c r="D11059" s="17"/>
      <c r="E11059" s="7"/>
    </row>
    <row r="11060" spans="3:5">
      <c r="C11060" s="17"/>
      <c r="D11060" s="17"/>
      <c r="E11060" s="7"/>
    </row>
    <row r="11061" spans="3:5">
      <c r="C11061" s="17"/>
      <c r="D11061" s="17"/>
      <c r="E11061" s="7"/>
    </row>
    <row r="11062" spans="3:5">
      <c r="C11062" s="17"/>
      <c r="D11062" s="17"/>
      <c r="E11062" s="7"/>
    </row>
    <row r="11063" spans="3:5">
      <c r="C11063" s="17"/>
      <c r="D11063" s="17"/>
      <c r="E11063" s="7"/>
    </row>
    <row r="11064" spans="3:5">
      <c r="C11064" s="17"/>
      <c r="D11064" s="17"/>
      <c r="E11064" s="7"/>
    </row>
    <row r="11065" spans="3:5">
      <c r="C11065" s="17"/>
      <c r="D11065" s="17"/>
      <c r="E11065" s="7"/>
    </row>
    <row r="11066" spans="3:5">
      <c r="C11066" s="17"/>
      <c r="D11066" s="17"/>
      <c r="E11066" s="7"/>
    </row>
    <row r="11067" spans="3:5">
      <c r="C11067" s="17"/>
      <c r="D11067" s="17"/>
      <c r="E11067" s="7"/>
    </row>
    <row r="11068" spans="3:5">
      <c r="C11068" s="17"/>
      <c r="D11068" s="17"/>
      <c r="E11068" s="7"/>
    </row>
    <row r="11069" spans="3:5">
      <c r="C11069" s="17"/>
      <c r="D11069" s="17"/>
      <c r="E11069" s="7"/>
    </row>
    <row r="11070" spans="3:5">
      <c r="C11070" s="17"/>
      <c r="D11070" s="17"/>
      <c r="E11070" s="7"/>
    </row>
    <row r="11071" spans="3:5">
      <c r="C11071" s="17"/>
      <c r="D11071" s="17"/>
      <c r="E11071" s="7"/>
    </row>
    <row r="11072" spans="3:5">
      <c r="C11072" s="17"/>
      <c r="D11072" s="17"/>
      <c r="E11072" s="7"/>
    </row>
    <row r="11073" spans="3:5">
      <c r="C11073" s="17"/>
      <c r="D11073" s="17"/>
      <c r="E11073" s="7"/>
    </row>
    <row r="11074" spans="3:5">
      <c r="C11074" s="17"/>
      <c r="D11074" s="17"/>
      <c r="E11074" s="7"/>
    </row>
    <row r="11075" spans="3:5">
      <c r="C11075" s="17"/>
      <c r="D11075" s="17"/>
      <c r="E11075" s="7"/>
    </row>
    <row r="11076" spans="3:5">
      <c r="C11076" s="17"/>
      <c r="D11076" s="17"/>
      <c r="E11076" s="7"/>
    </row>
    <row r="11077" spans="3:5">
      <c r="C11077" s="17"/>
      <c r="D11077" s="17"/>
      <c r="E11077" s="7"/>
    </row>
    <row r="11078" spans="3:5">
      <c r="C11078" s="17"/>
      <c r="D11078" s="17"/>
      <c r="E11078" s="7"/>
    </row>
    <row r="11079" spans="3:5">
      <c r="C11079" s="17"/>
      <c r="D11079" s="17"/>
      <c r="E11079" s="7"/>
    </row>
    <row r="11080" spans="3:5">
      <c r="C11080" s="17"/>
      <c r="D11080" s="17"/>
      <c r="E11080" s="7"/>
    </row>
    <row r="11081" spans="3:5">
      <c r="C11081" s="17"/>
      <c r="D11081" s="17"/>
      <c r="E11081" s="7"/>
    </row>
    <row r="11082" spans="3:5">
      <c r="C11082" s="17"/>
      <c r="D11082" s="17"/>
      <c r="E11082" s="7"/>
    </row>
    <row r="11083" spans="3:5">
      <c r="C11083" s="17"/>
      <c r="D11083" s="17"/>
      <c r="E11083" s="7"/>
    </row>
    <row r="11084" spans="3:5">
      <c r="C11084" s="17"/>
      <c r="D11084" s="17"/>
      <c r="E11084" s="7"/>
    </row>
    <row r="11085" spans="3:5">
      <c r="C11085" s="17"/>
      <c r="D11085" s="17"/>
      <c r="E11085" s="7"/>
    </row>
    <row r="11086" spans="3:5">
      <c r="C11086" s="17"/>
      <c r="D11086" s="17"/>
      <c r="E11086" s="7"/>
    </row>
    <row r="11087" spans="3:5">
      <c r="C11087" s="17"/>
      <c r="D11087" s="17"/>
      <c r="E11087" s="7"/>
    </row>
    <row r="11088" spans="3:5">
      <c r="C11088" s="17"/>
      <c r="D11088" s="17"/>
      <c r="E11088" s="7"/>
    </row>
    <row r="11089" spans="3:5">
      <c r="C11089" s="17"/>
      <c r="D11089" s="17"/>
      <c r="E11089" s="7"/>
    </row>
    <row r="11090" spans="3:5">
      <c r="C11090" s="17"/>
      <c r="D11090" s="17"/>
      <c r="E11090" s="7"/>
    </row>
    <row r="11091" spans="3:5">
      <c r="C11091" s="17"/>
      <c r="D11091" s="17"/>
      <c r="E11091" s="7"/>
    </row>
    <row r="11092" spans="3:5">
      <c r="C11092" s="17"/>
      <c r="D11092" s="17"/>
      <c r="E11092" s="7"/>
    </row>
    <row r="11093" spans="3:5">
      <c r="C11093" s="17"/>
      <c r="D11093" s="17"/>
      <c r="E11093" s="7"/>
    </row>
    <row r="11094" spans="3:5">
      <c r="C11094" s="17"/>
      <c r="D11094" s="17"/>
      <c r="E11094" s="7"/>
    </row>
    <row r="11095" spans="3:5">
      <c r="C11095" s="17"/>
      <c r="D11095" s="17"/>
      <c r="E11095" s="7"/>
    </row>
    <row r="11096" spans="3:5">
      <c r="C11096" s="17"/>
      <c r="D11096" s="17"/>
      <c r="E11096" s="7"/>
    </row>
    <row r="11097" spans="3:5">
      <c r="C11097" s="17"/>
      <c r="D11097" s="17"/>
      <c r="E11097" s="7"/>
    </row>
    <row r="11098" spans="3:5">
      <c r="C11098" s="17"/>
      <c r="D11098" s="17"/>
      <c r="E11098" s="7"/>
    </row>
    <row r="11099" spans="3:5">
      <c r="C11099" s="17"/>
      <c r="D11099" s="17"/>
      <c r="E11099" s="7"/>
    </row>
    <row r="11100" spans="3:5">
      <c r="C11100" s="17"/>
      <c r="D11100" s="17"/>
      <c r="E11100" s="7"/>
    </row>
    <row r="11101" spans="3:5">
      <c r="C11101" s="17"/>
      <c r="D11101" s="17"/>
      <c r="E11101" s="7"/>
    </row>
    <row r="11102" spans="3:5">
      <c r="C11102" s="17"/>
      <c r="D11102" s="17"/>
      <c r="E11102" s="7"/>
    </row>
    <row r="11103" spans="3:5">
      <c r="C11103" s="17"/>
      <c r="D11103" s="17"/>
      <c r="E11103" s="7"/>
    </row>
    <row r="11104" spans="3:5">
      <c r="C11104" s="17"/>
      <c r="D11104" s="17"/>
      <c r="E11104" s="7"/>
    </row>
    <row r="11105" spans="3:5">
      <c r="C11105" s="17"/>
      <c r="D11105" s="17"/>
      <c r="E11105" s="7"/>
    </row>
    <row r="11106" spans="3:5">
      <c r="C11106" s="17"/>
      <c r="D11106" s="17"/>
      <c r="E11106" s="7"/>
    </row>
    <row r="11107" spans="3:5">
      <c r="C11107" s="17"/>
      <c r="D11107" s="17"/>
      <c r="E11107" s="7"/>
    </row>
    <row r="11108" spans="3:5">
      <c r="C11108" s="17"/>
      <c r="D11108" s="17"/>
      <c r="E11108" s="7"/>
    </row>
    <row r="11109" spans="3:5">
      <c r="C11109" s="17"/>
      <c r="D11109" s="17"/>
      <c r="E11109" s="7"/>
    </row>
    <row r="11110" spans="3:5">
      <c r="C11110" s="17"/>
      <c r="D11110" s="17"/>
      <c r="E11110" s="7"/>
    </row>
    <row r="11111" spans="3:5">
      <c r="C11111" s="17"/>
      <c r="D11111" s="17"/>
      <c r="E11111" s="7"/>
    </row>
    <row r="11112" spans="3:5">
      <c r="C11112" s="17"/>
      <c r="D11112" s="17"/>
      <c r="E11112" s="7"/>
    </row>
    <row r="11113" spans="3:5">
      <c r="C11113" s="17"/>
      <c r="D11113" s="17"/>
      <c r="E11113" s="7"/>
    </row>
    <row r="11114" spans="3:5">
      <c r="C11114" s="17"/>
      <c r="D11114" s="17"/>
      <c r="E11114" s="7"/>
    </row>
    <row r="11115" spans="3:5">
      <c r="C11115" s="17"/>
      <c r="D11115" s="17"/>
      <c r="E11115" s="7"/>
    </row>
    <row r="11116" spans="3:5">
      <c r="C11116" s="17"/>
      <c r="D11116" s="17"/>
      <c r="E11116" s="7"/>
    </row>
    <row r="11117" spans="3:5">
      <c r="C11117" s="17"/>
      <c r="D11117" s="17"/>
      <c r="E11117" s="7"/>
    </row>
    <row r="11118" spans="3:5">
      <c r="C11118" s="17"/>
      <c r="D11118" s="17"/>
      <c r="E11118" s="7"/>
    </row>
    <row r="11119" spans="3:5">
      <c r="C11119" s="17"/>
      <c r="D11119" s="17"/>
      <c r="E11119" s="7"/>
    </row>
    <row r="11120" spans="3:5">
      <c r="C11120" s="17"/>
      <c r="D11120" s="17"/>
      <c r="E11120" s="7"/>
    </row>
    <row r="11121" spans="3:5">
      <c r="C11121" s="17"/>
      <c r="D11121" s="17"/>
      <c r="E11121" s="7"/>
    </row>
    <row r="11122" spans="3:5">
      <c r="C11122" s="17"/>
      <c r="D11122" s="17"/>
      <c r="E11122" s="7"/>
    </row>
    <row r="11123" spans="3:5">
      <c r="C11123" s="17"/>
      <c r="D11123" s="17"/>
      <c r="E11123" s="7"/>
    </row>
    <row r="11124" spans="3:5">
      <c r="C11124" s="17"/>
      <c r="D11124" s="17"/>
      <c r="E11124" s="7"/>
    </row>
    <row r="11125" spans="3:5">
      <c r="C11125" s="17"/>
      <c r="D11125" s="17"/>
      <c r="E11125" s="7"/>
    </row>
    <row r="11126" spans="3:5">
      <c r="C11126" s="17"/>
      <c r="D11126" s="17"/>
      <c r="E11126" s="7"/>
    </row>
    <row r="11127" spans="3:5">
      <c r="C11127" s="17"/>
      <c r="D11127" s="17"/>
      <c r="E11127" s="7"/>
    </row>
    <row r="11128" spans="3:5">
      <c r="C11128" s="17"/>
      <c r="D11128" s="17"/>
      <c r="E11128" s="7"/>
    </row>
    <row r="11129" spans="3:5">
      <c r="C11129" s="17"/>
      <c r="D11129" s="17"/>
      <c r="E11129" s="7"/>
    </row>
    <row r="11130" spans="3:5">
      <c r="C11130" s="17"/>
      <c r="D11130" s="17"/>
      <c r="E11130" s="7"/>
    </row>
    <row r="11131" spans="3:5">
      <c r="C11131" s="17"/>
      <c r="D11131" s="17"/>
      <c r="E11131" s="7"/>
    </row>
    <row r="11132" spans="3:5">
      <c r="C11132" s="17"/>
      <c r="D11132" s="17"/>
      <c r="E11132" s="7"/>
    </row>
    <row r="11133" spans="3:5">
      <c r="C11133" s="17"/>
      <c r="D11133" s="17"/>
      <c r="E11133" s="7"/>
    </row>
    <row r="11134" spans="3:5">
      <c r="C11134" s="17"/>
      <c r="D11134" s="17"/>
      <c r="E11134" s="7"/>
    </row>
    <row r="11135" spans="3:5">
      <c r="C11135" s="17"/>
      <c r="D11135" s="17"/>
      <c r="E11135" s="7"/>
    </row>
    <row r="11136" spans="3:5">
      <c r="C11136" s="17"/>
      <c r="D11136" s="17"/>
      <c r="E11136" s="7"/>
    </row>
    <row r="11137" spans="3:5">
      <c r="C11137" s="17"/>
      <c r="D11137" s="17"/>
      <c r="E11137" s="7"/>
    </row>
    <row r="11138" spans="3:5">
      <c r="C11138" s="17"/>
      <c r="D11138" s="17"/>
      <c r="E11138" s="7"/>
    </row>
    <row r="11139" spans="3:5">
      <c r="C11139" s="17"/>
      <c r="D11139" s="17"/>
      <c r="E11139" s="7"/>
    </row>
    <row r="11140" spans="3:5">
      <c r="C11140" s="17"/>
      <c r="D11140" s="17"/>
      <c r="E11140" s="7"/>
    </row>
    <row r="11141" spans="3:5">
      <c r="C11141" s="17"/>
      <c r="D11141" s="17"/>
      <c r="E11141" s="7"/>
    </row>
    <row r="11142" spans="3:5">
      <c r="C11142" s="17"/>
      <c r="D11142" s="17"/>
      <c r="E11142" s="7"/>
    </row>
    <row r="11143" spans="3:5">
      <c r="C11143" s="17"/>
      <c r="D11143" s="17"/>
      <c r="E11143" s="7"/>
    </row>
    <row r="11144" spans="3:5">
      <c r="C11144" s="17"/>
      <c r="D11144" s="17"/>
      <c r="E11144" s="7"/>
    </row>
    <row r="11145" spans="3:5">
      <c r="C11145" s="17"/>
      <c r="D11145" s="17"/>
      <c r="E11145" s="7"/>
    </row>
    <row r="11146" spans="3:5">
      <c r="C11146" s="17"/>
      <c r="D11146" s="17"/>
      <c r="E11146" s="7"/>
    </row>
    <row r="11147" spans="3:5">
      <c r="C11147" s="17"/>
      <c r="D11147" s="17"/>
      <c r="E11147" s="7"/>
    </row>
    <row r="11148" spans="3:5">
      <c r="C11148" s="17"/>
      <c r="D11148" s="17"/>
      <c r="E11148" s="7"/>
    </row>
    <row r="11149" spans="3:5">
      <c r="C11149" s="17"/>
      <c r="D11149" s="17"/>
      <c r="E11149" s="7"/>
    </row>
    <row r="11150" spans="3:5">
      <c r="C11150" s="17"/>
      <c r="D11150" s="17"/>
      <c r="E11150" s="7"/>
    </row>
    <row r="11151" spans="3:5">
      <c r="C11151" s="17"/>
      <c r="D11151" s="17"/>
      <c r="E11151" s="7"/>
    </row>
    <row r="11152" spans="3:5">
      <c r="C11152" s="17"/>
      <c r="D11152" s="17"/>
      <c r="E11152" s="7"/>
    </row>
    <row r="11153" spans="3:5">
      <c r="C11153" s="17"/>
      <c r="D11153" s="17"/>
      <c r="E11153" s="7"/>
    </row>
    <row r="11154" spans="3:5">
      <c r="C11154" s="17"/>
      <c r="D11154" s="17"/>
      <c r="E11154" s="7"/>
    </row>
    <row r="11155" spans="3:5">
      <c r="C11155" s="17"/>
      <c r="D11155" s="17"/>
      <c r="E11155" s="7"/>
    </row>
    <row r="11156" spans="3:5">
      <c r="C11156" s="17"/>
      <c r="D11156" s="17"/>
      <c r="E11156" s="7"/>
    </row>
    <row r="11157" spans="3:5">
      <c r="C11157" s="17"/>
      <c r="D11157" s="17"/>
      <c r="E11157" s="7"/>
    </row>
    <row r="11158" spans="3:5">
      <c r="C11158" s="17"/>
      <c r="D11158" s="17"/>
      <c r="E11158" s="7"/>
    </row>
    <row r="11159" spans="3:5">
      <c r="C11159" s="17"/>
      <c r="D11159" s="17"/>
      <c r="E11159" s="7"/>
    </row>
    <row r="11160" spans="3:5">
      <c r="C11160" s="17"/>
      <c r="D11160" s="17"/>
      <c r="E11160" s="7"/>
    </row>
    <row r="11161" spans="3:5">
      <c r="C11161" s="17"/>
      <c r="D11161" s="17"/>
      <c r="E11161" s="7"/>
    </row>
    <row r="11162" spans="3:5">
      <c r="C11162" s="17"/>
      <c r="D11162" s="17"/>
      <c r="E11162" s="7"/>
    </row>
    <row r="11163" spans="3:5">
      <c r="C11163" s="17"/>
      <c r="D11163" s="17"/>
      <c r="E11163" s="7"/>
    </row>
    <row r="11164" spans="3:5">
      <c r="C11164" s="17"/>
      <c r="D11164" s="17"/>
      <c r="E11164" s="7"/>
    </row>
    <row r="11165" spans="3:5">
      <c r="C11165" s="17"/>
      <c r="D11165" s="17"/>
      <c r="E11165" s="7"/>
    </row>
    <row r="11166" spans="3:5">
      <c r="C11166" s="17"/>
      <c r="D11166" s="17"/>
      <c r="E11166" s="7"/>
    </row>
    <row r="11167" spans="3:5">
      <c r="C11167" s="17"/>
      <c r="D11167" s="17"/>
      <c r="E11167" s="7"/>
    </row>
    <row r="11168" spans="3:5">
      <c r="C11168" s="17"/>
      <c r="D11168" s="17"/>
      <c r="E11168" s="7"/>
    </row>
    <row r="11169" spans="3:5">
      <c r="C11169" s="17"/>
      <c r="D11169" s="17"/>
      <c r="E11169" s="7"/>
    </row>
    <row r="11170" spans="3:5">
      <c r="C11170" s="17"/>
      <c r="D11170" s="17"/>
      <c r="E11170" s="7"/>
    </row>
    <row r="11171" spans="3:5">
      <c r="C11171" s="17"/>
      <c r="D11171" s="17"/>
      <c r="E11171" s="7"/>
    </row>
    <row r="11172" spans="3:5">
      <c r="C11172" s="17"/>
      <c r="D11172" s="17"/>
      <c r="E11172" s="7"/>
    </row>
    <row r="11173" spans="3:5">
      <c r="C11173" s="17"/>
      <c r="D11173" s="17"/>
      <c r="E11173" s="7"/>
    </row>
    <row r="11174" spans="3:5">
      <c r="C11174" s="17"/>
      <c r="D11174" s="17"/>
      <c r="E11174" s="7"/>
    </row>
    <row r="11175" spans="3:5">
      <c r="C11175" s="17"/>
      <c r="D11175" s="17"/>
      <c r="E11175" s="7"/>
    </row>
    <row r="11176" spans="3:5">
      <c r="C11176" s="17"/>
      <c r="D11176" s="17"/>
      <c r="E11176" s="7"/>
    </row>
    <row r="11177" spans="3:5">
      <c r="C11177" s="17"/>
      <c r="D11177" s="17"/>
      <c r="E11177" s="7"/>
    </row>
    <row r="11178" spans="3:5">
      <c r="C11178" s="17"/>
      <c r="D11178" s="17"/>
      <c r="E11178" s="7"/>
    </row>
    <row r="11179" spans="3:5">
      <c r="C11179" s="17"/>
      <c r="D11179" s="17"/>
      <c r="E11179" s="7"/>
    </row>
    <row r="11180" spans="3:5">
      <c r="C11180" s="17"/>
      <c r="D11180" s="17"/>
      <c r="E11180" s="7"/>
    </row>
    <row r="11181" spans="3:5">
      <c r="C11181" s="17"/>
      <c r="D11181" s="17"/>
      <c r="E11181" s="7"/>
    </row>
    <row r="11182" spans="3:5">
      <c r="C11182" s="17"/>
      <c r="D11182" s="17"/>
      <c r="E11182" s="7"/>
    </row>
    <row r="11183" spans="3:5">
      <c r="C11183" s="17"/>
      <c r="D11183" s="17"/>
      <c r="E11183" s="7"/>
    </row>
    <row r="11184" spans="3:5">
      <c r="C11184" s="17"/>
      <c r="D11184" s="17"/>
      <c r="E11184" s="7"/>
    </row>
    <row r="11185" spans="3:5">
      <c r="C11185" s="17"/>
      <c r="D11185" s="17"/>
      <c r="E11185" s="7"/>
    </row>
    <row r="11186" spans="3:5">
      <c r="C11186" s="17"/>
      <c r="D11186" s="17"/>
      <c r="E11186" s="7"/>
    </row>
    <row r="11187" spans="3:5">
      <c r="C11187" s="17"/>
      <c r="D11187" s="17"/>
      <c r="E11187" s="7"/>
    </row>
    <row r="11188" spans="3:5">
      <c r="C11188" s="17"/>
      <c r="D11188" s="17"/>
      <c r="E11188" s="7"/>
    </row>
    <row r="11189" spans="3:5">
      <c r="C11189" s="17"/>
      <c r="D11189" s="17"/>
      <c r="E11189" s="7"/>
    </row>
    <row r="11190" spans="3:5">
      <c r="C11190" s="17"/>
      <c r="D11190" s="17"/>
      <c r="E11190" s="7"/>
    </row>
    <row r="11191" spans="3:5">
      <c r="C11191" s="17"/>
      <c r="D11191" s="17"/>
      <c r="E11191" s="7"/>
    </row>
    <row r="11192" spans="3:5">
      <c r="C11192" s="17"/>
      <c r="D11192" s="17"/>
      <c r="E11192" s="7"/>
    </row>
    <row r="11193" spans="3:5">
      <c r="C11193" s="17"/>
      <c r="D11193" s="17"/>
      <c r="E11193" s="7"/>
    </row>
    <row r="11194" spans="3:5">
      <c r="C11194" s="17"/>
      <c r="D11194" s="17"/>
      <c r="E11194" s="7"/>
    </row>
    <row r="11195" spans="3:5">
      <c r="C11195" s="17"/>
      <c r="D11195" s="17"/>
      <c r="E11195" s="7"/>
    </row>
    <row r="11196" spans="3:5">
      <c r="C11196" s="17"/>
      <c r="D11196" s="17"/>
      <c r="E11196" s="7"/>
    </row>
    <row r="11197" spans="3:5">
      <c r="C11197" s="17"/>
      <c r="D11197" s="17"/>
      <c r="E11197" s="7"/>
    </row>
    <row r="11198" spans="3:5">
      <c r="C11198" s="17"/>
      <c r="D11198" s="17"/>
      <c r="E11198" s="7"/>
    </row>
    <row r="11199" spans="3:5">
      <c r="C11199" s="17"/>
      <c r="D11199" s="17"/>
      <c r="E11199" s="7"/>
    </row>
    <row r="11200" spans="3:5">
      <c r="C11200" s="17"/>
      <c r="D11200" s="17"/>
      <c r="E11200" s="7"/>
    </row>
    <row r="11201" spans="3:5">
      <c r="C11201" s="17"/>
      <c r="D11201" s="17"/>
      <c r="E11201" s="7"/>
    </row>
    <row r="11202" spans="3:5">
      <c r="C11202" s="17"/>
      <c r="D11202" s="17"/>
      <c r="E11202" s="7"/>
    </row>
    <row r="11203" spans="3:5">
      <c r="C11203" s="17"/>
      <c r="D11203" s="17"/>
      <c r="E11203" s="7"/>
    </row>
    <row r="11204" spans="3:5">
      <c r="C11204" s="17"/>
      <c r="D11204" s="17"/>
      <c r="E11204" s="7"/>
    </row>
    <row r="11205" spans="3:5">
      <c r="C11205" s="17"/>
      <c r="D11205" s="17"/>
      <c r="E11205" s="7"/>
    </row>
    <row r="11206" spans="3:5">
      <c r="C11206" s="17"/>
      <c r="D11206" s="17"/>
      <c r="E11206" s="7"/>
    </row>
    <row r="11207" spans="3:5">
      <c r="C11207" s="17"/>
      <c r="D11207" s="17"/>
      <c r="E11207" s="7"/>
    </row>
    <row r="11208" spans="3:5">
      <c r="C11208" s="17"/>
      <c r="D11208" s="17"/>
      <c r="E11208" s="7"/>
    </row>
    <row r="11209" spans="3:5">
      <c r="C11209" s="17"/>
      <c r="D11209" s="17"/>
      <c r="E11209" s="7"/>
    </row>
    <row r="11210" spans="3:5">
      <c r="C11210" s="17"/>
      <c r="D11210" s="17"/>
      <c r="E11210" s="7"/>
    </row>
    <row r="11211" spans="3:5">
      <c r="C11211" s="17"/>
      <c r="D11211" s="17"/>
      <c r="E11211" s="7"/>
    </row>
    <row r="11212" spans="3:5">
      <c r="C11212" s="17"/>
      <c r="D11212" s="17"/>
      <c r="E11212" s="7"/>
    </row>
    <row r="11213" spans="3:5">
      <c r="C11213" s="17"/>
      <c r="D11213" s="17"/>
      <c r="E11213" s="7"/>
    </row>
    <row r="11214" spans="3:5">
      <c r="C11214" s="17"/>
      <c r="D11214" s="17"/>
      <c r="E11214" s="7"/>
    </row>
    <row r="11215" spans="3:5">
      <c r="C11215" s="17"/>
      <c r="D11215" s="17"/>
      <c r="E11215" s="7"/>
    </row>
    <row r="11216" spans="3:5">
      <c r="C11216" s="17"/>
      <c r="D11216" s="17"/>
      <c r="E11216" s="7"/>
    </row>
    <row r="11217" spans="3:5">
      <c r="C11217" s="17"/>
      <c r="D11217" s="17"/>
      <c r="E11217" s="7"/>
    </row>
    <row r="11218" spans="3:5">
      <c r="C11218" s="17"/>
      <c r="D11218" s="17"/>
      <c r="E11218" s="7"/>
    </row>
    <row r="11219" spans="3:5">
      <c r="C11219" s="17"/>
      <c r="D11219" s="17"/>
      <c r="E11219" s="7"/>
    </row>
    <row r="11220" spans="3:5">
      <c r="C11220" s="17"/>
      <c r="D11220" s="17"/>
      <c r="E11220" s="7"/>
    </row>
    <row r="11221" spans="3:5">
      <c r="C11221" s="17"/>
      <c r="D11221" s="17"/>
      <c r="E11221" s="7"/>
    </row>
    <row r="11222" spans="3:5">
      <c r="C11222" s="17"/>
      <c r="D11222" s="17"/>
      <c r="E11222" s="7"/>
    </row>
    <row r="11223" spans="3:5">
      <c r="C11223" s="17"/>
      <c r="D11223" s="17"/>
      <c r="E11223" s="7"/>
    </row>
    <row r="11224" spans="3:5">
      <c r="C11224" s="17"/>
      <c r="D11224" s="17"/>
      <c r="E11224" s="7"/>
    </row>
    <row r="11225" spans="3:5">
      <c r="C11225" s="17"/>
      <c r="D11225" s="17"/>
      <c r="E11225" s="7"/>
    </row>
    <row r="11226" spans="3:5">
      <c r="C11226" s="17"/>
      <c r="D11226" s="17"/>
      <c r="E11226" s="7"/>
    </row>
    <row r="11227" spans="3:5">
      <c r="C11227" s="17"/>
      <c r="D11227" s="17"/>
      <c r="E11227" s="7"/>
    </row>
    <row r="11228" spans="3:5">
      <c r="C11228" s="17"/>
      <c r="D11228" s="17"/>
      <c r="E11228" s="7"/>
    </row>
    <row r="11229" spans="3:5">
      <c r="C11229" s="17"/>
      <c r="D11229" s="17"/>
      <c r="E11229" s="7"/>
    </row>
    <row r="11230" spans="3:5">
      <c r="C11230" s="17"/>
      <c r="D11230" s="17"/>
      <c r="E11230" s="7"/>
    </row>
    <row r="11231" spans="3:5">
      <c r="C11231" s="17"/>
      <c r="D11231" s="17"/>
      <c r="E11231" s="7"/>
    </row>
    <row r="11232" spans="3:5">
      <c r="C11232" s="17"/>
      <c r="D11232" s="17"/>
      <c r="E11232" s="7"/>
    </row>
    <row r="11233" spans="3:5">
      <c r="C11233" s="17"/>
      <c r="D11233" s="17"/>
      <c r="E11233" s="7"/>
    </row>
    <row r="11234" spans="3:5">
      <c r="C11234" s="17"/>
      <c r="D11234" s="17"/>
      <c r="E11234" s="7"/>
    </row>
    <row r="11235" spans="3:5">
      <c r="C11235" s="17"/>
      <c r="D11235" s="17"/>
      <c r="E11235" s="7"/>
    </row>
    <row r="11236" spans="3:5">
      <c r="C11236" s="17"/>
      <c r="D11236" s="17"/>
      <c r="E11236" s="7"/>
    </row>
    <row r="11237" spans="3:5">
      <c r="C11237" s="17"/>
      <c r="D11237" s="17"/>
      <c r="E11237" s="7"/>
    </row>
    <row r="11238" spans="3:5">
      <c r="C11238" s="17"/>
      <c r="D11238" s="17"/>
      <c r="E11238" s="7"/>
    </row>
    <row r="11239" spans="3:5">
      <c r="C11239" s="17"/>
      <c r="D11239" s="17"/>
      <c r="E11239" s="7"/>
    </row>
    <row r="11240" spans="3:5">
      <c r="C11240" s="17"/>
      <c r="D11240" s="17"/>
      <c r="E11240" s="7"/>
    </row>
    <row r="11241" spans="3:5">
      <c r="C11241" s="17"/>
      <c r="D11241" s="17"/>
      <c r="E11241" s="7"/>
    </row>
    <row r="11242" spans="3:5">
      <c r="C11242" s="17"/>
      <c r="D11242" s="17"/>
      <c r="E11242" s="7"/>
    </row>
    <row r="11243" spans="3:5">
      <c r="C11243" s="17"/>
      <c r="D11243" s="17"/>
      <c r="E11243" s="7"/>
    </row>
    <row r="11244" spans="3:5">
      <c r="C11244" s="17"/>
      <c r="D11244" s="17"/>
      <c r="E11244" s="7"/>
    </row>
    <row r="11245" spans="3:5">
      <c r="C11245" s="17"/>
      <c r="D11245" s="17"/>
      <c r="E11245" s="7"/>
    </row>
    <row r="11246" spans="3:5">
      <c r="C11246" s="17"/>
      <c r="D11246" s="17"/>
      <c r="E11246" s="7"/>
    </row>
    <row r="11247" spans="3:5">
      <c r="C11247" s="17"/>
      <c r="D11247" s="17"/>
      <c r="E11247" s="7"/>
    </row>
    <row r="11248" spans="3:5">
      <c r="C11248" s="17"/>
      <c r="D11248" s="17"/>
      <c r="E11248" s="7"/>
    </row>
    <row r="11249" spans="3:5">
      <c r="C11249" s="17"/>
      <c r="D11249" s="17"/>
      <c r="E11249" s="7"/>
    </row>
    <row r="11250" spans="3:5">
      <c r="C11250" s="17"/>
      <c r="D11250" s="17"/>
      <c r="E11250" s="7"/>
    </row>
    <row r="11251" spans="3:5">
      <c r="C11251" s="17"/>
      <c r="D11251" s="17"/>
      <c r="E11251" s="7"/>
    </row>
    <row r="11252" spans="3:5">
      <c r="C11252" s="17"/>
      <c r="D11252" s="17"/>
      <c r="E11252" s="7"/>
    </row>
    <row r="11253" spans="3:5">
      <c r="C11253" s="17"/>
      <c r="D11253" s="17"/>
      <c r="E11253" s="7"/>
    </row>
    <row r="11254" spans="3:5">
      <c r="C11254" s="17"/>
      <c r="D11254" s="17"/>
      <c r="E11254" s="7"/>
    </row>
    <row r="11255" spans="3:5">
      <c r="C11255" s="17"/>
      <c r="D11255" s="17"/>
      <c r="E11255" s="7"/>
    </row>
    <row r="11256" spans="3:5">
      <c r="C11256" s="17"/>
      <c r="D11256" s="17"/>
      <c r="E11256" s="7"/>
    </row>
    <row r="11257" spans="3:5">
      <c r="C11257" s="17"/>
      <c r="D11257" s="17"/>
      <c r="E11257" s="7"/>
    </row>
    <row r="11258" spans="3:5">
      <c r="C11258" s="17"/>
      <c r="D11258" s="17"/>
      <c r="E11258" s="7"/>
    </row>
    <row r="11259" spans="3:5">
      <c r="C11259" s="17"/>
      <c r="D11259" s="17"/>
      <c r="E11259" s="7"/>
    </row>
    <row r="11260" spans="3:5">
      <c r="C11260" s="17"/>
      <c r="D11260" s="17"/>
      <c r="E11260" s="7"/>
    </row>
    <row r="11261" spans="3:5">
      <c r="C11261" s="17"/>
      <c r="D11261" s="17"/>
      <c r="E11261" s="7"/>
    </row>
    <row r="11262" spans="3:5">
      <c r="C11262" s="17"/>
      <c r="D11262" s="17"/>
      <c r="E11262" s="7"/>
    </row>
    <row r="11263" spans="3:5">
      <c r="C11263" s="17"/>
      <c r="D11263" s="17"/>
      <c r="E11263" s="7"/>
    </row>
    <row r="11264" spans="3:5">
      <c r="C11264" s="17"/>
      <c r="D11264" s="17"/>
      <c r="E11264" s="7"/>
    </row>
    <row r="11265" spans="3:5">
      <c r="C11265" s="17"/>
      <c r="D11265" s="17"/>
      <c r="E11265" s="7"/>
    </row>
    <row r="11266" spans="3:5">
      <c r="C11266" s="17"/>
      <c r="D11266" s="17"/>
      <c r="E11266" s="7"/>
    </row>
    <row r="11267" spans="3:5">
      <c r="C11267" s="17"/>
      <c r="D11267" s="17"/>
      <c r="E11267" s="7"/>
    </row>
    <row r="11268" spans="3:5">
      <c r="C11268" s="17"/>
      <c r="D11268" s="17"/>
      <c r="E11268" s="7"/>
    </row>
    <row r="11269" spans="3:5">
      <c r="C11269" s="17"/>
      <c r="D11269" s="17"/>
      <c r="E11269" s="7"/>
    </row>
    <row r="11270" spans="3:5">
      <c r="C11270" s="17"/>
      <c r="D11270" s="17"/>
      <c r="E11270" s="7"/>
    </row>
    <row r="11271" spans="3:5">
      <c r="C11271" s="17"/>
      <c r="D11271" s="17"/>
      <c r="E11271" s="7"/>
    </row>
    <row r="11272" spans="3:5">
      <c r="C11272" s="17"/>
      <c r="D11272" s="17"/>
      <c r="E11272" s="7"/>
    </row>
    <row r="11273" spans="3:5">
      <c r="C11273" s="17"/>
      <c r="D11273" s="17"/>
      <c r="E11273" s="7"/>
    </row>
    <row r="11274" spans="3:5">
      <c r="C11274" s="17"/>
      <c r="D11274" s="17"/>
      <c r="E11274" s="7"/>
    </row>
    <row r="11275" spans="3:5">
      <c r="C11275" s="17"/>
      <c r="D11275" s="17"/>
      <c r="E11275" s="7"/>
    </row>
    <row r="11276" spans="3:5">
      <c r="C11276" s="17"/>
      <c r="D11276" s="17"/>
      <c r="E11276" s="7"/>
    </row>
    <row r="11277" spans="3:5">
      <c r="C11277" s="17"/>
      <c r="D11277" s="17"/>
      <c r="E11277" s="7"/>
    </row>
    <row r="11278" spans="3:5">
      <c r="C11278" s="17"/>
      <c r="D11278" s="17"/>
      <c r="E11278" s="7"/>
    </row>
    <row r="11279" spans="3:5">
      <c r="C11279" s="17"/>
      <c r="D11279" s="17"/>
      <c r="E11279" s="7"/>
    </row>
    <row r="11280" spans="3:5">
      <c r="C11280" s="17"/>
      <c r="D11280" s="17"/>
      <c r="E11280" s="7"/>
    </row>
    <row r="11281" spans="3:5">
      <c r="C11281" s="17"/>
      <c r="D11281" s="17"/>
      <c r="E11281" s="7"/>
    </row>
    <row r="11282" spans="3:5">
      <c r="C11282" s="17"/>
      <c r="D11282" s="17"/>
      <c r="E11282" s="7"/>
    </row>
    <row r="11283" spans="3:5">
      <c r="C11283" s="17"/>
      <c r="D11283" s="17"/>
      <c r="E11283" s="7"/>
    </row>
    <row r="11284" spans="3:5">
      <c r="C11284" s="17"/>
      <c r="D11284" s="17"/>
      <c r="E11284" s="7"/>
    </row>
    <row r="11285" spans="3:5">
      <c r="C11285" s="17"/>
      <c r="D11285" s="17"/>
      <c r="E11285" s="7"/>
    </row>
    <row r="11286" spans="3:5">
      <c r="C11286" s="17"/>
      <c r="D11286" s="17"/>
      <c r="E11286" s="7"/>
    </row>
    <row r="11287" spans="3:5">
      <c r="C11287" s="17"/>
      <c r="D11287" s="17"/>
      <c r="E11287" s="7"/>
    </row>
    <row r="11288" spans="3:5">
      <c r="C11288" s="17"/>
      <c r="D11288" s="17"/>
      <c r="E11288" s="7"/>
    </row>
    <row r="11289" spans="3:5">
      <c r="C11289" s="17"/>
      <c r="D11289" s="17"/>
      <c r="E11289" s="7"/>
    </row>
    <row r="11290" spans="3:5">
      <c r="C11290" s="17"/>
      <c r="D11290" s="17"/>
      <c r="E11290" s="7"/>
    </row>
    <row r="11291" spans="3:5">
      <c r="C11291" s="17"/>
      <c r="D11291" s="17"/>
      <c r="E11291" s="7"/>
    </row>
    <row r="11292" spans="3:5">
      <c r="C11292" s="17"/>
      <c r="D11292" s="17"/>
      <c r="E11292" s="7"/>
    </row>
    <row r="11293" spans="3:5">
      <c r="C11293" s="17"/>
      <c r="D11293" s="17"/>
      <c r="E11293" s="7"/>
    </row>
    <row r="11294" spans="3:5">
      <c r="C11294" s="17"/>
      <c r="D11294" s="17"/>
      <c r="E11294" s="7"/>
    </row>
    <row r="11295" spans="3:5">
      <c r="C11295" s="17"/>
      <c r="D11295" s="17"/>
      <c r="E11295" s="7"/>
    </row>
    <row r="11296" spans="3:5">
      <c r="C11296" s="17"/>
      <c r="D11296" s="17"/>
      <c r="E11296" s="7"/>
    </row>
    <row r="11297" spans="3:5">
      <c r="C11297" s="17"/>
      <c r="D11297" s="17"/>
      <c r="E11297" s="7"/>
    </row>
    <row r="11298" spans="3:5">
      <c r="C11298" s="17"/>
      <c r="D11298" s="17"/>
      <c r="E11298" s="7"/>
    </row>
    <row r="11299" spans="3:5">
      <c r="C11299" s="17"/>
      <c r="D11299" s="17"/>
      <c r="E11299" s="7"/>
    </row>
    <row r="11300" spans="3:5">
      <c r="C11300" s="17"/>
      <c r="D11300" s="17"/>
      <c r="E11300" s="7"/>
    </row>
    <row r="11301" spans="3:5">
      <c r="C11301" s="17"/>
      <c r="D11301" s="17"/>
      <c r="E11301" s="7"/>
    </row>
    <row r="11302" spans="3:5">
      <c r="C11302" s="17"/>
      <c r="D11302" s="17"/>
      <c r="E11302" s="7"/>
    </row>
    <row r="11303" spans="3:5">
      <c r="C11303" s="17"/>
      <c r="D11303" s="17"/>
      <c r="E11303" s="7"/>
    </row>
    <row r="11304" spans="3:5">
      <c r="C11304" s="17"/>
      <c r="D11304" s="17"/>
      <c r="E11304" s="7"/>
    </row>
    <row r="11305" spans="3:5">
      <c r="C11305" s="17"/>
      <c r="D11305" s="17"/>
      <c r="E11305" s="7"/>
    </row>
    <row r="11306" spans="3:5">
      <c r="C11306" s="17"/>
      <c r="D11306" s="17"/>
      <c r="E11306" s="7"/>
    </row>
    <row r="11307" spans="3:5">
      <c r="C11307" s="17"/>
      <c r="D11307" s="17"/>
      <c r="E11307" s="7"/>
    </row>
    <row r="11308" spans="3:5">
      <c r="C11308" s="17"/>
      <c r="D11308" s="17"/>
      <c r="E11308" s="7"/>
    </row>
    <row r="11309" spans="3:5">
      <c r="C11309" s="17"/>
      <c r="D11309" s="17"/>
      <c r="E11309" s="7"/>
    </row>
    <row r="11310" spans="3:5">
      <c r="C11310" s="17"/>
      <c r="D11310" s="17"/>
      <c r="E11310" s="7"/>
    </row>
    <row r="11311" spans="3:5">
      <c r="C11311" s="17"/>
      <c r="D11311" s="17"/>
      <c r="E11311" s="7"/>
    </row>
    <row r="11312" spans="3:5">
      <c r="C11312" s="17"/>
      <c r="D11312" s="17"/>
      <c r="E11312" s="7"/>
    </row>
    <row r="11313" spans="3:5">
      <c r="C11313" s="17"/>
      <c r="D11313" s="17"/>
      <c r="E11313" s="7"/>
    </row>
    <row r="11314" spans="3:5">
      <c r="C11314" s="17"/>
      <c r="D11314" s="17"/>
      <c r="E11314" s="7"/>
    </row>
    <row r="11315" spans="3:5">
      <c r="C11315" s="17"/>
      <c r="D11315" s="17"/>
      <c r="E11315" s="7"/>
    </row>
    <row r="11316" spans="3:5">
      <c r="C11316" s="17"/>
      <c r="D11316" s="17"/>
      <c r="E11316" s="7"/>
    </row>
    <row r="11317" spans="3:5">
      <c r="C11317" s="17"/>
      <c r="D11317" s="17"/>
      <c r="E11317" s="7"/>
    </row>
    <row r="11318" spans="3:5">
      <c r="C11318" s="17"/>
      <c r="D11318" s="17"/>
      <c r="E11318" s="7"/>
    </row>
    <row r="11319" spans="3:5">
      <c r="C11319" s="17"/>
      <c r="D11319" s="17"/>
      <c r="E11319" s="7"/>
    </row>
    <row r="11320" spans="3:5">
      <c r="C11320" s="17"/>
      <c r="D11320" s="17"/>
      <c r="E11320" s="7"/>
    </row>
    <row r="11321" spans="3:5">
      <c r="C11321" s="17"/>
      <c r="D11321" s="17"/>
      <c r="E11321" s="7"/>
    </row>
    <row r="11322" spans="3:5">
      <c r="C11322" s="17"/>
      <c r="D11322" s="17"/>
      <c r="E11322" s="7"/>
    </row>
    <row r="11323" spans="3:5">
      <c r="C11323" s="17"/>
      <c r="D11323" s="17"/>
      <c r="E11323" s="7"/>
    </row>
    <row r="11324" spans="3:5">
      <c r="C11324" s="17"/>
      <c r="D11324" s="17"/>
      <c r="E11324" s="7"/>
    </row>
    <row r="11325" spans="3:5">
      <c r="C11325" s="17"/>
      <c r="D11325" s="17"/>
      <c r="E11325" s="7"/>
    </row>
    <row r="11326" spans="3:5">
      <c r="C11326" s="17"/>
      <c r="D11326" s="17"/>
      <c r="E11326" s="7"/>
    </row>
    <row r="11327" spans="3:5">
      <c r="C11327" s="17"/>
      <c r="D11327" s="17"/>
      <c r="E11327" s="7"/>
    </row>
    <row r="11328" spans="3:5">
      <c r="C11328" s="17"/>
      <c r="D11328" s="17"/>
      <c r="E11328" s="7"/>
    </row>
    <row r="11329" spans="3:5">
      <c r="C11329" s="17"/>
      <c r="D11329" s="17"/>
      <c r="E11329" s="7"/>
    </row>
    <row r="11330" spans="3:5">
      <c r="C11330" s="17"/>
      <c r="D11330" s="17"/>
      <c r="E11330" s="7"/>
    </row>
    <row r="11331" spans="3:5">
      <c r="C11331" s="17"/>
      <c r="D11331" s="17"/>
      <c r="E11331" s="7"/>
    </row>
    <row r="11332" spans="3:5">
      <c r="C11332" s="17"/>
      <c r="D11332" s="17"/>
      <c r="E11332" s="7"/>
    </row>
    <row r="11333" spans="3:5">
      <c r="C11333" s="17"/>
      <c r="D11333" s="17"/>
      <c r="E11333" s="7"/>
    </row>
    <row r="11334" spans="3:5">
      <c r="C11334" s="17"/>
      <c r="D11334" s="17"/>
      <c r="E11334" s="7"/>
    </row>
    <row r="11335" spans="3:5">
      <c r="C11335" s="17"/>
      <c r="D11335" s="17"/>
      <c r="E11335" s="7"/>
    </row>
    <row r="11336" spans="3:5">
      <c r="C11336" s="17"/>
      <c r="D11336" s="17"/>
      <c r="E11336" s="7"/>
    </row>
    <row r="11337" spans="3:5">
      <c r="C11337" s="17"/>
      <c r="D11337" s="17"/>
      <c r="E11337" s="7"/>
    </row>
    <row r="11338" spans="3:5">
      <c r="C11338" s="17"/>
      <c r="D11338" s="17"/>
      <c r="E11338" s="7"/>
    </row>
    <row r="11339" spans="3:5">
      <c r="C11339" s="17"/>
      <c r="D11339" s="17"/>
      <c r="E11339" s="7"/>
    </row>
    <row r="11340" spans="3:5">
      <c r="C11340" s="17"/>
      <c r="D11340" s="17"/>
      <c r="E11340" s="7"/>
    </row>
    <row r="11341" spans="3:5">
      <c r="C11341" s="17"/>
      <c r="D11341" s="17"/>
      <c r="E11341" s="7"/>
    </row>
    <row r="11342" spans="3:5">
      <c r="C11342" s="17"/>
      <c r="D11342" s="17"/>
      <c r="E11342" s="7"/>
    </row>
    <row r="11343" spans="3:5">
      <c r="C11343" s="17"/>
      <c r="D11343" s="17"/>
      <c r="E11343" s="7"/>
    </row>
    <row r="11344" spans="3:5">
      <c r="C11344" s="17"/>
      <c r="D11344" s="17"/>
      <c r="E11344" s="7"/>
    </row>
    <row r="11345" spans="3:5">
      <c r="C11345" s="17"/>
      <c r="D11345" s="17"/>
      <c r="E11345" s="7"/>
    </row>
    <row r="11346" spans="3:5">
      <c r="C11346" s="17"/>
      <c r="D11346" s="17"/>
      <c r="E11346" s="7"/>
    </row>
    <row r="11347" spans="3:5">
      <c r="C11347" s="17"/>
      <c r="D11347" s="17"/>
      <c r="E11347" s="7"/>
    </row>
    <row r="11348" spans="3:5">
      <c r="C11348" s="17"/>
      <c r="D11348" s="17"/>
      <c r="E11348" s="7"/>
    </row>
    <row r="11349" spans="3:5">
      <c r="C11349" s="17"/>
      <c r="D11349" s="17"/>
      <c r="E11349" s="7"/>
    </row>
    <row r="11350" spans="3:5">
      <c r="C11350" s="17"/>
      <c r="D11350" s="17"/>
      <c r="E11350" s="7"/>
    </row>
    <row r="11351" spans="3:5">
      <c r="C11351" s="17"/>
      <c r="D11351" s="17"/>
      <c r="E11351" s="7"/>
    </row>
    <row r="11352" spans="3:5">
      <c r="C11352" s="17"/>
      <c r="D11352" s="17"/>
      <c r="E11352" s="7"/>
    </row>
    <row r="11353" spans="3:5">
      <c r="C11353" s="17"/>
      <c r="D11353" s="17"/>
      <c r="E11353" s="7"/>
    </row>
    <row r="11354" spans="3:5">
      <c r="C11354" s="17"/>
      <c r="D11354" s="17"/>
      <c r="E11354" s="7"/>
    </row>
    <row r="11355" spans="3:5">
      <c r="C11355" s="17"/>
      <c r="D11355" s="17"/>
      <c r="E11355" s="7"/>
    </row>
    <row r="11356" spans="3:5">
      <c r="C11356" s="17"/>
      <c r="D11356" s="17"/>
      <c r="E11356" s="7"/>
    </row>
    <row r="11357" spans="3:5">
      <c r="C11357" s="17"/>
      <c r="D11357" s="17"/>
      <c r="E11357" s="7"/>
    </row>
    <row r="11358" spans="3:5">
      <c r="C11358" s="17"/>
      <c r="D11358" s="17"/>
      <c r="E11358" s="7"/>
    </row>
    <row r="11359" spans="3:5">
      <c r="C11359" s="17"/>
      <c r="D11359" s="17"/>
      <c r="E11359" s="7"/>
    </row>
    <row r="11360" spans="3:5">
      <c r="C11360" s="17"/>
      <c r="D11360" s="17"/>
      <c r="E11360" s="7"/>
    </row>
    <row r="11361" spans="3:5">
      <c r="C11361" s="17"/>
      <c r="D11361" s="17"/>
      <c r="E11361" s="7"/>
    </row>
    <row r="11362" spans="3:5">
      <c r="C11362" s="17"/>
      <c r="D11362" s="17"/>
      <c r="E11362" s="7"/>
    </row>
    <row r="11363" spans="3:5">
      <c r="C11363" s="17"/>
      <c r="D11363" s="17"/>
      <c r="E11363" s="7"/>
    </row>
    <row r="11364" spans="3:5">
      <c r="C11364" s="17"/>
      <c r="D11364" s="17"/>
      <c r="E11364" s="7"/>
    </row>
    <row r="11365" spans="3:5">
      <c r="C11365" s="17"/>
      <c r="D11365" s="17"/>
      <c r="E11365" s="7"/>
    </row>
    <row r="11366" spans="3:5">
      <c r="C11366" s="17"/>
      <c r="D11366" s="17"/>
      <c r="E11366" s="7"/>
    </row>
    <row r="11367" spans="3:5">
      <c r="C11367" s="17"/>
      <c r="D11367" s="17"/>
      <c r="E11367" s="7"/>
    </row>
    <row r="11368" spans="3:5">
      <c r="C11368" s="17"/>
      <c r="D11368" s="17"/>
      <c r="E11368" s="7"/>
    </row>
    <row r="11369" spans="3:5">
      <c r="C11369" s="17"/>
      <c r="D11369" s="17"/>
      <c r="E11369" s="7"/>
    </row>
    <row r="11370" spans="3:5">
      <c r="C11370" s="17"/>
      <c r="D11370" s="17"/>
      <c r="E11370" s="7"/>
    </row>
    <row r="11371" spans="3:5">
      <c r="C11371" s="17"/>
      <c r="D11371" s="17"/>
      <c r="E11371" s="7"/>
    </row>
    <row r="11372" spans="3:5">
      <c r="C11372" s="17"/>
      <c r="D11372" s="17"/>
      <c r="E11372" s="7"/>
    </row>
    <row r="11373" spans="3:5">
      <c r="C11373" s="17"/>
      <c r="D11373" s="17"/>
      <c r="E11373" s="7"/>
    </row>
    <row r="11374" spans="3:5">
      <c r="C11374" s="17"/>
      <c r="D11374" s="17"/>
      <c r="E11374" s="7"/>
    </row>
    <row r="11375" spans="3:5">
      <c r="C11375" s="17"/>
      <c r="D11375" s="17"/>
      <c r="E11375" s="7"/>
    </row>
    <row r="11376" spans="3:5">
      <c r="C11376" s="17"/>
      <c r="D11376" s="17"/>
      <c r="E11376" s="7"/>
    </row>
    <row r="11377" spans="3:5">
      <c r="C11377" s="17"/>
      <c r="D11377" s="17"/>
      <c r="E11377" s="7"/>
    </row>
    <row r="11378" spans="3:5">
      <c r="C11378" s="17"/>
      <c r="D11378" s="17"/>
      <c r="E11378" s="7"/>
    </row>
    <row r="11379" spans="3:5">
      <c r="C11379" s="17"/>
      <c r="D11379" s="17"/>
      <c r="E11379" s="7"/>
    </row>
    <row r="11380" spans="3:5">
      <c r="C11380" s="17"/>
      <c r="D11380" s="17"/>
      <c r="E11380" s="7"/>
    </row>
    <row r="11381" spans="3:5">
      <c r="C11381" s="17"/>
      <c r="D11381" s="17"/>
      <c r="E11381" s="7"/>
    </row>
    <row r="11382" spans="3:5">
      <c r="C11382" s="17"/>
      <c r="D11382" s="17"/>
      <c r="E11382" s="7"/>
    </row>
    <row r="11383" spans="3:5">
      <c r="C11383" s="17"/>
      <c r="D11383" s="17"/>
      <c r="E11383" s="7"/>
    </row>
    <row r="11384" spans="3:5">
      <c r="C11384" s="17"/>
      <c r="D11384" s="17"/>
      <c r="E11384" s="7"/>
    </row>
    <row r="11385" spans="3:5">
      <c r="C11385" s="17"/>
      <c r="D11385" s="17"/>
      <c r="E11385" s="7"/>
    </row>
    <row r="11386" spans="3:5">
      <c r="C11386" s="17"/>
      <c r="D11386" s="17"/>
      <c r="E11386" s="7"/>
    </row>
    <row r="11387" spans="3:5">
      <c r="C11387" s="17"/>
      <c r="D11387" s="17"/>
      <c r="E11387" s="7"/>
    </row>
    <row r="11388" spans="3:5">
      <c r="C11388" s="17"/>
      <c r="D11388" s="17"/>
      <c r="E11388" s="7"/>
    </row>
    <row r="11389" spans="3:5">
      <c r="C11389" s="17"/>
      <c r="D11389" s="17"/>
      <c r="E11389" s="7"/>
    </row>
    <row r="11390" spans="3:5">
      <c r="C11390" s="17"/>
      <c r="D11390" s="17"/>
      <c r="E11390" s="7"/>
    </row>
    <row r="11391" spans="3:5">
      <c r="C11391" s="17"/>
      <c r="D11391" s="17"/>
      <c r="E11391" s="7"/>
    </row>
    <row r="11392" spans="3:5">
      <c r="C11392" s="17"/>
      <c r="D11392" s="17"/>
      <c r="E11392" s="7"/>
    </row>
    <row r="11393" spans="3:5">
      <c r="C11393" s="17"/>
      <c r="D11393" s="17"/>
      <c r="E11393" s="7"/>
    </row>
    <row r="11394" spans="3:5">
      <c r="C11394" s="17"/>
      <c r="D11394" s="17"/>
      <c r="E11394" s="7"/>
    </row>
    <row r="11395" spans="3:5">
      <c r="C11395" s="17"/>
      <c r="D11395" s="17"/>
      <c r="E11395" s="7"/>
    </row>
    <row r="11396" spans="3:5">
      <c r="C11396" s="17"/>
      <c r="D11396" s="17"/>
      <c r="E11396" s="7"/>
    </row>
    <row r="11397" spans="3:5">
      <c r="C11397" s="17"/>
      <c r="D11397" s="17"/>
      <c r="E11397" s="7"/>
    </row>
    <row r="11398" spans="3:5">
      <c r="C11398" s="17"/>
      <c r="D11398" s="17"/>
      <c r="E11398" s="7"/>
    </row>
    <row r="11399" spans="3:5">
      <c r="C11399" s="17"/>
      <c r="D11399" s="17"/>
      <c r="E11399" s="7"/>
    </row>
    <row r="11400" spans="3:5">
      <c r="C11400" s="17"/>
      <c r="D11400" s="17"/>
      <c r="E11400" s="7"/>
    </row>
    <row r="11401" spans="3:5">
      <c r="C11401" s="17"/>
      <c r="D11401" s="17"/>
      <c r="E11401" s="7"/>
    </row>
    <row r="11402" spans="3:5">
      <c r="C11402" s="17"/>
      <c r="D11402" s="17"/>
      <c r="E11402" s="7"/>
    </row>
    <row r="11403" spans="3:5">
      <c r="C11403" s="17"/>
      <c r="D11403" s="17"/>
      <c r="E11403" s="7"/>
    </row>
    <row r="11404" spans="3:5">
      <c r="C11404" s="17"/>
      <c r="D11404" s="17"/>
      <c r="E11404" s="7"/>
    </row>
    <row r="11405" spans="3:5">
      <c r="C11405" s="17"/>
      <c r="D11405" s="17"/>
      <c r="E11405" s="7"/>
    </row>
    <row r="11406" spans="3:5">
      <c r="C11406" s="17"/>
      <c r="D11406" s="17"/>
      <c r="E11406" s="7"/>
    </row>
    <row r="11407" spans="3:5">
      <c r="C11407" s="17"/>
      <c r="D11407" s="17"/>
      <c r="E11407" s="7"/>
    </row>
    <row r="11408" spans="3:5">
      <c r="C11408" s="17"/>
      <c r="D11408" s="17"/>
      <c r="E11408" s="7"/>
    </row>
    <row r="11409" spans="3:5">
      <c r="C11409" s="17"/>
      <c r="D11409" s="17"/>
      <c r="E11409" s="7"/>
    </row>
    <row r="11410" spans="3:5">
      <c r="C11410" s="17"/>
      <c r="D11410" s="17"/>
      <c r="E11410" s="7"/>
    </row>
    <row r="11411" spans="3:5">
      <c r="C11411" s="17"/>
      <c r="D11411" s="17"/>
      <c r="E11411" s="7"/>
    </row>
    <row r="11412" spans="3:5">
      <c r="C11412" s="17"/>
      <c r="D11412" s="17"/>
      <c r="E11412" s="7"/>
    </row>
    <row r="11413" spans="3:5">
      <c r="C11413" s="17"/>
      <c r="D11413" s="17"/>
      <c r="E11413" s="7"/>
    </row>
    <row r="11414" spans="3:5">
      <c r="C11414" s="17"/>
      <c r="D11414" s="17"/>
      <c r="E11414" s="7"/>
    </row>
    <row r="11415" spans="3:5">
      <c r="C11415" s="17"/>
      <c r="D11415" s="17"/>
      <c r="E11415" s="7"/>
    </row>
    <row r="11416" spans="3:5">
      <c r="C11416" s="17"/>
      <c r="D11416" s="17"/>
      <c r="E11416" s="7"/>
    </row>
    <row r="11417" spans="3:5">
      <c r="C11417" s="17"/>
      <c r="D11417" s="17"/>
      <c r="E11417" s="7"/>
    </row>
    <row r="11418" spans="3:5">
      <c r="C11418" s="17"/>
      <c r="D11418" s="17"/>
      <c r="E11418" s="7"/>
    </row>
    <row r="11419" spans="3:5">
      <c r="C11419" s="17"/>
      <c r="D11419" s="17"/>
      <c r="E11419" s="7"/>
    </row>
    <row r="11420" spans="3:5">
      <c r="C11420" s="17"/>
      <c r="D11420" s="17"/>
      <c r="E11420" s="7"/>
    </row>
    <row r="11421" spans="3:5">
      <c r="C11421" s="17"/>
      <c r="D11421" s="17"/>
      <c r="E11421" s="7"/>
    </row>
    <row r="11422" spans="3:5">
      <c r="C11422" s="17"/>
      <c r="D11422" s="17"/>
      <c r="E11422" s="7"/>
    </row>
    <row r="11423" spans="3:5">
      <c r="C11423" s="17"/>
      <c r="D11423" s="17"/>
      <c r="E11423" s="7"/>
    </row>
    <row r="11424" spans="3:5">
      <c r="C11424" s="17"/>
      <c r="D11424" s="17"/>
      <c r="E11424" s="7"/>
    </row>
    <row r="11425" spans="3:5">
      <c r="C11425" s="17"/>
      <c r="D11425" s="17"/>
      <c r="E11425" s="7"/>
    </row>
    <row r="11426" spans="3:5">
      <c r="C11426" s="17"/>
      <c r="D11426" s="17"/>
      <c r="E11426" s="7"/>
    </row>
    <row r="11427" spans="3:5">
      <c r="C11427" s="17"/>
      <c r="D11427" s="17"/>
      <c r="E11427" s="7"/>
    </row>
    <row r="11428" spans="3:5">
      <c r="C11428" s="17"/>
      <c r="D11428" s="17"/>
      <c r="E11428" s="7"/>
    </row>
    <row r="11429" spans="3:5">
      <c r="C11429" s="17"/>
      <c r="D11429" s="17"/>
      <c r="E11429" s="7"/>
    </row>
    <row r="11430" spans="3:5">
      <c r="C11430" s="17"/>
      <c r="D11430" s="17"/>
      <c r="E11430" s="7"/>
    </row>
    <row r="11431" spans="3:5">
      <c r="C11431" s="17"/>
      <c r="D11431" s="17"/>
      <c r="E11431" s="7"/>
    </row>
    <row r="11432" spans="3:5">
      <c r="C11432" s="17"/>
      <c r="D11432" s="17"/>
      <c r="E11432" s="7"/>
    </row>
    <row r="11433" spans="3:5">
      <c r="C11433" s="17"/>
      <c r="D11433" s="17"/>
      <c r="E11433" s="7"/>
    </row>
    <row r="11434" spans="3:5">
      <c r="C11434" s="17"/>
      <c r="D11434" s="17"/>
      <c r="E11434" s="7"/>
    </row>
    <row r="11435" spans="3:5">
      <c r="C11435" s="17"/>
      <c r="D11435" s="17"/>
      <c r="E11435" s="7"/>
    </row>
    <row r="11436" spans="3:5">
      <c r="C11436" s="17"/>
      <c r="D11436" s="17"/>
      <c r="E11436" s="7"/>
    </row>
    <row r="11437" spans="3:5">
      <c r="C11437" s="17"/>
      <c r="D11437" s="17"/>
      <c r="E11437" s="7"/>
    </row>
    <row r="11438" spans="3:5">
      <c r="C11438" s="17"/>
      <c r="D11438" s="17"/>
      <c r="E11438" s="7"/>
    </row>
    <row r="11439" spans="3:5">
      <c r="C11439" s="17"/>
      <c r="D11439" s="17"/>
      <c r="E11439" s="7"/>
    </row>
    <row r="11440" spans="3:5">
      <c r="C11440" s="17"/>
      <c r="D11440" s="17"/>
      <c r="E11440" s="7"/>
    </row>
    <row r="11441" spans="3:5">
      <c r="C11441" s="17"/>
      <c r="D11441" s="17"/>
      <c r="E11441" s="7"/>
    </row>
    <row r="11442" spans="3:5">
      <c r="C11442" s="17"/>
      <c r="D11442" s="17"/>
      <c r="E11442" s="7"/>
    </row>
    <row r="11443" spans="3:5">
      <c r="C11443" s="17"/>
      <c r="D11443" s="17"/>
      <c r="E11443" s="7"/>
    </row>
    <row r="11444" spans="3:5">
      <c r="C11444" s="17"/>
      <c r="D11444" s="17"/>
      <c r="E11444" s="7"/>
    </row>
    <row r="11445" spans="3:5">
      <c r="C11445" s="17"/>
      <c r="D11445" s="17"/>
      <c r="E11445" s="7"/>
    </row>
    <row r="11446" spans="3:5">
      <c r="C11446" s="17"/>
      <c r="D11446" s="17"/>
      <c r="E11446" s="7"/>
    </row>
    <row r="11447" spans="3:5">
      <c r="C11447" s="17"/>
      <c r="D11447" s="17"/>
      <c r="E11447" s="7"/>
    </row>
    <row r="11448" spans="3:5">
      <c r="C11448" s="17"/>
      <c r="D11448" s="17"/>
      <c r="E11448" s="7"/>
    </row>
    <row r="11449" spans="3:5">
      <c r="C11449" s="17"/>
      <c r="D11449" s="17"/>
      <c r="E11449" s="7"/>
    </row>
    <row r="11450" spans="3:5">
      <c r="C11450" s="17"/>
      <c r="D11450" s="17"/>
      <c r="E11450" s="7"/>
    </row>
    <row r="11451" spans="3:5">
      <c r="C11451" s="17"/>
      <c r="D11451" s="17"/>
      <c r="E11451" s="7"/>
    </row>
    <row r="11452" spans="3:5">
      <c r="C11452" s="17"/>
      <c r="D11452" s="17"/>
      <c r="E11452" s="7"/>
    </row>
    <row r="11453" spans="3:5">
      <c r="C11453" s="17"/>
      <c r="D11453" s="17"/>
      <c r="E11453" s="7"/>
    </row>
    <row r="11454" spans="3:5">
      <c r="C11454" s="17"/>
      <c r="D11454" s="17"/>
      <c r="E11454" s="7"/>
    </row>
    <row r="11455" spans="3:5">
      <c r="C11455" s="17"/>
      <c r="D11455" s="17"/>
      <c r="E11455" s="7"/>
    </row>
    <row r="11456" spans="3:5">
      <c r="C11456" s="17"/>
      <c r="D11456" s="17"/>
      <c r="E11456" s="7"/>
    </row>
    <row r="11457" spans="3:5">
      <c r="C11457" s="17"/>
      <c r="D11457" s="17"/>
      <c r="E11457" s="7"/>
    </row>
    <row r="11458" spans="3:5">
      <c r="C11458" s="17"/>
      <c r="D11458" s="17"/>
      <c r="E11458" s="7"/>
    </row>
    <row r="11459" spans="3:5">
      <c r="C11459" s="17"/>
      <c r="D11459" s="17"/>
      <c r="E11459" s="7"/>
    </row>
    <row r="11460" spans="3:5">
      <c r="C11460" s="17"/>
      <c r="D11460" s="17"/>
      <c r="E11460" s="7"/>
    </row>
    <row r="11461" spans="3:5">
      <c r="C11461" s="17"/>
      <c r="D11461" s="17"/>
      <c r="E11461" s="7"/>
    </row>
    <row r="11462" spans="3:5">
      <c r="C11462" s="17"/>
      <c r="D11462" s="17"/>
      <c r="E11462" s="7"/>
    </row>
    <row r="11463" spans="3:5">
      <c r="C11463" s="17"/>
      <c r="D11463" s="17"/>
      <c r="E11463" s="7"/>
    </row>
    <row r="11464" spans="3:5">
      <c r="C11464" s="17"/>
      <c r="D11464" s="17"/>
      <c r="E11464" s="7"/>
    </row>
    <row r="11465" spans="3:5">
      <c r="C11465" s="17"/>
      <c r="D11465" s="17"/>
      <c r="E11465" s="7"/>
    </row>
    <row r="11466" spans="3:5">
      <c r="C11466" s="17"/>
      <c r="D11466" s="17"/>
      <c r="E11466" s="7"/>
    </row>
    <row r="11467" spans="3:5">
      <c r="C11467" s="17"/>
      <c r="D11467" s="17"/>
      <c r="E11467" s="7"/>
    </row>
    <row r="11468" spans="3:5">
      <c r="C11468" s="17"/>
      <c r="D11468" s="17"/>
      <c r="E11468" s="7"/>
    </row>
    <row r="11469" spans="3:5">
      <c r="C11469" s="17"/>
      <c r="D11469" s="17"/>
      <c r="E11469" s="7"/>
    </row>
    <row r="11470" spans="3:5">
      <c r="C11470" s="17"/>
      <c r="D11470" s="17"/>
      <c r="E11470" s="7"/>
    </row>
    <row r="11471" spans="3:5">
      <c r="C11471" s="17"/>
      <c r="D11471" s="17"/>
      <c r="E11471" s="7"/>
    </row>
    <row r="11472" spans="3:5">
      <c r="C11472" s="17"/>
      <c r="D11472" s="17"/>
      <c r="E11472" s="7"/>
    </row>
    <row r="11473" spans="3:5">
      <c r="C11473" s="17"/>
      <c r="D11473" s="17"/>
      <c r="E11473" s="7"/>
    </row>
    <row r="11474" spans="3:5">
      <c r="C11474" s="17"/>
      <c r="D11474" s="17"/>
      <c r="E11474" s="7"/>
    </row>
    <row r="11475" spans="3:5">
      <c r="C11475" s="17"/>
      <c r="D11475" s="17"/>
      <c r="E11475" s="7"/>
    </row>
    <row r="11476" spans="3:5">
      <c r="C11476" s="17"/>
      <c r="D11476" s="17"/>
      <c r="E11476" s="7"/>
    </row>
    <row r="11477" spans="3:5">
      <c r="C11477" s="17"/>
      <c r="D11477" s="17"/>
      <c r="E11477" s="7"/>
    </row>
    <row r="11478" spans="3:5">
      <c r="C11478" s="17"/>
      <c r="D11478" s="17"/>
      <c r="E11478" s="7"/>
    </row>
    <row r="11479" spans="3:5">
      <c r="C11479" s="17"/>
      <c r="D11479" s="17"/>
      <c r="E11479" s="7"/>
    </row>
    <row r="11480" spans="3:5">
      <c r="C11480" s="17"/>
      <c r="D11480" s="17"/>
      <c r="E11480" s="7"/>
    </row>
    <row r="11481" spans="3:5">
      <c r="C11481" s="17"/>
      <c r="D11481" s="17"/>
      <c r="E11481" s="7"/>
    </row>
    <row r="11482" spans="3:5">
      <c r="C11482" s="17"/>
      <c r="D11482" s="17"/>
      <c r="E11482" s="7"/>
    </row>
    <row r="11483" spans="3:5">
      <c r="C11483" s="17"/>
      <c r="D11483" s="17"/>
      <c r="E11483" s="7"/>
    </row>
    <row r="11484" spans="3:5">
      <c r="C11484" s="17"/>
      <c r="D11484" s="17"/>
      <c r="E11484" s="7"/>
    </row>
    <row r="11485" spans="3:5">
      <c r="C11485" s="17"/>
      <c r="D11485" s="17"/>
      <c r="E11485" s="7"/>
    </row>
    <row r="11486" spans="3:5">
      <c r="C11486" s="17"/>
      <c r="D11486" s="17"/>
      <c r="E11486" s="7"/>
    </row>
    <row r="11487" spans="3:5">
      <c r="C11487" s="17"/>
      <c r="D11487" s="17"/>
      <c r="E11487" s="7"/>
    </row>
    <row r="11488" spans="3:5">
      <c r="C11488" s="17"/>
      <c r="D11488" s="17"/>
      <c r="E11488" s="7"/>
    </row>
    <row r="11489" spans="3:5">
      <c r="C11489" s="17"/>
      <c r="D11489" s="17"/>
      <c r="E11489" s="7"/>
    </row>
    <row r="11490" spans="3:5">
      <c r="C11490" s="17"/>
      <c r="D11490" s="17"/>
      <c r="E11490" s="7"/>
    </row>
    <row r="11491" spans="3:5">
      <c r="C11491" s="17"/>
      <c r="D11491" s="17"/>
      <c r="E11491" s="7"/>
    </row>
    <row r="11492" spans="3:5">
      <c r="C11492" s="17"/>
      <c r="D11492" s="17"/>
      <c r="E11492" s="7"/>
    </row>
    <row r="11493" spans="3:5">
      <c r="C11493" s="17"/>
      <c r="D11493" s="17"/>
      <c r="E11493" s="7"/>
    </row>
    <row r="11494" spans="3:5">
      <c r="C11494" s="17"/>
      <c r="D11494" s="17"/>
      <c r="E11494" s="7"/>
    </row>
    <row r="11495" spans="3:5">
      <c r="C11495" s="17"/>
      <c r="D11495" s="17"/>
      <c r="E11495" s="7"/>
    </row>
    <row r="11496" spans="3:5">
      <c r="C11496" s="17"/>
      <c r="D11496" s="17"/>
      <c r="E11496" s="7"/>
    </row>
    <row r="11497" spans="3:5">
      <c r="C11497" s="17"/>
      <c r="D11497" s="17"/>
      <c r="E11497" s="7"/>
    </row>
    <row r="11498" spans="3:5">
      <c r="C11498" s="17"/>
      <c r="D11498" s="17"/>
      <c r="E11498" s="7"/>
    </row>
    <row r="11499" spans="3:5">
      <c r="C11499" s="17"/>
      <c r="D11499" s="17"/>
      <c r="E11499" s="7"/>
    </row>
    <row r="11500" spans="3:5">
      <c r="C11500" s="17"/>
      <c r="D11500" s="17"/>
      <c r="E11500" s="7"/>
    </row>
    <row r="11501" spans="3:5">
      <c r="C11501" s="17"/>
      <c r="D11501" s="17"/>
      <c r="E11501" s="7"/>
    </row>
    <row r="11502" spans="3:5">
      <c r="C11502" s="17"/>
      <c r="D11502" s="17"/>
      <c r="E11502" s="7"/>
    </row>
    <row r="11503" spans="3:5">
      <c r="C11503" s="17"/>
      <c r="D11503" s="17"/>
      <c r="E11503" s="7"/>
    </row>
    <row r="11504" spans="3:5">
      <c r="C11504" s="17"/>
      <c r="D11504" s="17"/>
      <c r="E11504" s="7"/>
    </row>
    <row r="11505" spans="3:5">
      <c r="C11505" s="17"/>
      <c r="D11505" s="17"/>
      <c r="E11505" s="7"/>
    </row>
    <row r="11506" spans="3:5">
      <c r="C11506" s="17"/>
      <c r="D11506" s="17"/>
      <c r="E11506" s="7"/>
    </row>
    <row r="11507" spans="3:5">
      <c r="C11507" s="17"/>
      <c r="D11507" s="17"/>
      <c r="E11507" s="7"/>
    </row>
    <row r="11508" spans="3:5">
      <c r="C11508" s="17"/>
      <c r="D11508" s="17"/>
      <c r="E11508" s="7"/>
    </row>
    <row r="11509" spans="3:5">
      <c r="C11509" s="17"/>
      <c r="D11509" s="17"/>
      <c r="E11509" s="7"/>
    </row>
    <row r="11510" spans="3:5">
      <c r="C11510" s="17"/>
      <c r="D11510" s="17"/>
      <c r="E11510" s="7"/>
    </row>
    <row r="11511" spans="3:5">
      <c r="C11511" s="17"/>
      <c r="D11511" s="17"/>
      <c r="E11511" s="7"/>
    </row>
    <row r="11512" spans="3:5">
      <c r="C11512" s="17"/>
      <c r="D11512" s="17"/>
      <c r="E11512" s="7"/>
    </row>
    <row r="11513" spans="3:5">
      <c r="C11513" s="17"/>
      <c r="D11513" s="17"/>
      <c r="E11513" s="7"/>
    </row>
    <row r="11514" spans="3:5">
      <c r="C11514" s="17"/>
      <c r="D11514" s="17"/>
      <c r="E11514" s="7"/>
    </row>
    <row r="11515" spans="3:5">
      <c r="C11515" s="17"/>
      <c r="D11515" s="17"/>
      <c r="E11515" s="7"/>
    </row>
    <row r="11516" spans="3:5">
      <c r="C11516" s="17"/>
      <c r="D11516" s="17"/>
      <c r="E11516" s="7"/>
    </row>
    <row r="11517" spans="3:5">
      <c r="C11517" s="17"/>
      <c r="D11517" s="17"/>
      <c r="E11517" s="7"/>
    </row>
    <row r="11518" spans="3:5">
      <c r="C11518" s="17"/>
      <c r="D11518" s="17"/>
      <c r="E11518" s="7"/>
    </row>
    <row r="11519" spans="3:5">
      <c r="C11519" s="17"/>
      <c r="D11519" s="17"/>
      <c r="E11519" s="7"/>
    </row>
    <row r="11520" spans="3:5">
      <c r="C11520" s="17"/>
      <c r="D11520" s="17"/>
      <c r="E11520" s="7"/>
    </row>
    <row r="11521" spans="3:5">
      <c r="C11521" s="17"/>
      <c r="D11521" s="17"/>
      <c r="E11521" s="7"/>
    </row>
    <row r="11522" spans="3:5">
      <c r="C11522" s="17"/>
      <c r="D11522" s="17"/>
      <c r="E11522" s="7"/>
    </row>
    <row r="11523" spans="3:5">
      <c r="C11523" s="17"/>
      <c r="D11523" s="17"/>
      <c r="E11523" s="7"/>
    </row>
    <row r="11524" spans="3:5">
      <c r="C11524" s="17"/>
      <c r="D11524" s="17"/>
      <c r="E11524" s="7"/>
    </row>
    <row r="11525" spans="3:5">
      <c r="C11525" s="17"/>
      <c r="D11525" s="17"/>
      <c r="E11525" s="7"/>
    </row>
    <row r="11526" spans="3:5">
      <c r="C11526" s="17"/>
      <c r="D11526" s="17"/>
      <c r="E11526" s="7"/>
    </row>
    <row r="11527" spans="3:5">
      <c r="C11527" s="17"/>
      <c r="D11527" s="17"/>
      <c r="E11527" s="7"/>
    </row>
    <row r="11528" spans="3:5">
      <c r="C11528" s="17"/>
      <c r="D11528" s="17"/>
      <c r="E11528" s="7"/>
    </row>
    <row r="11529" spans="3:5">
      <c r="C11529" s="17"/>
      <c r="D11529" s="17"/>
      <c r="E11529" s="7"/>
    </row>
    <row r="11530" spans="3:5">
      <c r="C11530" s="17"/>
      <c r="D11530" s="17"/>
      <c r="E11530" s="7"/>
    </row>
    <row r="11531" spans="3:5">
      <c r="C11531" s="17"/>
      <c r="D11531" s="17"/>
      <c r="E11531" s="7"/>
    </row>
    <row r="11532" spans="3:5">
      <c r="C11532" s="17"/>
      <c r="D11532" s="17"/>
      <c r="E11532" s="7"/>
    </row>
    <row r="11533" spans="3:5">
      <c r="C11533" s="17"/>
      <c r="D11533" s="17"/>
      <c r="E11533" s="7"/>
    </row>
    <row r="11534" spans="3:5">
      <c r="C11534" s="17"/>
      <c r="D11534" s="17"/>
      <c r="E11534" s="7"/>
    </row>
    <row r="11535" spans="3:5">
      <c r="C11535" s="17"/>
      <c r="D11535" s="17"/>
      <c r="E11535" s="7"/>
    </row>
    <row r="11536" spans="3:5">
      <c r="C11536" s="17"/>
      <c r="D11536" s="17"/>
      <c r="E11536" s="7"/>
    </row>
    <row r="11537" spans="3:5">
      <c r="C11537" s="17"/>
      <c r="D11537" s="17"/>
      <c r="E11537" s="7"/>
    </row>
    <row r="11538" spans="3:5">
      <c r="C11538" s="17"/>
      <c r="D11538" s="17"/>
      <c r="E11538" s="7"/>
    </row>
    <row r="11539" spans="3:5">
      <c r="C11539" s="17"/>
      <c r="D11539" s="17"/>
      <c r="E11539" s="7"/>
    </row>
    <row r="11540" spans="3:5">
      <c r="C11540" s="17"/>
      <c r="D11540" s="17"/>
      <c r="E11540" s="7"/>
    </row>
    <row r="11541" spans="3:5">
      <c r="C11541" s="17"/>
      <c r="D11541" s="17"/>
      <c r="E11541" s="7"/>
    </row>
    <row r="11542" spans="3:5">
      <c r="C11542" s="17"/>
      <c r="D11542" s="17"/>
      <c r="E11542" s="7"/>
    </row>
    <row r="11543" spans="3:5">
      <c r="C11543" s="17"/>
      <c r="D11543" s="17"/>
      <c r="E11543" s="7"/>
    </row>
    <row r="11544" spans="3:5">
      <c r="C11544" s="17"/>
      <c r="D11544" s="17"/>
      <c r="E11544" s="7"/>
    </row>
    <row r="11545" spans="3:5">
      <c r="C11545" s="17"/>
      <c r="D11545" s="17"/>
      <c r="E11545" s="7"/>
    </row>
    <row r="11546" spans="3:5">
      <c r="C11546" s="17"/>
      <c r="D11546" s="17"/>
      <c r="E11546" s="7"/>
    </row>
    <row r="11547" spans="3:5">
      <c r="C11547" s="17"/>
      <c r="D11547" s="17"/>
      <c r="E11547" s="7"/>
    </row>
    <row r="11548" spans="3:5">
      <c r="C11548" s="17"/>
      <c r="D11548" s="17"/>
      <c r="E11548" s="7"/>
    </row>
    <row r="11549" spans="3:5">
      <c r="C11549" s="17"/>
      <c r="D11549" s="17"/>
      <c r="E11549" s="7"/>
    </row>
    <row r="11550" spans="3:5">
      <c r="C11550" s="17"/>
      <c r="D11550" s="17"/>
      <c r="E11550" s="7"/>
    </row>
    <row r="11551" spans="3:5">
      <c r="C11551" s="17"/>
      <c r="D11551" s="17"/>
      <c r="E11551" s="7"/>
    </row>
    <row r="11552" spans="3:5">
      <c r="C11552" s="17"/>
      <c r="D11552" s="17"/>
      <c r="E11552" s="7"/>
    </row>
    <row r="11553" spans="3:5">
      <c r="C11553" s="17"/>
      <c r="D11553" s="17"/>
      <c r="E11553" s="7"/>
    </row>
    <row r="11554" spans="3:5">
      <c r="C11554" s="17"/>
      <c r="D11554" s="17"/>
      <c r="E11554" s="7"/>
    </row>
    <row r="11555" spans="3:5">
      <c r="C11555" s="17"/>
      <c r="D11555" s="17"/>
      <c r="E11555" s="7"/>
    </row>
    <row r="11556" spans="3:5">
      <c r="C11556" s="17"/>
      <c r="D11556" s="17"/>
      <c r="E11556" s="7"/>
    </row>
    <row r="11557" spans="3:5">
      <c r="C11557" s="17"/>
      <c r="D11557" s="17"/>
      <c r="E11557" s="7"/>
    </row>
    <row r="11558" spans="3:5">
      <c r="C11558" s="17"/>
      <c r="D11558" s="17"/>
      <c r="E11558" s="7"/>
    </row>
    <row r="11559" spans="3:5">
      <c r="C11559" s="17"/>
      <c r="D11559" s="17"/>
      <c r="E11559" s="7"/>
    </row>
    <row r="11560" spans="3:5">
      <c r="C11560" s="17"/>
      <c r="D11560" s="17"/>
      <c r="E11560" s="7"/>
    </row>
    <row r="11561" spans="3:5">
      <c r="C11561" s="17"/>
      <c r="D11561" s="17"/>
      <c r="E11561" s="7"/>
    </row>
    <row r="11562" spans="3:5">
      <c r="C11562" s="17"/>
      <c r="D11562" s="17"/>
      <c r="E11562" s="7"/>
    </row>
    <row r="11563" spans="3:5">
      <c r="C11563" s="17"/>
      <c r="D11563" s="17"/>
      <c r="E11563" s="7"/>
    </row>
    <row r="11564" spans="3:5">
      <c r="C11564" s="17"/>
      <c r="D11564" s="17"/>
      <c r="E11564" s="7"/>
    </row>
    <row r="11565" spans="3:5">
      <c r="C11565" s="17"/>
      <c r="D11565" s="17"/>
      <c r="E11565" s="7"/>
    </row>
    <row r="11566" spans="3:5">
      <c r="C11566" s="17"/>
      <c r="D11566" s="17"/>
      <c r="E11566" s="7"/>
    </row>
    <row r="11567" spans="3:5">
      <c r="C11567" s="17"/>
      <c r="D11567" s="17"/>
      <c r="E11567" s="7"/>
    </row>
    <row r="11568" spans="3:5">
      <c r="C11568" s="17"/>
      <c r="D11568" s="17"/>
      <c r="E11568" s="7"/>
    </row>
    <row r="11569" spans="3:5">
      <c r="C11569" s="17"/>
      <c r="D11569" s="17"/>
      <c r="E11569" s="7"/>
    </row>
    <row r="11570" spans="3:5">
      <c r="C11570" s="17"/>
      <c r="D11570" s="17"/>
      <c r="E11570" s="7"/>
    </row>
    <row r="11571" spans="3:5">
      <c r="C11571" s="17"/>
      <c r="D11571" s="17"/>
      <c r="E11571" s="7"/>
    </row>
    <row r="11572" spans="3:5">
      <c r="C11572" s="17"/>
      <c r="D11572" s="17"/>
      <c r="E11572" s="7"/>
    </row>
    <row r="11573" spans="3:5">
      <c r="C11573" s="17"/>
      <c r="D11573" s="17"/>
      <c r="E11573" s="7"/>
    </row>
    <row r="11574" spans="3:5">
      <c r="C11574" s="17"/>
      <c r="D11574" s="17"/>
      <c r="E11574" s="7"/>
    </row>
    <row r="11575" spans="3:5">
      <c r="C11575" s="17"/>
      <c r="D11575" s="17"/>
      <c r="E11575" s="7"/>
    </row>
    <row r="11576" spans="3:5">
      <c r="C11576" s="17"/>
      <c r="D11576" s="17"/>
      <c r="E11576" s="7"/>
    </row>
    <row r="11577" spans="3:5">
      <c r="C11577" s="17"/>
      <c r="D11577" s="17"/>
      <c r="E11577" s="7"/>
    </row>
    <row r="11578" spans="3:5">
      <c r="C11578" s="17"/>
      <c r="D11578" s="17"/>
      <c r="E11578" s="7"/>
    </row>
    <row r="11579" spans="3:5">
      <c r="C11579" s="17"/>
      <c r="D11579" s="17"/>
      <c r="E11579" s="7"/>
    </row>
    <row r="11580" spans="3:5">
      <c r="C11580" s="17"/>
      <c r="D11580" s="17"/>
      <c r="E11580" s="7"/>
    </row>
    <row r="11581" spans="3:5">
      <c r="C11581" s="17"/>
      <c r="D11581" s="17"/>
      <c r="E11581" s="7"/>
    </row>
    <row r="11582" spans="3:5">
      <c r="C11582" s="17"/>
      <c r="D11582" s="17"/>
      <c r="E11582" s="7"/>
    </row>
    <row r="11583" spans="3:5">
      <c r="C11583" s="17"/>
      <c r="D11583" s="17"/>
      <c r="E11583" s="7"/>
    </row>
    <row r="11584" spans="3:5">
      <c r="C11584" s="17"/>
      <c r="D11584" s="17"/>
      <c r="E11584" s="7"/>
    </row>
    <row r="11585" spans="3:5">
      <c r="C11585" s="17"/>
      <c r="D11585" s="17"/>
      <c r="E11585" s="7"/>
    </row>
    <row r="11586" spans="3:5">
      <c r="C11586" s="17"/>
      <c r="D11586" s="17"/>
      <c r="E11586" s="7"/>
    </row>
    <row r="11587" spans="3:5">
      <c r="C11587" s="17"/>
      <c r="D11587" s="17"/>
      <c r="E11587" s="7"/>
    </row>
    <row r="11588" spans="3:5">
      <c r="C11588" s="17"/>
      <c r="D11588" s="17"/>
      <c r="E11588" s="7"/>
    </row>
    <row r="11589" spans="3:5">
      <c r="C11589" s="17"/>
      <c r="D11589" s="17"/>
      <c r="E11589" s="7"/>
    </row>
    <row r="11590" spans="3:5">
      <c r="C11590" s="17"/>
      <c r="D11590" s="17"/>
      <c r="E11590" s="7"/>
    </row>
    <row r="11591" spans="3:5">
      <c r="C11591" s="17"/>
      <c r="D11591" s="17"/>
      <c r="E11591" s="7"/>
    </row>
    <row r="11592" spans="3:5">
      <c r="C11592" s="17"/>
      <c r="D11592" s="17"/>
      <c r="E11592" s="7"/>
    </row>
    <row r="11593" spans="3:5">
      <c r="C11593" s="17"/>
      <c r="D11593" s="17"/>
      <c r="E11593" s="7"/>
    </row>
    <row r="11594" spans="3:5">
      <c r="C11594" s="17"/>
      <c r="D11594" s="17"/>
      <c r="E11594" s="7"/>
    </row>
    <row r="11595" spans="3:5">
      <c r="C11595" s="17"/>
      <c r="D11595" s="17"/>
      <c r="E11595" s="7"/>
    </row>
    <row r="11596" spans="3:5">
      <c r="C11596" s="17"/>
      <c r="D11596" s="17"/>
      <c r="E11596" s="7"/>
    </row>
    <row r="11597" spans="3:5">
      <c r="C11597" s="17"/>
      <c r="D11597" s="17"/>
      <c r="E11597" s="7"/>
    </row>
    <row r="11598" spans="3:5">
      <c r="C11598" s="17"/>
      <c r="D11598" s="17"/>
      <c r="E11598" s="7"/>
    </row>
    <row r="11599" spans="3:5">
      <c r="C11599" s="17"/>
      <c r="D11599" s="17"/>
      <c r="E11599" s="7"/>
    </row>
    <row r="11600" spans="3:5">
      <c r="C11600" s="17"/>
      <c r="D11600" s="17"/>
      <c r="E11600" s="7"/>
    </row>
    <row r="11601" spans="3:5">
      <c r="C11601" s="17"/>
      <c r="D11601" s="17"/>
      <c r="E11601" s="7"/>
    </row>
    <row r="11602" spans="3:5">
      <c r="C11602" s="17"/>
      <c r="D11602" s="17"/>
      <c r="E11602" s="7"/>
    </row>
    <row r="11603" spans="3:5">
      <c r="C11603" s="17"/>
      <c r="D11603" s="17"/>
      <c r="E11603" s="7"/>
    </row>
    <row r="11604" spans="3:5">
      <c r="C11604" s="17"/>
      <c r="D11604" s="17"/>
      <c r="E11604" s="7"/>
    </row>
    <row r="11605" spans="3:5">
      <c r="C11605" s="17"/>
      <c r="D11605" s="17"/>
      <c r="E11605" s="7"/>
    </row>
    <row r="11606" spans="3:5">
      <c r="C11606" s="17"/>
      <c r="D11606" s="17"/>
      <c r="E11606" s="7"/>
    </row>
    <row r="11607" spans="3:5">
      <c r="C11607" s="17"/>
      <c r="D11607" s="17"/>
      <c r="E11607" s="7"/>
    </row>
    <row r="11608" spans="3:5">
      <c r="C11608" s="17"/>
      <c r="D11608" s="17"/>
      <c r="E11608" s="7"/>
    </row>
    <row r="11609" spans="3:5">
      <c r="C11609" s="17"/>
      <c r="D11609" s="17"/>
      <c r="E11609" s="7"/>
    </row>
    <row r="11610" spans="3:5">
      <c r="C11610" s="17"/>
      <c r="D11610" s="17"/>
      <c r="E11610" s="7"/>
    </row>
    <row r="11611" spans="3:5">
      <c r="C11611" s="17"/>
      <c r="D11611" s="17"/>
      <c r="E11611" s="7"/>
    </row>
    <row r="11612" spans="3:5">
      <c r="C11612" s="17"/>
      <c r="D11612" s="17"/>
      <c r="E11612" s="7"/>
    </row>
    <row r="11613" spans="3:5">
      <c r="C11613" s="17"/>
      <c r="D11613" s="17"/>
      <c r="E11613" s="7"/>
    </row>
    <row r="11614" spans="3:5">
      <c r="C11614" s="17"/>
      <c r="D11614" s="17"/>
      <c r="E11614" s="7"/>
    </row>
    <row r="11615" spans="3:5">
      <c r="C11615" s="17"/>
      <c r="D11615" s="17"/>
      <c r="E11615" s="7"/>
    </row>
    <row r="11616" spans="3:5">
      <c r="C11616" s="17"/>
      <c r="D11616" s="17"/>
      <c r="E11616" s="7"/>
    </row>
    <row r="11617" spans="3:5">
      <c r="C11617" s="17"/>
      <c r="D11617" s="17"/>
      <c r="E11617" s="7"/>
    </row>
    <row r="11618" spans="3:5">
      <c r="C11618" s="17"/>
      <c r="D11618" s="17"/>
      <c r="E11618" s="7"/>
    </row>
    <row r="11619" spans="3:5">
      <c r="C11619" s="17"/>
      <c r="D11619" s="17"/>
      <c r="E11619" s="7"/>
    </row>
    <row r="11620" spans="3:5">
      <c r="C11620" s="17"/>
      <c r="D11620" s="17"/>
      <c r="E11620" s="7"/>
    </row>
    <row r="11621" spans="3:5">
      <c r="C11621" s="17"/>
      <c r="D11621" s="17"/>
      <c r="E11621" s="7"/>
    </row>
    <row r="11622" spans="3:5">
      <c r="C11622" s="17"/>
      <c r="D11622" s="17"/>
      <c r="E11622" s="7"/>
    </row>
    <row r="11623" spans="3:5">
      <c r="C11623" s="17"/>
      <c r="D11623" s="17"/>
      <c r="E11623" s="7"/>
    </row>
    <row r="11624" spans="3:5">
      <c r="C11624" s="17"/>
      <c r="D11624" s="17"/>
      <c r="E11624" s="7"/>
    </row>
    <row r="11625" spans="3:5">
      <c r="C11625" s="17"/>
      <c r="D11625" s="17"/>
      <c r="E11625" s="7"/>
    </row>
    <row r="11626" spans="3:5">
      <c r="C11626" s="17"/>
      <c r="D11626" s="17"/>
      <c r="E11626" s="7"/>
    </row>
    <row r="11627" spans="3:5">
      <c r="C11627" s="17"/>
      <c r="D11627" s="17"/>
      <c r="E11627" s="7"/>
    </row>
    <row r="11628" spans="3:5">
      <c r="C11628" s="17"/>
      <c r="D11628" s="17"/>
      <c r="E11628" s="7"/>
    </row>
    <row r="11629" spans="3:5">
      <c r="C11629" s="17"/>
      <c r="D11629" s="17"/>
      <c r="E11629" s="7"/>
    </row>
    <row r="11630" spans="3:5">
      <c r="C11630" s="17"/>
      <c r="D11630" s="17"/>
      <c r="E11630" s="7"/>
    </row>
    <row r="11631" spans="3:5">
      <c r="C11631" s="17"/>
      <c r="D11631" s="17"/>
      <c r="E11631" s="7"/>
    </row>
    <row r="11632" spans="3:5">
      <c r="C11632" s="17"/>
      <c r="D11632" s="17"/>
      <c r="E11632" s="7"/>
    </row>
    <row r="11633" spans="3:5">
      <c r="C11633" s="17"/>
      <c r="D11633" s="17"/>
      <c r="E11633" s="7"/>
    </row>
    <row r="11634" spans="3:5">
      <c r="C11634" s="17"/>
      <c r="D11634" s="17"/>
      <c r="E11634" s="7"/>
    </row>
    <row r="11635" spans="3:5">
      <c r="C11635" s="17"/>
      <c r="D11635" s="17"/>
      <c r="E11635" s="7"/>
    </row>
    <row r="11636" spans="3:5">
      <c r="C11636" s="17"/>
      <c r="D11636" s="17"/>
      <c r="E11636" s="7"/>
    </row>
    <row r="11637" spans="3:5">
      <c r="C11637" s="17"/>
      <c r="D11637" s="17"/>
      <c r="E11637" s="7"/>
    </row>
    <row r="11638" spans="3:5">
      <c r="C11638" s="17"/>
      <c r="D11638" s="17"/>
      <c r="E11638" s="7"/>
    </row>
    <row r="11639" spans="3:5">
      <c r="C11639" s="17"/>
      <c r="D11639" s="17"/>
      <c r="E11639" s="7"/>
    </row>
    <row r="11640" spans="3:5">
      <c r="C11640" s="17"/>
      <c r="D11640" s="17"/>
      <c r="E11640" s="7"/>
    </row>
    <row r="11641" spans="3:5">
      <c r="C11641" s="17"/>
      <c r="D11641" s="17"/>
      <c r="E11641" s="7"/>
    </row>
    <row r="11642" spans="3:5">
      <c r="C11642" s="17"/>
      <c r="D11642" s="17"/>
      <c r="E11642" s="7"/>
    </row>
    <row r="11643" spans="3:5">
      <c r="C11643" s="17"/>
      <c r="D11643" s="17"/>
      <c r="E11643" s="7"/>
    </row>
    <row r="11644" spans="3:5">
      <c r="C11644" s="17"/>
      <c r="D11644" s="17"/>
      <c r="E11644" s="7"/>
    </row>
    <row r="11645" spans="3:5">
      <c r="C11645" s="17"/>
      <c r="D11645" s="17"/>
      <c r="E11645" s="7"/>
    </row>
    <row r="11646" spans="3:5">
      <c r="C11646" s="17"/>
      <c r="D11646" s="17"/>
      <c r="E11646" s="7"/>
    </row>
    <row r="11647" spans="3:5">
      <c r="C11647" s="17"/>
      <c r="D11647" s="17"/>
      <c r="E11647" s="7"/>
    </row>
    <row r="11648" spans="3:5">
      <c r="C11648" s="17"/>
      <c r="D11648" s="17"/>
      <c r="E11648" s="7"/>
    </row>
    <row r="11649" spans="3:5">
      <c r="C11649" s="17"/>
      <c r="D11649" s="17"/>
      <c r="E11649" s="7"/>
    </row>
    <row r="11650" spans="3:5">
      <c r="C11650" s="17"/>
      <c r="D11650" s="17"/>
      <c r="E11650" s="7"/>
    </row>
    <row r="11651" spans="3:5">
      <c r="C11651" s="17"/>
      <c r="D11651" s="17"/>
      <c r="E11651" s="7"/>
    </row>
    <row r="11652" spans="3:5">
      <c r="C11652" s="17"/>
      <c r="D11652" s="17"/>
      <c r="E11652" s="7"/>
    </row>
    <row r="11653" spans="3:5">
      <c r="C11653" s="17"/>
      <c r="D11653" s="17"/>
      <c r="E11653" s="7"/>
    </row>
    <row r="11654" spans="3:5">
      <c r="C11654" s="17"/>
      <c r="D11654" s="17"/>
      <c r="E11654" s="7"/>
    </row>
    <row r="11655" spans="3:5">
      <c r="C11655" s="17"/>
      <c r="D11655" s="17"/>
      <c r="E11655" s="7"/>
    </row>
    <row r="11656" spans="3:5">
      <c r="C11656" s="17"/>
      <c r="D11656" s="17"/>
      <c r="E11656" s="7"/>
    </row>
    <row r="11657" spans="3:5">
      <c r="C11657" s="17"/>
      <c r="D11657" s="17"/>
      <c r="E11657" s="7"/>
    </row>
    <row r="11658" spans="3:5">
      <c r="C11658" s="17"/>
      <c r="D11658" s="17"/>
      <c r="E11658" s="7"/>
    </row>
    <row r="11659" spans="3:5">
      <c r="C11659" s="17"/>
      <c r="D11659" s="17"/>
      <c r="E11659" s="7"/>
    </row>
    <row r="11660" spans="3:5">
      <c r="C11660" s="17"/>
      <c r="D11660" s="17"/>
      <c r="E11660" s="7"/>
    </row>
    <row r="11661" spans="3:5">
      <c r="C11661" s="17"/>
      <c r="D11661" s="17"/>
      <c r="E11661" s="7"/>
    </row>
    <row r="11662" spans="3:5">
      <c r="C11662" s="17"/>
      <c r="D11662" s="17"/>
      <c r="E11662" s="7"/>
    </row>
    <row r="11663" spans="3:5">
      <c r="C11663" s="17"/>
      <c r="D11663" s="17"/>
      <c r="E11663" s="7"/>
    </row>
    <row r="11664" spans="3:5">
      <c r="C11664" s="17"/>
      <c r="D11664" s="17"/>
      <c r="E11664" s="7"/>
    </row>
    <row r="11665" spans="3:5">
      <c r="C11665" s="17"/>
      <c r="D11665" s="17"/>
      <c r="E11665" s="7"/>
    </row>
    <row r="11666" spans="3:5">
      <c r="C11666" s="17"/>
      <c r="D11666" s="17"/>
      <c r="E11666" s="7"/>
    </row>
    <row r="11667" spans="3:5">
      <c r="C11667" s="17"/>
      <c r="D11667" s="17"/>
      <c r="E11667" s="7"/>
    </row>
    <row r="11668" spans="3:5">
      <c r="C11668" s="17"/>
      <c r="D11668" s="17"/>
      <c r="E11668" s="7"/>
    </row>
    <row r="11669" spans="3:5">
      <c r="C11669" s="17"/>
      <c r="D11669" s="17"/>
      <c r="E11669" s="7"/>
    </row>
    <row r="11670" spans="3:5">
      <c r="C11670" s="17"/>
      <c r="D11670" s="17"/>
      <c r="E11670" s="7"/>
    </row>
    <row r="11671" spans="3:5">
      <c r="C11671" s="17"/>
      <c r="D11671" s="17"/>
      <c r="E11671" s="7"/>
    </row>
    <row r="11672" spans="3:5">
      <c r="C11672" s="17"/>
      <c r="D11672" s="17"/>
      <c r="E11672" s="7"/>
    </row>
    <row r="11673" spans="3:5">
      <c r="C11673" s="17"/>
      <c r="D11673" s="17"/>
      <c r="E11673" s="7"/>
    </row>
    <row r="11674" spans="3:5">
      <c r="C11674" s="17"/>
      <c r="D11674" s="17"/>
      <c r="E11674" s="7"/>
    </row>
    <row r="11675" spans="3:5">
      <c r="C11675" s="17"/>
      <c r="D11675" s="17"/>
      <c r="E11675" s="7"/>
    </row>
    <row r="11676" spans="3:5">
      <c r="C11676" s="17"/>
      <c r="D11676" s="17"/>
      <c r="E11676" s="7"/>
    </row>
    <row r="11677" spans="3:5">
      <c r="C11677" s="17"/>
      <c r="D11677" s="17"/>
      <c r="E11677" s="7"/>
    </row>
    <row r="11678" spans="3:5">
      <c r="C11678" s="17"/>
      <c r="D11678" s="17"/>
      <c r="E11678" s="7"/>
    </row>
    <row r="11679" spans="3:5">
      <c r="C11679" s="17"/>
      <c r="D11679" s="17"/>
      <c r="E11679" s="7"/>
    </row>
    <row r="11680" spans="3:5">
      <c r="C11680" s="17"/>
      <c r="D11680" s="17"/>
      <c r="E11680" s="7"/>
    </row>
    <row r="11681" spans="3:5">
      <c r="C11681" s="17"/>
      <c r="D11681" s="17"/>
      <c r="E11681" s="7"/>
    </row>
    <row r="11682" spans="3:5">
      <c r="C11682" s="17"/>
      <c r="D11682" s="17"/>
      <c r="E11682" s="7"/>
    </row>
    <row r="11683" spans="3:5">
      <c r="C11683" s="17"/>
      <c r="D11683" s="17"/>
      <c r="E11683" s="7"/>
    </row>
    <row r="11684" spans="3:5">
      <c r="C11684" s="17"/>
      <c r="D11684" s="17"/>
      <c r="E11684" s="7"/>
    </row>
    <row r="11685" spans="3:5">
      <c r="C11685" s="17"/>
      <c r="D11685" s="17"/>
      <c r="E11685" s="7"/>
    </row>
    <row r="11686" spans="3:5">
      <c r="C11686" s="17"/>
      <c r="D11686" s="17"/>
      <c r="E11686" s="7"/>
    </row>
    <row r="11687" spans="3:5">
      <c r="C11687" s="17"/>
      <c r="D11687" s="17"/>
      <c r="E11687" s="7"/>
    </row>
    <row r="11688" spans="3:5">
      <c r="C11688" s="17"/>
      <c r="D11688" s="17"/>
      <c r="E11688" s="7"/>
    </row>
    <row r="11689" spans="3:5">
      <c r="C11689" s="17"/>
      <c r="D11689" s="17"/>
      <c r="E11689" s="7"/>
    </row>
    <row r="11690" spans="3:5">
      <c r="C11690" s="17"/>
      <c r="D11690" s="17"/>
      <c r="E11690" s="7"/>
    </row>
    <row r="11691" spans="3:5">
      <c r="C11691" s="17"/>
      <c r="D11691" s="17"/>
      <c r="E11691" s="7"/>
    </row>
    <row r="11692" spans="3:5">
      <c r="C11692" s="17"/>
      <c r="D11692" s="17"/>
      <c r="E11692" s="7"/>
    </row>
    <row r="11693" spans="3:5">
      <c r="C11693" s="17"/>
      <c r="D11693" s="17"/>
      <c r="E11693" s="7"/>
    </row>
    <row r="11694" spans="3:5">
      <c r="C11694" s="17"/>
      <c r="D11694" s="17"/>
      <c r="E11694" s="7"/>
    </row>
    <row r="11695" spans="3:5">
      <c r="C11695" s="17"/>
      <c r="D11695" s="17"/>
      <c r="E11695" s="7"/>
    </row>
    <row r="11696" spans="3:5">
      <c r="C11696" s="17"/>
      <c r="D11696" s="17"/>
      <c r="E11696" s="7"/>
    </row>
    <row r="11697" spans="3:5">
      <c r="C11697" s="17"/>
      <c r="D11697" s="17"/>
      <c r="E11697" s="7"/>
    </row>
    <row r="11698" spans="3:5">
      <c r="C11698" s="17"/>
      <c r="D11698" s="17"/>
      <c r="E11698" s="7"/>
    </row>
    <row r="11699" spans="3:5">
      <c r="C11699" s="17"/>
      <c r="D11699" s="17"/>
      <c r="E11699" s="7"/>
    </row>
    <row r="11700" spans="3:5">
      <c r="C11700" s="17"/>
      <c r="D11700" s="17"/>
      <c r="E11700" s="7"/>
    </row>
    <row r="11701" spans="3:5">
      <c r="C11701" s="17"/>
      <c r="D11701" s="17"/>
      <c r="E11701" s="7"/>
    </row>
    <row r="11702" spans="3:5">
      <c r="C11702" s="17"/>
      <c r="D11702" s="17"/>
      <c r="E11702" s="7"/>
    </row>
    <row r="11703" spans="3:5">
      <c r="C11703" s="17"/>
      <c r="D11703" s="17"/>
      <c r="E11703" s="7"/>
    </row>
    <row r="11704" spans="3:5">
      <c r="C11704" s="17"/>
      <c r="D11704" s="17"/>
      <c r="E11704" s="7"/>
    </row>
    <row r="11705" spans="3:5">
      <c r="C11705" s="17"/>
      <c r="D11705" s="17"/>
      <c r="E11705" s="7"/>
    </row>
    <row r="11706" spans="3:5">
      <c r="C11706" s="17"/>
      <c r="D11706" s="17"/>
      <c r="E11706" s="7"/>
    </row>
    <row r="11707" spans="3:5">
      <c r="C11707" s="17"/>
      <c r="D11707" s="17"/>
      <c r="E11707" s="7"/>
    </row>
    <row r="11708" spans="3:5">
      <c r="C11708" s="17"/>
      <c r="D11708" s="17"/>
      <c r="E11708" s="7"/>
    </row>
    <row r="11709" spans="3:5">
      <c r="C11709" s="17"/>
      <c r="D11709" s="17"/>
      <c r="E11709" s="7"/>
    </row>
    <row r="11710" spans="3:5">
      <c r="C11710" s="17"/>
      <c r="D11710" s="17"/>
      <c r="E11710" s="7"/>
    </row>
    <row r="11711" spans="3:5">
      <c r="C11711" s="17"/>
      <c r="D11711" s="17"/>
      <c r="E11711" s="7"/>
    </row>
    <row r="11712" spans="3:5">
      <c r="C11712" s="17"/>
      <c r="D11712" s="17"/>
      <c r="E11712" s="7"/>
    </row>
    <row r="11713" spans="3:5">
      <c r="C11713" s="17"/>
      <c r="D11713" s="17"/>
      <c r="E11713" s="7"/>
    </row>
    <row r="11714" spans="3:5">
      <c r="C11714" s="17"/>
      <c r="D11714" s="17"/>
      <c r="E11714" s="7"/>
    </row>
    <row r="11715" spans="3:5">
      <c r="C11715" s="17"/>
      <c r="D11715" s="17"/>
      <c r="E11715" s="7"/>
    </row>
    <row r="11716" spans="3:5">
      <c r="C11716" s="17"/>
      <c r="D11716" s="17"/>
      <c r="E11716" s="7"/>
    </row>
    <row r="11717" spans="3:5">
      <c r="C11717" s="17"/>
      <c r="D11717" s="17"/>
      <c r="E11717" s="7"/>
    </row>
    <row r="11718" spans="3:5">
      <c r="C11718" s="17"/>
      <c r="D11718" s="17"/>
      <c r="E11718" s="7"/>
    </row>
    <row r="11719" spans="3:5">
      <c r="C11719" s="17"/>
      <c r="D11719" s="17"/>
      <c r="E11719" s="7"/>
    </row>
    <row r="11720" spans="3:5">
      <c r="C11720" s="17"/>
      <c r="D11720" s="17"/>
      <c r="E11720" s="7"/>
    </row>
    <row r="11721" spans="3:5">
      <c r="C11721" s="17"/>
      <c r="D11721" s="17"/>
      <c r="E11721" s="7"/>
    </row>
    <row r="11722" spans="3:5">
      <c r="C11722" s="17"/>
      <c r="D11722" s="17"/>
      <c r="E11722" s="7"/>
    </row>
    <row r="11723" spans="3:5">
      <c r="C11723" s="17"/>
      <c r="D11723" s="17"/>
      <c r="E11723" s="7"/>
    </row>
    <row r="11724" spans="3:5">
      <c r="C11724" s="17"/>
      <c r="D11724" s="17"/>
      <c r="E11724" s="7"/>
    </row>
    <row r="11725" spans="3:5">
      <c r="C11725" s="17"/>
      <c r="D11725" s="17"/>
      <c r="E11725" s="7"/>
    </row>
    <row r="11726" spans="3:5">
      <c r="C11726" s="17"/>
      <c r="D11726" s="17"/>
      <c r="E11726" s="7"/>
    </row>
    <row r="11727" spans="3:5">
      <c r="C11727" s="17"/>
      <c r="D11727" s="17"/>
      <c r="E11727" s="7"/>
    </row>
    <row r="11728" spans="3:5">
      <c r="C11728" s="17"/>
      <c r="D11728" s="17"/>
      <c r="E11728" s="7"/>
    </row>
    <row r="11729" spans="3:5">
      <c r="C11729" s="17"/>
      <c r="D11729" s="17"/>
      <c r="E11729" s="7"/>
    </row>
    <row r="11730" spans="3:5">
      <c r="C11730" s="17"/>
      <c r="D11730" s="17"/>
      <c r="E11730" s="7"/>
    </row>
    <row r="11731" spans="3:5">
      <c r="C11731" s="17"/>
      <c r="D11731" s="17"/>
      <c r="E11731" s="7"/>
    </row>
    <row r="11732" spans="3:5">
      <c r="C11732" s="17"/>
      <c r="D11732" s="17"/>
      <c r="E11732" s="7"/>
    </row>
    <row r="11733" spans="3:5">
      <c r="C11733" s="17"/>
      <c r="D11733" s="17"/>
      <c r="E11733" s="7"/>
    </row>
    <row r="11734" spans="3:5">
      <c r="C11734" s="17"/>
      <c r="D11734" s="17"/>
      <c r="E11734" s="7"/>
    </row>
    <row r="11735" spans="3:5">
      <c r="C11735" s="17"/>
      <c r="D11735" s="17"/>
      <c r="E11735" s="7"/>
    </row>
    <row r="11736" spans="3:5">
      <c r="C11736" s="17"/>
      <c r="D11736" s="17"/>
      <c r="E11736" s="7"/>
    </row>
    <row r="11737" spans="3:5">
      <c r="C11737" s="17"/>
      <c r="D11737" s="17"/>
      <c r="E11737" s="7"/>
    </row>
    <row r="11738" spans="3:5">
      <c r="C11738" s="17"/>
      <c r="D11738" s="17"/>
      <c r="E11738" s="7"/>
    </row>
    <row r="11739" spans="3:5">
      <c r="C11739" s="17"/>
      <c r="D11739" s="17"/>
      <c r="E11739" s="7"/>
    </row>
    <row r="11740" spans="3:5">
      <c r="C11740" s="17"/>
      <c r="D11740" s="17"/>
      <c r="E11740" s="7"/>
    </row>
    <row r="11741" spans="3:5">
      <c r="C11741" s="17"/>
      <c r="D11741" s="17"/>
      <c r="E11741" s="7"/>
    </row>
    <row r="11742" spans="3:5">
      <c r="C11742" s="17"/>
      <c r="D11742" s="17"/>
      <c r="E11742" s="7"/>
    </row>
    <row r="11743" spans="3:5">
      <c r="C11743" s="17"/>
      <c r="D11743" s="17"/>
      <c r="E11743" s="7"/>
    </row>
    <row r="11744" spans="3:5">
      <c r="C11744" s="17"/>
      <c r="D11744" s="17"/>
      <c r="E11744" s="7"/>
    </row>
    <row r="11745" spans="3:5">
      <c r="C11745" s="17"/>
      <c r="D11745" s="17"/>
      <c r="E11745" s="7"/>
    </row>
    <row r="11746" spans="3:5">
      <c r="C11746" s="17"/>
      <c r="D11746" s="17"/>
      <c r="E11746" s="7"/>
    </row>
    <row r="11747" spans="3:5">
      <c r="C11747" s="17"/>
      <c r="D11747" s="17"/>
      <c r="E11747" s="7"/>
    </row>
    <row r="11748" spans="3:5">
      <c r="C11748" s="17"/>
      <c r="D11748" s="17"/>
      <c r="E11748" s="7"/>
    </row>
    <row r="11749" spans="3:5">
      <c r="C11749" s="17"/>
      <c r="D11749" s="17"/>
      <c r="E11749" s="7"/>
    </row>
    <row r="11750" spans="3:5">
      <c r="C11750" s="17"/>
      <c r="D11750" s="17"/>
      <c r="E11750" s="7"/>
    </row>
    <row r="11751" spans="3:5">
      <c r="C11751" s="17"/>
      <c r="D11751" s="17"/>
      <c r="E11751" s="7"/>
    </row>
    <row r="11752" spans="3:5">
      <c r="C11752" s="17"/>
      <c r="D11752" s="17"/>
      <c r="E11752" s="7"/>
    </row>
    <row r="11753" spans="3:5">
      <c r="C11753" s="17"/>
      <c r="D11753" s="17"/>
      <c r="E11753" s="7"/>
    </row>
    <row r="11754" spans="3:5">
      <c r="C11754" s="17"/>
      <c r="D11754" s="17"/>
      <c r="E11754" s="7"/>
    </row>
    <row r="11755" spans="3:5">
      <c r="C11755" s="17"/>
      <c r="D11755" s="17"/>
      <c r="E11755" s="7"/>
    </row>
    <row r="11756" spans="3:5">
      <c r="C11756" s="17"/>
      <c r="D11756" s="17"/>
      <c r="E11756" s="7"/>
    </row>
    <row r="11757" spans="3:5">
      <c r="C11757" s="17"/>
      <c r="D11757" s="17"/>
      <c r="E11757" s="7"/>
    </row>
    <row r="11758" spans="3:5">
      <c r="C11758" s="17"/>
      <c r="D11758" s="17"/>
      <c r="E11758" s="7"/>
    </row>
    <row r="11759" spans="3:5">
      <c r="C11759" s="17"/>
      <c r="D11759" s="17"/>
      <c r="E11759" s="7"/>
    </row>
    <row r="11760" spans="3:5">
      <c r="C11760" s="17"/>
      <c r="D11760" s="17"/>
      <c r="E11760" s="7"/>
    </row>
    <row r="11761" spans="3:5">
      <c r="C11761" s="17"/>
      <c r="D11761" s="17"/>
      <c r="E11761" s="7"/>
    </row>
    <row r="11762" spans="3:5">
      <c r="C11762" s="17"/>
      <c r="D11762" s="17"/>
      <c r="E11762" s="7"/>
    </row>
    <row r="11763" spans="3:5">
      <c r="C11763" s="17"/>
      <c r="D11763" s="17"/>
      <c r="E11763" s="7"/>
    </row>
    <row r="11764" spans="3:5">
      <c r="C11764" s="17"/>
      <c r="D11764" s="17"/>
      <c r="E11764" s="7"/>
    </row>
    <row r="11765" spans="3:5">
      <c r="C11765" s="17"/>
      <c r="D11765" s="17"/>
      <c r="E11765" s="7"/>
    </row>
    <row r="11766" spans="3:5">
      <c r="C11766" s="17"/>
      <c r="D11766" s="17"/>
      <c r="E11766" s="7"/>
    </row>
    <row r="11767" spans="3:5">
      <c r="C11767" s="17"/>
      <c r="D11767" s="17"/>
      <c r="E11767" s="7"/>
    </row>
    <row r="11768" spans="3:5">
      <c r="C11768" s="17"/>
      <c r="D11768" s="17"/>
      <c r="E11768" s="7"/>
    </row>
    <row r="11769" spans="3:5">
      <c r="C11769" s="17"/>
      <c r="D11769" s="17"/>
      <c r="E11769" s="7"/>
    </row>
    <row r="11770" spans="3:5">
      <c r="C11770" s="17"/>
      <c r="D11770" s="17"/>
      <c r="E11770" s="7"/>
    </row>
    <row r="11771" spans="3:5">
      <c r="C11771" s="17"/>
      <c r="D11771" s="17"/>
      <c r="E11771" s="7"/>
    </row>
    <row r="11772" spans="3:5">
      <c r="C11772" s="17"/>
      <c r="D11772" s="17"/>
      <c r="E11772" s="7"/>
    </row>
    <row r="11773" spans="3:5">
      <c r="C11773" s="17"/>
      <c r="D11773" s="17"/>
      <c r="E11773" s="7"/>
    </row>
    <row r="11774" spans="3:5">
      <c r="C11774" s="17"/>
      <c r="D11774" s="17"/>
      <c r="E11774" s="7"/>
    </row>
    <row r="11775" spans="3:5">
      <c r="C11775" s="17"/>
      <c r="D11775" s="17"/>
      <c r="E11775" s="7"/>
    </row>
    <row r="11776" spans="3:5">
      <c r="C11776" s="17"/>
      <c r="D11776" s="17"/>
      <c r="E11776" s="7"/>
    </row>
    <row r="11777" spans="3:5">
      <c r="C11777" s="17"/>
      <c r="D11777" s="17"/>
      <c r="E11777" s="7"/>
    </row>
    <row r="11778" spans="3:5">
      <c r="C11778" s="17"/>
      <c r="D11778" s="17"/>
      <c r="E11778" s="7"/>
    </row>
    <row r="11779" spans="3:5">
      <c r="C11779" s="17"/>
      <c r="D11779" s="17"/>
      <c r="E11779" s="7"/>
    </row>
    <row r="11780" spans="3:5">
      <c r="C11780" s="17"/>
      <c r="D11780" s="17"/>
      <c r="E11780" s="7"/>
    </row>
    <row r="11781" spans="3:5">
      <c r="C11781" s="17"/>
      <c r="D11781" s="17"/>
      <c r="E11781" s="7"/>
    </row>
    <row r="11782" spans="3:5">
      <c r="C11782" s="17"/>
      <c r="D11782" s="17"/>
      <c r="E11782" s="7"/>
    </row>
    <row r="11783" spans="3:5">
      <c r="C11783" s="17"/>
      <c r="D11783" s="17"/>
      <c r="E11783" s="7"/>
    </row>
    <row r="11784" spans="3:5">
      <c r="C11784" s="17"/>
      <c r="D11784" s="17"/>
      <c r="E11784" s="7"/>
    </row>
    <row r="11785" spans="3:5">
      <c r="C11785" s="17"/>
      <c r="D11785" s="17"/>
      <c r="E11785" s="7"/>
    </row>
    <row r="11786" spans="3:5">
      <c r="C11786" s="17"/>
      <c r="D11786" s="17"/>
      <c r="E11786" s="7"/>
    </row>
    <row r="11787" spans="3:5">
      <c r="C11787" s="17"/>
      <c r="D11787" s="17"/>
      <c r="E11787" s="7"/>
    </row>
    <row r="11788" spans="3:5">
      <c r="C11788" s="17"/>
      <c r="D11788" s="17"/>
      <c r="E11788" s="7"/>
    </row>
    <row r="11789" spans="3:5">
      <c r="C11789" s="17"/>
      <c r="D11789" s="17"/>
      <c r="E11789" s="7"/>
    </row>
    <row r="11790" spans="3:5">
      <c r="C11790" s="17"/>
      <c r="D11790" s="17"/>
      <c r="E11790" s="7"/>
    </row>
    <row r="11791" spans="3:5">
      <c r="C11791" s="17"/>
      <c r="D11791" s="17"/>
      <c r="E11791" s="7"/>
    </row>
    <row r="11792" spans="3:5">
      <c r="C11792" s="17"/>
      <c r="D11792" s="17"/>
      <c r="E11792" s="7"/>
    </row>
    <row r="11793" spans="3:5">
      <c r="C11793" s="17"/>
      <c r="D11793" s="17"/>
      <c r="E11793" s="7"/>
    </row>
    <row r="11794" spans="3:5">
      <c r="C11794" s="17"/>
      <c r="D11794" s="17"/>
      <c r="E11794" s="7"/>
    </row>
    <row r="11795" spans="3:5">
      <c r="C11795" s="17"/>
      <c r="D11795" s="17"/>
      <c r="E11795" s="7"/>
    </row>
    <row r="11796" spans="3:5">
      <c r="C11796" s="17"/>
      <c r="D11796" s="17"/>
      <c r="E11796" s="7"/>
    </row>
    <row r="11797" spans="3:5">
      <c r="C11797" s="17"/>
      <c r="D11797" s="17"/>
      <c r="E11797" s="7"/>
    </row>
    <row r="11798" spans="3:5">
      <c r="C11798" s="17"/>
      <c r="D11798" s="17"/>
      <c r="E11798" s="7"/>
    </row>
    <row r="11799" spans="3:5">
      <c r="C11799" s="17"/>
      <c r="D11799" s="17"/>
      <c r="E11799" s="7"/>
    </row>
    <row r="11800" spans="3:5">
      <c r="C11800" s="17"/>
      <c r="D11800" s="17"/>
      <c r="E11800" s="7"/>
    </row>
    <row r="11801" spans="3:5">
      <c r="C11801" s="17"/>
      <c r="D11801" s="17"/>
      <c r="E11801" s="7"/>
    </row>
    <row r="11802" spans="3:5">
      <c r="C11802" s="17"/>
      <c r="D11802" s="17"/>
      <c r="E11802" s="7"/>
    </row>
    <row r="11803" spans="3:5">
      <c r="C11803" s="17"/>
      <c r="D11803" s="17"/>
      <c r="E11803" s="7"/>
    </row>
    <row r="11804" spans="3:5">
      <c r="C11804" s="17"/>
      <c r="D11804" s="17"/>
      <c r="E11804" s="7"/>
    </row>
    <row r="11805" spans="3:5">
      <c r="C11805" s="17"/>
      <c r="D11805" s="17"/>
      <c r="E11805" s="7"/>
    </row>
    <row r="11806" spans="3:5">
      <c r="C11806" s="17"/>
      <c r="D11806" s="17"/>
      <c r="E11806" s="7"/>
    </row>
    <row r="11807" spans="3:5">
      <c r="C11807" s="17"/>
      <c r="D11807" s="17"/>
      <c r="E11807" s="7"/>
    </row>
    <row r="11808" spans="3:5">
      <c r="C11808" s="17"/>
      <c r="D11808" s="17"/>
      <c r="E11808" s="7"/>
    </row>
    <row r="11809" spans="3:5">
      <c r="C11809" s="17"/>
      <c r="D11809" s="17"/>
      <c r="E11809" s="7"/>
    </row>
    <row r="11810" spans="3:5">
      <c r="C11810" s="17"/>
      <c r="D11810" s="17"/>
      <c r="E11810" s="7"/>
    </row>
    <row r="11811" spans="3:5">
      <c r="C11811" s="17"/>
      <c r="D11811" s="17"/>
      <c r="E11811" s="7"/>
    </row>
    <row r="11812" spans="3:5">
      <c r="C11812" s="17"/>
      <c r="D11812" s="17"/>
      <c r="E11812" s="7"/>
    </row>
    <row r="11813" spans="3:5">
      <c r="C11813" s="17"/>
      <c r="D11813" s="17"/>
      <c r="E11813" s="7"/>
    </row>
    <row r="11814" spans="3:5">
      <c r="C11814" s="17"/>
      <c r="D11814" s="17"/>
      <c r="E11814" s="7"/>
    </row>
    <row r="11815" spans="3:5">
      <c r="C11815" s="17"/>
      <c r="D11815" s="17"/>
      <c r="E11815" s="7"/>
    </row>
    <row r="11816" spans="3:5">
      <c r="C11816" s="17"/>
      <c r="D11816" s="17"/>
      <c r="E11816" s="7"/>
    </row>
    <row r="11817" spans="3:5">
      <c r="C11817" s="17"/>
      <c r="D11817" s="17"/>
      <c r="E11817" s="7"/>
    </row>
    <row r="11818" spans="3:5">
      <c r="C11818" s="17"/>
      <c r="D11818" s="17"/>
      <c r="E11818" s="7"/>
    </row>
    <row r="11819" spans="3:5">
      <c r="C11819" s="17"/>
      <c r="D11819" s="17"/>
      <c r="E11819" s="7"/>
    </row>
    <row r="11820" spans="3:5">
      <c r="C11820" s="17"/>
      <c r="D11820" s="17"/>
      <c r="E11820" s="7"/>
    </row>
    <row r="11821" spans="3:5">
      <c r="C11821" s="17"/>
      <c r="D11821" s="17"/>
      <c r="E11821" s="7"/>
    </row>
    <row r="11822" spans="3:5">
      <c r="C11822" s="17"/>
      <c r="D11822" s="17"/>
      <c r="E11822" s="7"/>
    </row>
    <row r="11823" spans="3:5">
      <c r="C11823" s="17"/>
      <c r="D11823" s="17"/>
      <c r="E11823" s="7"/>
    </row>
    <row r="11824" spans="3:5">
      <c r="C11824" s="17"/>
      <c r="D11824" s="17"/>
      <c r="E11824" s="7"/>
    </row>
    <row r="11825" spans="3:5">
      <c r="C11825" s="17"/>
      <c r="D11825" s="17"/>
      <c r="E11825" s="7"/>
    </row>
    <row r="11826" spans="3:5">
      <c r="C11826" s="17"/>
      <c r="D11826" s="17"/>
      <c r="E11826" s="7"/>
    </row>
    <row r="11827" spans="3:5">
      <c r="C11827" s="17"/>
      <c r="D11827" s="17"/>
      <c r="E11827" s="7"/>
    </row>
    <row r="11828" spans="3:5">
      <c r="C11828" s="17"/>
      <c r="D11828" s="17"/>
      <c r="E11828" s="7"/>
    </row>
    <row r="11829" spans="3:5">
      <c r="C11829" s="17"/>
      <c r="D11829" s="17"/>
      <c r="E11829" s="7"/>
    </row>
    <row r="11830" spans="3:5">
      <c r="C11830" s="17"/>
      <c r="D11830" s="17"/>
      <c r="E11830" s="7"/>
    </row>
    <row r="11831" spans="3:5">
      <c r="C11831" s="17"/>
      <c r="D11831" s="17"/>
      <c r="E11831" s="7"/>
    </row>
    <row r="11832" spans="3:5">
      <c r="C11832" s="17"/>
      <c r="D11832" s="17"/>
      <c r="E11832" s="7"/>
    </row>
    <row r="11833" spans="3:5">
      <c r="C11833" s="17"/>
      <c r="D11833" s="17"/>
      <c r="E11833" s="7"/>
    </row>
    <row r="11834" spans="3:5">
      <c r="C11834" s="17"/>
      <c r="D11834" s="17"/>
      <c r="E11834" s="7"/>
    </row>
    <row r="11835" spans="3:5">
      <c r="C11835" s="17"/>
      <c r="D11835" s="17"/>
      <c r="E11835" s="7"/>
    </row>
    <row r="11836" spans="3:5">
      <c r="C11836" s="17"/>
      <c r="D11836" s="17"/>
      <c r="E11836" s="7"/>
    </row>
    <row r="11837" spans="3:5">
      <c r="C11837" s="17"/>
      <c r="D11837" s="17"/>
      <c r="E11837" s="7"/>
    </row>
    <row r="11838" spans="3:5">
      <c r="C11838" s="17"/>
      <c r="D11838" s="17"/>
      <c r="E11838" s="7"/>
    </row>
    <row r="11839" spans="3:5">
      <c r="C11839" s="17"/>
      <c r="D11839" s="17"/>
      <c r="E11839" s="7"/>
    </row>
    <row r="11840" spans="3:5">
      <c r="C11840" s="17"/>
      <c r="D11840" s="17"/>
      <c r="E11840" s="7"/>
    </row>
    <row r="11841" spans="3:5">
      <c r="C11841" s="17"/>
      <c r="D11841" s="17"/>
      <c r="E11841" s="7"/>
    </row>
    <row r="11842" spans="3:5">
      <c r="C11842" s="17"/>
      <c r="D11842" s="17"/>
      <c r="E11842" s="7"/>
    </row>
    <row r="11843" spans="3:5">
      <c r="C11843" s="17"/>
      <c r="D11843" s="17"/>
      <c r="E11843" s="7"/>
    </row>
    <row r="11844" spans="3:5">
      <c r="C11844" s="17"/>
      <c r="D11844" s="17"/>
      <c r="E11844" s="7"/>
    </row>
    <row r="11845" spans="3:5">
      <c r="C11845" s="17"/>
      <c r="D11845" s="17"/>
      <c r="E11845" s="7"/>
    </row>
    <row r="11846" spans="3:5">
      <c r="C11846" s="17"/>
      <c r="D11846" s="17"/>
      <c r="E11846" s="7"/>
    </row>
    <row r="11847" spans="3:5">
      <c r="C11847" s="17"/>
      <c r="D11847" s="17"/>
      <c r="E11847" s="7"/>
    </row>
    <row r="11848" spans="3:5">
      <c r="C11848" s="17"/>
      <c r="D11848" s="17"/>
      <c r="E11848" s="7"/>
    </row>
    <row r="11849" spans="3:5">
      <c r="C11849" s="17"/>
      <c r="D11849" s="17"/>
      <c r="E11849" s="7"/>
    </row>
    <row r="11850" spans="3:5">
      <c r="C11850" s="17"/>
      <c r="D11850" s="17"/>
      <c r="E11850" s="7"/>
    </row>
    <row r="11851" spans="3:5">
      <c r="C11851" s="17"/>
      <c r="D11851" s="17"/>
      <c r="E11851" s="7"/>
    </row>
    <row r="11852" spans="3:5">
      <c r="C11852" s="17"/>
      <c r="D11852" s="17"/>
      <c r="E11852" s="7"/>
    </row>
    <row r="11853" spans="3:5">
      <c r="C11853" s="17"/>
      <c r="D11853" s="17"/>
      <c r="E11853" s="7"/>
    </row>
    <row r="11854" spans="3:5">
      <c r="C11854" s="17"/>
      <c r="D11854" s="17"/>
      <c r="E11854" s="7"/>
    </row>
    <row r="11855" spans="3:5">
      <c r="C11855" s="17"/>
      <c r="D11855" s="17"/>
      <c r="E11855" s="7"/>
    </row>
    <row r="11856" spans="3:5">
      <c r="C11856" s="17"/>
      <c r="D11856" s="17"/>
      <c r="E11856" s="7"/>
    </row>
    <row r="11857" spans="3:5">
      <c r="C11857" s="17"/>
      <c r="D11857" s="17"/>
      <c r="E11857" s="7"/>
    </row>
    <row r="11858" spans="3:5">
      <c r="C11858" s="17"/>
      <c r="D11858" s="17"/>
      <c r="E11858" s="7"/>
    </row>
    <row r="11859" spans="3:5">
      <c r="C11859" s="17"/>
      <c r="D11859" s="17"/>
      <c r="E11859" s="7"/>
    </row>
    <row r="11860" spans="3:5">
      <c r="C11860" s="17"/>
      <c r="D11860" s="17"/>
      <c r="E11860" s="7"/>
    </row>
    <row r="11861" spans="3:5">
      <c r="C11861" s="17"/>
      <c r="D11861" s="17"/>
      <c r="E11861" s="7"/>
    </row>
    <row r="11862" spans="3:5">
      <c r="C11862" s="17"/>
      <c r="D11862" s="17"/>
      <c r="E11862" s="7"/>
    </row>
    <row r="11863" spans="3:5">
      <c r="C11863" s="17"/>
      <c r="D11863" s="17"/>
      <c r="E11863" s="7"/>
    </row>
    <row r="11864" spans="3:5">
      <c r="C11864" s="17"/>
      <c r="D11864" s="17"/>
      <c r="E11864" s="7"/>
    </row>
    <row r="11865" spans="3:5">
      <c r="C11865" s="17"/>
      <c r="D11865" s="17"/>
      <c r="E11865" s="7"/>
    </row>
    <row r="11866" spans="3:5">
      <c r="C11866" s="17"/>
      <c r="D11866" s="17"/>
      <c r="E11866" s="7"/>
    </row>
    <row r="11867" spans="3:5">
      <c r="C11867" s="17"/>
      <c r="D11867" s="17"/>
      <c r="E11867" s="7"/>
    </row>
    <row r="11868" spans="3:5">
      <c r="C11868" s="17"/>
      <c r="D11868" s="17"/>
      <c r="E11868" s="7"/>
    </row>
    <row r="11869" spans="3:5">
      <c r="C11869" s="17"/>
      <c r="D11869" s="17"/>
      <c r="E11869" s="7"/>
    </row>
    <row r="11870" spans="3:5">
      <c r="C11870" s="17"/>
      <c r="D11870" s="17"/>
      <c r="E11870" s="7"/>
    </row>
    <row r="11871" spans="3:5">
      <c r="C11871" s="17"/>
      <c r="D11871" s="17"/>
      <c r="E11871" s="7"/>
    </row>
    <row r="11872" spans="3:5">
      <c r="C11872" s="17"/>
      <c r="D11872" s="17"/>
      <c r="E11872" s="7"/>
    </row>
    <row r="11873" spans="3:5">
      <c r="C11873" s="17"/>
      <c r="D11873" s="17"/>
      <c r="E11873" s="7"/>
    </row>
    <row r="11874" spans="3:5">
      <c r="C11874" s="17"/>
      <c r="D11874" s="17"/>
      <c r="E11874" s="7"/>
    </row>
    <row r="11875" spans="3:5">
      <c r="C11875" s="17"/>
      <c r="D11875" s="17"/>
      <c r="E11875" s="7"/>
    </row>
    <row r="11876" spans="3:5">
      <c r="C11876" s="17"/>
      <c r="D11876" s="17"/>
      <c r="E11876" s="7"/>
    </row>
    <row r="11877" spans="3:5">
      <c r="C11877" s="17"/>
      <c r="D11877" s="17"/>
      <c r="E11877" s="7"/>
    </row>
    <row r="11878" spans="3:5">
      <c r="C11878" s="17"/>
      <c r="D11878" s="17"/>
      <c r="E11878" s="7"/>
    </row>
    <row r="11879" spans="3:5">
      <c r="C11879" s="17"/>
      <c r="D11879" s="17"/>
      <c r="E11879" s="7"/>
    </row>
    <row r="11880" spans="3:5">
      <c r="C11880" s="17"/>
      <c r="D11880" s="17"/>
      <c r="E11880" s="7"/>
    </row>
    <row r="11881" spans="3:5">
      <c r="C11881" s="17"/>
      <c r="D11881" s="17"/>
      <c r="E11881" s="7"/>
    </row>
    <row r="11882" spans="3:5">
      <c r="C11882" s="17"/>
      <c r="D11882" s="17"/>
      <c r="E11882" s="7"/>
    </row>
    <row r="11883" spans="3:5">
      <c r="C11883" s="17"/>
      <c r="D11883" s="17"/>
      <c r="E11883" s="7"/>
    </row>
    <row r="11884" spans="3:5">
      <c r="C11884" s="17"/>
      <c r="D11884" s="17"/>
      <c r="E11884" s="7"/>
    </row>
    <row r="11885" spans="3:5">
      <c r="C11885" s="17"/>
      <c r="D11885" s="17"/>
      <c r="E11885" s="7"/>
    </row>
    <row r="11886" spans="3:5">
      <c r="C11886" s="17"/>
      <c r="D11886" s="17"/>
      <c r="E11886" s="7"/>
    </row>
    <row r="11887" spans="3:5">
      <c r="C11887" s="17"/>
      <c r="D11887" s="17"/>
      <c r="E11887" s="7"/>
    </row>
    <row r="11888" spans="3:5">
      <c r="C11888" s="17"/>
      <c r="D11888" s="17"/>
      <c r="E11888" s="7"/>
    </row>
    <row r="11889" spans="3:5">
      <c r="C11889" s="17"/>
      <c r="D11889" s="17"/>
      <c r="E11889" s="7"/>
    </row>
    <row r="11890" spans="3:5">
      <c r="C11890" s="17"/>
      <c r="D11890" s="17"/>
      <c r="E11890" s="7"/>
    </row>
    <row r="11891" spans="3:5">
      <c r="C11891" s="17"/>
      <c r="D11891" s="17"/>
      <c r="E11891" s="7"/>
    </row>
    <row r="11892" spans="3:5">
      <c r="C11892" s="17"/>
      <c r="D11892" s="17"/>
      <c r="E11892" s="7"/>
    </row>
    <row r="11893" spans="3:5">
      <c r="C11893" s="17"/>
      <c r="D11893" s="17"/>
      <c r="E11893" s="7"/>
    </row>
    <row r="11894" spans="3:5">
      <c r="C11894" s="17"/>
      <c r="D11894" s="17"/>
      <c r="E11894" s="7"/>
    </row>
    <row r="11895" spans="3:5">
      <c r="C11895" s="17"/>
      <c r="D11895" s="17"/>
      <c r="E11895" s="7"/>
    </row>
    <row r="11896" spans="3:5">
      <c r="C11896" s="17"/>
      <c r="D11896" s="17"/>
      <c r="E11896" s="7"/>
    </row>
    <row r="11897" spans="3:5">
      <c r="C11897" s="17"/>
      <c r="D11897" s="17"/>
      <c r="E11897" s="7"/>
    </row>
    <row r="11898" spans="3:5">
      <c r="C11898" s="17"/>
      <c r="D11898" s="17"/>
      <c r="E11898" s="7"/>
    </row>
    <row r="11899" spans="3:5">
      <c r="C11899" s="17"/>
      <c r="D11899" s="17"/>
      <c r="E11899" s="7"/>
    </row>
    <row r="11900" spans="3:5">
      <c r="C11900" s="17"/>
      <c r="D11900" s="17"/>
      <c r="E11900" s="7"/>
    </row>
    <row r="11901" spans="3:5">
      <c r="C11901" s="17"/>
      <c r="D11901" s="17"/>
      <c r="E11901" s="7"/>
    </row>
    <row r="11902" spans="3:5">
      <c r="C11902" s="17"/>
      <c r="D11902" s="17"/>
      <c r="E11902" s="7"/>
    </row>
    <row r="11903" spans="3:5">
      <c r="C11903" s="17"/>
      <c r="D11903" s="17"/>
      <c r="E11903" s="7"/>
    </row>
    <row r="11904" spans="3:5">
      <c r="C11904" s="17"/>
      <c r="D11904" s="17"/>
      <c r="E11904" s="7"/>
    </row>
    <row r="11905" spans="3:5">
      <c r="C11905" s="17"/>
      <c r="D11905" s="17"/>
      <c r="E11905" s="7"/>
    </row>
    <row r="11906" spans="3:5">
      <c r="C11906" s="17"/>
      <c r="D11906" s="17"/>
      <c r="E11906" s="7"/>
    </row>
    <row r="11907" spans="3:5">
      <c r="C11907" s="17"/>
      <c r="D11907" s="17"/>
      <c r="E11907" s="7"/>
    </row>
    <row r="11908" spans="3:5">
      <c r="C11908" s="17"/>
      <c r="D11908" s="17"/>
      <c r="E11908" s="7"/>
    </row>
    <row r="11909" spans="3:5">
      <c r="C11909" s="17"/>
      <c r="D11909" s="17"/>
      <c r="E11909" s="7"/>
    </row>
    <row r="11910" spans="3:5">
      <c r="C11910" s="17"/>
      <c r="D11910" s="17"/>
      <c r="E11910" s="7"/>
    </row>
    <row r="11911" spans="3:5">
      <c r="C11911" s="17"/>
      <c r="D11911" s="17"/>
      <c r="E11911" s="7"/>
    </row>
    <row r="11912" spans="3:5">
      <c r="C11912" s="17"/>
      <c r="D11912" s="17"/>
      <c r="E11912" s="7"/>
    </row>
    <row r="11913" spans="3:5">
      <c r="C11913" s="17"/>
      <c r="D11913" s="17"/>
      <c r="E11913" s="7"/>
    </row>
    <row r="11914" spans="3:5">
      <c r="C11914" s="17"/>
      <c r="D11914" s="17"/>
      <c r="E11914" s="7"/>
    </row>
    <row r="11915" spans="3:5">
      <c r="C11915" s="17"/>
      <c r="D11915" s="17"/>
      <c r="E11915" s="7"/>
    </row>
    <row r="11916" spans="3:5">
      <c r="C11916" s="17"/>
      <c r="D11916" s="17"/>
      <c r="E11916" s="7"/>
    </row>
    <row r="11917" spans="3:5">
      <c r="C11917" s="17"/>
      <c r="D11917" s="17"/>
      <c r="E11917" s="7"/>
    </row>
    <row r="11918" spans="3:5">
      <c r="C11918" s="17"/>
      <c r="D11918" s="17"/>
      <c r="E11918" s="7"/>
    </row>
    <row r="11919" spans="3:5">
      <c r="C11919" s="17"/>
      <c r="D11919" s="17"/>
      <c r="E11919" s="7"/>
    </row>
    <row r="11920" spans="3:5">
      <c r="C11920" s="17"/>
      <c r="D11920" s="17"/>
      <c r="E11920" s="7"/>
    </row>
    <row r="11921" spans="3:5">
      <c r="C11921" s="17"/>
      <c r="D11921" s="17"/>
      <c r="E11921" s="7"/>
    </row>
    <row r="11922" spans="3:5">
      <c r="C11922" s="17"/>
      <c r="D11922" s="17"/>
      <c r="E11922" s="7"/>
    </row>
    <row r="11923" spans="3:5">
      <c r="C11923" s="17"/>
      <c r="D11923" s="17"/>
      <c r="E11923" s="7"/>
    </row>
    <row r="11924" spans="3:5">
      <c r="C11924" s="17"/>
      <c r="D11924" s="17"/>
      <c r="E11924" s="7"/>
    </row>
    <row r="11925" spans="3:5">
      <c r="C11925" s="17"/>
      <c r="D11925" s="17"/>
      <c r="E11925" s="7"/>
    </row>
    <row r="11926" spans="3:5">
      <c r="C11926" s="17"/>
      <c r="D11926" s="17"/>
      <c r="E11926" s="7"/>
    </row>
    <row r="11927" spans="3:5">
      <c r="C11927" s="17"/>
      <c r="D11927" s="17"/>
      <c r="E11927" s="7"/>
    </row>
    <row r="11928" spans="3:5">
      <c r="C11928" s="17"/>
      <c r="D11928" s="17"/>
      <c r="E11928" s="7"/>
    </row>
    <row r="11929" spans="3:5">
      <c r="C11929" s="17"/>
      <c r="D11929" s="17"/>
      <c r="E11929" s="7"/>
    </row>
    <row r="11930" spans="3:5">
      <c r="C11930" s="17"/>
      <c r="D11930" s="17"/>
      <c r="E11930" s="7"/>
    </row>
    <row r="11931" spans="3:5">
      <c r="C11931" s="17"/>
      <c r="D11931" s="17"/>
      <c r="E11931" s="7"/>
    </row>
    <row r="11932" spans="3:5">
      <c r="C11932" s="17"/>
      <c r="D11932" s="17"/>
      <c r="E11932" s="7"/>
    </row>
    <row r="11933" spans="3:5">
      <c r="C11933" s="17"/>
      <c r="D11933" s="17"/>
      <c r="E11933" s="7"/>
    </row>
    <row r="11934" spans="3:5">
      <c r="C11934" s="17"/>
      <c r="D11934" s="17"/>
      <c r="E11934" s="7"/>
    </row>
    <row r="11935" spans="3:5">
      <c r="C11935" s="17"/>
      <c r="D11935" s="17"/>
      <c r="E11935" s="7"/>
    </row>
    <row r="11936" spans="3:5">
      <c r="C11936" s="17"/>
      <c r="D11936" s="17"/>
      <c r="E11936" s="7"/>
    </row>
    <row r="11937" spans="3:5">
      <c r="C11937" s="17"/>
      <c r="D11937" s="17"/>
      <c r="E11937" s="7"/>
    </row>
    <row r="11938" spans="3:5">
      <c r="C11938" s="17"/>
      <c r="D11938" s="17"/>
      <c r="E11938" s="7"/>
    </row>
    <row r="11939" spans="3:5">
      <c r="C11939" s="17"/>
      <c r="D11939" s="17"/>
      <c r="E11939" s="7"/>
    </row>
    <row r="11940" spans="3:5">
      <c r="C11940" s="17"/>
      <c r="D11940" s="17"/>
      <c r="E11940" s="7"/>
    </row>
    <row r="11941" spans="3:5">
      <c r="C11941" s="17"/>
      <c r="D11941" s="17"/>
      <c r="E11941" s="7"/>
    </row>
    <row r="11942" spans="3:5">
      <c r="C11942" s="17"/>
      <c r="D11942" s="17"/>
      <c r="E11942" s="7"/>
    </row>
    <row r="11943" spans="3:5">
      <c r="C11943" s="17"/>
      <c r="D11943" s="17"/>
      <c r="E11943" s="7"/>
    </row>
    <row r="11944" spans="3:5">
      <c r="C11944" s="17"/>
      <c r="D11944" s="17"/>
      <c r="E11944" s="7"/>
    </row>
    <row r="11945" spans="3:5">
      <c r="C11945" s="17"/>
      <c r="D11945" s="17"/>
      <c r="E11945" s="7"/>
    </row>
    <row r="11946" spans="3:5">
      <c r="C11946" s="17"/>
      <c r="D11946" s="17"/>
      <c r="E11946" s="7"/>
    </row>
    <row r="11947" spans="3:5">
      <c r="C11947" s="17"/>
      <c r="D11947" s="17"/>
      <c r="E11947" s="7"/>
    </row>
    <row r="11948" spans="3:5">
      <c r="C11948" s="17"/>
      <c r="D11948" s="17"/>
      <c r="E11948" s="7"/>
    </row>
    <row r="11949" spans="3:5">
      <c r="C11949" s="17"/>
      <c r="D11949" s="17"/>
      <c r="E11949" s="7"/>
    </row>
    <row r="11950" spans="3:5">
      <c r="C11950" s="17"/>
      <c r="D11950" s="17"/>
      <c r="E11950" s="7"/>
    </row>
    <row r="11951" spans="3:5">
      <c r="C11951" s="17"/>
      <c r="D11951" s="17"/>
      <c r="E11951" s="7"/>
    </row>
    <row r="11952" spans="3:5">
      <c r="C11952" s="17"/>
      <c r="D11952" s="17"/>
      <c r="E11952" s="7"/>
    </row>
    <row r="11953" spans="3:5">
      <c r="C11953" s="17"/>
      <c r="D11953" s="17"/>
      <c r="E11953" s="7"/>
    </row>
    <row r="11954" spans="3:5">
      <c r="C11954" s="17"/>
      <c r="D11954" s="17"/>
      <c r="E11954" s="7"/>
    </row>
    <row r="11955" spans="3:5">
      <c r="C11955" s="17"/>
      <c r="D11955" s="17"/>
      <c r="E11955" s="7"/>
    </row>
    <row r="11956" spans="3:5">
      <c r="C11956" s="17"/>
      <c r="D11956" s="17"/>
      <c r="E11956" s="7"/>
    </row>
    <row r="11957" spans="3:5">
      <c r="C11957" s="17"/>
      <c r="D11957" s="17"/>
      <c r="E11957" s="7"/>
    </row>
    <row r="11958" spans="3:5">
      <c r="C11958" s="17"/>
      <c r="D11958" s="17"/>
      <c r="E11958" s="7"/>
    </row>
    <row r="11959" spans="3:5">
      <c r="C11959" s="17"/>
      <c r="D11959" s="17"/>
      <c r="E11959" s="7"/>
    </row>
    <row r="11960" spans="3:5">
      <c r="C11960" s="17"/>
      <c r="D11960" s="17"/>
      <c r="E11960" s="7"/>
    </row>
    <row r="11961" spans="3:5">
      <c r="C11961" s="17"/>
      <c r="D11961" s="17"/>
      <c r="E11961" s="7"/>
    </row>
    <row r="11962" spans="3:5">
      <c r="C11962" s="17"/>
      <c r="D11962" s="17"/>
      <c r="E11962" s="7"/>
    </row>
    <row r="11963" spans="3:5">
      <c r="C11963" s="17"/>
      <c r="D11963" s="17"/>
      <c r="E11963" s="7"/>
    </row>
    <row r="11964" spans="3:5">
      <c r="C11964" s="17"/>
      <c r="D11964" s="17"/>
      <c r="E11964" s="7"/>
    </row>
    <row r="11965" spans="3:5">
      <c r="C11965" s="17"/>
      <c r="D11965" s="17"/>
      <c r="E11965" s="7"/>
    </row>
    <row r="11966" spans="3:5">
      <c r="C11966" s="17"/>
      <c r="D11966" s="17"/>
      <c r="E11966" s="7"/>
    </row>
    <row r="11967" spans="3:5">
      <c r="C11967" s="17"/>
      <c r="D11967" s="17"/>
      <c r="E11967" s="7"/>
    </row>
    <row r="11968" spans="3:5">
      <c r="C11968" s="17"/>
      <c r="D11968" s="17"/>
      <c r="E11968" s="7"/>
    </row>
    <row r="11969" spans="3:5">
      <c r="C11969" s="17"/>
      <c r="D11969" s="17"/>
      <c r="E11969" s="7"/>
    </row>
    <row r="11970" spans="3:5">
      <c r="C11970" s="17"/>
      <c r="D11970" s="17"/>
      <c r="E11970" s="7"/>
    </row>
    <row r="11971" spans="3:5">
      <c r="C11971" s="17"/>
      <c r="D11971" s="17"/>
      <c r="E11971" s="7"/>
    </row>
    <row r="11972" spans="3:5">
      <c r="C11972" s="17"/>
      <c r="D11972" s="17"/>
      <c r="E11972" s="7"/>
    </row>
    <row r="11973" spans="3:5">
      <c r="C11973" s="17"/>
      <c r="D11973" s="17"/>
      <c r="E11973" s="7"/>
    </row>
    <row r="11974" spans="3:5">
      <c r="C11974" s="17"/>
      <c r="D11974" s="17"/>
      <c r="E11974" s="7"/>
    </row>
    <row r="11975" spans="3:5">
      <c r="C11975" s="17"/>
      <c r="D11975" s="17"/>
      <c r="E11975" s="7"/>
    </row>
    <row r="11976" spans="3:5">
      <c r="C11976" s="17"/>
      <c r="D11976" s="17"/>
      <c r="E11976" s="7"/>
    </row>
    <row r="11977" spans="3:5">
      <c r="C11977" s="17"/>
      <c r="D11977" s="17"/>
      <c r="E11977" s="7"/>
    </row>
    <row r="11978" spans="3:5">
      <c r="C11978" s="17"/>
      <c r="D11978" s="17"/>
      <c r="E11978" s="7"/>
    </row>
    <row r="11979" spans="3:5">
      <c r="C11979" s="17"/>
      <c r="D11979" s="17"/>
      <c r="E11979" s="7"/>
    </row>
    <row r="11980" spans="3:5">
      <c r="C11980" s="17"/>
      <c r="D11980" s="17"/>
      <c r="E11980" s="7"/>
    </row>
    <row r="11981" spans="3:5">
      <c r="C11981" s="17"/>
      <c r="D11981" s="17"/>
      <c r="E11981" s="7"/>
    </row>
    <row r="11982" spans="3:5">
      <c r="C11982" s="17"/>
      <c r="D11982" s="17"/>
      <c r="E11982" s="7"/>
    </row>
    <row r="11983" spans="3:5">
      <c r="C11983" s="17"/>
      <c r="D11983" s="17"/>
      <c r="E11983" s="7"/>
    </row>
    <row r="11984" spans="3:5">
      <c r="C11984" s="17"/>
      <c r="D11984" s="17"/>
      <c r="E11984" s="7"/>
    </row>
    <row r="11985" spans="3:5">
      <c r="C11985" s="17"/>
      <c r="D11985" s="17"/>
      <c r="E11985" s="7"/>
    </row>
    <row r="11986" spans="3:5">
      <c r="C11986" s="17"/>
      <c r="D11986" s="17"/>
      <c r="E11986" s="7"/>
    </row>
    <row r="11987" spans="3:5">
      <c r="C11987" s="17"/>
      <c r="D11987" s="17"/>
      <c r="E11987" s="7"/>
    </row>
    <row r="11988" spans="3:5">
      <c r="C11988" s="17"/>
      <c r="D11988" s="17"/>
      <c r="E11988" s="7"/>
    </row>
    <row r="11989" spans="3:5">
      <c r="C11989" s="17"/>
      <c r="D11989" s="17"/>
      <c r="E11989" s="7"/>
    </row>
    <row r="11990" spans="3:5">
      <c r="C11990" s="17"/>
      <c r="D11990" s="17"/>
      <c r="E11990" s="7"/>
    </row>
    <row r="11991" spans="3:5">
      <c r="C11991" s="17"/>
      <c r="D11991" s="17"/>
      <c r="E11991" s="7"/>
    </row>
    <row r="11992" spans="3:5">
      <c r="C11992" s="17"/>
      <c r="D11992" s="17"/>
      <c r="E11992" s="7"/>
    </row>
    <row r="11993" spans="3:5">
      <c r="C11993" s="17"/>
      <c r="D11993" s="17"/>
      <c r="E11993" s="7"/>
    </row>
    <row r="11994" spans="3:5">
      <c r="C11994" s="17"/>
      <c r="D11994" s="17"/>
      <c r="E11994" s="7"/>
    </row>
    <row r="11995" spans="3:5">
      <c r="C11995" s="17"/>
      <c r="D11995" s="17"/>
      <c r="E11995" s="7"/>
    </row>
    <row r="11996" spans="3:5">
      <c r="C11996" s="17"/>
      <c r="D11996" s="17"/>
      <c r="E11996" s="7"/>
    </row>
    <row r="11997" spans="3:5">
      <c r="C11997" s="17"/>
      <c r="D11997" s="17"/>
      <c r="E11997" s="7"/>
    </row>
    <row r="11998" spans="3:5">
      <c r="C11998" s="17"/>
      <c r="D11998" s="17"/>
      <c r="E11998" s="7"/>
    </row>
    <row r="11999" spans="3:5">
      <c r="C11999" s="17"/>
      <c r="D11999" s="17"/>
      <c r="E11999" s="7"/>
    </row>
    <row r="12000" spans="3:5">
      <c r="C12000" s="17"/>
      <c r="D12000" s="17"/>
      <c r="E12000" s="7"/>
    </row>
    <row r="12001" spans="3:5">
      <c r="C12001" s="17"/>
      <c r="D12001" s="17"/>
      <c r="E12001" s="7"/>
    </row>
    <row r="12002" spans="3:5">
      <c r="C12002" s="17"/>
      <c r="D12002" s="17"/>
      <c r="E12002" s="7"/>
    </row>
    <row r="12003" spans="3:5">
      <c r="C12003" s="17"/>
      <c r="D12003" s="17"/>
      <c r="E12003" s="7"/>
    </row>
    <row r="12004" spans="3:5">
      <c r="C12004" s="17"/>
      <c r="D12004" s="17"/>
      <c r="E12004" s="7"/>
    </row>
    <row r="12005" spans="3:5">
      <c r="C12005" s="17"/>
      <c r="D12005" s="17"/>
      <c r="E12005" s="7"/>
    </row>
    <row r="12006" spans="3:5">
      <c r="C12006" s="17"/>
      <c r="D12006" s="17"/>
      <c r="E12006" s="7"/>
    </row>
    <row r="12007" spans="3:5">
      <c r="C12007" s="17"/>
      <c r="D12007" s="17"/>
      <c r="E12007" s="7"/>
    </row>
    <row r="12008" spans="3:5">
      <c r="C12008" s="17"/>
      <c r="D12008" s="17"/>
      <c r="E12008" s="7"/>
    </row>
    <row r="12009" spans="3:5">
      <c r="C12009" s="17"/>
      <c r="D12009" s="17"/>
      <c r="E12009" s="7"/>
    </row>
    <row r="12010" spans="3:5">
      <c r="C12010" s="17"/>
      <c r="D12010" s="17"/>
      <c r="E12010" s="7"/>
    </row>
    <row r="12011" spans="3:5">
      <c r="C12011" s="17"/>
      <c r="D12011" s="17"/>
      <c r="E12011" s="7"/>
    </row>
    <row r="12012" spans="3:5">
      <c r="C12012" s="17"/>
      <c r="D12012" s="17"/>
      <c r="E12012" s="7"/>
    </row>
    <row r="12013" spans="3:5">
      <c r="C12013" s="17"/>
      <c r="D12013" s="17"/>
      <c r="E12013" s="7"/>
    </row>
    <row r="12014" spans="3:5">
      <c r="C12014" s="17"/>
      <c r="D12014" s="17"/>
      <c r="E12014" s="7"/>
    </row>
    <row r="12015" spans="3:5">
      <c r="C12015" s="17"/>
      <c r="D12015" s="17"/>
      <c r="E12015" s="7"/>
    </row>
    <row r="12016" spans="3:5">
      <c r="C12016" s="17"/>
      <c r="D12016" s="17"/>
      <c r="E12016" s="7"/>
    </row>
    <row r="12017" spans="3:5">
      <c r="C12017" s="17"/>
      <c r="D12017" s="17"/>
      <c r="E12017" s="7"/>
    </row>
    <row r="12018" spans="3:5">
      <c r="C12018" s="17"/>
      <c r="D12018" s="17"/>
      <c r="E12018" s="7"/>
    </row>
    <row r="12019" spans="3:5">
      <c r="C12019" s="17"/>
      <c r="D12019" s="17"/>
      <c r="E12019" s="7"/>
    </row>
    <row r="12020" spans="3:5">
      <c r="C12020" s="17"/>
      <c r="D12020" s="17"/>
      <c r="E12020" s="7"/>
    </row>
    <row r="12021" spans="3:5">
      <c r="C12021" s="17"/>
      <c r="D12021" s="17"/>
      <c r="E12021" s="7"/>
    </row>
    <row r="12022" spans="3:5">
      <c r="C12022" s="17"/>
      <c r="D12022" s="17"/>
      <c r="E12022" s="7"/>
    </row>
    <row r="12023" spans="3:5">
      <c r="C12023" s="17"/>
      <c r="D12023" s="17"/>
      <c r="E12023" s="7"/>
    </row>
    <row r="12024" spans="3:5">
      <c r="C12024" s="17"/>
      <c r="D12024" s="17"/>
      <c r="E12024" s="7"/>
    </row>
    <row r="12025" spans="3:5">
      <c r="C12025" s="17"/>
      <c r="D12025" s="17"/>
      <c r="E12025" s="7"/>
    </row>
    <row r="12026" spans="3:5">
      <c r="C12026" s="17"/>
      <c r="D12026" s="17"/>
      <c r="E12026" s="7"/>
    </row>
    <row r="12027" spans="3:5">
      <c r="C12027" s="17"/>
      <c r="D12027" s="17"/>
      <c r="E12027" s="7"/>
    </row>
    <row r="12028" spans="3:5">
      <c r="C12028" s="17"/>
      <c r="D12028" s="17"/>
      <c r="E12028" s="7"/>
    </row>
    <row r="12029" spans="3:5">
      <c r="C12029" s="17"/>
      <c r="D12029" s="17"/>
      <c r="E12029" s="7"/>
    </row>
    <row r="12030" spans="3:5">
      <c r="C12030" s="17"/>
      <c r="D12030" s="17"/>
      <c r="E12030" s="7"/>
    </row>
    <row r="12031" spans="3:5">
      <c r="C12031" s="17"/>
      <c r="D12031" s="17"/>
      <c r="E12031" s="7"/>
    </row>
    <row r="12032" spans="3:5">
      <c r="C12032" s="17"/>
      <c r="D12032" s="17"/>
      <c r="E12032" s="7"/>
    </row>
    <row r="12033" spans="3:5">
      <c r="C12033" s="17"/>
      <c r="D12033" s="17"/>
      <c r="E12033" s="7"/>
    </row>
    <row r="12034" spans="3:5">
      <c r="C12034" s="17"/>
      <c r="D12034" s="17"/>
      <c r="E12034" s="7"/>
    </row>
    <row r="12035" spans="3:5">
      <c r="C12035" s="17"/>
      <c r="D12035" s="17"/>
      <c r="E12035" s="7"/>
    </row>
    <row r="12036" spans="3:5">
      <c r="C12036" s="17"/>
      <c r="D12036" s="17"/>
      <c r="E12036" s="7"/>
    </row>
    <row r="12037" spans="3:5">
      <c r="C12037" s="17"/>
      <c r="D12037" s="17"/>
      <c r="E12037" s="7"/>
    </row>
    <row r="12038" spans="3:5">
      <c r="C12038" s="17"/>
      <c r="D12038" s="17"/>
      <c r="E12038" s="7"/>
    </row>
    <row r="12039" spans="3:5">
      <c r="C12039" s="17"/>
      <c r="D12039" s="17"/>
      <c r="E12039" s="7"/>
    </row>
    <row r="12040" spans="3:5">
      <c r="C12040" s="17"/>
      <c r="D12040" s="17"/>
      <c r="E12040" s="7"/>
    </row>
    <row r="12041" spans="3:5">
      <c r="C12041" s="17"/>
      <c r="D12041" s="17"/>
      <c r="E12041" s="7"/>
    </row>
    <row r="12042" spans="3:5">
      <c r="C12042" s="17"/>
      <c r="D12042" s="17"/>
      <c r="E12042" s="7"/>
    </row>
    <row r="12043" spans="3:5">
      <c r="C12043" s="17"/>
      <c r="D12043" s="17"/>
      <c r="E12043" s="7"/>
    </row>
    <row r="12044" spans="3:5">
      <c r="C12044" s="17"/>
      <c r="D12044" s="17"/>
      <c r="E12044" s="7"/>
    </row>
    <row r="12045" spans="3:5">
      <c r="C12045" s="17"/>
      <c r="D12045" s="17"/>
      <c r="E12045" s="7"/>
    </row>
    <row r="12046" spans="3:5">
      <c r="C12046" s="17"/>
      <c r="D12046" s="17"/>
      <c r="E12046" s="7"/>
    </row>
    <row r="12047" spans="3:5">
      <c r="C12047" s="17"/>
      <c r="D12047" s="17"/>
      <c r="E12047" s="7"/>
    </row>
    <row r="12048" spans="3:5">
      <c r="C12048" s="17"/>
      <c r="D12048" s="17"/>
      <c r="E12048" s="7"/>
    </row>
    <row r="12049" spans="3:5">
      <c r="C12049" s="17"/>
      <c r="D12049" s="17"/>
      <c r="E12049" s="7"/>
    </row>
    <row r="12050" spans="3:5">
      <c r="C12050" s="17"/>
      <c r="D12050" s="17"/>
      <c r="E12050" s="7"/>
    </row>
    <row r="12051" spans="3:5">
      <c r="C12051" s="17"/>
      <c r="D12051" s="17"/>
      <c r="E12051" s="7"/>
    </row>
    <row r="12052" spans="3:5">
      <c r="C12052" s="17"/>
      <c r="D12052" s="17"/>
      <c r="E12052" s="7"/>
    </row>
    <row r="12053" spans="3:5">
      <c r="C12053" s="17"/>
      <c r="D12053" s="17"/>
      <c r="E12053" s="7"/>
    </row>
    <row r="12054" spans="3:5">
      <c r="C12054" s="17"/>
      <c r="D12054" s="17"/>
      <c r="E12054" s="7"/>
    </row>
    <row r="12055" spans="3:5">
      <c r="C12055" s="17"/>
      <c r="D12055" s="17"/>
      <c r="E12055" s="7"/>
    </row>
    <row r="12056" spans="3:5">
      <c r="C12056" s="17"/>
      <c r="D12056" s="17"/>
      <c r="E12056" s="7"/>
    </row>
    <row r="12057" spans="3:5">
      <c r="C12057" s="17"/>
      <c r="D12057" s="17"/>
      <c r="E12057" s="7"/>
    </row>
    <row r="12058" spans="3:5">
      <c r="C12058" s="17"/>
      <c r="D12058" s="17"/>
      <c r="E12058" s="7"/>
    </row>
    <row r="12059" spans="3:5">
      <c r="C12059" s="17"/>
      <c r="D12059" s="17"/>
      <c r="E12059" s="7"/>
    </row>
    <row r="12060" spans="3:5">
      <c r="C12060" s="17"/>
      <c r="D12060" s="17"/>
      <c r="E12060" s="7"/>
    </row>
    <row r="12061" spans="3:5">
      <c r="C12061" s="17"/>
      <c r="D12061" s="17"/>
      <c r="E12061" s="7"/>
    </row>
    <row r="12062" spans="3:5">
      <c r="C12062" s="17"/>
      <c r="D12062" s="17"/>
      <c r="E12062" s="7"/>
    </row>
    <row r="12063" spans="3:5">
      <c r="C12063" s="17"/>
      <c r="D12063" s="17"/>
      <c r="E12063" s="7"/>
    </row>
    <row r="12064" spans="3:5">
      <c r="C12064" s="17"/>
      <c r="D12064" s="17"/>
      <c r="E12064" s="7"/>
    </row>
    <row r="12065" spans="3:5">
      <c r="C12065" s="17"/>
      <c r="D12065" s="17"/>
      <c r="E12065" s="7"/>
    </row>
    <row r="12066" spans="3:5">
      <c r="C12066" s="17"/>
      <c r="D12066" s="17"/>
      <c r="E12066" s="7"/>
    </row>
    <row r="12067" spans="3:5">
      <c r="C12067" s="17"/>
      <c r="D12067" s="17"/>
      <c r="E12067" s="7"/>
    </row>
    <row r="12068" spans="3:5">
      <c r="C12068" s="17"/>
      <c r="D12068" s="17"/>
      <c r="E12068" s="7"/>
    </row>
    <row r="12069" spans="3:5">
      <c r="C12069" s="17"/>
      <c r="D12069" s="17"/>
      <c r="E12069" s="7"/>
    </row>
    <row r="12070" spans="3:5">
      <c r="C12070" s="17"/>
      <c r="D12070" s="17"/>
      <c r="E12070" s="7"/>
    </row>
    <row r="12071" spans="3:5">
      <c r="C12071" s="17"/>
      <c r="D12071" s="17"/>
      <c r="E12071" s="7"/>
    </row>
    <row r="12072" spans="3:5">
      <c r="C12072" s="17"/>
      <c r="D12072" s="17"/>
      <c r="E12072" s="7"/>
    </row>
    <row r="12073" spans="3:5">
      <c r="C12073" s="17"/>
      <c r="D12073" s="17"/>
      <c r="E12073" s="7"/>
    </row>
    <row r="12074" spans="3:5">
      <c r="C12074" s="17"/>
      <c r="D12074" s="17"/>
      <c r="E12074" s="7"/>
    </row>
    <row r="12075" spans="3:5">
      <c r="C12075" s="17"/>
      <c r="D12075" s="17"/>
      <c r="E12075" s="7"/>
    </row>
    <row r="12076" spans="3:5">
      <c r="C12076" s="17"/>
      <c r="D12076" s="17"/>
      <c r="E12076" s="7"/>
    </row>
    <row r="12077" spans="3:5">
      <c r="C12077" s="17"/>
      <c r="D12077" s="17"/>
      <c r="E12077" s="7"/>
    </row>
    <row r="12078" spans="3:5">
      <c r="C12078" s="17"/>
      <c r="D12078" s="17"/>
      <c r="E12078" s="7"/>
    </row>
    <row r="12079" spans="3:5">
      <c r="C12079" s="17"/>
      <c r="D12079" s="17"/>
      <c r="E12079" s="7"/>
    </row>
    <row r="12080" spans="3:5">
      <c r="C12080" s="17"/>
      <c r="D12080" s="17"/>
      <c r="E12080" s="7"/>
    </row>
    <row r="12081" spans="3:5">
      <c r="C12081" s="17"/>
      <c r="D12081" s="17"/>
      <c r="E12081" s="7"/>
    </row>
    <row r="12082" spans="3:5">
      <c r="C12082" s="17"/>
      <c r="D12082" s="17"/>
      <c r="E12082" s="7"/>
    </row>
    <row r="12083" spans="3:5">
      <c r="C12083" s="17"/>
      <c r="D12083" s="17"/>
      <c r="E12083" s="7"/>
    </row>
    <row r="12084" spans="3:5">
      <c r="C12084" s="17"/>
      <c r="D12084" s="17"/>
      <c r="E12084" s="7"/>
    </row>
    <row r="12085" spans="3:5">
      <c r="C12085" s="17"/>
      <c r="D12085" s="17"/>
      <c r="E12085" s="7"/>
    </row>
    <row r="12086" spans="3:5">
      <c r="C12086" s="17"/>
      <c r="D12086" s="17"/>
      <c r="E12086" s="7"/>
    </row>
    <row r="12087" spans="3:5">
      <c r="C12087" s="17"/>
      <c r="D12087" s="17"/>
      <c r="E12087" s="7"/>
    </row>
    <row r="12088" spans="3:5">
      <c r="C12088" s="17"/>
      <c r="D12088" s="17"/>
      <c r="E12088" s="7"/>
    </row>
    <row r="12089" spans="3:5">
      <c r="C12089" s="17"/>
      <c r="D12089" s="17"/>
      <c r="E12089" s="7"/>
    </row>
    <row r="12090" spans="3:5">
      <c r="C12090" s="17"/>
      <c r="D12090" s="17"/>
      <c r="E12090" s="7"/>
    </row>
    <row r="12091" spans="3:5">
      <c r="C12091" s="17"/>
      <c r="D12091" s="17"/>
      <c r="E12091" s="7"/>
    </row>
    <row r="12092" spans="3:5">
      <c r="C12092" s="17"/>
      <c r="D12092" s="17"/>
      <c r="E12092" s="7"/>
    </row>
    <row r="12093" spans="3:5">
      <c r="C12093" s="17"/>
      <c r="D12093" s="17"/>
      <c r="E12093" s="7"/>
    </row>
    <row r="12094" spans="3:5">
      <c r="C12094" s="17"/>
      <c r="D12094" s="17"/>
      <c r="E12094" s="7"/>
    </row>
    <row r="12095" spans="3:5">
      <c r="C12095" s="17"/>
      <c r="D12095" s="17"/>
      <c r="E12095" s="7"/>
    </row>
    <row r="12096" spans="3:5">
      <c r="C12096" s="17"/>
      <c r="D12096" s="17"/>
      <c r="E12096" s="7"/>
    </row>
    <row r="12097" spans="3:5">
      <c r="C12097" s="17"/>
      <c r="D12097" s="17"/>
      <c r="E12097" s="7"/>
    </row>
    <row r="12098" spans="3:5">
      <c r="C12098" s="17"/>
      <c r="D12098" s="17"/>
      <c r="E12098" s="7"/>
    </row>
    <row r="12099" spans="3:5">
      <c r="C12099" s="17"/>
      <c r="D12099" s="17"/>
      <c r="E12099" s="7"/>
    </row>
    <row r="12100" spans="3:5">
      <c r="C12100" s="17"/>
      <c r="D12100" s="17"/>
      <c r="E12100" s="7"/>
    </row>
    <row r="12101" spans="3:5">
      <c r="C12101" s="17"/>
      <c r="D12101" s="17"/>
      <c r="E12101" s="7"/>
    </row>
    <row r="12102" spans="3:5">
      <c r="C12102" s="17"/>
      <c r="D12102" s="17"/>
      <c r="E12102" s="7"/>
    </row>
    <row r="12103" spans="3:5">
      <c r="C12103" s="17"/>
      <c r="D12103" s="17"/>
      <c r="E12103" s="7"/>
    </row>
    <row r="12104" spans="3:5">
      <c r="C12104" s="17"/>
      <c r="D12104" s="17"/>
      <c r="E12104" s="7"/>
    </row>
    <row r="12105" spans="3:5">
      <c r="C12105" s="17"/>
      <c r="D12105" s="17"/>
      <c r="E12105" s="7"/>
    </row>
    <row r="12106" spans="3:5">
      <c r="C12106" s="17"/>
      <c r="D12106" s="17"/>
      <c r="E12106" s="7"/>
    </row>
    <row r="12107" spans="3:5">
      <c r="C12107" s="17"/>
      <c r="D12107" s="17"/>
      <c r="E12107" s="7"/>
    </row>
    <row r="12108" spans="3:5">
      <c r="C12108" s="17"/>
      <c r="D12108" s="17"/>
      <c r="E12108" s="7"/>
    </row>
    <row r="12109" spans="3:5">
      <c r="C12109" s="17"/>
      <c r="D12109" s="17"/>
      <c r="E12109" s="7"/>
    </row>
    <row r="12110" spans="3:5">
      <c r="C12110" s="17"/>
      <c r="D12110" s="17"/>
      <c r="E12110" s="7"/>
    </row>
    <row r="12111" spans="3:5">
      <c r="C12111" s="17"/>
      <c r="D12111" s="17"/>
      <c r="E12111" s="7"/>
    </row>
    <row r="12112" spans="3:5">
      <c r="C12112" s="17"/>
      <c r="D12112" s="17"/>
      <c r="E12112" s="7"/>
    </row>
    <row r="12113" spans="3:5">
      <c r="C12113" s="17"/>
      <c r="D12113" s="17"/>
      <c r="E12113" s="7"/>
    </row>
    <row r="12114" spans="3:5">
      <c r="C12114" s="17"/>
      <c r="D12114" s="17"/>
      <c r="E12114" s="7"/>
    </row>
    <row r="12115" spans="3:5">
      <c r="C12115" s="17"/>
      <c r="D12115" s="17"/>
      <c r="E12115" s="7"/>
    </row>
    <row r="12116" spans="3:5">
      <c r="C12116" s="17"/>
      <c r="D12116" s="17"/>
      <c r="E12116" s="7"/>
    </row>
    <row r="12117" spans="3:5">
      <c r="C12117" s="17"/>
      <c r="D12117" s="17"/>
      <c r="E12117" s="7"/>
    </row>
    <row r="12118" spans="3:5">
      <c r="C12118" s="17"/>
      <c r="D12118" s="17"/>
      <c r="E12118" s="7"/>
    </row>
    <row r="12119" spans="3:5">
      <c r="C12119" s="17"/>
      <c r="D12119" s="17"/>
      <c r="E12119" s="7"/>
    </row>
    <row r="12120" spans="3:5">
      <c r="C12120" s="17"/>
      <c r="D12120" s="17"/>
      <c r="E12120" s="7"/>
    </row>
    <row r="12121" spans="3:5">
      <c r="C12121" s="17"/>
      <c r="D12121" s="17"/>
      <c r="E12121" s="7"/>
    </row>
    <row r="12122" spans="3:5">
      <c r="C12122" s="17"/>
      <c r="D12122" s="17"/>
      <c r="E12122" s="7"/>
    </row>
    <row r="12123" spans="3:5">
      <c r="C12123" s="17"/>
      <c r="D12123" s="17"/>
      <c r="E12123" s="7"/>
    </row>
    <row r="12124" spans="3:5">
      <c r="C12124" s="17"/>
      <c r="D12124" s="17"/>
      <c r="E12124" s="7"/>
    </row>
    <row r="12125" spans="3:5">
      <c r="C12125" s="17"/>
      <c r="D12125" s="17"/>
      <c r="E12125" s="7"/>
    </row>
    <row r="12126" spans="3:5">
      <c r="C12126" s="17"/>
      <c r="D12126" s="17"/>
      <c r="E12126" s="7"/>
    </row>
    <row r="12127" spans="3:5">
      <c r="C12127" s="17"/>
      <c r="D12127" s="17"/>
      <c r="E12127" s="7"/>
    </row>
    <row r="12128" spans="3:5">
      <c r="C12128" s="17"/>
      <c r="D12128" s="17"/>
      <c r="E12128" s="7"/>
    </row>
    <row r="12129" spans="3:5">
      <c r="C12129" s="17"/>
      <c r="D12129" s="17"/>
      <c r="E12129" s="7"/>
    </row>
    <row r="12130" spans="3:5">
      <c r="C12130" s="17"/>
      <c r="D12130" s="17"/>
      <c r="E12130" s="7"/>
    </row>
    <row r="12131" spans="3:5">
      <c r="C12131" s="17"/>
      <c r="D12131" s="17"/>
      <c r="E12131" s="7"/>
    </row>
    <row r="12132" spans="3:5">
      <c r="C12132" s="17"/>
      <c r="D12132" s="17"/>
      <c r="E12132" s="7"/>
    </row>
    <row r="12133" spans="3:5">
      <c r="C12133" s="17"/>
      <c r="D12133" s="17"/>
      <c r="E12133" s="7"/>
    </row>
    <row r="12134" spans="3:5">
      <c r="C12134" s="17"/>
      <c r="D12134" s="17"/>
      <c r="E12134" s="7"/>
    </row>
    <row r="12135" spans="3:5">
      <c r="C12135" s="17"/>
      <c r="D12135" s="17"/>
      <c r="E12135" s="7"/>
    </row>
    <row r="12136" spans="3:5">
      <c r="C12136" s="17"/>
      <c r="D12136" s="17"/>
      <c r="E12136" s="7"/>
    </row>
    <row r="12137" spans="3:5">
      <c r="C12137" s="17"/>
      <c r="D12137" s="17"/>
      <c r="E12137" s="7"/>
    </row>
    <row r="12138" spans="3:5">
      <c r="C12138" s="17"/>
      <c r="D12138" s="17"/>
      <c r="E12138" s="7"/>
    </row>
    <row r="12139" spans="3:5">
      <c r="C12139" s="17"/>
      <c r="D12139" s="17"/>
      <c r="E12139" s="7"/>
    </row>
    <row r="12140" spans="3:5">
      <c r="C12140" s="17"/>
      <c r="D12140" s="17"/>
      <c r="E12140" s="7"/>
    </row>
    <row r="12141" spans="3:5">
      <c r="C12141" s="17"/>
      <c r="D12141" s="17"/>
      <c r="E12141" s="7"/>
    </row>
    <row r="12142" spans="3:5">
      <c r="C12142" s="17"/>
      <c r="D12142" s="17"/>
      <c r="E12142" s="7"/>
    </row>
    <row r="12143" spans="3:5">
      <c r="C12143" s="17"/>
      <c r="D12143" s="17"/>
      <c r="E12143" s="7"/>
    </row>
    <row r="12144" spans="3:5">
      <c r="C12144" s="17"/>
      <c r="D12144" s="17"/>
      <c r="E12144" s="7"/>
    </row>
    <row r="12145" spans="3:5">
      <c r="C12145" s="17"/>
      <c r="D12145" s="17"/>
      <c r="E12145" s="7"/>
    </row>
    <row r="12146" spans="3:5">
      <c r="C12146" s="17"/>
      <c r="D12146" s="17"/>
      <c r="E12146" s="7"/>
    </row>
    <row r="12147" spans="3:5">
      <c r="C12147" s="17"/>
      <c r="D12147" s="17"/>
      <c r="E12147" s="7"/>
    </row>
    <row r="12148" spans="3:5">
      <c r="C12148" s="17"/>
      <c r="D12148" s="17"/>
      <c r="E12148" s="7"/>
    </row>
    <row r="12149" spans="3:5">
      <c r="C12149" s="17"/>
      <c r="D12149" s="17"/>
      <c r="E12149" s="7"/>
    </row>
    <row r="12150" spans="3:5">
      <c r="C12150" s="17"/>
      <c r="D12150" s="17"/>
      <c r="E12150" s="7"/>
    </row>
    <row r="12151" spans="3:5">
      <c r="C12151" s="17"/>
      <c r="D12151" s="17"/>
      <c r="E12151" s="7"/>
    </row>
    <row r="12152" spans="3:5">
      <c r="C12152" s="17"/>
      <c r="D12152" s="17"/>
      <c r="E12152" s="7"/>
    </row>
    <row r="12153" spans="3:5">
      <c r="C12153" s="17"/>
      <c r="D12153" s="17"/>
      <c r="E12153" s="7"/>
    </row>
    <row r="12154" spans="3:5">
      <c r="C12154" s="17"/>
      <c r="D12154" s="17"/>
      <c r="E12154" s="7"/>
    </row>
    <row r="12155" spans="3:5">
      <c r="C12155" s="17"/>
      <c r="D12155" s="17"/>
      <c r="E12155" s="7"/>
    </row>
    <row r="12156" spans="3:5">
      <c r="C12156" s="17"/>
      <c r="D12156" s="17"/>
      <c r="E12156" s="7"/>
    </row>
    <row r="12157" spans="3:5">
      <c r="C12157" s="17"/>
      <c r="D12157" s="17"/>
      <c r="E12157" s="7"/>
    </row>
    <row r="12158" spans="3:5">
      <c r="C12158" s="17"/>
      <c r="D12158" s="17"/>
      <c r="E12158" s="7"/>
    </row>
    <row r="12159" spans="3:5">
      <c r="C12159" s="17"/>
      <c r="D12159" s="17"/>
      <c r="E12159" s="7"/>
    </row>
    <row r="12160" spans="3:5">
      <c r="C12160" s="17"/>
      <c r="D12160" s="17"/>
      <c r="E12160" s="7"/>
    </row>
    <row r="12161" spans="3:5">
      <c r="C12161" s="17"/>
      <c r="D12161" s="17"/>
      <c r="E12161" s="7"/>
    </row>
    <row r="12162" spans="3:5">
      <c r="C12162" s="17"/>
      <c r="D12162" s="17"/>
      <c r="E12162" s="7"/>
    </row>
    <row r="12163" spans="3:5">
      <c r="C12163" s="17"/>
      <c r="D12163" s="17"/>
      <c r="E12163" s="7"/>
    </row>
    <row r="12164" spans="3:5">
      <c r="C12164" s="17"/>
      <c r="D12164" s="17"/>
      <c r="E12164" s="7"/>
    </row>
    <row r="12165" spans="3:5">
      <c r="C12165" s="17"/>
      <c r="D12165" s="17"/>
      <c r="E12165" s="7"/>
    </row>
    <row r="12166" spans="3:5">
      <c r="C12166" s="17"/>
      <c r="D12166" s="17"/>
      <c r="E12166" s="7"/>
    </row>
    <row r="12167" spans="3:5">
      <c r="C12167" s="17"/>
      <c r="D12167" s="17"/>
      <c r="E12167" s="7"/>
    </row>
    <row r="12168" spans="3:5">
      <c r="C12168" s="17"/>
      <c r="D12168" s="17"/>
      <c r="E12168" s="7"/>
    </row>
    <row r="12169" spans="3:5">
      <c r="C12169" s="17"/>
      <c r="D12169" s="17"/>
      <c r="E12169" s="7"/>
    </row>
    <row r="12170" spans="3:5">
      <c r="C12170" s="17"/>
      <c r="D12170" s="17"/>
      <c r="E12170" s="7"/>
    </row>
    <row r="12171" spans="3:5">
      <c r="C12171" s="17"/>
      <c r="D12171" s="17"/>
      <c r="E12171" s="7"/>
    </row>
    <row r="12172" spans="3:5">
      <c r="C12172" s="17"/>
      <c r="D12172" s="17"/>
      <c r="E12172" s="7"/>
    </row>
    <row r="12173" spans="3:5">
      <c r="C12173" s="17"/>
      <c r="D12173" s="17"/>
      <c r="E12173" s="7"/>
    </row>
    <row r="12174" spans="3:5">
      <c r="C12174" s="17"/>
      <c r="D12174" s="17"/>
      <c r="E12174" s="7"/>
    </row>
    <row r="12175" spans="3:5">
      <c r="C12175" s="17"/>
      <c r="D12175" s="17"/>
      <c r="E12175" s="7"/>
    </row>
    <row r="12176" spans="3:5">
      <c r="C12176" s="17"/>
      <c r="D12176" s="17"/>
      <c r="E12176" s="7"/>
    </row>
    <row r="12177" spans="3:5">
      <c r="C12177" s="17"/>
      <c r="D12177" s="17"/>
      <c r="E12177" s="7"/>
    </row>
    <row r="12178" spans="3:5">
      <c r="C12178" s="17"/>
      <c r="D12178" s="17"/>
      <c r="E12178" s="7"/>
    </row>
    <row r="12179" spans="3:5">
      <c r="C12179" s="17"/>
      <c r="D12179" s="17"/>
      <c r="E12179" s="7"/>
    </row>
    <row r="12180" spans="3:5">
      <c r="C12180" s="17"/>
      <c r="D12180" s="17"/>
      <c r="E12180" s="7"/>
    </row>
    <row r="12181" spans="3:5">
      <c r="C12181" s="17"/>
      <c r="D12181" s="17"/>
      <c r="E12181" s="7"/>
    </row>
    <row r="12182" spans="3:5">
      <c r="C12182" s="17"/>
      <c r="D12182" s="17"/>
      <c r="E12182" s="7"/>
    </row>
    <row r="12183" spans="3:5">
      <c r="C12183" s="17"/>
      <c r="D12183" s="17"/>
      <c r="E12183" s="7"/>
    </row>
    <row r="12184" spans="3:5">
      <c r="C12184" s="17"/>
      <c r="D12184" s="17"/>
      <c r="E12184" s="7"/>
    </row>
    <row r="12185" spans="3:5">
      <c r="C12185" s="17"/>
      <c r="D12185" s="17"/>
      <c r="E12185" s="7"/>
    </row>
    <row r="12186" spans="3:5">
      <c r="C12186" s="17"/>
      <c r="D12186" s="17"/>
      <c r="E12186" s="7"/>
    </row>
    <row r="12187" spans="3:5">
      <c r="C12187" s="17"/>
      <c r="D12187" s="17"/>
      <c r="E12187" s="7"/>
    </row>
    <row r="12188" spans="3:5">
      <c r="C12188" s="17"/>
      <c r="D12188" s="17"/>
      <c r="E12188" s="7"/>
    </row>
    <row r="12189" spans="3:5">
      <c r="C12189" s="17"/>
      <c r="D12189" s="17"/>
      <c r="E12189" s="7"/>
    </row>
    <row r="12190" spans="3:5">
      <c r="C12190" s="17"/>
      <c r="D12190" s="17"/>
      <c r="E12190" s="7"/>
    </row>
    <row r="12191" spans="3:5">
      <c r="C12191" s="17"/>
      <c r="D12191" s="17"/>
      <c r="E12191" s="7"/>
    </row>
    <row r="12192" spans="3:5">
      <c r="C12192" s="17"/>
      <c r="D12192" s="17"/>
      <c r="E12192" s="7"/>
    </row>
    <row r="12193" spans="3:5">
      <c r="C12193" s="17"/>
      <c r="D12193" s="17"/>
      <c r="E12193" s="7"/>
    </row>
    <row r="12194" spans="3:5">
      <c r="C12194" s="17"/>
      <c r="D12194" s="17"/>
      <c r="E12194" s="7"/>
    </row>
    <row r="12195" spans="3:5">
      <c r="C12195" s="17"/>
      <c r="D12195" s="17"/>
      <c r="E12195" s="7"/>
    </row>
    <row r="12196" spans="3:5">
      <c r="C12196" s="17"/>
      <c r="D12196" s="17"/>
      <c r="E12196" s="7"/>
    </row>
    <row r="12197" spans="3:5">
      <c r="C12197" s="17"/>
      <c r="D12197" s="17"/>
      <c r="E12197" s="7"/>
    </row>
    <row r="12198" spans="3:5">
      <c r="C12198" s="17"/>
      <c r="D12198" s="17"/>
      <c r="E12198" s="7"/>
    </row>
    <row r="12199" spans="3:5">
      <c r="C12199" s="17"/>
      <c r="D12199" s="17"/>
      <c r="E12199" s="7"/>
    </row>
    <row r="12200" spans="3:5">
      <c r="C12200" s="17"/>
      <c r="D12200" s="17"/>
      <c r="E12200" s="7"/>
    </row>
    <row r="12201" spans="3:5">
      <c r="C12201" s="17"/>
      <c r="D12201" s="17"/>
      <c r="E12201" s="7"/>
    </row>
    <row r="12202" spans="3:5">
      <c r="C12202" s="17"/>
      <c r="D12202" s="17"/>
      <c r="E12202" s="7"/>
    </row>
    <row r="12203" spans="3:5">
      <c r="C12203" s="17"/>
      <c r="D12203" s="17"/>
      <c r="E12203" s="7"/>
    </row>
    <row r="12204" spans="3:5">
      <c r="C12204" s="17"/>
      <c r="D12204" s="17"/>
      <c r="E12204" s="7"/>
    </row>
    <row r="12205" spans="3:5">
      <c r="C12205" s="17"/>
      <c r="D12205" s="17"/>
      <c r="E12205" s="7"/>
    </row>
    <row r="12206" spans="3:5">
      <c r="C12206" s="17"/>
      <c r="D12206" s="17"/>
      <c r="E12206" s="7"/>
    </row>
    <row r="12207" spans="3:5">
      <c r="C12207" s="17"/>
      <c r="D12207" s="17"/>
      <c r="E12207" s="7"/>
    </row>
    <row r="12208" spans="3:5">
      <c r="C12208" s="17"/>
      <c r="D12208" s="17"/>
      <c r="E12208" s="7"/>
    </row>
    <row r="12209" spans="3:5">
      <c r="C12209" s="17"/>
      <c r="D12209" s="17"/>
      <c r="E12209" s="7"/>
    </row>
    <row r="12210" spans="3:5">
      <c r="C12210" s="17"/>
      <c r="D12210" s="17"/>
      <c r="E12210" s="7"/>
    </row>
    <row r="12211" spans="3:5">
      <c r="C12211" s="17"/>
      <c r="D12211" s="17"/>
      <c r="E12211" s="7"/>
    </row>
    <row r="12212" spans="3:5">
      <c r="C12212" s="17"/>
      <c r="D12212" s="17"/>
      <c r="E12212" s="7"/>
    </row>
    <row r="12213" spans="3:5">
      <c r="C12213" s="17"/>
      <c r="D12213" s="17"/>
      <c r="E12213" s="7"/>
    </row>
    <row r="12214" spans="3:5">
      <c r="C12214" s="17"/>
      <c r="D12214" s="17"/>
      <c r="E12214" s="7"/>
    </row>
    <row r="12215" spans="3:5">
      <c r="C12215" s="17"/>
      <c r="D12215" s="17"/>
      <c r="E12215" s="7"/>
    </row>
    <row r="12216" spans="3:5">
      <c r="C12216" s="17"/>
      <c r="D12216" s="17"/>
      <c r="E12216" s="7"/>
    </row>
    <row r="12217" spans="3:5">
      <c r="C12217" s="17"/>
      <c r="D12217" s="17"/>
      <c r="E12217" s="7"/>
    </row>
    <row r="12218" spans="3:5">
      <c r="C12218" s="17"/>
      <c r="D12218" s="17"/>
      <c r="E12218" s="7"/>
    </row>
    <row r="12219" spans="3:5">
      <c r="C12219" s="17"/>
      <c r="D12219" s="17"/>
      <c r="E12219" s="7"/>
    </row>
    <row r="12220" spans="3:5">
      <c r="C12220" s="17"/>
      <c r="D12220" s="17"/>
      <c r="E12220" s="7"/>
    </row>
    <row r="12221" spans="3:5">
      <c r="C12221" s="17"/>
      <c r="D12221" s="17"/>
      <c r="E12221" s="7"/>
    </row>
    <row r="12222" spans="3:5">
      <c r="C12222" s="17"/>
      <c r="D12222" s="17"/>
      <c r="E12222" s="7"/>
    </row>
    <row r="12223" spans="3:5">
      <c r="C12223" s="17"/>
      <c r="D12223" s="17"/>
      <c r="E12223" s="7"/>
    </row>
    <row r="12224" spans="3:5">
      <c r="C12224" s="17"/>
      <c r="D12224" s="17"/>
      <c r="E12224" s="7"/>
    </row>
    <row r="12225" spans="3:5">
      <c r="C12225" s="17"/>
      <c r="D12225" s="17"/>
      <c r="E12225" s="7"/>
    </row>
    <row r="12226" spans="3:5">
      <c r="C12226" s="17"/>
      <c r="D12226" s="17"/>
      <c r="E12226" s="7"/>
    </row>
    <row r="12227" spans="3:5">
      <c r="C12227" s="17"/>
      <c r="D12227" s="17"/>
      <c r="E12227" s="7"/>
    </row>
    <row r="12228" spans="3:5">
      <c r="C12228" s="17"/>
      <c r="D12228" s="17"/>
      <c r="E12228" s="7"/>
    </row>
    <row r="12229" spans="3:5">
      <c r="C12229" s="17"/>
      <c r="D12229" s="17"/>
      <c r="E12229" s="7"/>
    </row>
    <row r="12230" spans="3:5">
      <c r="C12230" s="17"/>
      <c r="D12230" s="17"/>
      <c r="E12230" s="7"/>
    </row>
    <row r="12231" spans="3:5">
      <c r="C12231" s="17"/>
      <c r="D12231" s="17"/>
      <c r="E12231" s="7"/>
    </row>
    <row r="12232" spans="3:5">
      <c r="C12232" s="17"/>
      <c r="D12232" s="17"/>
      <c r="E12232" s="7"/>
    </row>
    <row r="12233" spans="3:5">
      <c r="C12233" s="17"/>
      <c r="D12233" s="17"/>
      <c r="E12233" s="7"/>
    </row>
    <row r="12234" spans="3:5">
      <c r="C12234" s="17"/>
      <c r="D12234" s="17"/>
      <c r="E12234" s="7"/>
    </row>
    <row r="12235" spans="3:5">
      <c r="C12235" s="17"/>
      <c r="D12235" s="17"/>
      <c r="E12235" s="7"/>
    </row>
    <row r="12236" spans="3:5">
      <c r="C12236" s="17"/>
      <c r="D12236" s="17"/>
      <c r="E12236" s="7"/>
    </row>
    <row r="12237" spans="3:5">
      <c r="C12237" s="17"/>
      <c r="D12237" s="17"/>
      <c r="E12237" s="7"/>
    </row>
    <row r="12238" spans="3:5">
      <c r="C12238" s="17"/>
      <c r="D12238" s="17"/>
      <c r="E12238" s="7"/>
    </row>
    <row r="12239" spans="3:5">
      <c r="C12239" s="17"/>
      <c r="D12239" s="17"/>
      <c r="E12239" s="7"/>
    </row>
    <row r="12240" spans="3:5">
      <c r="C12240" s="17"/>
      <c r="D12240" s="17"/>
      <c r="E12240" s="7"/>
    </row>
    <row r="12241" spans="3:5">
      <c r="C12241" s="17"/>
      <c r="D12241" s="17"/>
      <c r="E12241" s="7"/>
    </row>
    <row r="12242" spans="3:5">
      <c r="C12242" s="17"/>
      <c r="D12242" s="17"/>
      <c r="E12242" s="7"/>
    </row>
    <row r="12243" spans="3:5">
      <c r="C12243" s="17"/>
      <c r="D12243" s="17"/>
      <c r="E12243" s="7"/>
    </row>
    <row r="12244" spans="3:5">
      <c r="C12244" s="17"/>
      <c r="D12244" s="17"/>
      <c r="E12244" s="7"/>
    </row>
    <row r="12245" spans="3:5">
      <c r="C12245" s="17"/>
      <c r="D12245" s="17"/>
      <c r="E12245" s="7"/>
    </row>
    <row r="12246" spans="3:5">
      <c r="C12246" s="17"/>
      <c r="D12246" s="17"/>
      <c r="E12246" s="7"/>
    </row>
    <row r="12247" spans="3:5">
      <c r="C12247" s="17"/>
      <c r="D12247" s="17"/>
      <c r="E12247" s="7"/>
    </row>
    <row r="12248" spans="3:5">
      <c r="C12248" s="17"/>
      <c r="D12248" s="17"/>
      <c r="E12248" s="7"/>
    </row>
    <row r="12249" spans="3:5">
      <c r="C12249" s="17"/>
      <c r="D12249" s="17"/>
      <c r="E12249" s="7"/>
    </row>
    <row r="12250" spans="3:5">
      <c r="C12250" s="17"/>
      <c r="D12250" s="17"/>
      <c r="E12250" s="7"/>
    </row>
    <row r="12251" spans="3:5">
      <c r="C12251" s="17"/>
      <c r="D12251" s="17"/>
      <c r="E12251" s="7"/>
    </row>
    <row r="12252" spans="3:5">
      <c r="C12252" s="17"/>
      <c r="D12252" s="17"/>
      <c r="E12252" s="7"/>
    </row>
    <row r="12253" spans="3:5">
      <c r="C12253" s="17"/>
      <c r="D12253" s="17"/>
      <c r="E12253" s="7"/>
    </row>
    <row r="12254" spans="3:5">
      <c r="C12254" s="17"/>
      <c r="D12254" s="17"/>
      <c r="E12254" s="7"/>
    </row>
    <row r="12255" spans="3:5">
      <c r="C12255" s="17"/>
      <c r="D12255" s="17"/>
      <c r="E12255" s="7"/>
    </row>
    <row r="12256" spans="3:5">
      <c r="C12256" s="17"/>
      <c r="D12256" s="17"/>
      <c r="E12256" s="7"/>
    </row>
    <row r="12257" spans="3:5">
      <c r="C12257" s="17"/>
      <c r="D12257" s="17"/>
      <c r="E12257" s="7"/>
    </row>
    <row r="12258" spans="3:5">
      <c r="C12258" s="17"/>
      <c r="D12258" s="17"/>
      <c r="E12258" s="7"/>
    </row>
    <row r="12259" spans="3:5">
      <c r="C12259" s="17"/>
      <c r="D12259" s="17"/>
      <c r="E12259" s="7"/>
    </row>
    <row r="12260" spans="3:5">
      <c r="C12260" s="17"/>
      <c r="D12260" s="17"/>
      <c r="E12260" s="7"/>
    </row>
    <row r="12261" spans="3:5">
      <c r="C12261" s="17"/>
      <c r="D12261" s="17"/>
      <c r="E12261" s="7"/>
    </row>
    <row r="12262" spans="3:5">
      <c r="C12262" s="17"/>
      <c r="D12262" s="17"/>
      <c r="E12262" s="7"/>
    </row>
    <row r="12263" spans="3:5">
      <c r="C12263" s="17"/>
      <c r="D12263" s="17"/>
      <c r="E12263" s="7"/>
    </row>
    <row r="12264" spans="3:5">
      <c r="C12264" s="17"/>
      <c r="D12264" s="17"/>
      <c r="E12264" s="7"/>
    </row>
    <row r="12265" spans="3:5">
      <c r="C12265" s="17"/>
      <c r="D12265" s="17"/>
      <c r="E12265" s="7"/>
    </row>
    <row r="12266" spans="3:5">
      <c r="C12266" s="17"/>
      <c r="D12266" s="17"/>
      <c r="E12266" s="7"/>
    </row>
    <row r="12267" spans="3:5">
      <c r="C12267" s="17"/>
      <c r="D12267" s="17"/>
      <c r="E12267" s="7"/>
    </row>
    <row r="12268" spans="3:5">
      <c r="C12268" s="17"/>
      <c r="D12268" s="17"/>
      <c r="E12268" s="7"/>
    </row>
    <row r="12269" spans="3:5">
      <c r="C12269" s="17"/>
      <c r="D12269" s="17"/>
      <c r="E12269" s="7"/>
    </row>
    <row r="12270" spans="3:5">
      <c r="C12270" s="17"/>
      <c r="D12270" s="17"/>
      <c r="E12270" s="7"/>
    </row>
    <row r="12271" spans="3:5">
      <c r="C12271" s="17"/>
      <c r="D12271" s="17"/>
      <c r="E12271" s="7"/>
    </row>
    <row r="12272" spans="3:5">
      <c r="C12272" s="17"/>
      <c r="D12272" s="17"/>
      <c r="E12272" s="7"/>
    </row>
    <row r="12273" spans="3:5">
      <c r="C12273" s="17"/>
      <c r="D12273" s="17"/>
      <c r="E12273" s="7"/>
    </row>
    <row r="12274" spans="3:5">
      <c r="C12274" s="17"/>
      <c r="D12274" s="17"/>
      <c r="E12274" s="7"/>
    </row>
    <row r="12275" spans="3:5">
      <c r="C12275" s="17"/>
      <c r="D12275" s="17"/>
      <c r="E12275" s="7"/>
    </row>
    <row r="12276" spans="3:5">
      <c r="C12276" s="17"/>
      <c r="D12276" s="17"/>
      <c r="E12276" s="7"/>
    </row>
    <row r="12277" spans="3:5">
      <c r="C12277" s="17"/>
      <c r="D12277" s="17"/>
      <c r="E12277" s="7"/>
    </row>
    <row r="12278" spans="3:5">
      <c r="C12278" s="17"/>
      <c r="D12278" s="17"/>
      <c r="E12278" s="7"/>
    </row>
    <row r="12279" spans="3:5">
      <c r="C12279" s="17"/>
      <c r="D12279" s="17"/>
      <c r="E12279" s="7"/>
    </row>
    <row r="12280" spans="3:5">
      <c r="C12280" s="17"/>
      <c r="D12280" s="17"/>
      <c r="E12280" s="7"/>
    </row>
    <row r="12281" spans="3:5">
      <c r="C12281" s="17"/>
      <c r="D12281" s="17"/>
      <c r="E12281" s="7"/>
    </row>
    <row r="12282" spans="3:5">
      <c r="C12282" s="17"/>
      <c r="D12282" s="17"/>
      <c r="E12282" s="7"/>
    </row>
    <row r="12283" spans="3:5">
      <c r="C12283" s="17"/>
      <c r="D12283" s="17"/>
      <c r="E12283" s="7"/>
    </row>
    <row r="12284" spans="3:5">
      <c r="C12284" s="17"/>
      <c r="D12284" s="17"/>
      <c r="E12284" s="7"/>
    </row>
    <row r="12285" spans="3:5">
      <c r="C12285" s="17"/>
      <c r="D12285" s="17"/>
      <c r="E12285" s="7"/>
    </row>
    <row r="12286" spans="3:5">
      <c r="C12286" s="17"/>
      <c r="D12286" s="17"/>
      <c r="E12286" s="7"/>
    </row>
    <row r="12287" spans="3:5">
      <c r="C12287" s="17"/>
      <c r="D12287" s="17"/>
      <c r="E12287" s="7"/>
    </row>
    <row r="12288" spans="3:5">
      <c r="C12288" s="17"/>
      <c r="D12288" s="17"/>
      <c r="E12288" s="7"/>
    </row>
    <row r="12289" spans="3:5">
      <c r="C12289" s="17"/>
      <c r="D12289" s="17"/>
      <c r="E12289" s="7"/>
    </row>
    <row r="12290" spans="3:5">
      <c r="C12290" s="17"/>
      <c r="D12290" s="17"/>
      <c r="E12290" s="7"/>
    </row>
    <row r="12291" spans="3:5">
      <c r="C12291" s="17"/>
      <c r="D12291" s="17"/>
      <c r="E12291" s="7"/>
    </row>
    <row r="12292" spans="3:5">
      <c r="C12292" s="17"/>
      <c r="D12292" s="17"/>
      <c r="E12292" s="7"/>
    </row>
    <row r="12293" spans="3:5">
      <c r="C12293" s="17"/>
      <c r="D12293" s="17"/>
      <c r="E12293" s="7"/>
    </row>
    <row r="12294" spans="3:5">
      <c r="C12294" s="17"/>
      <c r="D12294" s="17"/>
      <c r="E12294" s="7"/>
    </row>
    <row r="12295" spans="3:5">
      <c r="C12295" s="17"/>
      <c r="D12295" s="17"/>
      <c r="E12295" s="7"/>
    </row>
    <row r="12296" spans="3:5">
      <c r="C12296" s="17"/>
      <c r="D12296" s="17"/>
      <c r="E12296" s="7"/>
    </row>
    <row r="12297" spans="3:5">
      <c r="C12297" s="17"/>
      <c r="D12297" s="17"/>
      <c r="E12297" s="7"/>
    </row>
    <row r="12298" spans="3:5">
      <c r="C12298" s="17"/>
      <c r="D12298" s="17"/>
      <c r="E12298" s="7"/>
    </row>
    <row r="12299" spans="3:5">
      <c r="C12299" s="17"/>
      <c r="D12299" s="17"/>
      <c r="E12299" s="7"/>
    </row>
    <row r="12300" spans="3:5">
      <c r="C12300" s="17"/>
      <c r="D12300" s="17"/>
      <c r="E12300" s="7"/>
    </row>
    <row r="12301" spans="3:5">
      <c r="C12301" s="17"/>
      <c r="D12301" s="17"/>
      <c r="E12301" s="7"/>
    </row>
    <row r="12302" spans="3:5">
      <c r="C12302" s="17"/>
      <c r="D12302" s="17"/>
      <c r="E12302" s="7"/>
    </row>
    <row r="12303" spans="3:5">
      <c r="C12303" s="17"/>
      <c r="D12303" s="17"/>
      <c r="E12303" s="7"/>
    </row>
    <row r="12304" spans="3:5">
      <c r="C12304" s="17"/>
      <c r="D12304" s="17"/>
      <c r="E12304" s="7"/>
    </row>
    <row r="12305" spans="3:5">
      <c r="C12305" s="17"/>
      <c r="D12305" s="17"/>
      <c r="E12305" s="7"/>
    </row>
    <row r="12306" spans="3:5">
      <c r="C12306" s="17"/>
      <c r="D12306" s="17"/>
      <c r="E12306" s="7"/>
    </row>
    <row r="12307" spans="3:5">
      <c r="C12307" s="17"/>
      <c r="D12307" s="17"/>
      <c r="E12307" s="7"/>
    </row>
    <row r="12308" spans="3:5">
      <c r="C12308" s="17"/>
      <c r="D12308" s="17"/>
      <c r="E12308" s="7"/>
    </row>
    <row r="12309" spans="3:5">
      <c r="C12309" s="17"/>
      <c r="D12309" s="17"/>
      <c r="E12309" s="7"/>
    </row>
    <row r="12310" spans="3:5">
      <c r="C12310" s="17"/>
      <c r="D12310" s="17"/>
      <c r="E12310" s="7"/>
    </row>
    <row r="12311" spans="3:5">
      <c r="C12311" s="17"/>
      <c r="D12311" s="17"/>
      <c r="E12311" s="7"/>
    </row>
    <row r="12312" spans="3:5">
      <c r="C12312" s="17"/>
      <c r="D12312" s="17"/>
      <c r="E12312" s="7"/>
    </row>
    <row r="12313" spans="3:5">
      <c r="C12313" s="17"/>
      <c r="D12313" s="17"/>
      <c r="E12313" s="7"/>
    </row>
    <row r="12314" spans="3:5">
      <c r="C12314" s="17"/>
      <c r="D12314" s="17"/>
      <c r="E12314" s="7"/>
    </row>
    <row r="12315" spans="3:5">
      <c r="C12315" s="17"/>
      <c r="D12315" s="17"/>
      <c r="E12315" s="7"/>
    </row>
    <row r="12316" spans="3:5">
      <c r="C12316" s="17"/>
      <c r="D12316" s="17"/>
      <c r="E12316" s="7"/>
    </row>
    <row r="12317" spans="3:5">
      <c r="C12317" s="17"/>
      <c r="D12317" s="17"/>
      <c r="E12317" s="7"/>
    </row>
    <row r="12318" spans="3:5">
      <c r="C12318" s="17"/>
      <c r="D12318" s="17"/>
      <c r="E12318" s="7"/>
    </row>
    <row r="12319" spans="3:5">
      <c r="C12319" s="17"/>
      <c r="D12319" s="17"/>
      <c r="E12319" s="7"/>
    </row>
    <row r="12320" spans="3:5">
      <c r="C12320" s="17"/>
      <c r="D12320" s="17"/>
      <c r="E12320" s="7"/>
    </row>
    <row r="12321" spans="3:5">
      <c r="C12321" s="17"/>
      <c r="D12321" s="17"/>
      <c r="E12321" s="7"/>
    </row>
    <row r="12322" spans="3:5">
      <c r="C12322" s="17"/>
      <c r="D12322" s="17"/>
      <c r="E12322" s="7"/>
    </row>
    <row r="12323" spans="3:5">
      <c r="C12323" s="17"/>
      <c r="D12323" s="17"/>
      <c r="E12323" s="7"/>
    </row>
    <row r="12324" spans="3:5">
      <c r="C12324" s="17"/>
      <c r="D12324" s="17"/>
      <c r="E12324" s="7"/>
    </row>
    <row r="12325" spans="3:5">
      <c r="C12325" s="17"/>
      <c r="D12325" s="17"/>
      <c r="E12325" s="7"/>
    </row>
    <row r="12326" spans="3:5">
      <c r="C12326" s="17"/>
      <c r="D12326" s="17"/>
      <c r="E12326" s="7"/>
    </row>
    <row r="12327" spans="3:5">
      <c r="C12327" s="17"/>
      <c r="D12327" s="17"/>
      <c r="E12327" s="7"/>
    </row>
    <row r="12328" spans="3:5">
      <c r="C12328" s="17"/>
      <c r="D12328" s="17"/>
      <c r="E12328" s="7"/>
    </row>
    <row r="12329" spans="3:5">
      <c r="C12329" s="17"/>
      <c r="D12329" s="17"/>
      <c r="E12329" s="7"/>
    </row>
    <row r="12330" spans="3:5">
      <c r="C12330" s="17"/>
      <c r="D12330" s="17"/>
      <c r="E12330" s="7"/>
    </row>
    <row r="12331" spans="3:5">
      <c r="C12331" s="17"/>
      <c r="D12331" s="17"/>
      <c r="E12331" s="7"/>
    </row>
    <row r="12332" spans="3:5">
      <c r="C12332" s="17"/>
      <c r="D12332" s="17"/>
      <c r="E12332" s="7"/>
    </row>
    <row r="12333" spans="3:5">
      <c r="C12333" s="17"/>
      <c r="D12333" s="17"/>
      <c r="E12333" s="7"/>
    </row>
    <row r="12334" spans="3:5">
      <c r="C12334" s="17"/>
      <c r="D12334" s="17"/>
      <c r="E12334" s="7"/>
    </row>
    <row r="12335" spans="3:5">
      <c r="C12335" s="17"/>
      <c r="D12335" s="17"/>
      <c r="E12335" s="7"/>
    </row>
    <row r="12336" spans="3:5">
      <c r="C12336" s="17"/>
      <c r="D12336" s="17"/>
      <c r="E12336" s="7"/>
    </row>
    <row r="12337" spans="3:5">
      <c r="C12337" s="17"/>
      <c r="D12337" s="17"/>
      <c r="E12337" s="7"/>
    </row>
    <row r="12338" spans="3:5">
      <c r="C12338" s="17"/>
      <c r="D12338" s="17"/>
      <c r="E12338" s="7"/>
    </row>
    <row r="12339" spans="3:5">
      <c r="C12339" s="17"/>
      <c r="D12339" s="17"/>
      <c r="E12339" s="7"/>
    </row>
    <row r="12340" spans="3:5">
      <c r="C12340" s="17"/>
      <c r="D12340" s="17"/>
      <c r="E12340" s="7"/>
    </row>
    <row r="12341" spans="3:5">
      <c r="C12341" s="17"/>
      <c r="D12341" s="17"/>
      <c r="E12341" s="7"/>
    </row>
    <row r="12342" spans="3:5">
      <c r="C12342" s="17"/>
      <c r="D12342" s="17"/>
      <c r="E12342" s="7"/>
    </row>
    <row r="12343" spans="3:5">
      <c r="C12343" s="17"/>
      <c r="D12343" s="17"/>
      <c r="E12343" s="7"/>
    </row>
    <row r="12344" spans="3:5">
      <c r="C12344" s="17"/>
      <c r="D12344" s="17"/>
      <c r="E12344" s="7"/>
    </row>
    <row r="12345" spans="3:5">
      <c r="C12345" s="17"/>
      <c r="D12345" s="17"/>
      <c r="E12345" s="7"/>
    </row>
    <row r="12346" spans="3:5">
      <c r="C12346" s="17"/>
      <c r="D12346" s="17"/>
      <c r="E12346" s="7"/>
    </row>
    <row r="12347" spans="3:5">
      <c r="C12347" s="17"/>
      <c r="D12347" s="17"/>
      <c r="E12347" s="7"/>
    </row>
    <row r="12348" spans="3:5">
      <c r="C12348" s="17"/>
      <c r="D12348" s="17"/>
      <c r="E12348" s="7"/>
    </row>
    <row r="12349" spans="3:5">
      <c r="C12349" s="17"/>
      <c r="D12349" s="17"/>
      <c r="E12349" s="7"/>
    </row>
    <row r="12350" spans="3:5">
      <c r="C12350" s="17"/>
      <c r="D12350" s="17"/>
      <c r="E12350" s="7"/>
    </row>
    <row r="12351" spans="3:5">
      <c r="C12351" s="17"/>
      <c r="D12351" s="17"/>
      <c r="E12351" s="7"/>
    </row>
    <row r="12352" spans="3:5">
      <c r="C12352" s="17"/>
      <c r="D12352" s="17"/>
      <c r="E12352" s="7"/>
    </row>
    <row r="12353" spans="3:5">
      <c r="C12353" s="17"/>
      <c r="D12353" s="17"/>
      <c r="E12353" s="7"/>
    </row>
    <row r="12354" spans="3:5">
      <c r="C12354" s="17"/>
      <c r="D12354" s="17"/>
      <c r="E12354" s="7"/>
    </row>
    <row r="12355" spans="3:5">
      <c r="C12355" s="17"/>
      <c r="D12355" s="17"/>
      <c r="E12355" s="7"/>
    </row>
    <row r="12356" spans="3:5">
      <c r="C12356" s="17"/>
      <c r="D12356" s="17"/>
      <c r="E12356" s="7"/>
    </row>
    <row r="12357" spans="3:5">
      <c r="C12357" s="17"/>
      <c r="D12357" s="17"/>
      <c r="E12357" s="7"/>
    </row>
    <row r="12358" spans="3:5">
      <c r="C12358" s="17"/>
      <c r="D12358" s="17"/>
      <c r="E12358" s="7"/>
    </row>
    <row r="12359" spans="3:5">
      <c r="C12359" s="17"/>
      <c r="D12359" s="17"/>
      <c r="E12359" s="7"/>
    </row>
    <row r="12360" spans="3:5">
      <c r="C12360" s="17"/>
      <c r="D12360" s="17"/>
      <c r="E12360" s="7"/>
    </row>
    <row r="12361" spans="3:5">
      <c r="C12361" s="17"/>
      <c r="D12361" s="17"/>
      <c r="E12361" s="7"/>
    </row>
    <row r="12362" spans="3:5">
      <c r="C12362" s="17"/>
      <c r="D12362" s="17"/>
      <c r="E12362" s="7"/>
    </row>
    <row r="12363" spans="3:5">
      <c r="C12363" s="17"/>
      <c r="D12363" s="17"/>
      <c r="E12363" s="7"/>
    </row>
    <row r="12364" spans="3:5">
      <c r="C12364" s="17"/>
      <c r="D12364" s="17"/>
      <c r="E12364" s="7"/>
    </row>
    <row r="12365" spans="3:5">
      <c r="C12365" s="17"/>
      <c r="D12365" s="17"/>
      <c r="E12365" s="7"/>
    </row>
    <row r="12366" spans="3:5">
      <c r="C12366" s="17"/>
      <c r="D12366" s="17"/>
      <c r="E12366" s="7"/>
    </row>
    <row r="12367" spans="3:5">
      <c r="C12367" s="17"/>
      <c r="D12367" s="17"/>
      <c r="E12367" s="7"/>
    </row>
    <row r="12368" spans="3:5">
      <c r="C12368" s="17"/>
      <c r="D12368" s="17"/>
      <c r="E12368" s="7"/>
    </row>
    <row r="12369" spans="3:5">
      <c r="C12369" s="17"/>
      <c r="D12369" s="17"/>
      <c r="E12369" s="7"/>
    </row>
    <row r="12370" spans="3:5">
      <c r="C12370" s="17"/>
      <c r="D12370" s="17"/>
      <c r="E12370" s="7"/>
    </row>
    <row r="12371" spans="3:5">
      <c r="C12371" s="17"/>
      <c r="D12371" s="17"/>
      <c r="E12371" s="7"/>
    </row>
    <row r="12372" spans="3:5">
      <c r="C12372" s="17"/>
      <c r="D12372" s="17"/>
      <c r="E12372" s="7"/>
    </row>
    <row r="12373" spans="3:5">
      <c r="C12373" s="17"/>
      <c r="D12373" s="17"/>
      <c r="E12373" s="7"/>
    </row>
    <row r="12374" spans="3:5">
      <c r="C12374" s="17"/>
      <c r="D12374" s="17"/>
      <c r="E12374" s="7"/>
    </row>
    <row r="12375" spans="3:5">
      <c r="C12375" s="17"/>
      <c r="D12375" s="17"/>
      <c r="E12375" s="7"/>
    </row>
    <row r="12376" spans="3:5">
      <c r="C12376" s="17"/>
      <c r="D12376" s="17"/>
      <c r="E12376" s="7"/>
    </row>
    <row r="12377" spans="3:5">
      <c r="C12377" s="17"/>
      <c r="D12377" s="17"/>
      <c r="E12377" s="7"/>
    </row>
    <row r="12378" spans="3:5">
      <c r="C12378" s="17"/>
      <c r="D12378" s="17"/>
      <c r="E12378" s="7"/>
    </row>
    <row r="12379" spans="3:5">
      <c r="C12379" s="17"/>
      <c r="D12379" s="17"/>
      <c r="E12379" s="7"/>
    </row>
    <row r="12380" spans="3:5">
      <c r="C12380" s="17"/>
      <c r="D12380" s="17"/>
      <c r="E12380" s="7"/>
    </row>
    <row r="12381" spans="3:5">
      <c r="C12381" s="17"/>
      <c r="D12381" s="17"/>
      <c r="E12381" s="7"/>
    </row>
    <row r="12382" spans="3:5">
      <c r="C12382" s="17"/>
      <c r="D12382" s="17"/>
      <c r="E12382" s="7"/>
    </row>
    <row r="12383" spans="3:5">
      <c r="C12383" s="17"/>
      <c r="D12383" s="17"/>
      <c r="E12383" s="7"/>
    </row>
    <row r="12384" spans="3:5">
      <c r="C12384" s="17"/>
      <c r="D12384" s="17"/>
      <c r="E12384" s="7"/>
    </row>
    <row r="12385" spans="3:5">
      <c r="C12385" s="17"/>
      <c r="D12385" s="17"/>
      <c r="E12385" s="7"/>
    </row>
    <row r="12386" spans="3:5">
      <c r="C12386" s="17"/>
      <c r="D12386" s="17"/>
      <c r="E12386" s="7"/>
    </row>
    <row r="12387" spans="3:5">
      <c r="C12387" s="17"/>
      <c r="D12387" s="17"/>
      <c r="E12387" s="7"/>
    </row>
    <row r="12388" spans="3:5">
      <c r="C12388" s="17"/>
      <c r="D12388" s="17"/>
      <c r="E12388" s="7"/>
    </row>
    <row r="12389" spans="3:5">
      <c r="C12389" s="17"/>
      <c r="D12389" s="17"/>
      <c r="E12389" s="7"/>
    </row>
    <row r="12390" spans="3:5">
      <c r="C12390" s="17"/>
      <c r="D12390" s="17"/>
      <c r="E12390" s="7"/>
    </row>
    <row r="12391" spans="3:5">
      <c r="C12391" s="17"/>
      <c r="D12391" s="17"/>
      <c r="E12391" s="7"/>
    </row>
    <row r="12392" spans="3:5">
      <c r="C12392" s="17"/>
      <c r="D12392" s="17"/>
      <c r="E12392" s="7"/>
    </row>
    <row r="12393" spans="3:5">
      <c r="C12393" s="17"/>
      <c r="D12393" s="17"/>
      <c r="E12393" s="7"/>
    </row>
    <row r="12394" spans="3:5">
      <c r="C12394" s="17"/>
      <c r="D12394" s="17"/>
      <c r="E12394" s="7"/>
    </row>
    <row r="12395" spans="3:5">
      <c r="C12395" s="17"/>
      <c r="D12395" s="17"/>
      <c r="E12395" s="7"/>
    </row>
    <row r="12396" spans="3:5">
      <c r="C12396" s="17"/>
      <c r="D12396" s="17"/>
      <c r="E12396" s="7"/>
    </row>
    <row r="12397" spans="3:5">
      <c r="C12397" s="17"/>
      <c r="D12397" s="17"/>
      <c r="E12397" s="7"/>
    </row>
    <row r="12398" spans="3:5">
      <c r="C12398" s="17"/>
      <c r="D12398" s="17"/>
      <c r="E12398" s="7"/>
    </row>
    <row r="12399" spans="3:5">
      <c r="C12399" s="17"/>
      <c r="D12399" s="17"/>
      <c r="E12399" s="7"/>
    </row>
    <row r="12400" spans="3:5">
      <c r="C12400" s="17"/>
      <c r="D12400" s="17"/>
      <c r="E12400" s="7"/>
    </row>
    <row r="12401" spans="3:5">
      <c r="C12401" s="17"/>
      <c r="D12401" s="17"/>
      <c r="E12401" s="7"/>
    </row>
    <row r="12402" spans="3:5">
      <c r="C12402" s="17"/>
      <c r="D12402" s="17"/>
      <c r="E12402" s="7"/>
    </row>
    <row r="12403" spans="3:5">
      <c r="C12403" s="17"/>
      <c r="D12403" s="17"/>
      <c r="E12403" s="7"/>
    </row>
    <row r="12404" spans="3:5">
      <c r="C12404" s="17"/>
      <c r="D12404" s="17"/>
      <c r="E12404" s="7"/>
    </row>
    <row r="12405" spans="3:5">
      <c r="C12405" s="17"/>
      <c r="D12405" s="17"/>
      <c r="E12405" s="7"/>
    </row>
    <row r="12406" spans="3:5">
      <c r="C12406" s="17"/>
      <c r="D12406" s="17"/>
      <c r="E12406" s="7"/>
    </row>
    <row r="12407" spans="3:5">
      <c r="C12407" s="17"/>
      <c r="D12407" s="17"/>
      <c r="E12407" s="7"/>
    </row>
    <row r="12408" spans="3:5">
      <c r="C12408" s="17"/>
      <c r="D12408" s="17"/>
      <c r="E12408" s="7"/>
    </row>
    <row r="12409" spans="3:5">
      <c r="C12409" s="17"/>
      <c r="D12409" s="17"/>
      <c r="E12409" s="7"/>
    </row>
    <row r="12410" spans="3:5">
      <c r="C12410" s="17"/>
      <c r="D12410" s="17"/>
      <c r="E12410" s="7"/>
    </row>
    <row r="12411" spans="3:5">
      <c r="C12411" s="17"/>
      <c r="D12411" s="17"/>
      <c r="E12411" s="7"/>
    </row>
    <row r="12412" spans="3:5">
      <c r="C12412" s="17"/>
      <c r="D12412" s="17"/>
      <c r="E12412" s="7"/>
    </row>
    <row r="12413" spans="3:5">
      <c r="C12413" s="17"/>
      <c r="D12413" s="17"/>
      <c r="E12413" s="7"/>
    </row>
    <row r="12414" spans="3:5">
      <c r="C12414" s="17"/>
      <c r="D12414" s="17"/>
      <c r="E12414" s="7"/>
    </row>
    <row r="12415" spans="3:5">
      <c r="C12415" s="17"/>
      <c r="D12415" s="17"/>
      <c r="E12415" s="7"/>
    </row>
    <row r="12416" spans="3:5">
      <c r="C12416" s="17"/>
      <c r="D12416" s="17"/>
      <c r="E12416" s="7"/>
    </row>
    <row r="12417" spans="3:5">
      <c r="C12417" s="17"/>
      <c r="D12417" s="17"/>
      <c r="E12417" s="7"/>
    </row>
    <row r="12418" spans="3:5">
      <c r="C12418" s="17"/>
      <c r="D12418" s="17"/>
      <c r="E12418" s="7"/>
    </row>
    <row r="12419" spans="3:5">
      <c r="C12419" s="17"/>
      <c r="D12419" s="17"/>
      <c r="E12419" s="7"/>
    </row>
    <row r="12420" spans="3:5">
      <c r="C12420" s="17"/>
      <c r="D12420" s="17"/>
      <c r="E12420" s="7"/>
    </row>
    <row r="12421" spans="3:5">
      <c r="C12421" s="17"/>
      <c r="D12421" s="17"/>
      <c r="E12421" s="7"/>
    </row>
    <row r="12422" spans="3:5">
      <c r="C12422" s="17"/>
      <c r="D12422" s="17"/>
      <c r="E12422" s="7"/>
    </row>
    <row r="12423" spans="3:5">
      <c r="C12423" s="17"/>
      <c r="D12423" s="17"/>
      <c r="E12423" s="7"/>
    </row>
    <row r="12424" spans="3:5">
      <c r="C12424" s="17"/>
      <c r="D12424" s="17"/>
      <c r="E12424" s="7"/>
    </row>
    <row r="12425" spans="3:5">
      <c r="C12425" s="17"/>
      <c r="D12425" s="17"/>
      <c r="E12425" s="7"/>
    </row>
    <row r="12426" spans="3:5">
      <c r="C12426" s="17"/>
      <c r="D12426" s="17"/>
      <c r="E12426" s="7"/>
    </row>
    <row r="12427" spans="3:5">
      <c r="C12427" s="17"/>
      <c r="D12427" s="17"/>
      <c r="E12427" s="7"/>
    </row>
    <row r="12428" spans="3:5">
      <c r="C12428" s="17"/>
      <c r="D12428" s="17"/>
      <c r="E12428" s="7"/>
    </row>
    <row r="12429" spans="3:5">
      <c r="C12429" s="17"/>
      <c r="D12429" s="17"/>
      <c r="E12429" s="7"/>
    </row>
    <row r="12430" spans="3:5">
      <c r="C12430" s="17"/>
      <c r="D12430" s="17"/>
      <c r="E12430" s="7"/>
    </row>
    <row r="12431" spans="3:5">
      <c r="C12431" s="17"/>
      <c r="D12431" s="17"/>
      <c r="E12431" s="7"/>
    </row>
    <row r="12432" spans="3:5">
      <c r="C12432" s="17"/>
      <c r="D12432" s="17"/>
      <c r="E12432" s="7"/>
    </row>
    <row r="12433" spans="3:5">
      <c r="C12433" s="17"/>
      <c r="D12433" s="17"/>
      <c r="E12433" s="7"/>
    </row>
    <row r="12434" spans="3:5">
      <c r="C12434" s="17"/>
      <c r="D12434" s="17"/>
      <c r="E12434" s="7"/>
    </row>
    <row r="12435" spans="3:5">
      <c r="C12435" s="17"/>
      <c r="D12435" s="17"/>
      <c r="E12435" s="7"/>
    </row>
    <row r="12436" spans="3:5">
      <c r="C12436" s="17"/>
      <c r="D12436" s="17"/>
      <c r="E12436" s="7"/>
    </row>
    <row r="12437" spans="3:5">
      <c r="C12437" s="17"/>
      <c r="D12437" s="17"/>
      <c r="E12437" s="7"/>
    </row>
    <row r="12438" spans="3:5">
      <c r="C12438" s="17"/>
      <c r="D12438" s="17"/>
      <c r="E12438" s="7"/>
    </row>
    <row r="12439" spans="3:5">
      <c r="C12439" s="17"/>
      <c r="D12439" s="17"/>
      <c r="E12439" s="7"/>
    </row>
    <row r="12440" spans="3:5">
      <c r="C12440" s="17"/>
      <c r="D12440" s="17"/>
      <c r="E12440" s="7"/>
    </row>
    <row r="12441" spans="3:5">
      <c r="C12441" s="17"/>
      <c r="D12441" s="17"/>
      <c r="E12441" s="7"/>
    </row>
    <row r="12442" spans="3:5">
      <c r="C12442" s="17"/>
      <c r="D12442" s="17"/>
      <c r="E12442" s="7"/>
    </row>
    <row r="12443" spans="3:5">
      <c r="C12443" s="17"/>
      <c r="D12443" s="17"/>
      <c r="E12443" s="7"/>
    </row>
    <row r="12444" spans="3:5">
      <c r="C12444" s="17"/>
      <c r="D12444" s="17"/>
      <c r="E12444" s="7"/>
    </row>
    <row r="12445" spans="3:5">
      <c r="C12445" s="17"/>
      <c r="D12445" s="17"/>
      <c r="E12445" s="7"/>
    </row>
    <row r="12446" spans="3:5">
      <c r="C12446" s="17"/>
      <c r="D12446" s="17"/>
      <c r="E12446" s="7"/>
    </row>
    <row r="12447" spans="3:5">
      <c r="C12447" s="17"/>
      <c r="D12447" s="17"/>
      <c r="E12447" s="7"/>
    </row>
    <row r="12448" spans="3:5">
      <c r="C12448" s="17"/>
      <c r="D12448" s="17"/>
      <c r="E12448" s="7"/>
    </row>
    <row r="12449" spans="3:5">
      <c r="C12449" s="17"/>
      <c r="D12449" s="17"/>
      <c r="E12449" s="7"/>
    </row>
    <row r="12450" spans="3:5">
      <c r="C12450" s="17"/>
      <c r="D12450" s="17"/>
      <c r="E12450" s="7"/>
    </row>
    <row r="12451" spans="3:5">
      <c r="C12451" s="17"/>
      <c r="D12451" s="17"/>
      <c r="E12451" s="7"/>
    </row>
    <row r="12452" spans="3:5">
      <c r="C12452" s="17"/>
      <c r="D12452" s="17"/>
      <c r="E12452" s="7"/>
    </row>
    <row r="12453" spans="3:5">
      <c r="C12453" s="17"/>
      <c r="D12453" s="17"/>
      <c r="E12453" s="7"/>
    </row>
    <row r="12454" spans="3:5">
      <c r="C12454" s="17"/>
      <c r="D12454" s="17"/>
      <c r="E12454" s="7"/>
    </row>
    <row r="12455" spans="3:5">
      <c r="C12455" s="17"/>
      <c r="D12455" s="17"/>
      <c r="E12455" s="7"/>
    </row>
    <row r="12456" spans="3:5">
      <c r="C12456" s="17"/>
      <c r="D12456" s="17"/>
      <c r="E12456" s="7"/>
    </row>
    <row r="12457" spans="3:5">
      <c r="C12457" s="17"/>
      <c r="D12457" s="17"/>
      <c r="E12457" s="7"/>
    </row>
    <row r="12458" spans="3:5">
      <c r="C12458" s="17"/>
      <c r="D12458" s="17"/>
      <c r="E12458" s="7"/>
    </row>
    <row r="12459" spans="3:5">
      <c r="C12459" s="17"/>
      <c r="D12459" s="17"/>
      <c r="E12459" s="7"/>
    </row>
    <row r="12460" spans="3:5">
      <c r="C12460" s="17"/>
      <c r="D12460" s="17"/>
      <c r="E12460" s="7"/>
    </row>
    <row r="12461" spans="3:5">
      <c r="C12461" s="17"/>
      <c r="D12461" s="17"/>
      <c r="E12461" s="7"/>
    </row>
    <row r="12462" spans="3:5">
      <c r="C12462" s="17"/>
      <c r="D12462" s="17"/>
      <c r="E12462" s="7"/>
    </row>
    <row r="12463" spans="3:5">
      <c r="C12463" s="17"/>
      <c r="D12463" s="17"/>
      <c r="E12463" s="7"/>
    </row>
    <row r="12464" spans="3:5">
      <c r="C12464" s="17"/>
      <c r="D12464" s="17"/>
      <c r="E12464" s="7"/>
    </row>
    <row r="12465" spans="3:5">
      <c r="C12465" s="17"/>
      <c r="D12465" s="17"/>
      <c r="E12465" s="7"/>
    </row>
    <row r="12466" spans="3:5">
      <c r="C12466" s="17"/>
      <c r="D12466" s="17"/>
      <c r="E12466" s="7"/>
    </row>
    <row r="12467" spans="3:5">
      <c r="C12467" s="17"/>
      <c r="D12467" s="17"/>
      <c r="E12467" s="7"/>
    </row>
    <row r="12468" spans="3:5">
      <c r="C12468" s="17"/>
      <c r="D12468" s="17"/>
      <c r="E12468" s="7"/>
    </row>
    <row r="12469" spans="3:5">
      <c r="C12469" s="17"/>
      <c r="D12469" s="17"/>
      <c r="E12469" s="7"/>
    </row>
    <row r="12470" spans="3:5">
      <c r="C12470" s="17"/>
      <c r="D12470" s="17"/>
      <c r="E12470" s="7"/>
    </row>
    <row r="12471" spans="3:5">
      <c r="C12471" s="17"/>
      <c r="D12471" s="17"/>
      <c r="E12471" s="7"/>
    </row>
    <row r="12472" spans="3:5">
      <c r="C12472" s="17"/>
      <c r="D12472" s="17"/>
      <c r="E12472" s="7"/>
    </row>
    <row r="12473" spans="3:5">
      <c r="C12473" s="17"/>
      <c r="D12473" s="17"/>
      <c r="E12473" s="7"/>
    </row>
    <row r="12474" spans="3:5">
      <c r="C12474" s="17"/>
      <c r="D12474" s="17"/>
      <c r="E12474" s="7"/>
    </row>
    <row r="12475" spans="3:5">
      <c r="C12475" s="17"/>
      <c r="D12475" s="17"/>
      <c r="E12475" s="7"/>
    </row>
    <row r="12476" spans="3:5">
      <c r="C12476" s="17"/>
      <c r="D12476" s="17"/>
      <c r="E12476" s="7"/>
    </row>
    <row r="12477" spans="3:5">
      <c r="C12477" s="17"/>
      <c r="D12477" s="17"/>
      <c r="E12477" s="7"/>
    </row>
    <row r="12478" spans="3:5">
      <c r="C12478" s="17"/>
      <c r="D12478" s="17"/>
      <c r="E12478" s="7"/>
    </row>
    <row r="12479" spans="3:5">
      <c r="C12479" s="17"/>
      <c r="D12479" s="17"/>
      <c r="E12479" s="7"/>
    </row>
    <row r="12480" spans="3:5">
      <c r="C12480" s="17"/>
      <c r="D12480" s="17"/>
      <c r="E12480" s="7"/>
    </row>
    <row r="12481" spans="3:5">
      <c r="C12481" s="17"/>
      <c r="D12481" s="17"/>
      <c r="E12481" s="7"/>
    </row>
    <row r="12482" spans="3:5">
      <c r="C12482" s="17"/>
      <c r="D12482" s="17"/>
      <c r="E12482" s="7"/>
    </row>
    <row r="12483" spans="3:5">
      <c r="C12483" s="17"/>
      <c r="D12483" s="17"/>
      <c r="E12483" s="7"/>
    </row>
    <row r="12484" spans="3:5">
      <c r="C12484" s="17"/>
      <c r="D12484" s="17"/>
      <c r="E12484" s="7"/>
    </row>
    <row r="12485" spans="3:5">
      <c r="C12485" s="17"/>
      <c r="D12485" s="17"/>
      <c r="E12485" s="7"/>
    </row>
    <row r="12486" spans="3:5">
      <c r="C12486" s="17"/>
      <c r="D12486" s="17"/>
      <c r="E12486" s="7"/>
    </row>
    <row r="12487" spans="3:5">
      <c r="C12487" s="17"/>
      <c r="D12487" s="17"/>
      <c r="E12487" s="7"/>
    </row>
    <row r="12488" spans="3:5">
      <c r="C12488" s="17"/>
      <c r="D12488" s="17"/>
      <c r="E12488" s="7"/>
    </row>
    <row r="12489" spans="3:5">
      <c r="C12489" s="17"/>
      <c r="D12489" s="17"/>
      <c r="E12489" s="7"/>
    </row>
    <row r="12490" spans="3:5">
      <c r="C12490" s="17"/>
      <c r="D12490" s="17"/>
      <c r="E12490" s="7"/>
    </row>
    <row r="12491" spans="3:5">
      <c r="C12491" s="17"/>
      <c r="D12491" s="17"/>
      <c r="E12491" s="7"/>
    </row>
    <row r="12492" spans="3:5">
      <c r="C12492" s="17"/>
      <c r="D12492" s="17"/>
      <c r="E12492" s="7"/>
    </row>
    <row r="12493" spans="3:5">
      <c r="C12493" s="17"/>
      <c r="D12493" s="17"/>
      <c r="E12493" s="7"/>
    </row>
    <row r="12494" spans="3:5">
      <c r="C12494" s="17"/>
      <c r="D12494" s="17"/>
      <c r="E12494" s="7"/>
    </row>
    <row r="12495" spans="3:5">
      <c r="C12495" s="17"/>
      <c r="D12495" s="17"/>
      <c r="E12495" s="7"/>
    </row>
    <row r="12496" spans="3:5">
      <c r="C12496" s="17"/>
      <c r="D12496" s="17"/>
      <c r="E12496" s="7"/>
    </row>
    <row r="12497" spans="3:5">
      <c r="C12497" s="17"/>
      <c r="D12497" s="17"/>
      <c r="E12497" s="7"/>
    </row>
    <row r="12498" spans="3:5">
      <c r="C12498" s="17"/>
      <c r="D12498" s="17"/>
      <c r="E12498" s="7"/>
    </row>
    <row r="12499" spans="3:5">
      <c r="C12499" s="17"/>
      <c r="D12499" s="17"/>
      <c r="E12499" s="7"/>
    </row>
    <row r="12500" spans="3:5">
      <c r="C12500" s="17"/>
      <c r="D12500" s="17"/>
      <c r="E12500" s="7"/>
    </row>
    <row r="12501" spans="3:5">
      <c r="C12501" s="17"/>
      <c r="D12501" s="17"/>
      <c r="E12501" s="7"/>
    </row>
    <row r="12502" spans="3:5">
      <c r="C12502" s="17"/>
      <c r="D12502" s="17"/>
      <c r="E12502" s="7"/>
    </row>
    <row r="12503" spans="3:5">
      <c r="C12503" s="17"/>
      <c r="D12503" s="17"/>
      <c r="E12503" s="7"/>
    </row>
    <row r="12504" spans="3:5">
      <c r="C12504" s="17"/>
      <c r="D12504" s="17"/>
      <c r="E12504" s="7"/>
    </row>
    <row r="12505" spans="3:5">
      <c r="C12505" s="17"/>
      <c r="D12505" s="17"/>
      <c r="E12505" s="7"/>
    </row>
    <row r="12506" spans="3:5">
      <c r="C12506" s="17"/>
      <c r="D12506" s="17"/>
      <c r="E12506" s="7"/>
    </row>
    <row r="12507" spans="3:5">
      <c r="C12507" s="17"/>
      <c r="D12507" s="17"/>
      <c r="E12507" s="7"/>
    </row>
    <row r="12508" spans="3:5">
      <c r="C12508" s="17"/>
      <c r="D12508" s="17"/>
      <c r="E12508" s="7"/>
    </row>
    <row r="12509" spans="3:5">
      <c r="C12509" s="17"/>
      <c r="D12509" s="17"/>
      <c r="E12509" s="7"/>
    </row>
    <row r="12510" spans="3:5">
      <c r="C12510" s="17"/>
      <c r="D12510" s="17"/>
      <c r="E12510" s="7"/>
    </row>
    <row r="12511" spans="3:5">
      <c r="C12511" s="17"/>
      <c r="D12511" s="17"/>
      <c r="E12511" s="7"/>
    </row>
    <row r="12512" spans="3:5">
      <c r="C12512" s="17"/>
      <c r="D12512" s="17"/>
      <c r="E12512" s="7"/>
    </row>
    <row r="12513" spans="3:5">
      <c r="C12513" s="17"/>
      <c r="D12513" s="17"/>
      <c r="E12513" s="7"/>
    </row>
    <row r="12514" spans="3:5">
      <c r="C12514" s="17"/>
      <c r="D12514" s="17"/>
      <c r="E12514" s="7"/>
    </row>
    <row r="12515" spans="3:5">
      <c r="C12515" s="17"/>
      <c r="D12515" s="17"/>
      <c r="E12515" s="7"/>
    </row>
    <row r="12516" spans="3:5">
      <c r="C12516" s="17"/>
      <c r="D12516" s="17"/>
      <c r="E12516" s="7"/>
    </row>
    <row r="12517" spans="3:5">
      <c r="C12517" s="17"/>
      <c r="D12517" s="17"/>
      <c r="E12517" s="7"/>
    </row>
    <row r="12518" spans="3:5">
      <c r="C12518" s="17"/>
      <c r="D12518" s="17"/>
      <c r="E12518" s="7"/>
    </row>
    <row r="12519" spans="3:5">
      <c r="C12519" s="17"/>
      <c r="D12519" s="17"/>
      <c r="E12519" s="7"/>
    </row>
    <row r="12520" spans="3:5">
      <c r="C12520" s="17"/>
      <c r="D12520" s="17"/>
      <c r="E12520" s="7"/>
    </row>
    <row r="12521" spans="3:5">
      <c r="C12521" s="17"/>
      <c r="D12521" s="17"/>
      <c r="E12521" s="7"/>
    </row>
    <row r="12522" spans="3:5">
      <c r="C12522" s="17"/>
      <c r="D12522" s="17"/>
      <c r="E12522" s="7"/>
    </row>
    <row r="12523" spans="3:5">
      <c r="C12523" s="17"/>
      <c r="D12523" s="17"/>
      <c r="E12523" s="7"/>
    </row>
    <row r="12524" spans="3:5">
      <c r="C12524" s="17"/>
      <c r="D12524" s="17"/>
      <c r="E12524" s="7"/>
    </row>
    <row r="12525" spans="3:5">
      <c r="C12525" s="17"/>
      <c r="D12525" s="17"/>
      <c r="E12525" s="7"/>
    </row>
    <row r="12526" spans="3:5">
      <c r="C12526" s="17"/>
      <c r="D12526" s="17"/>
      <c r="E12526" s="7"/>
    </row>
    <row r="12527" spans="3:5">
      <c r="C12527" s="17"/>
      <c r="D12527" s="17"/>
      <c r="E12527" s="7"/>
    </row>
    <row r="12528" spans="3:5">
      <c r="C12528" s="17"/>
      <c r="D12528" s="17"/>
      <c r="E12528" s="7"/>
    </row>
    <row r="12529" spans="3:5">
      <c r="C12529" s="17"/>
      <c r="D12529" s="17"/>
      <c r="E12529" s="7"/>
    </row>
    <row r="12530" spans="3:5">
      <c r="C12530" s="17"/>
      <c r="D12530" s="17"/>
      <c r="E12530" s="7"/>
    </row>
    <row r="12531" spans="3:5">
      <c r="C12531" s="17"/>
      <c r="D12531" s="17"/>
      <c r="E12531" s="7"/>
    </row>
    <row r="12532" spans="3:5">
      <c r="C12532" s="17"/>
      <c r="D12532" s="17"/>
      <c r="E12532" s="7"/>
    </row>
    <row r="12533" spans="3:5">
      <c r="C12533" s="17"/>
      <c r="D12533" s="17"/>
      <c r="E12533" s="7"/>
    </row>
    <row r="12534" spans="3:5">
      <c r="C12534" s="17"/>
      <c r="D12534" s="17"/>
      <c r="E12534" s="7"/>
    </row>
    <row r="12535" spans="3:5">
      <c r="C12535" s="17"/>
      <c r="D12535" s="17"/>
      <c r="E12535" s="7"/>
    </row>
    <row r="12536" spans="3:5">
      <c r="C12536" s="17"/>
      <c r="D12536" s="17"/>
      <c r="E12536" s="7"/>
    </row>
    <row r="12537" spans="3:5">
      <c r="C12537" s="17"/>
      <c r="D12537" s="17"/>
      <c r="E12537" s="7"/>
    </row>
    <row r="12538" spans="3:5">
      <c r="C12538" s="17"/>
      <c r="D12538" s="17"/>
      <c r="E12538" s="7"/>
    </row>
    <row r="12539" spans="3:5">
      <c r="C12539" s="17"/>
      <c r="D12539" s="17"/>
      <c r="E12539" s="7"/>
    </row>
    <row r="12540" spans="3:5">
      <c r="C12540" s="17"/>
      <c r="D12540" s="17"/>
      <c r="E12540" s="7"/>
    </row>
    <row r="12541" spans="3:5">
      <c r="C12541" s="17"/>
      <c r="D12541" s="17"/>
      <c r="E12541" s="7"/>
    </row>
    <row r="12542" spans="3:5">
      <c r="C12542" s="17"/>
      <c r="D12542" s="17"/>
      <c r="E12542" s="7"/>
    </row>
    <row r="12543" spans="3:5">
      <c r="C12543" s="17"/>
      <c r="D12543" s="17"/>
      <c r="E12543" s="7"/>
    </row>
    <row r="12544" spans="3:5">
      <c r="C12544" s="17"/>
      <c r="D12544" s="17"/>
      <c r="E12544" s="7"/>
    </row>
    <row r="12545" spans="3:5">
      <c r="C12545" s="17"/>
      <c r="D12545" s="17"/>
      <c r="E12545" s="7"/>
    </row>
    <row r="12546" spans="3:5">
      <c r="C12546" s="17"/>
      <c r="D12546" s="17"/>
      <c r="E12546" s="7"/>
    </row>
    <row r="12547" spans="3:5">
      <c r="C12547" s="17"/>
      <c r="D12547" s="17"/>
      <c r="E12547" s="7"/>
    </row>
    <row r="12548" spans="3:5">
      <c r="C12548" s="17"/>
      <c r="D12548" s="17"/>
      <c r="E12548" s="7"/>
    </row>
    <row r="12549" spans="3:5">
      <c r="C12549" s="17"/>
      <c r="D12549" s="17"/>
      <c r="E12549" s="7"/>
    </row>
    <row r="12550" spans="3:5">
      <c r="C12550" s="17"/>
      <c r="D12550" s="17"/>
      <c r="E12550" s="7"/>
    </row>
    <row r="12551" spans="3:5">
      <c r="C12551" s="17"/>
      <c r="D12551" s="17"/>
      <c r="E12551" s="7"/>
    </row>
    <row r="12552" spans="3:5">
      <c r="C12552" s="17"/>
      <c r="D12552" s="17"/>
      <c r="E12552" s="7"/>
    </row>
    <row r="12553" spans="3:5">
      <c r="C12553" s="17"/>
      <c r="D12553" s="17"/>
      <c r="E12553" s="7"/>
    </row>
    <row r="12554" spans="3:5">
      <c r="C12554" s="17"/>
      <c r="D12554" s="17"/>
      <c r="E12554" s="7"/>
    </row>
    <row r="12555" spans="3:5">
      <c r="C12555" s="17"/>
      <c r="D12555" s="17"/>
      <c r="E12555" s="7"/>
    </row>
    <row r="12556" spans="3:5">
      <c r="C12556" s="17"/>
      <c r="D12556" s="17"/>
      <c r="E12556" s="7"/>
    </row>
    <row r="12557" spans="3:5">
      <c r="C12557" s="17"/>
      <c r="D12557" s="17"/>
      <c r="E12557" s="7"/>
    </row>
    <row r="12558" spans="3:5">
      <c r="C12558" s="17"/>
      <c r="D12558" s="17"/>
      <c r="E12558" s="7"/>
    </row>
    <row r="12559" spans="3:5">
      <c r="C12559" s="17"/>
      <c r="D12559" s="17"/>
      <c r="E12559" s="7"/>
    </row>
    <row r="12560" spans="3:5">
      <c r="C12560" s="17"/>
      <c r="D12560" s="17"/>
      <c r="E12560" s="7"/>
    </row>
    <row r="12561" spans="3:5">
      <c r="C12561" s="17"/>
      <c r="D12561" s="17"/>
      <c r="E12561" s="7"/>
    </row>
    <row r="12562" spans="3:5">
      <c r="C12562" s="17"/>
      <c r="D12562" s="17"/>
      <c r="E12562" s="7"/>
    </row>
    <row r="12563" spans="3:5">
      <c r="C12563" s="17"/>
      <c r="D12563" s="17"/>
      <c r="E12563" s="7"/>
    </row>
    <row r="12564" spans="3:5">
      <c r="C12564" s="17"/>
      <c r="D12564" s="17"/>
      <c r="E12564" s="7"/>
    </row>
    <row r="12565" spans="3:5">
      <c r="C12565" s="17"/>
      <c r="D12565" s="17"/>
      <c r="E12565" s="7"/>
    </row>
    <row r="12566" spans="3:5">
      <c r="C12566" s="17"/>
      <c r="D12566" s="17"/>
      <c r="E12566" s="7"/>
    </row>
    <row r="12567" spans="3:5">
      <c r="C12567" s="17"/>
      <c r="D12567" s="17"/>
      <c r="E12567" s="7"/>
    </row>
    <row r="12568" spans="3:5">
      <c r="C12568" s="17"/>
      <c r="D12568" s="17"/>
      <c r="E12568" s="7"/>
    </row>
    <row r="12569" spans="3:5">
      <c r="C12569" s="17"/>
      <c r="D12569" s="17"/>
      <c r="E12569" s="7"/>
    </row>
    <row r="12570" spans="3:5">
      <c r="C12570" s="17"/>
      <c r="D12570" s="17"/>
      <c r="E12570" s="7"/>
    </row>
    <row r="12571" spans="3:5">
      <c r="C12571" s="17"/>
      <c r="D12571" s="17"/>
      <c r="E12571" s="7"/>
    </row>
    <row r="12572" spans="3:5">
      <c r="C12572" s="17"/>
      <c r="D12572" s="17"/>
      <c r="E12572" s="7"/>
    </row>
    <row r="12573" spans="3:5">
      <c r="C12573" s="17"/>
      <c r="D12573" s="17"/>
      <c r="E12573" s="7"/>
    </row>
    <row r="12574" spans="3:5">
      <c r="C12574" s="17"/>
      <c r="D12574" s="17"/>
      <c r="E12574" s="7"/>
    </row>
    <row r="12575" spans="3:5">
      <c r="C12575" s="17"/>
      <c r="D12575" s="17"/>
      <c r="E12575" s="7"/>
    </row>
    <row r="12576" spans="3:5">
      <c r="C12576" s="17"/>
      <c r="D12576" s="17"/>
      <c r="E12576" s="7"/>
    </row>
    <row r="12577" spans="3:5">
      <c r="C12577" s="17"/>
      <c r="D12577" s="17"/>
      <c r="E12577" s="7"/>
    </row>
    <row r="12578" spans="3:5">
      <c r="C12578" s="17"/>
      <c r="D12578" s="17"/>
      <c r="E12578" s="7"/>
    </row>
    <row r="12579" spans="3:5">
      <c r="C12579" s="17"/>
      <c r="D12579" s="17"/>
      <c r="E12579" s="7"/>
    </row>
    <row r="12580" spans="3:5">
      <c r="C12580" s="17"/>
      <c r="D12580" s="17"/>
      <c r="E12580" s="7"/>
    </row>
    <row r="12581" spans="3:5">
      <c r="C12581" s="17"/>
      <c r="D12581" s="17"/>
      <c r="E12581" s="7"/>
    </row>
    <row r="12582" spans="3:5">
      <c r="C12582" s="17"/>
      <c r="D12582" s="17"/>
      <c r="E12582" s="7"/>
    </row>
    <row r="12583" spans="3:5">
      <c r="C12583" s="17"/>
      <c r="D12583" s="17"/>
      <c r="E12583" s="7"/>
    </row>
    <row r="12584" spans="3:5">
      <c r="C12584" s="17"/>
      <c r="D12584" s="17"/>
      <c r="E12584" s="7"/>
    </row>
    <row r="12585" spans="3:5">
      <c r="C12585" s="17"/>
      <c r="D12585" s="17"/>
      <c r="E12585" s="7"/>
    </row>
    <row r="12586" spans="3:5">
      <c r="C12586" s="17"/>
      <c r="D12586" s="17"/>
      <c r="E12586" s="7"/>
    </row>
    <row r="12587" spans="3:5">
      <c r="C12587" s="17"/>
      <c r="D12587" s="17"/>
      <c r="E12587" s="7"/>
    </row>
    <row r="12588" spans="3:5">
      <c r="C12588" s="17"/>
      <c r="D12588" s="17"/>
      <c r="E12588" s="7"/>
    </row>
    <row r="12589" spans="3:5">
      <c r="C12589" s="17"/>
      <c r="D12589" s="17"/>
      <c r="E12589" s="7"/>
    </row>
    <row r="12590" spans="3:5">
      <c r="C12590" s="17"/>
      <c r="D12590" s="17"/>
      <c r="E12590" s="7"/>
    </row>
    <row r="12591" spans="3:5">
      <c r="C12591" s="17"/>
      <c r="D12591" s="17"/>
      <c r="E12591" s="7"/>
    </row>
    <row r="12592" spans="3:5">
      <c r="C12592" s="17"/>
      <c r="D12592" s="17"/>
      <c r="E12592" s="7"/>
    </row>
    <row r="12593" spans="3:5">
      <c r="C12593" s="17"/>
      <c r="D12593" s="17"/>
      <c r="E12593" s="7"/>
    </row>
    <row r="12594" spans="3:5">
      <c r="C12594" s="17"/>
      <c r="D12594" s="17"/>
      <c r="E12594" s="7"/>
    </row>
    <row r="12595" spans="3:5">
      <c r="C12595" s="17"/>
      <c r="D12595" s="17"/>
      <c r="E12595" s="7"/>
    </row>
    <row r="12596" spans="3:5">
      <c r="C12596" s="17"/>
      <c r="D12596" s="17"/>
      <c r="E12596" s="7"/>
    </row>
    <row r="12597" spans="3:5">
      <c r="C12597" s="17"/>
      <c r="D12597" s="17"/>
      <c r="E12597" s="7"/>
    </row>
    <row r="12598" spans="3:5">
      <c r="C12598" s="17"/>
      <c r="D12598" s="17"/>
      <c r="E12598" s="7"/>
    </row>
    <row r="12599" spans="3:5">
      <c r="C12599" s="17"/>
      <c r="D12599" s="17"/>
      <c r="E12599" s="7"/>
    </row>
    <row r="12600" spans="3:5">
      <c r="C12600" s="17"/>
      <c r="D12600" s="17"/>
      <c r="E12600" s="7"/>
    </row>
    <row r="12601" spans="3:5">
      <c r="C12601" s="17"/>
      <c r="D12601" s="17"/>
      <c r="E12601" s="7"/>
    </row>
    <row r="12602" spans="3:5">
      <c r="C12602" s="17"/>
      <c r="D12602" s="17"/>
      <c r="E12602" s="7"/>
    </row>
    <row r="12603" spans="3:5">
      <c r="C12603" s="17"/>
      <c r="D12603" s="17"/>
      <c r="E12603" s="7"/>
    </row>
    <row r="12604" spans="3:5">
      <c r="C12604" s="17"/>
      <c r="D12604" s="17"/>
      <c r="E12604" s="7"/>
    </row>
    <row r="12605" spans="3:5">
      <c r="C12605" s="17"/>
      <c r="D12605" s="17"/>
      <c r="E12605" s="7"/>
    </row>
    <row r="12606" spans="3:5">
      <c r="C12606" s="17"/>
      <c r="D12606" s="17"/>
      <c r="E12606" s="7"/>
    </row>
    <row r="12607" spans="3:5">
      <c r="C12607" s="17"/>
      <c r="D12607" s="17"/>
      <c r="E12607" s="7"/>
    </row>
    <row r="12608" spans="3:5">
      <c r="C12608" s="17"/>
      <c r="D12608" s="17"/>
      <c r="E12608" s="7"/>
    </row>
    <row r="12609" spans="3:5">
      <c r="C12609" s="17"/>
      <c r="D12609" s="17"/>
      <c r="E12609" s="7"/>
    </row>
    <row r="12610" spans="3:5">
      <c r="C12610" s="17"/>
      <c r="D12610" s="17"/>
      <c r="E12610" s="7"/>
    </row>
    <row r="12611" spans="3:5">
      <c r="C12611" s="17"/>
      <c r="D12611" s="17"/>
      <c r="E12611" s="7"/>
    </row>
    <row r="12612" spans="3:5">
      <c r="C12612" s="17"/>
      <c r="D12612" s="17"/>
      <c r="E12612" s="7"/>
    </row>
    <row r="12613" spans="3:5">
      <c r="C12613" s="17"/>
      <c r="D12613" s="17"/>
      <c r="E12613" s="7"/>
    </row>
    <row r="12614" spans="3:5">
      <c r="C12614" s="17"/>
      <c r="D12614" s="17"/>
      <c r="E12614" s="7"/>
    </row>
    <row r="12615" spans="3:5">
      <c r="C12615" s="17"/>
      <c r="D12615" s="17"/>
      <c r="E12615" s="7"/>
    </row>
    <row r="12616" spans="3:5">
      <c r="C12616" s="17"/>
      <c r="D12616" s="17"/>
      <c r="E12616" s="7"/>
    </row>
    <row r="12617" spans="3:5">
      <c r="C12617" s="17"/>
      <c r="D12617" s="17"/>
      <c r="E12617" s="7"/>
    </row>
    <row r="12618" spans="3:5">
      <c r="C12618" s="17"/>
      <c r="D12618" s="17"/>
      <c r="E12618" s="7"/>
    </row>
    <row r="12619" spans="3:5">
      <c r="C12619" s="17"/>
      <c r="D12619" s="17"/>
      <c r="E12619" s="7"/>
    </row>
    <row r="12620" spans="3:5">
      <c r="C12620" s="17"/>
      <c r="D12620" s="17"/>
      <c r="E12620" s="7"/>
    </row>
    <row r="12621" spans="3:5">
      <c r="C12621" s="17"/>
      <c r="D12621" s="17"/>
      <c r="E12621" s="7"/>
    </row>
    <row r="12622" spans="3:5">
      <c r="C12622" s="17"/>
      <c r="D12622" s="17"/>
      <c r="E12622" s="7"/>
    </row>
    <row r="12623" spans="3:5">
      <c r="C12623" s="17"/>
      <c r="D12623" s="17"/>
      <c r="E12623" s="7"/>
    </row>
    <row r="12624" spans="3:5">
      <c r="C12624" s="17"/>
      <c r="D12624" s="17"/>
      <c r="E12624" s="7"/>
    </row>
    <row r="12625" spans="3:5">
      <c r="C12625" s="17"/>
      <c r="D12625" s="17"/>
      <c r="E12625" s="7"/>
    </row>
    <row r="12626" spans="3:5">
      <c r="C12626" s="17"/>
      <c r="D12626" s="17"/>
      <c r="E12626" s="7"/>
    </row>
    <row r="12627" spans="3:5">
      <c r="C12627" s="17"/>
      <c r="D12627" s="17"/>
      <c r="E12627" s="7"/>
    </row>
    <row r="12628" spans="3:5">
      <c r="C12628" s="17"/>
      <c r="D12628" s="17"/>
      <c r="E12628" s="7"/>
    </row>
    <row r="12629" spans="3:5">
      <c r="C12629" s="17"/>
      <c r="D12629" s="17"/>
      <c r="E12629" s="7"/>
    </row>
    <row r="12630" spans="3:5">
      <c r="C12630" s="17"/>
      <c r="D12630" s="17"/>
      <c r="E12630" s="7"/>
    </row>
    <row r="12631" spans="3:5">
      <c r="C12631" s="17"/>
      <c r="D12631" s="17"/>
      <c r="E12631" s="7"/>
    </row>
    <row r="12632" spans="3:5">
      <c r="C12632" s="17"/>
      <c r="D12632" s="17"/>
      <c r="E12632" s="7"/>
    </row>
    <row r="12633" spans="3:5">
      <c r="C12633" s="17"/>
      <c r="D12633" s="17"/>
      <c r="E12633" s="7"/>
    </row>
    <row r="12634" spans="3:5">
      <c r="C12634" s="17"/>
      <c r="D12634" s="17"/>
      <c r="E12634" s="7"/>
    </row>
    <row r="12635" spans="3:5">
      <c r="C12635" s="17"/>
      <c r="D12635" s="17"/>
      <c r="E12635" s="7"/>
    </row>
    <row r="12636" spans="3:5">
      <c r="C12636" s="17"/>
      <c r="D12636" s="17"/>
      <c r="E12636" s="7"/>
    </row>
    <row r="12637" spans="3:5">
      <c r="C12637" s="17"/>
      <c r="D12637" s="17"/>
      <c r="E12637" s="7"/>
    </row>
    <row r="12638" spans="3:5">
      <c r="C12638" s="17"/>
      <c r="D12638" s="17"/>
      <c r="E12638" s="7"/>
    </row>
    <row r="12639" spans="3:5">
      <c r="C12639" s="17"/>
      <c r="D12639" s="17"/>
      <c r="E12639" s="7"/>
    </row>
    <row r="12640" spans="3:5">
      <c r="C12640" s="17"/>
      <c r="D12640" s="17"/>
      <c r="E12640" s="7"/>
    </row>
    <row r="12641" spans="3:5">
      <c r="C12641" s="17"/>
      <c r="D12641" s="17"/>
      <c r="E12641" s="7"/>
    </row>
    <row r="12642" spans="3:5">
      <c r="C12642" s="17"/>
      <c r="D12642" s="17"/>
      <c r="E12642" s="7"/>
    </row>
    <row r="12643" spans="3:5">
      <c r="C12643" s="17"/>
      <c r="D12643" s="17"/>
      <c r="E12643" s="7"/>
    </row>
    <row r="12644" spans="3:5">
      <c r="C12644" s="17"/>
      <c r="D12644" s="17"/>
      <c r="E12644" s="7"/>
    </row>
    <row r="12645" spans="3:5">
      <c r="C12645" s="17"/>
      <c r="D12645" s="17"/>
      <c r="E12645" s="7"/>
    </row>
    <row r="12646" spans="3:5">
      <c r="C12646" s="17"/>
      <c r="D12646" s="17"/>
      <c r="E12646" s="7"/>
    </row>
    <row r="12647" spans="3:5">
      <c r="C12647" s="17"/>
      <c r="D12647" s="17"/>
      <c r="E12647" s="7"/>
    </row>
    <row r="12648" spans="3:5">
      <c r="C12648" s="17"/>
      <c r="D12648" s="17"/>
      <c r="E12648" s="7"/>
    </row>
    <row r="12649" spans="3:5">
      <c r="C12649" s="17"/>
      <c r="D12649" s="17"/>
      <c r="E12649" s="7"/>
    </row>
    <row r="12650" spans="3:5">
      <c r="C12650" s="17"/>
      <c r="D12650" s="17"/>
      <c r="E12650" s="7"/>
    </row>
    <row r="12651" spans="3:5">
      <c r="C12651" s="17"/>
      <c r="D12651" s="17"/>
      <c r="E12651" s="7"/>
    </row>
    <row r="12652" spans="3:5">
      <c r="C12652" s="17"/>
      <c r="D12652" s="17"/>
      <c r="E12652" s="7"/>
    </row>
    <row r="12653" spans="3:5">
      <c r="C12653" s="17"/>
      <c r="D12653" s="17"/>
      <c r="E12653" s="7"/>
    </row>
    <row r="12654" spans="3:5">
      <c r="C12654" s="17"/>
      <c r="D12654" s="17"/>
      <c r="E12654" s="7"/>
    </row>
    <row r="12655" spans="3:5">
      <c r="C12655" s="17"/>
      <c r="D12655" s="17"/>
      <c r="E12655" s="7"/>
    </row>
    <row r="12656" spans="3:5">
      <c r="C12656" s="17"/>
      <c r="D12656" s="17"/>
      <c r="E12656" s="7"/>
    </row>
    <row r="12657" spans="3:5">
      <c r="C12657" s="17"/>
      <c r="D12657" s="17"/>
      <c r="E12657" s="7"/>
    </row>
    <row r="12658" spans="3:5">
      <c r="C12658" s="17"/>
      <c r="D12658" s="17"/>
      <c r="E12658" s="7"/>
    </row>
    <row r="12659" spans="3:5">
      <c r="C12659" s="17"/>
      <c r="D12659" s="17"/>
      <c r="E12659" s="7"/>
    </row>
    <row r="12660" spans="3:5">
      <c r="C12660" s="17"/>
      <c r="D12660" s="17"/>
      <c r="E12660" s="7"/>
    </row>
    <row r="12661" spans="3:5">
      <c r="C12661" s="17"/>
      <c r="D12661" s="17"/>
      <c r="E12661" s="7"/>
    </row>
    <row r="12662" spans="3:5">
      <c r="C12662" s="17"/>
      <c r="D12662" s="17"/>
      <c r="E12662" s="7"/>
    </row>
    <row r="12663" spans="3:5">
      <c r="C12663" s="17"/>
      <c r="D12663" s="17"/>
      <c r="E12663" s="7"/>
    </row>
    <row r="12664" spans="3:5">
      <c r="C12664" s="17"/>
      <c r="D12664" s="17"/>
      <c r="E12664" s="7"/>
    </row>
    <row r="12665" spans="3:5">
      <c r="C12665" s="17"/>
      <c r="D12665" s="17"/>
      <c r="E12665" s="7"/>
    </row>
    <row r="12666" spans="3:5">
      <c r="C12666" s="17"/>
      <c r="D12666" s="17"/>
      <c r="E12666" s="7"/>
    </row>
    <row r="12667" spans="3:5">
      <c r="C12667" s="17"/>
      <c r="D12667" s="17"/>
      <c r="E12667" s="7"/>
    </row>
    <row r="12668" spans="3:5">
      <c r="C12668" s="17"/>
      <c r="D12668" s="17"/>
      <c r="E12668" s="7"/>
    </row>
    <row r="12669" spans="3:5">
      <c r="C12669" s="17"/>
      <c r="D12669" s="17"/>
      <c r="E12669" s="7"/>
    </row>
    <row r="12670" spans="3:5">
      <c r="C12670" s="17"/>
      <c r="D12670" s="17"/>
      <c r="E12670" s="7"/>
    </row>
    <row r="12671" spans="3:5">
      <c r="C12671" s="17"/>
      <c r="D12671" s="17"/>
      <c r="E12671" s="7"/>
    </row>
    <row r="12672" spans="3:5">
      <c r="C12672" s="17"/>
      <c r="D12672" s="17"/>
      <c r="E12672" s="7"/>
    </row>
    <row r="12673" spans="3:5">
      <c r="C12673" s="17"/>
      <c r="D12673" s="17"/>
      <c r="E12673" s="7"/>
    </row>
    <row r="12674" spans="3:5">
      <c r="C12674" s="17"/>
      <c r="D12674" s="17"/>
      <c r="E12674" s="7"/>
    </row>
    <row r="12675" spans="3:5">
      <c r="C12675" s="17"/>
      <c r="D12675" s="17"/>
      <c r="E12675" s="7"/>
    </row>
    <row r="12676" spans="3:5">
      <c r="C12676" s="17"/>
      <c r="D12676" s="17"/>
      <c r="E12676" s="7"/>
    </row>
    <row r="12677" spans="3:5">
      <c r="C12677" s="17"/>
      <c r="D12677" s="17"/>
      <c r="E12677" s="7"/>
    </row>
    <row r="12678" spans="3:5">
      <c r="C12678" s="17"/>
      <c r="D12678" s="17"/>
      <c r="E12678" s="7"/>
    </row>
    <row r="12679" spans="3:5">
      <c r="C12679" s="17"/>
      <c r="D12679" s="17"/>
      <c r="E12679" s="7"/>
    </row>
    <row r="12680" spans="3:5">
      <c r="C12680" s="17"/>
      <c r="D12680" s="17"/>
      <c r="E12680" s="7"/>
    </row>
    <row r="12681" spans="3:5">
      <c r="C12681" s="17"/>
      <c r="D12681" s="17"/>
      <c r="E12681" s="7"/>
    </row>
    <row r="12682" spans="3:5">
      <c r="C12682" s="17"/>
      <c r="D12682" s="17"/>
      <c r="E12682" s="7"/>
    </row>
    <row r="12683" spans="3:5">
      <c r="C12683" s="17"/>
      <c r="D12683" s="17"/>
      <c r="E12683" s="7"/>
    </row>
    <row r="12684" spans="3:5">
      <c r="C12684" s="17"/>
      <c r="D12684" s="17"/>
      <c r="E12684" s="7"/>
    </row>
    <row r="12685" spans="3:5">
      <c r="C12685" s="17"/>
      <c r="D12685" s="17"/>
      <c r="E12685" s="7"/>
    </row>
    <row r="12686" spans="3:5">
      <c r="C12686" s="17"/>
      <c r="D12686" s="17"/>
      <c r="E12686" s="7"/>
    </row>
    <row r="12687" spans="3:5">
      <c r="C12687" s="17"/>
      <c r="D12687" s="17"/>
      <c r="E12687" s="7"/>
    </row>
    <row r="12688" spans="3:5">
      <c r="C12688" s="17"/>
      <c r="D12688" s="17"/>
      <c r="E12688" s="7"/>
    </row>
    <row r="12689" spans="3:5">
      <c r="C12689" s="17"/>
      <c r="D12689" s="17"/>
      <c r="E12689" s="7"/>
    </row>
    <row r="12690" spans="3:5">
      <c r="C12690" s="17"/>
      <c r="D12690" s="17"/>
      <c r="E12690" s="7"/>
    </row>
    <row r="12691" spans="3:5">
      <c r="C12691" s="17"/>
      <c r="D12691" s="17"/>
      <c r="E12691" s="7"/>
    </row>
    <row r="12692" spans="3:5">
      <c r="C12692" s="17"/>
      <c r="D12692" s="17"/>
      <c r="E12692" s="7"/>
    </row>
    <row r="12693" spans="3:5">
      <c r="C12693" s="17"/>
      <c r="D12693" s="17"/>
      <c r="E12693" s="7"/>
    </row>
    <row r="12694" spans="3:5">
      <c r="C12694" s="17"/>
      <c r="D12694" s="17"/>
      <c r="E12694" s="7"/>
    </row>
    <row r="12695" spans="3:5">
      <c r="C12695" s="17"/>
      <c r="D12695" s="17"/>
      <c r="E12695" s="7"/>
    </row>
    <row r="12696" spans="3:5">
      <c r="C12696" s="17"/>
      <c r="D12696" s="17"/>
      <c r="E12696" s="7"/>
    </row>
    <row r="12697" spans="3:5">
      <c r="C12697" s="17"/>
      <c r="D12697" s="17"/>
      <c r="E12697" s="7"/>
    </row>
    <row r="12698" spans="3:5">
      <c r="C12698" s="17"/>
      <c r="D12698" s="17"/>
      <c r="E12698" s="7"/>
    </row>
    <row r="12699" spans="3:5">
      <c r="C12699" s="17"/>
      <c r="D12699" s="17"/>
      <c r="E12699" s="7"/>
    </row>
    <row r="12700" spans="3:5">
      <c r="C12700" s="17"/>
      <c r="D12700" s="17"/>
      <c r="E12700" s="7"/>
    </row>
    <row r="12701" spans="3:5">
      <c r="C12701" s="17"/>
      <c r="D12701" s="17"/>
      <c r="E12701" s="7"/>
    </row>
    <row r="12702" spans="3:5">
      <c r="C12702" s="17"/>
      <c r="D12702" s="17"/>
      <c r="E12702" s="7"/>
    </row>
    <row r="12703" spans="3:5">
      <c r="C12703" s="17"/>
      <c r="D12703" s="17"/>
      <c r="E12703" s="7"/>
    </row>
    <row r="12704" spans="3:5">
      <c r="C12704" s="17"/>
      <c r="D12704" s="17"/>
      <c r="E12704" s="7"/>
    </row>
    <row r="12705" spans="3:5">
      <c r="C12705" s="17"/>
      <c r="D12705" s="17"/>
      <c r="E12705" s="7"/>
    </row>
    <row r="12706" spans="3:5">
      <c r="C12706" s="17"/>
      <c r="D12706" s="17"/>
      <c r="E12706" s="7"/>
    </row>
    <row r="12707" spans="3:5">
      <c r="C12707" s="17"/>
      <c r="D12707" s="17"/>
      <c r="E12707" s="7"/>
    </row>
    <row r="12708" spans="3:5">
      <c r="C12708" s="17"/>
      <c r="D12708" s="17"/>
      <c r="E12708" s="7"/>
    </row>
    <row r="12709" spans="3:5">
      <c r="C12709" s="17"/>
      <c r="D12709" s="17"/>
      <c r="E12709" s="7"/>
    </row>
    <row r="12710" spans="3:5">
      <c r="C12710" s="17"/>
      <c r="D12710" s="17"/>
      <c r="E12710" s="7"/>
    </row>
    <row r="12711" spans="3:5">
      <c r="C12711" s="17"/>
      <c r="D12711" s="17"/>
      <c r="E12711" s="7"/>
    </row>
    <row r="12712" spans="3:5">
      <c r="C12712" s="17"/>
      <c r="D12712" s="17"/>
      <c r="E12712" s="7"/>
    </row>
    <row r="12713" spans="3:5">
      <c r="C12713" s="17"/>
      <c r="D12713" s="17"/>
      <c r="E12713" s="7"/>
    </row>
    <row r="12714" spans="3:5">
      <c r="C12714" s="17"/>
      <c r="D12714" s="17"/>
      <c r="E12714" s="7"/>
    </row>
    <row r="12715" spans="3:5">
      <c r="C12715" s="17"/>
      <c r="D12715" s="17"/>
      <c r="E12715" s="7"/>
    </row>
    <row r="12716" spans="3:5">
      <c r="C12716" s="17"/>
      <c r="D12716" s="17"/>
      <c r="E12716" s="7"/>
    </row>
    <row r="12717" spans="3:5">
      <c r="C12717" s="17"/>
      <c r="D12717" s="17"/>
      <c r="E12717" s="7"/>
    </row>
    <row r="12718" spans="3:5">
      <c r="C12718" s="17"/>
      <c r="D12718" s="17"/>
      <c r="E12718" s="7"/>
    </row>
    <row r="12719" spans="3:5">
      <c r="C12719" s="17"/>
      <c r="D12719" s="17"/>
      <c r="E12719" s="7"/>
    </row>
    <row r="12720" spans="3:5">
      <c r="C12720" s="17"/>
      <c r="D12720" s="17"/>
      <c r="E12720" s="7"/>
    </row>
    <row r="12721" spans="3:5">
      <c r="C12721" s="17"/>
      <c r="D12721" s="17"/>
      <c r="E12721" s="7"/>
    </row>
    <row r="12722" spans="3:5">
      <c r="C12722" s="17"/>
      <c r="D12722" s="17"/>
      <c r="E12722" s="7"/>
    </row>
    <row r="12723" spans="3:5">
      <c r="C12723" s="17"/>
      <c r="D12723" s="17"/>
      <c r="E12723" s="7"/>
    </row>
    <row r="12724" spans="3:5">
      <c r="C12724" s="17"/>
      <c r="D12724" s="17"/>
      <c r="E12724" s="7"/>
    </row>
    <row r="12725" spans="3:5">
      <c r="C12725" s="17"/>
      <c r="D12725" s="17"/>
      <c r="E12725" s="7"/>
    </row>
    <row r="12726" spans="3:5">
      <c r="C12726" s="17"/>
      <c r="D12726" s="17"/>
      <c r="E12726" s="7"/>
    </row>
    <row r="12727" spans="3:5">
      <c r="C12727" s="17"/>
      <c r="D12727" s="17"/>
      <c r="E12727" s="7"/>
    </row>
    <row r="12728" spans="3:5">
      <c r="C12728" s="17"/>
      <c r="D12728" s="17"/>
      <c r="E12728" s="7"/>
    </row>
    <row r="12729" spans="3:5">
      <c r="C12729" s="17"/>
      <c r="D12729" s="17"/>
      <c r="E12729" s="7"/>
    </row>
    <row r="12730" spans="3:5">
      <c r="C12730" s="17"/>
      <c r="D12730" s="17"/>
      <c r="E12730" s="7"/>
    </row>
    <row r="12731" spans="3:5">
      <c r="C12731" s="17"/>
      <c r="D12731" s="17"/>
      <c r="E12731" s="7"/>
    </row>
    <row r="12732" spans="3:5">
      <c r="C12732" s="17"/>
      <c r="D12732" s="17"/>
      <c r="E12732" s="7"/>
    </row>
    <row r="12733" spans="3:5">
      <c r="C12733" s="17"/>
      <c r="D12733" s="17"/>
      <c r="E12733" s="7"/>
    </row>
    <row r="12734" spans="3:5">
      <c r="C12734" s="17"/>
      <c r="D12734" s="17"/>
      <c r="E12734" s="7"/>
    </row>
    <row r="12735" spans="3:5">
      <c r="C12735" s="17"/>
      <c r="D12735" s="17"/>
      <c r="E12735" s="7"/>
    </row>
    <row r="12736" spans="3:5">
      <c r="C12736" s="17"/>
      <c r="D12736" s="17"/>
      <c r="E12736" s="7"/>
    </row>
    <row r="12737" spans="3:5">
      <c r="C12737" s="17"/>
      <c r="D12737" s="17"/>
      <c r="E12737" s="7"/>
    </row>
    <row r="12738" spans="3:5">
      <c r="C12738" s="17"/>
      <c r="D12738" s="17"/>
      <c r="E12738" s="7"/>
    </row>
    <row r="12739" spans="3:5">
      <c r="C12739" s="17"/>
      <c r="D12739" s="17"/>
      <c r="E12739" s="7"/>
    </row>
    <row r="12740" spans="3:5">
      <c r="C12740" s="17"/>
      <c r="D12740" s="17"/>
      <c r="E12740" s="7"/>
    </row>
    <row r="12741" spans="3:5">
      <c r="C12741" s="17"/>
      <c r="D12741" s="17"/>
      <c r="E12741" s="7"/>
    </row>
    <row r="12742" spans="3:5">
      <c r="C12742" s="17"/>
      <c r="D12742" s="17"/>
      <c r="E12742" s="7"/>
    </row>
    <row r="12743" spans="3:5">
      <c r="C12743" s="17"/>
      <c r="D12743" s="17"/>
      <c r="E12743" s="7"/>
    </row>
    <row r="12744" spans="3:5">
      <c r="C12744" s="17"/>
      <c r="D12744" s="17"/>
      <c r="E12744" s="7"/>
    </row>
    <row r="12745" spans="3:5">
      <c r="C12745" s="17"/>
      <c r="D12745" s="17"/>
      <c r="E12745" s="7"/>
    </row>
    <row r="12746" spans="3:5">
      <c r="C12746" s="17"/>
      <c r="D12746" s="17"/>
      <c r="E12746" s="7"/>
    </row>
    <row r="12747" spans="3:5">
      <c r="C12747" s="17"/>
      <c r="D12747" s="17"/>
      <c r="E12747" s="7"/>
    </row>
    <row r="12748" spans="3:5">
      <c r="C12748" s="17"/>
      <c r="D12748" s="17"/>
      <c r="E12748" s="7"/>
    </row>
    <row r="12749" spans="3:5">
      <c r="C12749" s="17"/>
      <c r="D12749" s="17"/>
      <c r="E12749" s="7"/>
    </row>
    <row r="12750" spans="3:5">
      <c r="C12750" s="17"/>
      <c r="D12750" s="17"/>
      <c r="E12750" s="7"/>
    </row>
    <row r="12751" spans="3:5">
      <c r="C12751" s="17"/>
      <c r="D12751" s="17"/>
      <c r="E12751" s="7"/>
    </row>
    <row r="12752" spans="3:5">
      <c r="C12752" s="17"/>
      <c r="D12752" s="17"/>
      <c r="E12752" s="7"/>
    </row>
    <row r="12753" spans="3:5">
      <c r="C12753" s="17"/>
      <c r="D12753" s="17"/>
      <c r="E12753" s="7"/>
    </row>
    <row r="12754" spans="3:5">
      <c r="C12754" s="17"/>
      <c r="D12754" s="17"/>
      <c r="E12754" s="7"/>
    </row>
    <row r="12755" spans="3:5">
      <c r="C12755" s="17"/>
      <c r="D12755" s="17"/>
      <c r="E12755" s="7"/>
    </row>
    <row r="12756" spans="3:5">
      <c r="C12756" s="17"/>
      <c r="D12756" s="17"/>
      <c r="E12756" s="7"/>
    </row>
    <row r="12757" spans="3:5">
      <c r="C12757" s="17"/>
      <c r="D12757" s="17"/>
      <c r="E12757" s="7"/>
    </row>
    <row r="12758" spans="3:5">
      <c r="C12758" s="17"/>
      <c r="D12758" s="17"/>
      <c r="E12758" s="7"/>
    </row>
    <row r="12759" spans="3:5">
      <c r="C12759" s="17"/>
      <c r="D12759" s="17"/>
      <c r="E12759" s="7"/>
    </row>
    <row r="12760" spans="3:5">
      <c r="C12760" s="17"/>
      <c r="D12760" s="17"/>
      <c r="E12760" s="7"/>
    </row>
    <row r="12761" spans="3:5">
      <c r="C12761" s="17"/>
      <c r="D12761" s="17"/>
      <c r="E12761" s="7"/>
    </row>
    <row r="12762" spans="3:5">
      <c r="C12762" s="17"/>
      <c r="D12762" s="17"/>
      <c r="E12762" s="7"/>
    </row>
    <row r="12763" spans="3:5">
      <c r="C12763" s="17"/>
      <c r="D12763" s="17"/>
      <c r="E12763" s="7"/>
    </row>
    <row r="12764" spans="3:5">
      <c r="C12764" s="17"/>
      <c r="D12764" s="17"/>
      <c r="E12764" s="7"/>
    </row>
    <row r="12765" spans="3:5">
      <c r="C12765" s="17"/>
      <c r="D12765" s="17"/>
      <c r="E12765" s="7"/>
    </row>
    <row r="12766" spans="3:5">
      <c r="C12766" s="17"/>
      <c r="D12766" s="17"/>
      <c r="E12766" s="7"/>
    </row>
    <row r="12767" spans="3:5">
      <c r="C12767" s="17"/>
      <c r="D12767" s="17"/>
      <c r="E12767" s="7"/>
    </row>
    <row r="12768" spans="3:5">
      <c r="C12768" s="17"/>
      <c r="D12768" s="17"/>
      <c r="E12768" s="7"/>
    </row>
    <row r="12769" spans="3:5">
      <c r="C12769" s="17"/>
      <c r="D12769" s="17"/>
      <c r="E12769" s="7"/>
    </row>
    <row r="12770" spans="3:5">
      <c r="C12770" s="17"/>
      <c r="D12770" s="17"/>
      <c r="E12770" s="7"/>
    </row>
    <row r="12771" spans="3:5">
      <c r="C12771" s="17"/>
      <c r="D12771" s="17"/>
      <c r="E12771" s="7"/>
    </row>
    <row r="12772" spans="3:5">
      <c r="C12772" s="17"/>
      <c r="D12772" s="17"/>
      <c r="E12772" s="7"/>
    </row>
    <row r="12773" spans="3:5">
      <c r="C12773" s="17"/>
      <c r="D12773" s="17"/>
      <c r="E12773" s="7"/>
    </row>
    <row r="12774" spans="3:5">
      <c r="C12774" s="17"/>
      <c r="D12774" s="17"/>
      <c r="E12774" s="7"/>
    </row>
    <row r="12775" spans="3:5">
      <c r="C12775" s="17"/>
      <c r="D12775" s="17"/>
      <c r="E12775" s="7"/>
    </row>
    <row r="12776" spans="3:5">
      <c r="C12776" s="17"/>
      <c r="D12776" s="17"/>
      <c r="E12776" s="7"/>
    </row>
    <row r="12777" spans="3:5">
      <c r="C12777" s="17"/>
      <c r="D12777" s="17"/>
      <c r="E12777" s="7"/>
    </row>
    <row r="12778" spans="3:5">
      <c r="C12778" s="17"/>
      <c r="D12778" s="17"/>
      <c r="E12778" s="7"/>
    </row>
    <row r="12779" spans="3:5">
      <c r="C12779" s="17"/>
      <c r="D12779" s="17"/>
      <c r="E12779" s="7"/>
    </row>
    <row r="12780" spans="3:5">
      <c r="C12780" s="17"/>
      <c r="D12780" s="17"/>
      <c r="E12780" s="7"/>
    </row>
    <row r="12781" spans="3:5">
      <c r="C12781" s="17"/>
      <c r="D12781" s="17"/>
      <c r="E12781" s="7"/>
    </row>
    <row r="12782" spans="3:5">
      <c r="C12782" s="17"/>
      <c r="D12782" s="17"/>
      <c r="E12782" s="7"/>
    </row>
    <row r="12783" spans="3:5">
      <c r="C12783" s="17"/>
      <c r="D12783" s="17"/>
      <c r="E12783" s="7"/>
    </row>
    <row r="12784" spans="3:5">
      <c r="C12784" s="17"/>
      <c r="D12784" s="17"/>
      <c r="E12784" s="7"/>
    </row>
    <row r="12785" spans="3:5">
      <c r="C12785" s="17"/>
      <c r="D12785" s="17"/>
      <c r="E12785" s="7"/>
    </row>
    <row r="12786" spans="3:5">
      <c r="C12786" s="17"/>
      <c r="D12786" s="17"/>
      <c r="E12786" s="7"/>
    </row>
    <row r="12787" spans="3:5">
      <c r="C12787" s="17"/>
      <c r="D12787" s="17"/>
      <c r="E12787" s="7"/>
    </row>
    <row r="12788" spans="3:5">
      <c r="C12788" s="17"/>
      <c r="D12788" s="17"/>
      <c r="E12788" s="7"/>
    </row>
    <row r="12789" spans="3:5">
      <c r="C12789" s="17"/>
      <c r="D12789" s="17"/>
      <c r="E12789" s="7"/>
    </row>
    <row r="12790" spans="3:5">
      <c r="C12790" s="17"/>
      <c r="D12790" s="17"/>
      <c r="E12790" s="7"/>
    </row>
    <row r="12791" spans="3:5">
      <c r="C12791" s="17"/>
      <c r="D12791" s="17"/>
      <c r="E12791" s="7"/>
    </row>
    <row r="12792" spans="3:5">
      <c r="C12792" s="17"/>
      <c r="D12792" s="17"/>
      <c r="E12792" s="7"/>
    </row>
    <row r="12793" spans="3:5">
      <c r="C12793" s="17"/>
      <c r="D12793" s="17"/>
      <c r="E12793" s="7"/>
    </row>
    <row r="12794" spans="3:5">
      <c r="C12794" s="17"/>
      <c r="D12794" s="17"/>
      <c r="E12794" s="7"/>
    </row>
    <row r="12795" spans="3:5">
      <c r="C12795" s="17"/>
      <c r="D12795" s="17"/>
      <c r="E12795" s="7"/>
    </row>
    <row r="12796" spans="3:5">
      <c r="C12796" s="17"/>
      <c r="D12796" s="17"/>
      <c r="E12796" s="7"/>
    </row>
    <row r="12797" spans="3:5">
      <c r="C12797" s="17"/>
      <c r="D12797" s="17"/>
      <c r="E12797" s="7"/>
    </row>
    <row r="12798" spans="3:5">
      <c r="C12798" s="17"/>
      <c r="D12798" s="17"/>
      <c r="E12798" s="7"/>
    </row>
    <row r="12799" spans="3:5">
      <c r="C12799" s="17"/>
      <c r="D12799" s="17"/>
      <c r="E12799" s="7"/>
    </row>
    <row r="12800" spans="3:5">
      <c r="C12800" s="17"/>
      <c r="D12800" s="17"/>
      <c r="E12800" s="7"/>
    </row>
    <row r="12801" spans="3:5">
      <c r="C12801" s="17"/>
      <c r="D12801" s="17"/>
      <c r="E12801" s="7"/>
    </row>
    <row r="12802" spans="3:5">
      <c r="C12802" s="17"/>
      <c r="D12802" s="17"/>
      <c r="E12802" s="7"/>
    </row>
    <row r="12803" spans="3:5">
      <c r="C12803" s="17"/>
      <c r="D12803" s="17"/>
      <c r="E12803" s="7"/>
    </row>
    <row r="12804" spans="3:5">
      <c r="C12804" s="17"/>
      <c r="D12804" s="17"/>
      <c r="E12804" s="7"/>
    </row>
    <row r="12805" spans="3:5">
      <c r="C12805" s="17"/>
      <c r="D12805" s="17"/>
      <c r="E12805" s="7"/>
    </row>
    <row r="12806" spans="3:5">
      <c r="C12806" s="17"/>
      <c r="D12806" s="17"/>
      <c r="E12806" s="7"/>
    </row>
    <row r="12807" spans="3:5">
      <c r="C12807" s="17"/>
      <c r="D12807" s="17"/>
      <c r="E12807" s="7"/>
    </row>
    <row r="12808" spans="3:5">
      <c r="C12808" s="17"/>
      <c r="D12808" s="17"/>
      <c r="E12808" s="7"/>
    </row>
    <row r="12809" spans="3:5">
      <c r="C12809" s="17"/>
      <c r="D12809" s="17"/>
      <c r="E12809" s="7"/>
    </row>
    <row r="12810" spans="3:5">
      <c r="C12810" s="17"/>
      <c r="D12810" s="17"/>
      <c r="E12810" s="7"/>
    </row>
    <row r="12811" spans="3:5">
      <c r="C12811" s="17"/>
      <c r="D12811" s="17"/>
      <c r="E12811" s="7"/>
    </row>
    <row r="12812" spans="3:5">
      <c r="C12812" s="17"/>
      <c r="D12812" s="17"/>
      <c r="E12812" s="7"/>
    </row>
    <row r="12813" spans="3:5">
      <c r="C12813" s="17"/>
      <c r="D12813" s="17"/>
      <c r="E12813" s="7"/>
    </row>
    <row r="12814" spans="3:5">
      <c r="C12814" s="17"/>
      <c r="D12814" s="17"/>
      <c r="E12814" s="7"/>
    </row>
    <row r="12815" spans="3:5">
      <c r="C12815" s="17"/>
      <c r="D12815" s="17"/>
      <c r="E12815" s="7"/>
    </row>
    <row r="12816" spans="3:5">
      <c r="C12816" s="17"/>
      <c r="D12816" s="17"/>
      <c r="E12816" s="7"/>
    </row>
    <row r="12817" spans="3:5">
      <c r="C12817" s="17"/>
      <c r="D12817" s="17"/>
      <c r="E12817" s="7"/>
    </row>
    <row r="12818" spans="3:5">
      <c r="C12818" s="17"/>
      <c r="D12818" s="17"/>
      <c r="E12818" s="7"/>
    </row>
    <row r="12819" spans="3:5">
      <c r="C12819" s="17"/>
      <c r="D12819" s="17"/>
      <c r="E12819" s="7"/>
    </row>
    <row r="12820" spans="3:5">
      <c r="C12820" s="17"/>
      <c r="D12820" s="17"/>
      <c r="E12820" s="7"/>
    </row>
    <row r="12821" spans="3:5">
      <c r="C12821" s="17"/>
      <c r="D12821" s="17"/>
      <c r="E12821" s="7"/>
    </row>
    <row r="12822" spans="3:5">
      <c r="C12822" s="17"/>
      <c r="D12822" s="17"/>
      <c r="E12822" s="7"/>
    </row>
    <row r="12823" spans="3:5">
      <c r="C12823" s="17"/>
      <c r="D12823" s="17"/>
      <c r="E12823" s="7"/>
    </row>
    <row r="12824" spans="3:5">
      <c r="C12824" s="17"/>
      <c r="D12824" s="17"/>
      <c r="E12824" s="7"/>
    </row>
    <row r="12825" spans="3:5">
      <c r="C12825" s="17"/>
      <c r="D12825" s="17"/>
      <c r="E12825" s="7"/>
    </row>
    <row r="12826" spans="3:5">
      <c r="C12826" s="17"/>
      <c r="D12826" s="17"/>
      <c r="E12826" s="7"/>
    </row>
    <row r="12827" spans="3:5">
      <c r="C12827" s="17"/>
      <c r="D12827" s="17"/>
      <c r="E12827" s="7"/>
    </row>
    <row r="12828" spans="3:5">
      <c r="C12828" s="17"/>
      <c r="D12828" s="17"/>
      <c r="E12828" s="7"/>
    </row>
    <row r="12829" spans="3:5">
      <c r="C12829" s="17"/>
      <c r="D12829" s="17"/>
      <c r="E12829" s="7"/>
    </row>
    <row r="12830" spans="3:5">
      <c r="C12830" s="17"/>
      <c r="D12830" s="17"/>
      <c r="E12830" s="7"/>
    </row>
    <row r="12831" spans="3:5">
      <c r="C12831" s="17"/>
      <c r="D12831" s="17"/>
      <c r="E12831" s="7"/>
    </row>
    <row r="12832" spans="3:5">
      <c r="C12832" s="17"/>
      <c r="D12832" s="17"/>
      <c r="E12832" s="7"/>
    </row>
    <row r="12833" spans="3:5">
      <c r="C12833" s="17"/>
      <c r="D12833" s="17"/>
      <c r="E12833" s="7"/>
    </row>
    <row r="12834" spans="3:5">
      <c r="C12834" s="17"/>
      <c r="D12834" s="17"/>
      <c r="E12834" s="7"/>
    </row>
    <row r="12835" spans="3:5">
      <c r="C12835" s="17"/>
      <c r="D12835" s="17"/>
      <c r="E12835" s="7"/>
    </row>
    <row r="12836" spans="3:5">
      <c r="C12836" s="17"/>
      <c r="D12836" s="17"/>
      <c r="E12836" s="7"/>
    </row>
    <row r="12837" spans="3:5">
      <c r="C12837" s="17"/>
      <c r="D12837" s="17"/>
      <c r="E12837" s="7"/>
    </row>
    <row r="12838" spans="3:5">
      <c r="C12838" s="17"/>
      <c r="D12838" s="17"/>
      <c r="E12838" s="7"/>
    </row>
    <row r="12839" spans="3:5">
      <c r="C12839" s="17"/>
      <c r="D12839" s="17"/>
      <c r="E12839" s="7"/>
    </row>
    <row r="12840" spans="3:5">
      <c r="C12840" s="17"/>
      <c r="D12840" s="17"/>
      <c r="E12840" s="7"/>
    </row>
    <row r="12841" spans="3:5">
      <c r="C12841" s="17"/>
      <c r="D12841" s="17"/>
      <c r="E12841" s="7"/>
    </row>
    <row r="12842" spans="3:5">
      <c r="C12842" s="17"/>
      <c r="D12842" s="17"/>
      <c r="E12842" s="7"/>
    </row>
    <row r="12843" spans="3:5">
      <c r="C12843" s="17"/>
      <c r="D12843" s="17"/>
      <c r="E12843" s="7"/>
    </row>
    <row r="12844" spans="3:5">
      <c r="C12844" s="17"/>
      <c r="D12844" s="17"/>
      <c r="E12844" s="7"/>
    </row>
    <row r="12845" spans="3:5">
      <c r="C12845" s="17"/>
      <c r="D12845" s="17"/>
      <c r="E12845" s="7"/>
    </row>
    <row r="12846" spans="3:5">
      <c r="C12846" s="17"/>
      <c r="D12846" s="17"/>
      <c r="E12846" s="7"/>
    </row>
    <row r="12847" spans="3:5">
      <c r="C12847" s="17"/>
      <c r="D12847" s="17"/>
      <c r="E12847" s="7"/>
    </row>
    <row r="12848" spans="3:5">
      <c r="C12848" s="17"/>
      <c r="D12848" s="17"/>
      <c r="E12848" s="7"/>
    </row>
    <row r="12849" spans="3:5">
      <c r="C12849" s="17"/>
      <c r="D12849" s="17"/>
      <c r="E12849" s="7"/>
    </row>
    <row r="12850" spans="3:5">
      <c r="C12850" s="17"/>
      <c r="D12850" s="17"/>
      <c r="E12850" s="7"/>
    </row>
    <row r="12851" spans="3:5">
      <c r="C12851" s="17"/>
      <c r="D12851" s="17"/>
      <c r="E12851" s="7"/>
    </row>
    <row r="12852" spans="3:5">
      <c r="C12852" s="17"/>
      <c r="D12852" s="17"/>
      <c r="E12852" s="7"/>
    </row>
    <row r="12853" spans="3:5">
      <c r="C12853" s="17"/>
      <c r="D12853" s="17"/>
      <c r="E12853" s="7"/>
    </row>
    <row r="12854" spans="3:5">
      <c r="C12854" s="17"/>
      <c r="D12854" s="17"/>
      <c r="E12854" s="7"/>
    </row>
    <row r="12855" spans="3:5">
      <c r="C12855" s="17"/>
      <c r="D12855" s="17"/>
      <c r="E12855" s="7"/>
    </row>
    <row r="12856" spans="3:5">
      <c r="C12856" s="17"/>
      <c r="D12856" s="17"/>
      <c r="E12856" s="7"/>
    </row>
    <row r="12857" spans="3:5">
      <c r="C12857" s="17"/>
      <c r="D12857" s="17"/>
      <c r="E12857" s="7"/>
    </row>
    <row r="12858" spans="3:5">
      <c r="C12858" s="17"/>
      <c r="D12858" s="17"/>
      <c r="E12858" s="7"/>
    </row>
    <row r="12859" spans="3:5">
      <c r="C12859" s="17"/>
      <c r="D12859" s="17"/>
      <c r="E12859" s="7"/>
    </row>
    <row r="12860" spans="3:5">
      <c r="C12860" s="17"/>
      <c r="D12860" s="17"/>
      <c r="E12860" s="7"/>
    </row>
    <row r="12861" spans="3:5">
      <c r="C12861" s="17"/>
      <c r="D12861" s="17"/>
      <c r="E12861" s="7"/>
    </row>
    <row r="12862" spans="3:5">
      <c r="C12862" s="17"/>
      <c r="D12862" s="17"/>
      <c r="E12862" s="7"/>
    </row>
    <row r="12863" spans="3:5">
      <c r="C12863" s="17"/>
      <c r="D12863" s="17"/>
      <c r="E12863" s="7"/>
    </row>
    <row r="12864" spans="3:5">
      <c r="C12864" s="17"/>
      <c r="D12864" s="17"/>
      <c r="E12864" s="7"/>
    </row>
    <row r="12865" spans="3:5">
      <c r="C12865" s="17"/>
      <c r="D12865" s="17"/>
      <c r="E12865" s="7"/>
    </row>
    <row r="12866" spans="3:5">
      <c r="C12866" s="17"/>
      <c r="D12866" s="17"/>
      <c r="E12866" s="7"/>
    </row>
    <row r="12867" spans="3:5">
      <c r="C12867" s="17"/>
      <c r="D12867" s="17"/>
      <c r="E12867" s="7"/>
    </row>
    <row r="12868" spans="3:5">
      <c r="C12868" s="17"/>
      <c r="D12868" s="17"/>
      <c r="E12868" s="7"/>
    </row>
    <row r="12869" spans="3:5">
      <c r="C12869" s="17"/>
      <c r="D12869" s="17"/>
      <c r="E12869" s="7"/>
    </row>
    <row r="12870" spans="3:5">
      <c r="C12870" s="17"/>
      <c r="D12870" s="17"/>
      <c r="E12870" s="7"/>
    </row>
    <row r="12871" spans="3:5">
      <c r="C12871" s="17"/>
      <c r="D12871" s="17"/>
      <c r="E12871" s="7"/>
    </row>
    <row r="12872" spans="3:5">
      <c r="C12872" s="17"/>
      <c r="D12872" s="17"/>
      <c r="E12872" s="7"/>
    </row>
    <row r="12873" spans="3:5">
      <c r="C12873" s="17"/>
      <c r="D12873" s="17"/>
      <c r="E12873" s="7"/>
    </row>
    <row r="12874" spans="3:5">
      <c r="C12874" s="17"/>
      <c r="D12874" s="17"/>
      <c r="E12874" s="7"/>
    </row>
    <row r="12875" spans="3:5">
      <c r="C12875" s="17"/>
      <c r="D12875" s="17"/>
      <c r="E12875" s="7"/>
    </row>
    <row r="12876" spans="3:5">
      <c r="C12876" s="17"/>
      <c r="D12876" s="17"/>
      <c r="E12876" s="7"/>
    </row>
    <row r="12877" spans="3:5">
      <c r="C12877" s="17"/>
      <c r="D12877" s="17"/>
      <c r="E12877" s="7"/>
    </row>
    <row r="12878" spans="3:5">
      <c r="C12878" s="17"/>
      <c r="D12878" s="17"/>
      <c r="E12878" s="7"/>
    </row>
    <row r="12879" spans="3:5">
      <c r="C12879" s="17"/>
      <c r="D12879" s="17"/>
      <c r="E12879" s="7"/>
    </row>
    <row r="12880" spans="3:5">
      <c r="C12880" s="17"/>
      <c r="D12880" s="17"/>
      <c r="E12880" s="7"/>
    </row>
    <row r="12881" spans="3:5">
      <c r="C12881" s="17"/>
      <c r="D12881" s="17"/>
      <c r="E12881" s="7"/>
    </row>
    <row r="12882" spans="3:5">
      <c r="C12882" s="17"/>
      <c r="D12882" s="17"/>
      <c r="E12882" s="7"/>
    </row>
    <row r="12883" spans="3:5">
      <c r="C12883" s="17"/>
      <c r="D12883" s="17"/>
      <c r="E12883" s="7"/>
    </row>
    <row r="12884" spans="3:5">
      <c r="C12884" s="17"/>
      <c r="D12884" s="17"/>
      <c r="E12884" s="7"/>
    </row>
    <row r="12885" spans="3:5">
      <c r="C12885" s="17"/>
      <c r="D12885" s="17"/>
      <c r="E12885" s="7"/>
    </row>
    <row r="12886" spans="3:5">
      <c r="C12886" s="17"/>
      <c r="D12886" s="17"/>
      <c r="E12886" s="7"/>
    </row>
    <row r="12887" spans="3:5">
      <c r="C12887" s="17"/>
      <c r="D12887" s="17"/>
      <c r="E12887" s="7"/>
    </row>
    <row r="12888" spans="3:5">
      <c r="C12888" s="17"/>
      <c r="D12888" s="17"/>
      <c r="E12888" s="7"/>
    </row>
    <row r="12889" spans="3:5">
      <c r="C12889" s="17"/>
      <c r="D12889" s="17"/>
      <c r="E12889" s="7"/>
    </row>
    <row r="12890" spans="3:5">
      <c r="C12890" s="17"/>
      <c r="D12890" s="17"/>
      <c r="E12890" s="7"/>
    </row>
    <row r="12891" spans="3:5">
      <c r="C12891" s="17"/>
      <c r="D12891" s="17"/>
      <c r="E12891" s="7"/>
    </row>
    <row r="12892" spans="3:5">
      <c r="C12892" s="17"/>
      <c r="D12892" s="17"/>
      <c r="E12892" s="7"/>
    </row>
    <row r="12893" spans="3:5">
      <c r="C12893" s="17"/>
      <c r="D12893" s="17"/>
      <c r="E12893" s="7"/>
    </row>
    <row r="12894" spans="3:5">
      <c r="C12894" s="17"/>
      <c r="D12894" s="17"/>
      <c r="E12894" s="7"/>
    </row>
    <row r="12895" spans="3:5">
      <c r="C12895" s="17"/>
      <c r="D12895" s="17"/>
      <c r="E12895" s="7"/>
    </row>
    <row r="12896" spans="3:5">
      <c r="C12896" s="17"/>
      <c r="D12896" s="17"/>
      <c r="E12896" s="7"/>
    </row>
    <row r="12897" spans="3:5">
      <c r="C12897" s="17"/>
      <c r="D12897" s="17"/>
      <c r="E12897" s="7"/>
    </row>
    <row r="12898" spans="3:5">
      <c r="C12898" s="17"/>
      <c r="D12898" s="17"/>
      <c r="E12898" s="7"/>
    </row>
    <row r="12899" spans="3:5">
      <c r="C12899" s="17"/>
      <c r="D12899" s="17"/>
      <c r="E12899" s="7"/>
    </row>
    <row r="12900" spans="3:5">
      <c r="C12900" s="17"/>
      <c r="D12900" s="17"/>
      <c r="E12900" s="7"/>
    </row>
    <row r="12901" spans="3:5">
      <c r="C12901" s="17"/>
      <c r="D12901" s="17"/>
      <c r="E12901" s="7"/>
    </row>
    <row r="12902" spans="3:5">
      <c r="C12902" s="17"/>
      <c r="D12902" s="17"/>
      <c r="E12902" s="7"/>
    </row>
    <row r="12903" spans="3:5">
      <c r="C12903" s="17"/>
      <c r="D12903" s="17"/>
      <c r="E12903" s="7"/>
    </row>
    <row r="12904" spans="3:5">
      <c r="C12904" s="17"/>
      <c r="D12904" s="17"/>
      <c r="E12904" s="7"/>
    </row>
    <row r="12905" spans="3:5">
      <c r="C12905" s="17"/>
      <c r="D12905" s="17"/>
      <c r="E12905" s="7"/>
    </row>
    <row r="12906" spans="3:5">
      <c r="C12906" s="17"/>
      <c r="D12906" s="17"/>
      <c r="E12906" s="7"/>
    </row>
    <row r="12907" spans="3:5">
      <c r="C12907" s="17"/>
      <c r="D12907" s="17"/>
      <c r="E12907" s="7"/>
    </row>
    <row r="12908" spans="3:5">
      <c r="C12908" s="17"/>
      <c r="D12908" s="17"/>
      <c r="E12908" s="7"/>
    </row>
    <row r="12909" spans="3:5">
      <c r="C12909" s="17"/>
      <c r="D12909" s="17"/>
      <c r="E12909" s="7"/>
    </row>
    <row r="12910" spans="3:5">
      <c r="C12910" s="17"/>
      <c r="D12910" s="17"/>
      <c r="E12910" s="7"/>
    </row>
    <row r="12911" spans="3:5">
      <c r="C12911" s="17"/>
      <c r="D12911" s="17"/>
      <c r="E12911" s="7"/>
    </row>
    <row r="12912" spans="3:5">
      <c r="C12912" s="17"/>
      <c r="D12912" s="17"/>
      <c r="E12912" s="7"/>
    </row>
    <row r="12913" spans="3:5">
      <c r="C12913" s="17"/>
      <c r="D12913" s="17"/>
      <c r="E12913" s="7"/>
    </row>
    <row r="12914" spans="3:5">
      <c r="C12914" s="17"/>
      <c r="D12914" s="17"/>
      <c r="E12914" s="7"/>
    </row>
    <row r="12915" spans="3:5">
      <c r="C12915" s="17"/>
      <c r="D12915" s="17"/>
      <c r="E12915" s="7"/>
    </row>
    <row r="12916" spans="3:5">
      <c r="C12916" s="17"/>
      <c r="D12916" s="17"/>
      <c r="E12916" s="7"/>
    </row>
    <row r="12917" spans="3:5">
      <c r="C12917" s="17"/>
      <c r="D12917" s="17"/>
      <c r="E12917" s="7"/>
    </row>
    <row r="12918" spans="3:5">
      <c r="C12918" s="17"/>
      <c r="D12918" s="17"/>
      <c r="E12918" s="7"/>
    </row>
    <row r="12919" spans="3:5">
      <c r="C12919" s="17"/>
      <c r="D12919" s="17"/>
      <c r="E12919" s="7"/>
    </row>
    <row r="12920" spans="3:5">
      <c r="C12920" s="17"/>
      <c r="D12920" s="17"/>
      <c r="E12920" s="7"/>
    </row>
    <row r="12921" spans="3:5">
      <c r="C12921" s="17"/>
      <c r="D12921" s="17"/>
      <c r="E12921" s="7"/>
    </row>
    <row r="12922" spans="3:5">
      <c r="C12922" s="17"/>
      <c r="D12922" s="17"/>
      <c r="E12922" s="7"/>
    </row>
    <row r="12923" spans="3:5">
      <c r="C12923" s="17"/>
      <c r="D12923" s="17"/>
      <c r="E12923" s="7"/>
    </row>
    <row r="12924" spans="3:5">
      <c r="C12924" s="17"/>
      <c r="D12924" s="17"/>
      <c r="E12924" s="7"/>
    </row>
    <row r="12925" spans="3:5">
      <c r="C12925" s="17"/>
      <c r="D12925" s="17"/>
      <c r="E12925" s="7"/>
    </row>
    <row r="12926" spans="3:5">
      <c r="C12926" s="17"/>
      <c r="D12926" s="17"/>
      <c r="E12926" s="7"/>
    </row>
    <row r="12927" spans="3:5">
      <c r="C12927" s="17"/>
      <c r="D12927" s="17"/>
      <c r="E12927" s="7"/>
    </row>
    <row r="12928" spans="3:5">
      <c r="C12928" s="17"/>
      <c r="D12928" s="17"/>
      <c r="E12928" s="7"/>
    </row>
    <row r="12929" spans="3:5">
      <c r="C12929" s="17"/>
      <c r="D12929" s="17"/>
      <c r="E12929" s="7"/>
    </row>
    <row r="12930" spans="3:5">
      <c r="C12930" s="17"/>
      <c r="D12930" s="17"/>
      <c r="E12930" s="7"/>
    </row>
    <row r="12931" spans="3:5">
      <c r="C12931" s="17"/>
      <c r="D12931" s="17"/>
      <c r="E12931" s="7"/>
    </row>
    <row r="12932" spans="3:5">
      <c r="C12932" s="17"/>
      <c r="D12932" s="17"/>
      <c r="E12932" s="7"/>
    </row>
    <row r="12933" spans="3:5">
      <c r="C12933" s="17"/>
      <c r="D12933" s="17"/>
      <c r="E12933" s="7"/>
    </row>
    <row r="12934" spans="3:5">
      <c r="C12934" s="17"/>
      <c r="D12934" s="17"/>
      <c r="E12934" s="7"/>
    </row>
    <row r="12935" spans="3:5">
      <c r="C12935" s="17"/>
      <c r="D12935" s="17"/>
      <c r="E12935" s="7"/>
    </row>
    <row r="12936" spans="3:5">
      <c r="C12936" s="17"/>
      <c r="D12936" s="17"/>
      <c r="E12936" s="7"/>
    </row>
    <row r="12937" spans="3:5">
      <c r="C12937" s="17"/>
      <c r="D12937" s="17"/>
      <c r="E12937" s="7"/>
    </row>
    <row r="12938" spans="3:5">
      <c r="C12938" s="17"/>
      <c r="D12938" s="17"/>
      <c r="E12938" s="7"/>
    </row>
    <row r="12939" spans="3:5">
      <c r="C12939" s="17"/>
      <c r="D12939" s="17"/>
      <c r="E12939" s="7"/>
    </row>
    <row r="12940" spans="3:5">
      <c r="C12940" s="17"/>
      <c r="D12940" s="17"/>
      <c r="E12940" s="7"/>
    </row>
    <row r="12941" spans="3:5">
      <c r="C12941" s="17"/>
      <c r="D12941" s="17"/>
      <c r="E12941" s="7"/>
    </row>
    <row r="12942" spans="3:5">
      <c r="C12942" s="17"/>
      <c r="D12942" s="17"/>
      <c r="E12942" s="7"/>
    </row>
    <row r="12943" spans="3:5">
      <c r="C12943" s="17"/>
      <c r="D12943" s="17"/>
      <c r="E12943" s="7"/>
    </row>
    <row r="12944" spans="3:5">
      <c r="C12944" s="17"/>
      <c r="D12944" s="17"/>
      <c r="E12944" s="7"/>
    </row>
    <row r="12945" spans="3:5">
      <c r="C12945" s="17"/>
      <c r="D12945" s="17"/>
      <c r="E12945" s="7"/>
    </row>
    <row r="12946" spans="3:5">
      <c r="C12946" s="17"/>
      <c r="D12946" s="17"/>
      <c r="E12946" s="7"/>
    </row>
    <row r="12947" spans="3:5">
      <c r="C12947" s="17"/>
      <c r="D12947" s="17"/>
      <c r="E12947" s="7"/>
    </row>
    <row r="12948" spans="3:5">
      <c r="C12948" s="17"/>
      <c r="D12948" s="17"/>
      <c r="E12948" s="7"/>
    </row>
    <row r="12949" spans="3:5">
      <c r="C12949" s="17"/>
      <c r="D12949" s="17"/>
      <c r="E12949" s="7"/>
    </row>
    <row r="12950" spans="3:5">
      <c r="C12950" s="17"/>
      <c r="D12950" s="17"/>
      <c r="E12950" s="7"/>
    </row>
    <row r="12951" spans="3:5">
      <c r="C12951" s="17"/>
      <c r="D12951" s="17"/>
      <c r="E12951" s="7"/>
    </row>
    <row r="12952" spans="3:5">
      <c r="C12952" s="17"/>
      <c r="D12952" s="17"/>
      <c r="E12952" s="7"/>
    </row>
    <row r="12953" spans="3:5">
      <c r="C12953" s="17"/>
      <c r="D12953" s="17"/>
      <c r="E12953" s="7"/>
    </row>
    <row r="12954" spans="3:5">
      <c r="C12954" s="17"/>
      <c r="D12954" s="17"/>
      <c r="E12954" s="7"/>
    </row>
    <row r="12955" spans="3:5">
      <c r="C12955" s="17"/>
      <c r="D12955" s="17"/>
      <c r="E12955" s="7"/>
    </row>
    <row r="12956" spans="3:5">
      <c r="C12956" s="17"/>
      <c r="D12956" s="17"/>
      <c r="E12956" s="7"/>
    </row>
    <row r="12957" spans="3:5">
      <c r="C12957" s="17"/>
      <c r="D12957" s="17"/>
      <c r="E12957" s="7"/>
    </row>
    <row r="12958" spans="3:5">
      <c r="C12958" s="17"/>
      <c r="D12958" s="17"/>
      <c r="E12958" s="7"/>
    </row>
    <row r="12959" spans="3:5">
      <c r="C12959" s="17"/>
      <c r="D12959" s="17"/>
      <c r="E12959" s="7"/>
    </row>
    <row r="12960" spans="3:5">
      <c r="C12960" s="17"/>
      <c r="D12960" s="17"/>
      <c r="E12960" s="7"/>
    </row>
    <row r="12961" spans="3:5">
      <c r="C12961" s="17"/>
      <c r="D12961" s="17"/>
      <c r="E12961" s="7"/>
    </row>
    <row r="12962" spans="3:5">
      <c r="C12962" s="17"/>
      <c r="D12962" s="17"/>
      <c r="E12962" s="7"/>
    </row>
    <row r="12963" spans="3:5">
      <c r="C12963" s="17"/>
      <c r="D12963" s="17"/>
      <c r="E12963" s="7"/>
    </row>
    <row r="12964" spans="3:5">
      <c r="C12964" s="17"/>
      <c r="D12964" s="17"/>
      <c r="E12964" s="7"/>
    </row>
    <row r="12965" spans="3:5">
      <c r="C12965" s="17"/>
      <c r="D12965" s="17"/>
      <c r="E12965" s="7"/>
    </row>
    <row r="12966" spans="3:5">
      <c r="C12966" s="17"/>
      <c r="D12966" s="17"/>
      <c r="E12966" s="7"/>
    </row>
    <row r="12967" spans="3:5">
      <c r="C12967" s="17"/>
      <c r="D12967" s="17"/>
      <c r="E12967" s="7"/>
    </row>
    <row r="12968" spans="3:5">
      <c r="C12968" s="17"/>
      <c r="D12968" s="17"/>
      <c r="E12968" s="7"/>
    </row>
    <row r="12969" spans="3:5">
      <c r="C12969" s="17"/>
      <c r="D12969" s="17"/>
      <c r="E12969" s="7"/>
    </row>
    <row r="12970" spans="3:5">
      <c r="C12970" s="17"/>
      <c r="D12970" s="17"/>
      <c r="E12970" s="7"/>
    </row>
    <row r="12971" spans="3:5">
      <c r="C12971" s="17"/>
      <c r="D12971" s="17"/>
      <c r="E12971" s="7"/>
    </row>
    <row r="12972" spans="3:5">
      <c r="C12972" s="17"/>
      <c r="D12972" s="17"/>
      <c r="E12972" s="7"/>
    </row>
    <row r="12973" spans="3:5">
      <c r="C12973" s="17"/>
      <c r="D12973" s="17"/>
      <c r="E12973" s="7"/>
    </row>
    <row r="12974" spans="3:5">
      <c r="C12974" s="17"/>
      <c r="D12974" s="17"/>
      <c r="E12974" s="7"/>
    </row>
    <row r="12975" spans="3:5">
      <c r="C12975" s="17"/>
      <c r="D12975" s="17"/>
      <c r="E12975" s="7"/>
    </row>
    <row r="12976" spans="3:5">
      <c r="C12976" s="17"/>
      <c r="D12976" s="17"/>
      <c r="E12976" s="7"/>
    </row>
    <row r="12977" spans="3:5">
      <c r="C12977" s="17"/>
      <c r="D12977" s="17"/>
      <c r="E12977" s="7"/>
    </row>
    <row r="12978" spans="3:5">
      <c r="C12978" s="17"/>
      <c r="D12978" s="17"/>
      <c r="E12978" s="7"/>
    </row>
    <row r="12979" spans="3:5">
      <c r="C12979" s="17"/>
      <c r="D12979" s="17"/>
      <c r="E12979" s="7"/>
    </row>
    <row r="12980" spans="3:5">
      <c r="C12980" s="17"/>
      <c r="D12980" s="17"/>
      <c r="E12980" s="7"/>
    </row>
    <row r="12981" spans="3:5">
      <c r="C12981" s="17"/>
      <c r="D12981" s="17"/>
      <c r="E12981" s="7"/>
    </row>
    <row r="12982" spans="3:5">
      <c r="C12982" s="17"/>
      <c r="D12982" s="17"/>
      <c r="E12982" s="7"/>
    </row>
    <row r="12983" spans="3:5">
      <c r="C12983" s="17"/>
      <c r="D12983" s="17"/>
      <c r="E12983" s="7"/>
    </row>
    <row r="12984" spans="3:5">
      <c r="C12984" s="17"/>
      <c r="D12984" s="17"/>
      <c r="E12984" s="7"/>
    </row>
    <row r="12985" spans="3:5">
      <c r="C12985" s="17"/>
      <c r="D12985" s="17"/>
      <c r="E12985" s="7"/>
    </row>
    <row r="12986" spans="3:5">
      <c r="C12986" s="17"/>
      <c r="D12986" s="17"/>
      <c r="E12986" s="7"/>
    </row>
    <row r="12987" spans="3:5">
      <c r="C12987" s="17"/>
      <c r="D12987" s="17"/>
      <c r="E12987" s="7"/>
    </row>
    <row r="12988" spans="3:5">
      <c r="C12988" s="17"/>
      <c r="D12988" s="17"/>
      <c r="E12988" s="7"/>
    </row>
    <row r="12989" spans="3:5">
      <c r="C12989" s="17"/>
      <c r="D12989" s="17"/>
      <c r="E12989" s="7"/>
    </row>
    <row r="12990" spans="3:5">
      <c r="C12990" s="17"/>
      <c r="D12990" s="17"/>
      <c r="E12990" s="7"/>
    </row>
    <row r="12991" spans="3:5">
      <c r="C12991" s="17"/>
      <c r="D12991" s="17"/>
      <c r="E12991" s="7"/>
    </row>
    <row r="12992" spans="3:5">
      <c r="C12992" s="17"/>
      <c r="D12992" s="17"/>
      <c r="E12992" s="7"/>
    </row>
    <row r="12993" spans="3:5">
      <c r="C12993" s="17"/>
      <c r="D12993" s="17"/>
      <c r="E12993" s="7"/>
    </row>
    <row r="12994" spans="3:5">
      <c r="C12994" s="17"/>
      <c r="D12994" s="17"/>
      <c r="E12994" s="7"/>
    </row>
    <row r="12995" spans="3:5">
      <c r="C12995" s="17"/>
      <c r="D12995" s="17"/>
      <c r="E12995" s="7"/>
    </row>
    <row r="12996" spans="3:5">
      <c r="C12996" s="17"/>
      <c r="D12996" s="17"/>
      <c r="E12996" s="7"/>
    </row>
    <row r="12997" spans="3:5">
      <c r="C12997" s="17"/>
      <c r="D12997" s="17"/>
      <c r="E12997" s="7"/>
    </row>
    <row r="12998" spans="3:5">
      <c r="C12998" s="17"/>
      <c r="D12998" s="17"/>
      <c r="E12998" s="7"/>
    </row>
    <row r="12999" spans="3:5">
      <c r="C12999" s="17"/>
      <c r="D12999" s="17"/>
      <c r="E12999" s="7"/>
    </row>
    <row r="13000" spans="3:5">
      <c r="C13000" s="17"/>
      <c r="D13000" s="17"/>
      <c r="E13000" s="7"/>
    </row>
    <row r="13001" spans="3:5">
      <c r="C13001" s="17"/>
      <c r="D13001" s="17"/>
      <c r="E13001" s="7"/>
    </row>
    <row r="13002" spans="3:5">
      <c r="C13002" s="17"/>
      <c r="D13002" s="17"/>
      <c r="E13002" s="7"/>
    </row>
    <row r="13003" spans="3:5">
      <c r="C13003" s="17"/>
      <c r="D13003" s="17"/>
      <c r="E13003" s="7"/>
    </row>
    <row r="13004" spans="3:5">
      <c r="C13004" s="17"/>
      <c r="D13004" s="17"/>
      <c r="E13004" s="7"/>
    </row>
    <row r="13005" spans="3:5">
      <c r="C13005" s="17"/>
      <c r="D13005" s="17"/>
      <c r="E13005" s="7"/>
    </row>
    <row r="13006" spans="3:5">
      <c r="C13006" s="17"/>
      <c r="D13006" s="17"/>
      <c r="E13006" s="7"/>
    </row>
    <row r="13007" spans="3:5">
      <c r="C13007" s="17"/>
      <c r="D13007" s="17"/>
      <c r="E13007" s="7"/>
    </row>
    <row r="13008" spans="3:5">
      <c r="C13008" s="17"/>
      <c r="D13008" s="17"/>
      <c r="E13008" s="7"/>
    </row>
    <row r="13009" spans="3:5">
      <c r="C13009" s="17"/>
      <c r="D13009" s="17"/>
      <c r="E13009" s="7"/>
    </row>
    <row r="13010" spans="3:5">
      <c r="C13010" s="17"/>
      <c r="D13010" s="17"/>
      <c r="E13010" s="7"/>
    </row>
    <row r="13011" spans="3:5">
      <c r="C13011" s="17"/>
      <c r="D13011" s="17"/>
      <c r="E13011" s="7"/>
    </row>
    <row r="13012" spans="3:5">
      <c r="C13012" s="17"/>
      <c r="D13012" s="17"/>
      <c r="E13012" s="7"/>
    </row>
    <row r="13013" spans="3:5">
      <c r="C13013" s="17"/>
      <c r="D13013" s="17"/>
      <c r="E13013" s="7"/>
    </row>
    <row r="13014" spans="3:5">
      <c r="C13014" s="17"/>
      <c r="D13014" s="17"/>
      <c r="E13014" s="7"/>
    </row>
    <row r="13015" spans="3:5">
      <c r="C13015" s="17"/>
      <c r="D13015" s="17"/>
      <c r="E13015" s="7"/>
    </row>
    <row r="13016" spans="3:5">
      <c r="C13016" s="17"/>
      <c r="D13016" s="17"/>
      <c r="E13016" s="7"/>
    </row>
    <row r="13017" spans="3:5">
      <c r="C13017" s="17"/>
      <c r="D13017" s="17"/>
      <c r="E13017" s="7"/>
    </row>
    <row r="13018" spans="3:5">
      <c r="C13018" s="17"/>
      <c r="D13018" s="17"/>
      <c r="E13018" s="7"/>
    </row>
    <row r="13019" spans="3:5">
      <c r="C13019" s="17"/>
      <c r="D13019" s="17"/>
      <c r="E13019" s="7"/>
    </row>
    <row r="13020" spans="3:5">
      <c r="C13020" s="17"/>
      <c r="D13020" s="17"/>
      <c r="E13020" s="7"/>
    </row>
    <row r="13021" spans="3:5">
      <c r="C13021" s="17"/>
      <c r="D13021" s="17"/>
      <c r="E13021" s="7"/>
    </row>
    <row r="13022" spans="3:5">
      <c r="C13022" s="17"/>
      <c r="D13022" s="17"/>
      <c r="E13022" s="7"/>
    </row>
    <row r="13023" spans="3:5">
      <c r="C13023" s="17"/>
      <c r="D13023" s="17"/>
      <c r="E13023" s="7"/>
    </row>
    <row r="13024" spans="3:5">
      <c r="C13024" s="17"/>
      <c r="D13024" s="17"/>
      <c r="E13024" s="7"/>
    </row>
    <row r="13025" spans="3:5">
      <c r="C13025" s="17"/>
      <c r="D13025" s="17"/>
      <c r="E13025" s="7"/>
    </row>
    <row r="13026" spans="3:5">
      <c r="C13026" s="17"/>
      <c r="D13026" s="17"/>
      <c r="E13026" s="7"/>
    </row>
    <row r="13027" spans="3:5">
      <c r="C13027" s="17"/>
      <c r="D13027" s="17"/>
      <c r="E13027" s="7"/>
    </row>
    <row r="13028" spans="3:5">
      <c r="C13028" s="17"/>
      <c r="D13028" s="17"/>
      <c r="E13028" s="7"/>
    </row>
    <row r="13029" spans="3:5">
      <c r="C13029" s="17"/>
      <c r="D13029" s="17"/>
      <c r="E13029" s="7"/>
    </row>
    <row r="13030" spans="3:5">
      <c r="C13030" s="17"/>
      <c r="D13030" s="17"/>
      <c r="E13030" s="7"/>
    </row>
    <row r="13031" spans="3:5">
      <c r="C13031" s="17"/>
      <c r="D13031" s="17"/>
      <c r="E13031" s="7"/>
    </row>
    <row r="13032" spans="3:5">
      <c r="C13032" s="17"/>
      <c r="D13032" s="17"/>
      <c r="E13032" s="7"/>
    </row>
    <row r="13033" spans="3:5">
      <c r="C13033" s="17"/>
      <c r="D13033" s="17"/>
      <c r="E13033" s="7"/>
    </row>
    <row r="13034" spans="3:5">
      <c r="C13034" s="17"/>
      <c r="D13034" s="17"/>
      <c r="E13034" s="7"/>
    </row>
    <row r="13035" spans="3:5">
      <c r="C13035" s="17"/>
      <c r="D13035" s="17"/>
      <c r="E13035" s="7"/>
    </row>
    <row r="13036" spans="3:5">
      <c r="C13036" s="17"/>
      <c r="D13036" s="17"/>
      <c r="E13036" s="7"/>
    </row>
    <row r="13037" spans="3:5">
      <c r="C13037" s="17"/>
      <c r="D13037" s="17"/>
      <c r="E13037" s="7"/>
    </row>
    <row r="13038" spans="3:5">
      <c r="C13038" s="17"/>
      <c r="D13038" s="17"/>
      <c r="E13038" s="7"/>
    </row>
    <row r="13039" spans="3:5">
      <c r="C13039" s="17"/>
      <c r="D13039" s="17"/>
      <c r="E13039" s="7"/>
    </row>
    <row r="13040" spans="3:5">
      <c r="C13040" s="17"/>
      <c r="D13040" s="17"/>
      <c r="E13040" s="7"/>
    </row>
    <row r="13041" spans="3:5">
      <c r="C13041" s="17"/>
      <c r="D13041" s="17"/>
      <c r="E13041" s="7"/>
    </row>
    <row r="13042" spans="3:5">
      <c r="C13042" s="17"/>
      <c r="D13042" s="17"/>
      <c r="E13042" s="7"/>
    </row>
    <row r="13043" spans="3:5">
      <c r="C13043" s="17"/>
      <c r="D13043" s="17"/>
      <c r="E13043" s="7"/>
    </row>
    <row r="13044" spans="3:5">
      <c r="C13044" s="17"/>
      <c r="D13044" s="17"/>
      <c r="E13044" s="7"/>
    </row>
    <row r="13045" spans="3:5">
      <c r="C13045" s="17"/>
      <c r="D13045" s="17"/>
      <c r="E13045" s="7"/>
    </row>
    <row r="13046" spans="3:5">
      <c r="C13046" s="17"/>
      <c r="D13046" s="17"/>
      <c r="E13046" s="7"/>
    </row>
    <row r="13047" spans="3:5">
      <c r="C13047" s="17"/>
      <c r="D13047" s="17"/>
      <c r="E13047" s="7"/>
    </row>
    <row r="13048" spans="3:5">
      <c r="C13048" s="17"/>
      <c r="D13048" s="17"/>
      <c r="E13048" s="7"/>
    </row>
    <row r="13049" spans="3:5">
      <c r="C13049" s="17"/>
      <c r="D13049" s="17"/>
      <c r="E13049" s="7"/>
    </row>
    <row r="13050" spans="3:5">
      <c r="C13050" s="17"/>
      <c r="D13050" s="17"/>
      <c r="E13050" s="7"/>
    </row>
    <row r="13051" spans="3:5">
      <c r="C13051" s="17"/>
      <c r="D13051" s="17"/>
      <c r="E13051" s="7"/>
    </row>
    <row r="13052" spans="3:5">
      <c r="C13052" s="17"/>
      <c r="D13052" s="17"/>
      <c r="E13052" s="7"/>
    </row>
    <row r="13053" spans="3:5">
      <c r="C13053" s="17"/>
      <c r="D13053" s="17"/>
      <c r="E13053" s="7"/>
    </row>
    <row r="13054" spans="3:5">
      <c r="C13054" s="17"/>
      <c r="D13054" s="17"/>
      <c r="E13054" s="7"/>
    </row>
    <row r="13055" spans="3:5">
      <c r="C13055" s="17"/>
      <c r="D13055" s="17"/>
      <c r="E13055" s="7"/>
    </row>
    <row r="13056" spans="3:5">
      <c r="C13056" s="17"/>
      <c r="D13056" s="17"/>
      <c r="E13056" s="7"/>
    </row>
    <row r="13057" spans="3:5">
      <c r="C13057" s="17"/>
      <c r="D13057" s="17"/>
      <c r="E13057" s="7"/>
    </row>
    <row r="13058" spans="3:5">
      <c r="C13058" s="17"/>
      <c r="D13058" s="17"/>
      <c r="E13058" s="7"/>
    </row>
    <row r="13059" spans="3:5">
      <c r="C13059" s="17"/>
      <c r="D13059" s="17"/>
      <c r="E13059" s="7"/>
    </row>
    <row r="13060" spans="3:5">
      <c r="C13060" s="17"/>
      <c r="D13060" s="17"/>
      <c r="E13060" s="7"/>
    </row>
    <row r="13061" spans="3:5">
      <c r="C13061" s="17"/>
      <c r="D13061" s="17"/>
      <c r="E13061" s="7"/>
    </row>
    <row r="13062" spans="3:5">
      <c r="C13062" s="17"/>
      <c r="D13062" s="17"/>
      <c r="E13062" s="7"/>
    </row>
    <row r="13063" spans="3:5">
      <c r="C13063" s="17"/>
      <c r="D13063" s="17"/>
      <c r="E13063" s="7"/>
    </row>
    <row r="13064" spans="3:5">
      <c r="C13064" s="17"/>
      <c r="D13064" s="17"/>
      <c r="E13064" s="7"/>
    </row>
    <row r="13065" spans="3:5">
      <c r="C13065" s="17"/>
      <c r="D13065" s="17"/>
      <c r="E13065" s="7"/>
    </row>
    <row r="13066" spans="3:5">
      <c r="C13066" s="17"/>
      <c r="D13066" s="17"/>
      <c r="E13066" s="7"/>
    </row>
    <row r="13067" spans="3:5">
      <c r="C13067" s="17"/>
      <c r="D13067" s="17"/>
      <c r="E13067" s="7"/>
    </row>
    <row r="13068" spans="3:5">
      <c r="C13068" s="17"/>
      <c r="D13068" s="17"/>
      <c r="E13068" s="7"/>
    </row>
    <row r="13069" spans="3:5">
      <c r="C13069" s="17"/>
      <c r="D13069" s="17"/>
      <c r="E13069" s="7"/>
    </row>
    <row r="13070" spans="3:5">
      <c r="C13070" s="17"/>
      <c r="D13070" s="17"/>
      <c r="E13070" s="7"/>
    </row>
    <row r="13071" spans="3:5">
      <c r="C13071" s="17"/>
      <c r="D13071" s="17"/>
      <c r="E13071" s="7"/>
    </row>
    <row r="13072" spans="3:5">
      <c r="C13072" s="17"/>
      <c r="D13072" s="17"/>
      <c r="E13072" s="7"/>
    </row>
    <row r="13073" spans="3:5">
      <c r="C13073" s="17"/>
      <c r="D13073" s="17"/>
      <c r="E13073" s="7"/>
    </row>
    <row r="13074" spans="3:5">
      <c r="C13074" s="17"/>
      <c r="D13074" s="17"/>
      <c r="E13074" s="7"/>
    </row>
    <row r="13075" spans="3:5">
      <c r="C13075" s="17"/>
      <c r="D13075" s="17"/>
      <c r="E13075" s="7"/>
    </row>
    <row r="13076" spans="3:5">
      <c r="C13076" s="17"/>
      <c r="D13076" s="17"/>
      <c r="E13076" s="7"/>
    </row>
    <row r="13077" spans="3:5">
      <c r="C13077" s="17"/>
      <c r="D13077" s="17"/>
      <c r="E13077" s="7"/>
    </row>
    <row r="13078" spans="3:5">
      <c r="C13078" s="17"/>
      <c r="D13078" s="17"/>
      <c r="E13078" s="7"/>
    </row>
    <row r="13079" spans="3:5">
      <c r="C13079" s="17"/>
      <c r="D13079" s="17"/>
      <c r="E13079" s="7"/>
    </row>
    <row r="13080" spans="3:5">
      <c r="C13080" s="17"/>
      <c r="D13080" s="17"/>
      <c r="E13080" s="7"/>
    </row>
    <row r="13081" spans="3:5">
      <c r="C13081" s="17"/>
      <c r="D13081" s="17"/>
      <c r="E13081" s="7"/>
    </row>
    <row r="13082" spans="3:5">
      <c r="C13082" s="17"/>
      <c r="D13082" s="17"/>
      <c r="E13082" s="7"/>
    </row>
    <row r="13083" spans="3:5">
      <c r="C13083" s="17"/>
      <c r="D13083" s="17"/>
      <c r="E13083" s="7"/>
    </row>
    <row r="13084" spans="3:5">
      <c r="C13084" s="17"/>
      <c r="D13084" s="17"/>
      <c r="E13084" s="7"/>
    </row>
    <row r="13085" spans="3:5">
      <c r="C13085" s="17"/>
      <c r="D13085" s="17"/>
      <c r="E13085" s="7"/>
    </row>
    <row r="13086" spans="3:5">
      <c r="C13086" s="17"/>
      <c r="D13086" s="17"/>
      <c r="E13086" s="7"/>
    </row>
    <row r="13087" spans="3:5">
      <c r="C13087" s="17"/>
      <c r="D13087" s="17"/>
      <c r="E13087" s="7"/>
    </row>
    <row r="13088" spans="3:5">
      <c r="C13088" s="17"/>
      <c r="D13088" s="17"/>
      <c r="E13088" s="7"/>
    </row>
    <row r="13089" spans="3:5">
      <c r="C13089" s="17"/>
      <c r="D13089" s="17"/>
      <c r="E13089" s="7"/>
    </row>
    <row r="13090" spans="3:5">
      <c r="C13090" s="17"/>
      <c r="D13090" s="17"/>
      <c r="E13090" s="7"/>
    </row>
    <row r="13091" spans="3:5">
      <c r="C13091" s="17"/>
      <c r="D13091" s="17"/>
      <c r="E13091" s="7"/>
    </row>
    <row r="13092" spans="3:5">
      <c r="C13092" s="17"/>
      <c r="D13092" s="17"/>
      <c r="E13092" s="7"/>
    </row>
    <row r="13093" spans="3:5">
      <c r="C13093" s="17"/>
      <c r="D13093" s="17"/>
      <c r="E13093" s="7"/>
    </row>
    <row r="13094" spans="3:5">
      <c r="C13094" s="17"/>
      <c r="D13094" s="17"/>
      <c r="E13094" s="7"/>
    </row>
    <row r="13095" spans="3:5">
      <c r="C13095" s="17"/>
      <c r="D13095" s="17"/>
      <c r="E13095" s="7"/>
    </row>
    <row r="13096" spans="3:5">
      <c r="C13096" s="17"/>
      <c r="D13096" s="17"/>
      <c r="E13096" s="7"/>
    </row>
    <row r="13097" spans="3:5">
      <c r="C13097" s="17"/>
      <c r="D13097" s="17"/>
      <c r="E13097" s="7"/>
    </row>
    <row r="13098" spans="3:5">
      <c r="C13098" s="17"/>
      <c r="D13098" s="17"/>
      <c r="E13098" s="7"/>
    </row>
    <row r="13099" spans="3:5">
      <c r="C13099" s="17"/>
      <c r="D13099" s="17"/>
      <c r="E13099" s="7"/>
    </row>
    <row r="13100" spans="3:5">
      <c r="C13100" s="17"/>
      <c r="D13100" s="17"/>
      <c r="E13100" s="7"/>
    </row>
    <row r="13101" spans="3:5">
      <c r="C13101" s="17"/>
      <c r="D13101" s="17"/>
      <c r="E13101" s="7"/>
    </row>
    <row r="13102" spans="3:5">
      <c r="C13102" s="17"/>
      <c r="D13102" s="17"/>
      <c r="E13102" s="7"/>
    </row>
    <row r="13103" spans="3:5">
      <c r="C13103" s="17"/>
      <c r="D13103" s="17"/>
      <c r="E13103" s="7"/>
    </row>
    <row r="13104" spans="3:5">
      <c r="C13104" s="17"/>
      <c r="D13104" s="17"/>
      <c r="E13104" s="7"/>
    </row>
    <row r="13105" spans="3:5">
      <c r="C13105" s="17"/>
      <c r="D13105" s="17"/>
      <c r="E13105" s="7"/>
    </row>
    <row r="13106" spans="3:5">
      <c r="C13106" s="17"/>
      <c r="D13106" s="17"/>
      <c r="E13106" s="7"/>
    </row>
    <row r="13107" spans="3:5">
      <c r="C13107" s="17"/>
      <c r="D13107" s="17"/>
      <c r="E13107" s="7"/>
    </row>
    <row r="13108" spans="3:5">
      <c r="C13108" s="17"/>
      <c r="D13108" s="17"/>
      <c r="E13108" s="7"/>
    </row>
    <row r="13109" spans="3:5">
      <c r="C13109" s="17"/>
      <c r="D13109" s="17"/>
      <c r="E13109" s="7"/>
    </row>
    <row r="13110" spans="3:5">
      <c r="C13110" s="17"/>
      <c r="D13110" s="17"/>
      <c r="E13110" s="7"/>
    </row>
    <row r="13111" spans="3:5">
      <c r="C13111" s="17"/>
      <c r="D13111" s="17"/>
      <c r="E13111" s="7"/>
    </row>
    <row r="13112" spans="3:5">
      <c r="C13112" s="17"/>
      <c r="D13112" s="17"/>
      <c r="E13112" s="7"/>
    </row>
    <row r="13113" spans="3:5">
      <c r="C13113" s="17"/>
      <c r="D13113" s="17"/>
      <c r="E13113" s="7"/>
    </row>
    <row r="13114" spans="3:5">
      <c r="C13114" s="17"/>
      <c r="D13114" s="17"/>
      <c r="E13114" s="7"/>
    </row>
    <row r="13115" spans="3:5">
      <c r="C13115" s="17"/>
      <c r="D13115" s="17"/>
      <c r="E13115" s="7"/>
    </row>
    <row r="13116" spans="3:5">
      <c r="C13116" s="17"/>
      <c r="D13116" s="17"/>
      <c r="E13116" s="7"/>
    </row>
    <row r="13117" spans="3:5">
      <c r="C13117" s="17"/>
      <c r="D13117" s="17"/>
      <c r="E13117" s="7"/>
    </row>
    <row r="13118" spans="3:5">
      <c r="C13118" s="17"/>
      <c r="D13118" s="17"/>
      <c r="E13118" s="7"/>
    </row>
    <row r="13119" spans="3:5">
      <c r="C13119" s="17"/>
      <c r="D13119" s="17"/>
      <c r="E13119" s="7"/>
    </row>
    <row r="13120" spans="3:5">
      <c r="C13120" s="17"/>
      <c r="D13120" s="17"/>
      <c r="E13120" s="7"/>
    </row>
    <row r="13121" spans="3:5">
      <c r="C13121" s="17"/>
      <c r="D13121" s="17"/>
      <c r="E13121" s="7"/>
    </row>
    <row r="13122" spans="3:5">
      <c r="C13122" s="17"/>
      <c r="D13122" s="17"/>
      <c r="E13122" s="7"/>
    </row>
    <row r="13123" spans="3:5">
      <c r="C13123" s="17"/>
      <c r="D13123" s="17"/>
      <c r="E13123" s="7"/>
    </row>
    <row r="13124" spans="3:5">
      <c r="C13124" s="17"/>
      <c r="D13124" s="17"/>
      <c r="E13124" s="7"/>
    </row>
    <row r="13125" spans="3:5">
      <c r="C13125" s="17"/>
      <c r="D13125" s="17"/>
      <c r="E13125" s="7"/>
    </row>
    <row r="13126" spans="3:5">
      <c r="C13126" s="17"/>
      <c r="D13126" s="17"/>
      <c r="E13126" s="7"/>
    </row>
    <row r="13127" spans="3:5">
      <c r="C13127" s="17"/>
      <c r="D13127" s="17"/>
      <c r="E13127" s="7"/>
    </row>
    <row r="13128" spans="3:5">
      <c r="C13128" s="17"/>
      <c r="D13128" s="17"/>
      <c r="E13128" s="7"/>
    </row>
    <row r="13129" spans="3:5">
      <c r="C13129" s="17"/>
      <c r="D13129" s="17"/>
      <c r="E13129" s="7"/>
    </row>
    <row r="13130" spans="3:5">
      <c r="C13130" s="17"/>
      <c r="D13130" s="17"/>
      <c r="E13130" s="7"/>
    </row>
    <row r="13131" spans="3:5">
      <c r="C13131" s="17"/>
      <c r="D13131" s="17"/>
      <c r="E13131" s="7"/>
    </row>
    <row r="13132" spans="3:5">
      <c r="C13132" s="17"/>
      <c r="D13132" s="17"/>
      <c r="E13132" s="7"/>
    </row>
    <row r="13133" spans="3:5">
      <c r="C13133" s="17"/>
      <c r="D13133" s="17"/>
      <c r="E13133" s="7"/>
    </row>
    <row r="13134" spans="3:5">
      <c r="C13134" s="17"/>
      <c r="D13134" s="17"/>
      <c r="E13134" s="7"/>
    </row>
    <row r="13135" spans="3:5">
      <c r="C13135" s="17"/>
      <c r="D13135" s="17"/>
      <c r="E13135" s="7"/>
    </row>
    <row r="13136" spans="3:5">
      <c r="C13136" s="17"/>
      <c r="D13136" s="17"/>
      <c r="E13136" s="7"/>
    </row>
    <row r="13137" spans="3:5">
      <c r="C13137" s="17"/>
      <c r="D13137" s="17"/>
      <c r="E13137" s="7"/>
    </row>
    <row r="13138" spans="3:5">
      <c r="C13138" s="17"/>
      <c r="D13138" s="17"/>
      <c r="E13138" s="7"/>
    </row>
    <row r="13139" spans="3:5">
      <c r="C13139" s="17"/>
      <c r="D13139" s="17"/>
      <c r="E13139" s="7"/>
    </row>
    <row r="13140" spans="3:5">
      <c r="C13140" s="17"/>
      <c r="D13140" s="17"/>
      <c r="E13140" s="7"/>
    </row>
    <row r="13141" spans="3:5">
      <c r="C13141" s="17"/>
      <c r="D13141" s="17"/>
      <c r="E13141" s="7"/>
    </row>
    <row r="13142" spans="3:5">
      <c r="C13142" s="17"/>
      <c r="D13142" s="17"/>
      <c r="E13142" s="7"/>
    </row>
    <row r="13143" spans="3:5">
      <c r="C13143" s="17"/>
      <c r="D13143" s="17"/>
      <c r="E13143" s="7"/>
    </row>
    <row r="13144" spans="3:5">
      <c r="C13144" s="17"/>
      <c r="D13144" s="17"/>
      <c r="E13144" s="7"/>
    </row>
    <row r="13145" spans="3:5">
      <c r="C13145" s="17"/>
      <c r="D13145" s="17"/>
      <c r="E13145" s="7"/>
    </row>
    <row r="13146" spans="3:5">
      <c r="C13146" s="17"/>
      <c r="D13146" s="17"/>
      <c r="E13146" s="7"/>
    </row>
    <row r="13147" spans="3:5">
      <c r="C13147" s="17"/>
      <c r="D13147" s="17"/>
      <c r="E13147" s="7"/>
    </row>
    <row r="13148" spans="3:5">
      <c r="C13148" s="17"/>
      <c r="D13148" s="17"/>
      <c r="E13148" s="7"/>
    </row>
    <row r="13149" spans="3:5">
      <c r="C13149" s="17"/>
      <c r="D13149" s="17"/>
      <c r="E13149" s="7"/>
    </row>
    <row r="13150" spans="3:5">
      <c r="C13150" s="17"/>
      <c r="D13150" s="17"/>
      <c r="E13150" s="7"/>
    </row>
    <row r="13151" spans="3:5">
      <c r="C13151" s="17"/>
      <c r="D13151" s="17"/>
      <c r="E13151" s="7"/>
    </row>
    <row r="13152" spans="3:5">
      <c r="C13152" s="17"/>
      <c r="D13152" s="17"/>
      <c r="E13152" s="7"/>
    </row>
    <row r="13153" spans="3:5">
      <c r="C13153" s="17"/>
      <c r="D13153" s="17"/>
      <c r="E13153" s="7"/>
    </row>
    <row r="13154" spans="3:5">
      <c r="C13154" s="17"/>
      <c r="D13154" s="17"/>
      <c r="E13154" s="7"/>
    </row>
    <row r="13155" spans="3:5">
      <c r="C13155" s="17"/>
      <c r="D13155" s="17"/>
      <c r="E13155" s="7"/>
    </row>
    <row r="13156" spans="3:5">
      <c r="C13156" s="17"/>
      <c r="D13156" s="17"/>
      <c r="E13156" s="7"/>
    </row>
    <row r="13157" spans="3:5">
      <c r="C13157" s="17"/>
      <c r="D13157" s="17"/>
      <c r="E13157" s="7"/>
    </row>
    <row r="13158" spans="3:5">
      <c r="C13158" s="17"/>
      <c r="D13158" s="17"/>
      <c r="E13158" s="7"/>
    </row>
    <row r="13159" spans="3:5">
      <c r="C13159" s="17"/>
      <c r="D13159" s="17"/>
      <c r="E13159" s="7"/>
    </row>
    <row r="13160" spans="3:5">
      <c r="C13160" s="17"/>
      <c r="D13160" s="17"/>
      <c r="E13160" s="7"/>
    </row>
    <row r="13161" spans="3:5">
      <c r="C13161" s="17"/>
      <c r="D13161" s="17"/>
      <c r="E13161" s="7"/>
    </row>
    <row r="13162" spans="3:5">
      <c r="C13162" s="17"/>
      <c r="D13162" s="17"/>
      <c r="E13162" s="7"/>
    </row>
    <row r="13163" spans="3:5">
      <c r="C13163" s="17"/>
      <c r="D13163" s="17"/>
      <c r="E13163" s="7"/>
    </row>
    <row r="13164" spans="3:5">
      <c r="C13164" s="17"/>
      <c r="D13164" s="17"/>
      <c r="E13164" s="7"/>
    </row>
    <row r="13165" spans="3:5">
      <c r="C13165" s="17"/>
      <c r="D13165" s="17"/>
      <c r="E13165" s="7"/>
    </row>
    <row r="13166" spans="3:5">
      <c r="C13166" s="17"/>
      <c r="D13166" s="17"/>
      <c r="E13166" s="7"/>
    </row>
    <row r="13167" spans="3:5">
      <c r="C13167" s="17"/>
      <c r="D13167" s="17"/>
      <c r="E13167" s="7"/>
    </row>
    <row r="13168" spans="3:5">
      <c r="C13168" s="17"/>
      <c r="D13168" s="17"/>
      <c r="E13168" s="7"/>
    </row>
    <row r="13169" spans="3:5">
      <c r="C13169" s="17"/>
      <c r="D13169" s="17"/>
      <c r="E13169" s="7"/>
    </row>
    <row r="13170" spans="3:5">
      <c r="C13170" s="17"/>
      <c r="D13170" s="17"/>
      <c r="E13170" s="7"/>
    </row>
    <row r="13171" spans="3:5">
      <c r="C13171" s="17"/>
      <c r="D13171" s="17"/>
      <c r="E13171" s="7"/>
    </row>
    <row r="13172" spans="3:5">
      <c r="C13172" s="17"/>
      <c r="D13172" s="17"/>
      <c r="E13172" s="7"/>
    </row>
    <row r="13173" spans="3:5">
      <c r="C13173" s="17"/>
      <c r="D13173" s="17"/>
      <c r="E13173" s="7"/>
    </row>
    <row r="13174" spans="3:5">
      <c r="C13174" s="17"/>
      <c r="D13174" s="17"/>
      <c r="E13174" s="7"/>
    </row>
    <row r="13175" spans="3:5">
      <c r="C13175" s="17"/>
      <c r="D13175" s="17"/>
      <c r="E13175" s="7"/>
    </row>
    <row r="13176" spans="3:5">
      <c r="C13176" s="17"/>
      <c r="D13176" s="17"/>
      <c r="E13176" s="7"/>
    </row>
    <row r="13177" spans="3:5">
      <c r="C13177" s="17"/>
      <c r="D13177" s="17"/>
      <c r="E13177" s="7"/>
    </row>
    <row r="13178" spans="3:5">
      <c r="C13178" s="17"/>
      <c r="D13178" s="17"/>
      <c r="E13178" s="7"/>
    </row>
    <row r="13179" spans="3:5">
      <c r="C13179" s="17"/>
      <c r="D13179" s="17"/>
      <c r="E13179" s="7"/>
    </row>
    <row r="13180" spans="3:5">
      <c r="C13180" s="17"/>
      <c r="D13180" s="17"/>
      <c r="E13180" s="7"/>
    </row>
    <row r="13181" spans="3:5">
      <c r="C13181" s="17"/>
      <c r="D13181" s="17"/>
      <c r="E13181" s="7"/>
    </row>
    <row r="13182" spans="3:5">
      <c r="C13182" s="17"/>
      <c r="D13182" s="17"/>
      <c r="E13182" s="7"/>
    </row>
    <row r="13183" spans="3:5">
      <c r="C13183" s="17"/>
      <c r="D13183" s="17"/>
      <c r="E13183" s="7"/>
    </row>
    <row r="13184" spans="3:5">
      <c r="C13184" s="17"/>
      <c r="D13184" s="17"/>
      <c r="E13184" s="7"/>
    </row>
    <row r="13185" spans="3:5">
      <c r="C13185" s="17"/>
      <c r="D13185" s="17"/>
      <c r="E13185" s="7"/>
    </row>
    <row r="13186" spans="3:5">
      <c r="C13186" s="17"/>
      <c r="D13186" s="17"/>
      <c r="E13186" s="7"/>
    </row>
    <row r="13187" spans="3:5">
      <c r="C13187" s="17"/>
      <c r="D13187" s="17"/>
      <c r="E13187" s="7"/>
    </row>
    <row r="13188" spans="3:5">
      <c r="C13188" s="17"/>
      <c r="D13188" s="17"/>
      <c r="E13188" s="7"/>
    </row>
    <row r="13189" spans="3:5">
      <c r="C13189" s="17"/>
      <c r="D13189" s="17"/>
      <c r="E13189" s="7"/>
    </row>
    <row r="13190" spans="3:5">
      <c r="C13190" s="17"/>
      <c r="D13190" s="17"/>
      <c r="E13190" s="7"/>
    </row>
    <row r="13191" spans="3:5">
      <c r="C13191" s="17"/>
      <c r="D13191" s="17"/>
      <c r="E13191" s="7"/>
    </row>
    <row r="13192" spans="3:5">
      <c r="C13192" s="17"/>
      <c r="D13192" s="17"/>
      <c r="E13192" s="7"/>
    </row>
    <row r="13193" spans="3:5">
      <c r="C13193" s="17"/>
      <c r="D13193" s="17"/>
      <c r="E13193" s="7"/>
    </row>
    <row r="13194" spans="3:5">
      <c r="C13194" s="17"/>
      <c r="D13194" s="17"/>
      <c r="E13194" s="7"/>
    </row>
    <row r="13195" spans="3:5">
      <c r="C13195" s="17"/>
      <c r="D13195" s="17"/>
      <c r="E13195" s="7"/>
    </row>
    <row r="13196" spans="3:5">
      <c r="C13196" s="17"/>
      <c r="D13196" s="17"/>
      <c r="E13196" s="7"/>
    </row>
    <row r="13197" spans="3:5">
      <c r="C13197" s="17"/>
      <c r="D13197" s="17"/>
      <c r="E13197" s="7"/>
    </row>
    <row r="13198" spans="3:5">
      <c r="C13198" s="17"/>
      <c r="D13198" s="17"/>
      <c r="E13198" s="7"/>
    </row>
    <row r="13199" spans="3:5">
      <c r="C13199" s="17"/>
      <c r="D13199" s="17"/>
      <c r="E13199" s="7"/>
    </row>
    <row r="13200" spans="3:5">
      <c r="C13200" s="17"/>
      <c r="D13200" s="17"/>
      <c r="E13200" s="7"/>
    </row>
    <row r="13201" spans="3:5">
      <c r="C13201" s="17"/>
      <c r="D13201" s="17"/>
      <c r="E13201" s="7"/>
    </row>
    <row r="13202" spans="3:5">
      <c r="C13202" s="17"/>
      <c r="D13202" s="17"/>
      <c r="E13202" s="7"/>
    </row>
    <row r="13203" spans="3:5">
      <c r="C13203" s="17"/>
      <c r="D13203" s="17"/>
      <c r="E13203" s="7"/>
    </row>
    <row r="13204" spans="3:5">
      <c r="C13204" s="17"/>
      <c r="D13204" s="17"/>
      <c r="E13204" s="7"/>
    </row>
    <row r="13205" spans="3:5">
      <c r="C13205" s="17"/>
      <c r="D13205" s="17"/>
      <c r="E13205" s="7"/>
    </row>
    <row r="13206" spans="3:5">
      <c r="C13206" s="17"/>
      <c r="D13206" s="17"/>
      <c r="E13206" s="7"/>
    </row>
    <row r="13207" spans="3:5">
      <c r="C13207" s="17"/>
      <c r="D13207" s="17"/>
      <c r="E13207" s="7"/>
    </row>
    <row r="13208" spans="3:5">
      <c r="C13208" s="17"/>
      <c r="D13208" s="17"/>
      <c r="E13208" s="7"/>
    </row>
    <row r="13209" spans="3:5">
      <c r="C13209" s="17"/>
      <c r="D13209" s="17"/>
      <c r="E13209" s="7"/>
    </row>
    <row r="13210" spans="3:5">
      <c r="C13210" s="17"/>
      <c r="D13210" s="17"/>
      <c r="E13210" s="7"/>
    </row>
    <row r="13211" spans="3:5">
      <c r="C13211" s="17"/>
      <c r="D13211" s="17"/>
      <c r="E13211" s="7"/>
    </row>
    <row r="13212" spans="3:5">
      <c r="C13212" s="17"/>
      <c r="D13212" s="17"/>
      <c r="E13212" s="7"/>
    </row>
    <row r="13213" spans="3:5">
      <c r="C13213" s="17"/>
      <c r="D13213" s="17"/>
      <c r="E13213" s="7"/>
    </row>
    <row r="13214" spans="3:5">
      <c r="C13214" s="17"/>
      <c r="D13214" s="17"/>
      <c r="E13214" s="7"/>
    </row>
    <row r="13215" spans="3:5">
      <c r="C13215" s="17"/>
      <c r="D13215" s="17"/>
      <c r="E13215" s="7"/>
    </row>
    <row r="13216" spans="3:5">
      <c r="C13216" s="17"/>
      <c r="D13216" s="17"/>
      <c r="E13216" s="7"/>
    </row>
    <row r="13217" spans="3:5">
      <c r="C13217" s="17"/>
      <c r="D13217" s="17"/>
      <c r="E13217" s="7"/>
    </row>
    <row r="13218" spans="3:5">
      <c r="C13218" s="17"/>
      <c r="D13218" s="17"/>
      <c r="E13218" s="7"/>
    </row>
    <row r="13219" spans="3:5">
      <c r="C13219" s="17"/>
      <c r="D13219" s="17"/>
      <c r="E13219" s="7"/>
    </row>
    <row r="13220" spans="3:5">
      <c r="C13220" s="17"/>
      <c r="D13220" s="17"/>
      <c r="E13220" s="7"/>
    </row>
    <row r="13221" spans="3:5">
      <c r="C13221" s="17"/>
      <c r="D13221" s="17"/>
      <c r="E13221" s="7"/>
    </row>
    <row r="13222" spans="3:5">
      <c r="C13222" s="17"/>
      <c r="D13222" s="17"/>
      <c r="E13222" s="7"/>
    </row>
    <row r="13223" spans="3:5">
      <c r="C13223" s="17"/>
      <c r="D13223" s="17"/>
      <c r="E13223" s="7"/>
    </row>
    <row r="13224" spans="3:5">
      <c r="C13224" s="17"/>
      <c r="D13224" s="17"/>
      <c r="E13224" s="7"/>
    </row>
    <row r="13225" spans="3:5">
      <c r="C13225" s="17"/>
      <c r="D13225" s="17"/>
      <c r="E13225" s="7"/>
    </row>
    <row r="13226" spans="3:5">
      <c r="C13226" s="17"/>
      <c r="D13226" s="17"/>
      <c r="E13226" s="7"/>
    </row>
    <row r="13227" spans="3:5">
      <c r="C13227" s="17"/>
      <c r="D13227" s="17"/>
      <c r="E13227" s="7"/>
    </row>
    <row r="13228" spans="3:5">
      <c r="C13228" s="17"/>
      <c r="D13228" s="17"/>
      <c r="E13228" s="7"/>
    </row>
    <row r="13229" spans="3:5">
      <c r="C13229" s="17"/>
      <c r="D13229" s="17"/>
      <c r="E13229" s="7"/>
    </row>
    <row r="13230" spans="3:5">
      <c r="C13230" s="17"/>
      <c r="D13230" s="17"/>
      <c r="E13230" s="7"/>
    </row>
    <row r="13231" spans="3:5">
      <c r="C13231" s="17"/>
      <c r="D13231" s="17"/>
      <c r="E13231" s="7"/>
    </row>
    <row r="13232" spans="3:5">
      <c r="C13232" s="17"/>
      <c r="D13232" s="17"/>
      <c r="E13232" s="7"/>
    </row>
    <row r="13233" spans="3:5">
      <c r="C13233" s="17"/>
      <c r="D13233" s="17"/>
      <c r="E13233" s="7"/>
    </row>
    <row r="13234" spans="3:5">
      <c r="C13234" s="17"/>
      <c r="D13234" s="17"/>
      <c r="E13234" s="7"/>
    </row>
    <row r="13235" spans="3:5">
      <c r="C13235" s="17"/>
      <c r="D13235" s="17"/>
      <c r="E13235" s="7"/>
    </row>
    <row r="13236" spans="3:5">
      <c r="C13236" s="17"/>
      <c r="D13236" s="17"/>
      <c r="E13236" s="7"/>
    </row>
    <row r="13237" spans="3:5">
      <c r="C13237" s="17"/>
      <c r="D13237" s="17"/>
      <c r="E13237" s="7"/>
    </row>
    <row r="13238" spans="3:5">
      <c r="C13238" s="17"/>
      <c r="D13238" s="17"/>
      <c r="E13238" s="7"/>
    </row>
    <row r="13239" spans="3:5">
      <c r="C13239" s="17"/>
      <c r="D13239" s="17"/>
      <c r="E13239" s="7"/>
    </row>
    <row r="13240" spans="3:5">
      <c r="C13240" s="17"/>
      <c r="D13240" s="17"/>
      <c r="E13240" s="7"/>
    </row>
    <row r="13241" spans="3:5">
      <c r="C13241" s="17"/>
      <c r="D13241" s="17"/>
      <c r="E13241" s="7"/>
    </row>
    <row r="13242" spans="3:5">
      <c r="C13242" s="17"/>
      <c r="D13242" s="17"/>
      <c r="E13242" s="7"/>
    </row>
    <row r="13243" spans="3:5">
      <c r="C13243" s="17"/>
      <c r="D13243" s="17"/>
      <c r="E13243" s="7"/>
    </row>
    <row r="13244" spans="3:5">
      <c r="C13244" s="17"/>
      <c r="D13244" s="17"/>
      <c r="E13244" s="7"/>
    </row>
    <row r="13245" spans="3:5">
      <c r="C13245" s="17"/>
      <c r="D13245" s="17"/>
      <c r="E13245" s="7"/>
    </row>
    <row r="13246" spans="3:5">
      <c r="C13246" s="17"/>
      <c r="D13246" s="17"/>
      <c r="E13246" s="7"/>
    </row>
    <row r="13247" spans="3:5">
      <c r="C13247" s="17"/>
      <c r="D13247" s="17"/>
      <c r="E13247" s="7"/>
    </row>
    <row r="13248" spans="3:5">
      <c r="C13248" s="17"/>
      <c r="D13248" s="17"/>
      <c r="E13248" s="7"/>
    </row>
    <row r="13249" spans="3:5">
      <c r="C13249" s="17"/>
      <c r="D13249" s="17"/>
      <c r="E13249" s="7"/>
    </row>
    <row r="13250" spans="3:5">
      <c r="C13250" s="17"/>
      <c r="D13250" s="17"/>
      <c r="E13250" s="7"/>
    </row>
    <row r="13251" spans="3:5">
      <c r="C13251" s="17"/>
      <c r="D13251" s="17"/>
      <c r="E13251" s="7"/>
    </row>
    <row r="13252" spans="3:5">
      <c r="C13252" s="17"/>
      <c r="D13252" s="17"/>
      <c r="E13252" s="7"/>
    </row>
    <row r="13253" spans="3:5">
      <c r="C13253" s="17"/>
      <c r="D13253" s="17"/>
      <c r="E13253" s="7"/>
    </row>
    <row r="13254" spans="3:5">
      <c r="C13254" s="17"/>
      <c r="D13254" s="17"/>
      <c r="E13254" s="7"/>
    </row>
    <row r="13255" spans="3:5">
      <c r="C13255" s="17"/>
      <c r="D13255" s="17"/>
      <c r="E13255" s="7"/>
    </row>
    <row r="13256" spans="3:5">
      <c r="C13256" s="17"/>
      <c r="D13256" s="17"/>
      <c r="E13256" s="7"/>
    </row>
    <row r="13257" spans="3:5">
      <c r="C13257" s="17"/>
      <c r="D13257" s="17"/>
      <c r="E13257" s="7"/>
    </row>
    <row r="13258" spans="3:5">
      <c r="C13258" s="17"/>
      <c r="D13258" s="17"/>
      <c r="E13258" s="7"/>
    </row>
    <row r="13259" spans="3:5">
      <c r="C13259" s="17"/>
      <c r="D13259" s="17"/>
      <c r="E13259" s="7"/>
    </row>
    <row r="13260" spans="3:5">
      <c r="C13260" s="17"/>
      <c r="D13260" s="17"/>
      <c r="E13260" s="7"/>
    </row>
    <row r="13261" spans="3:5">
      <c r="C13261" s="17"/>
      <c r="D13261" s="17"/>
      <c r="E13261" s="7"/>
    </row>
    <row r="13262" spans="3:5">
      <c r="C13262" s="17"/>
      <c r="D13262" s="17"/>
      <c r="E13262" s="7"/>
    </row>
    <row r="13263" spans="3:5">
      <c r="C13263" s="17"/>
      <c r="D13263" s="17"/>
      <c r="E13263" s="7"/>
    </row>
    <row r="13264" spans="3:5">
      <c r="C13264" s="17"/>
      <c r="D13264" s="17"/>
      <c r="E13264" s="7"/>
    </row>
    <row r="13265" spans="3:5">
      <c r="C13265" s="17"/>
      <c r="D13265" s="17"/>
      <c r="E13265" s="7"/>
    </row>
    <row r="13266" spans="3:5">
      <c r="C13266" s="17"/>
      <c r="D13266" s="17"/>
      <c r="E13266" s="7"/>
    </row>
    <row r="13267" spans="3:5">
      <c r="C13267" s="17"/>
      <c r="D13267" s="17"/>
      <c r="E13267" s="7"/>
    </row>
    <row r="13268" spans="3:5">
      <c r="C13268" s="17"/>
      <c r="D13268" s="17"/>
      <c r="E13268" s="7"/>
    </row>
    <row r="13269" spans="3:5">
      <c r="C13269" s="17"/>
      <c r="D13269" s="17"/>
      <c r="E13269" s="7"/>
    </row>
    <row r="13270" spans="3:5">
      <c r="C13270" s="17"/>
      <c r="D13270" s="17"/>
      <c r="E13270" s="7"/>
    </row>
    <row r="13271" spans="3:5">
      <c r="C13271" s="17"/>
      <c r="D13271" s="17"/>
      <c r="E13271" s="7"/>
    </row>
    <row r="13272" spans="3:5">
      <c r="C13272" s="17"/>
      <c r="D13272" s="17"/>
      <c r="E13272" s="7"/>
    </row>
    <row r="13273" spans="3:5">
      <c r="C13273" s="17"/>
      <c r="D13273" s="17"/>
      <c r="E13273" s="7"/>
    </row>
    <row r="13274" spans="3:5">
      <c r="C13274" s="17"/>
      <c r="D13274" s="17"/>
      <c r="E13274" s="7"/>
    </row>
    <row r="13275" spans="3:5">
      <c r="C13275" s="17"/>
      <c r="D13275" s="17"/>
      <c r="E13275" s="7"/>
    </row>
    <row r="13276" spans="3:5">
      <c r="C13276" s="17"/>
      <c r="D13276" s="17"/>
      <c r="E13276" s="7"/>
    </row>
    <row r="13277" spans="3:5">
      <c r="C13277" s="17"/>
      <c r="D13277" s="17"/>
      <c r="E13277" s="7"/>
    </row>
    <row r="13278" spans="3:5">
      <c r="C13278" s="17"/>
      <c r="D13278" s="17"/>
      <c r="E13278" s="7"/>
    </row>
    <row r="13279" spans="3:5">
      <c r="C13279" s="17"/>
      <c r="D13279" s="17"/>
      <c r="E13279" s="7"/>
    </row>
    <row r="13280" spans="3:5">
      <c r="C13280" s="17"/>
      <c r="D13280" s="17"/>
      <c r="E13280" s="7"/>
    </row>
    <row r="13281" spans="3:5">
      <c r="C13281" s="17"/>
      <c r="D13281" s="17"/>
      <c r="E13281" s="7"/>
    </row>
    <row r="13282" spans="3:5">
      <c r="C13282" s="17"/>
      <c r="D13282" s="17"/>
      <c r="E13282" s="7"/>
    </row>
    <row r="13283" spans="3:5">
      <c r="C13283" s="17"/>
      <c r="D13283" s="17"/>
      <c r="E13283" s="7"/>
    </row>
    <row r="13284" spans="3:5">
      <c r="C13284" s="17"/>
      <c r="D13284" s="17"/>
      <c r="E13284" s="7"/>
    </row>
    <row r="13285" spans="3:5">
      <c r="C13285" s="17"/>
      <c r="D13285" s="17"/>
      <c r="E13285" s="7"/>
    </row>
    <row r="13286" spans="3:5">
      <c r="C13286" s="17"/>
      <c r="D13286" s="17"/>
      <c r="E13286" s="7"/>
    </row>
    <row r="13287" spans="3:5">
      <c r="C13287" s="17"/>
      <c r="D13287" s="17"/>
      <c r="E13287" s="7"/>
    </row>
    <row r="13288" spans="3:5">
      <c r="C13288" s="17"/>
      <c r="D13288" s="17"/>
      <c r="E13288" s="7"/>
    </row>
    <row r="13289" spans="3:5">
      <c r="C13289" s="17"/>
      <c r="D13289" s="17"/>
      <c r="E13289" s="7"/>
    </row>
    <row r="13290" spans="3:5">
      <c r="C13290" s="17"/>
      <c r="D13290" s="17"/>
      <c r="E13290" s="7"/>
    </row>
    <row r="13291" spans="3:5">
      <c r="C13291" s="17"/>
      <c r="D13291" s="17"/>
      <c r="E13291" s="7"/>
    </row>
    <row r="13292" spans="3:5">
      <c r="C13292" s="17"/>
      <c r="D13292" s="17"/>
      <c r="E13292" s="7"/>
    </row>
    <row r="13293" spans="3:5">
      <c r="C13293" s="17"/>
      <c r="D13293" s="17"/>
      <c r="E13293" s="7"/>
    </row>
    <row r="13294" spans="3:5">
      <c r="C13294" s="17"/>
      <c r="D13294" s="17"/>
      <c r="E13294" s="7"/>
    </row>
    <row r="13295" spans="3:5">
      <c r="C13295" s="17"/>
      <c r="D13295" s="17"/>
      <c r="E13295" s="7"/>
    </row>
    <row r="13296" spans="3:5">
      <c r="C13296" s="17"/>
      <c r="D13296" s="17"/>
      <c r="E13296" s="7"/>
    </row>
    <row r="13297" spans="3:5">
      <c r="C13297" s="17"/>
      <c r="D13297" s="17"/>
      <c r="E13297" s="7"/>
    </row>
    <row r="13298" spans="3:5">
      <c r="C13298" s="17"/>
      <c r="D13298" s="17"/>
      <c r="E13298" s="7"/>
    </row>
    <row r="13299" spans="3:5">
      <c r="C13299" s="17"/>
      <c r="D13299" s="17"/>
      <c r="E13299" s="7"/>
    </row>
    <row r="13300" spans="3:5">
      <c r="C13300" s="17"/>
      <c r="D13300" s="17"/>
      <c r="E13300" s="7"/>
    </row>
    <row r="13301" spans="3:5">
      <c r="C13301" s="17"/>
      <c r="D13301" s="17"/>
      <c r="E13301" s="7"/>
    </row>
    <row r="13302" spans="3:5">
      <c r="C13302" s="17"/>
      <c r="D13302" s="17"/>
      <c r="E13302" s="7"/>
    </row>
    <row r="13303" spans="3:5">
      <c r="C13303" s="17"/>
      <c r="D13303" s="17"/>
      <c r="E13303" s="7"/>
    </row>
    <row r="13304" spans="3:5">
      <c r="C13304" s="17"/>
      <c r="D13304" s="17"/>
      <c r="E13304" s="7"/>
    </row>
    <row r="13305" spans="3:5">
      <c r="C13305" s="17"/>
      <c r="D13305" s="17"/>
      <c r="E13305" s="7"/>
    </row>
    <row r="13306" spans="3:5">
      <c r="C13306" s="17"/>
      <c r="D13306" s="17"/>
      <c r="E13306" s="7"/>
    </row>
    <row r="13307" spans="3:5">
      <c r="C13307" s="17"/>
      <c r="D13307" s="17"/>
      <c r="E13307" s="7"/>
    </row>
    <row r="13308" spans="3:5">
      <c r="C13308" s="17"/>
      <c r="D13308" s="17"/>
      <c r="E13308" s="7"/>
    </row>
    <row r="13309" spans="3:5">
      <c r="C13309" s="17"/>
      <c r="D13309" s="17"/>
      <c r="E13309" s="7"/>
    </row>
    <row r="13310" spans="3:5">
      <c r="C13310" s="17"/>
      <c r="D13310" s="17"/>
      <c r="E13310" s="7"/>
    </row>
    <row r="13311" spans="3:5">
      <c r="C13311" s="17"/>
      <c r="D13311" s="17"/>
      <c r="E13311" s="7"/>
    </row>
    <row r="13312" spans="3:5">
      <c r="C13312" s="17"/>
      <c r="D13312" s="17"/>
      <c r="E13312" s="7"/>
    </row>
    <row r="13313" spans="3:5">
      <c r="C13313" s="17"/>
      <c r="D13313" s="17"/>
      <c r="E13313" s="7"/>
    </row>
    <row r="13314" spans="3:5">
      <c r="C13314" s="17"/>
      <c r="D13314" s="17"/>
      <c r="E13314" s="7"/>
    </row>
    <row r="13315" spans="3:5">
      <c r="C13315" s="17"/>
      <c r="D13315" s="17"/>
      <c r="E13315" s="7"/>
    </row>
    <row r="13316" spans="3:5">
      <c r="C13316" s="17"/>
      <c r="D13316" s="17"/>
      <c r="E13316" s="7"/>
    </row>
    <row r="13317" spans="3:5">
      <c r="C13317" s="17"/>
      <c r="D13317" s="17"/>
      <c r="E13317" s="7"/>
    </row>
    <row r="13318" spans="3:5">
      <c r="C13318" s="17"/>
      <c r="D13318" s="17"/>
      <c r="E13318" s="7"/>
    </row>
    <row r="13319" spans="3:5">
      <c r="C13319" s="17"/>
      <c r="D13319" s="17"/>
      <c r="E13319" s="7"/>
    </row>
    <row r="13320" spans="3:5">
      <c r="C13320" s="17"/>
      <c r="D13320" s="17"/>
      <c r="E13320" s="7"/>
    </row>
    <row r="13321" spans="3:5">
      <c r="C13321" s="17"/>
      <c r="D13321" s="17"/>
      <c r="E13321" s="7"/>
    </row>
    <row r="13322" spans="3:5">
      <c r="C13322" s="17"/>
      <c r="D13322" s="17"/>
      <c r="E13322" s="7"/>
    </row>
    <row r="13323" spans="3:5">
      <c r="C13323" s="17"/>
      <c r="D13323" s="17"/>
      <c r="E13323" s="7"/>
    </row>
    <row r="13324" spans="3:5">
      <c r="C13324" s="17"/>
      <c r="D13324" s="17"/>
      <c r="E13324" s="7"/>
    </row>
    <row r="13325" spans="3:5">
      <c r="C13325" s="17"/>
      <c r="D13325" s="17"/>
      <c r="E13325" s="7"/>
    </row>
    <row r="13326" spans="3:5">
      <c r="C13326" s="17"/>
      <c r="D13326" s="17"/>
      <c r="E13326" s="7"/>
    </row>
    <row r="13327" spans="3:5">
      <c r="C13327" s="17"/>
      <c r="D13327" s="17"/>
      <c r="E13327" s="7"/>
    </row>
    <row r="13328" spans="3:5">
      <c r="C13328" s="17"/>
      <c r="D13328" s="17"/>
      <c r="E13328" s="7"/>
    </row>
    <row r="13329" spans="3:5">
      <c r="C13329" s="17"/>
      <c r="D13329" s="17"/>
      <c r="E13329" s="7"/>
    </row>
    <row r="13330" spans="3:5">
      <c r="C13330" s="17"/>
      <c r="D13330" s="17"/>
      <c r="E13330" s="7"/>
    </row>
    <row r="13331" spans="3:5">
      <c r="C13331" s="17"/>
      <c r="D13331" s="17"/>
      <c r="E13331" s="7"/>
    </row>
    <row r="13332" spans="3:5">
      <c r="C13332" s="17"/>
      <c r="D13332" s="17"/>
      <c r="E13332" s="7"/>
    </row>
    <row r="13333" spans="3:5">
      <c r="C13333" s="17"/>
      <c r="D13333" s="17"/>
      <c r="E13333" s="7"/>
    </row>
    <row r="13334" spans="3:5">
      <c r="C13334" s="17"/>
      <c r="D13334" s="17"/>
      <c r="E13334" s="7"/>
    </row>
    <row r="13335" spans="3:5">
      <c r="C13335" s="17"/>
      <c r="D13335" s="17"/>
      <c r="E13335" s="7"/>
    </row>
    <row r="13336" spans="3:5">
      <c r="C13336" s="17"/>
      <c r="D13336" s="17"/>
      <c r="E13336" s="7"/>
    </row>
    <row r="13337" spans="3:5">
      <c r="C13337" s="17"/>
      <c r="D13337" s="17"/>
      <c r="E13337" s="7"/>
    </row>
    <row r="13338" spans="3:5">
      <c r="C13338" s="17"/>
      <c r="D13338" s="17"/>
      <c r="E13338" s="7"/>
    </row>
    <row r="13339" spans="3:5">
      <c r="C13339" s="17"/>
      <c r="D13339" s="17"/>
      <c r="E13339" s="7"/>
    </row>
    <row r="13340" spans="3:5">
      <c r="C13340" s="17"/>
      <c r="D13340" s="17"/>
      <c r="E13340" s="7"/>
    </row>
    <row r="13341" spans="3:5">
      <c r="C13341" s="17"/>
      <c r="D13341" s="17"/>
      <c r="E13341" s="7"/>
    </row>
    <row r="13342" spans="3:5">
      <c r="C13342" s="17"/>
      <c r="D13342" s="17"/>
      <c r="E13342" s="7"/>
    </row>
    <row r="13343" spans="3:5">
      <c r="C13343" s="17"/>
      <c r="D13343" s="17"/>
      <c r="E13343" s="7"/>
    </row>
    <row r="13344" spans="3:5">
      <c r="C13344" s="17"/>
      <c r="D13344" s="17"/>
      <c r="E13344" s="7"/>
    </row>
    <row r="13345" spans="3:5">
      <c r="C13345" s="17"/>
      <c r="D13345" s="17"/>
      <c r="E13345" s="7"/>
    </row>
    <row r="13346" spans="3:5">
      <c r="C13346" s="17"/>
      <c r="D13346" s="17"/>
      <c r="E13346" s="7"/>
    </row>
    <row r="13347" spans="3:5">
      <c r="C13347" s="17"/>
      <c r="D13347" s="17"/>
      <c r="E13347" s="7"/>
    </row>
    <row r="13348" spans="3:5">
      <c r="C13348" s="17"/>
      <c r="D13348" s="17"/>
      <c r="E13348" s="7"/>
    </row>
    <row r="13349" spans="3:5">
      <c r="C13349" s="17"/>
      <c r="D13349" s="17"/>
      <c r="E13349" s="7"/>
    </row>
    <row r="13350" spans="3:5">
      <c r="C13350" s="17"/>
      <c r="D13350" s="17"/>
      <c r="E13350" s="7"/>
    </row>
    <row r="13351" spans="3:5">
      <c r="C13351" s="17"/>
      <c r="D13351" s="17"/>
      <c r="E13351" s="7"/>
    </row>
    <row r="13352" spans="3:5">
      <c r="C13352" s="17"/>
      <c r="D13352" s="17"/>
      <c r="E13352" s="7"/>
    </row>
    <row r="13353" spans="3:5">
      <c r="C13353" s="17"/>
      <c r="D13353" s="17"/>
      <c r="E13353" s="7"/>
    </row>
    <row r="13354" spans="3:5">
      <c r="C13354" s="17"/>
      <c r="D13354" s="17"/>
      <c r="E13354" s="7"/>
    </row>
    <row r="13355" spans="3:5">
      <c r="C13355" s="17"/>
      <c r="D13355" s="17"/>
      <c r="E13355" s="7"/>
    </row>
    <row r="13356" spans="3:5">
      <c r="C13356" s="17"/>
      <c r="D13356" s="17"/>
      <c r="E13356" s="7"/>
    </row>
    <row r="13357" spans="3:5">
      <c r="C13357" s="17"/>
      <c r="D13357" s="17"/>
      <c r="E13357" s="7"/>
    </row>
    <row r="13358" spans="3:5">
      <c r="C13358" s="17"/>
      <c r="D13358" s="17"/>
      <c r="E13358" s="7"/>
    </row>
    <row r="13359" spans="3:5">
      <c r="C13359" s="17"/>
      <c r="D13359" s="17"/>
      <c r="E13359" s="7"/>
    </row>
    <row r="13360" spans="3:5">
      <c r="C13360" s="17"/>
      <c r="D13360" s="17"/>
      <c r="E13360" s="7"/>
    </row>
    <row r="13361" spans="3:5">
      <c r="C13361" s="17"/>
      <c r="D13361" s="17"/>
      <c r="E13361" s="7"/>
    </row>
    <row r="13362" spans="3:5">
      <c r="C13362" s="17"/>
      <c r="D13362" s="17"/>
      <c r="E13362" s="7"/>
    </row>
    <row r="13363" spans="3:5">
      <c r="C13363" s="17"/>
      <c r="D13363" s="17"/>
      <c r="E13363" s="7"/>
    </row>
    <row r="13364" spans="3:5">
      <c r="C13364" s="17"/>
      <c r="D13364" s="17"/>
      <c r="E13364" s="7"/>
    </row>
    <row r="13365" spans="3:5">
      <c r="C13365" s="17"/>
      <c r="D13365" s="17"/>
      <c r="E13365" s="7"/>
    </row>
    <row r="13366" spans="3:5">
      <c r="C13366" s="17"/>
      <c r="D13366" s="17"/>
      <c r="E13366" s="7"/>
    </row>
    <row r="13367" spans="3:5">
      <c r="C13367" s="17"/>
      <c r="D13367" s="17"/>
      <c r="E13367" s="7"/>
    </row>
    <row r="13368" spans="3:5">
      <c r="C13368" s="17"/>
      <c r="D13368" s="17"/>
      <c r="E13368" s="7"/>
    </row>
    <row r="13369" spans="3:5">
      <c r="C13369" s="17"/>
      <c r="D13369" s="17"/>
      <c r="E13369" s="7"/>
    </row>
    <row r="13370" spans="3:5">
      <c r="C13370" s="17"/>
      <c r="D13370" s="17"/>
      <c r="E13370" s="7"/>
    </row>
    <row r="13371" spans="3:5">
      <c r="C13371" s="17"/>
      <c r="D13371" s="17"/>
      <c r="E13371" s="7"/>
    </row>
    <row r="13372" spans="3:5">
      <c r="C13372" s="17"/>
      <c r="D13372" s="17"/>
      <c r="E13372" s="7"/>
    </row>
    <row r="13373" spans="3:5">
      <c r="C13373" s="17"/>
      <c r="D13373" s="17"/>
      <c r="E13373" s="7"/>
    </row>
    <row r="13374" spans="3:5">
      <c r="C13374" s="17"/>
      <c r="D13374" s="17"/>
      <c r="E13374" s="7"/>
    </row>
    <row r="13375" spans="3:5">
      <c r="C13375" s="17"/>
      <c r="D13375" s="17"/>
      <c r="E13375" s="7"/>
    </row>
    <row r="13376" spans="3:5">
      <c r="C13376" s="17"/>
      <c r="D13376" s="17"/>
      <c r="E13376" s="7"/>
    </row>
    <row r="13377" spans="3:5">
      <c r="C13377" s="17"/>
      <c r="D13377" s="17"/>
      <c r="E13377" s="7"/>
    </row>
    <row r="13378" spans="3:5">
      <c r="C13378" s="17"/>
      <c r="D13378" s="17"/>
      <c r="E13378" s="7"/>
    </row>
    <row r="13379" spans="3:5">
      <c r="C13379" s="17"/>
      <c r="D13379" s="17"/>
      <c r="E13379" s="7"/>
    </row>
    <row r="13380" spans="3:5">
      <c r="C13380" s="17"/>
      <c r="D13380" s="17"/>
      <c r="E13380" s="7"/>
    </row>
    <row r="13381" spans="3:5">
      <c r="C13381" s="17"/>
      <c r="D13381" s="17"/>
      <c r="E13381" s="7"/>
    </row>
    <row r="13382" spans="3:5">
      <c r="C13382" s="17"/>
      <c r="D13382" s="17"/>
      <c r="E13382" s="7"/>
    </row>
    <row r="13383" spans="3:5">
      <c r="C13383" s="17"/>
      <c r="D13383" s="17"/>
      <c r="E13383" s="7"/>
    </row>
    <row r="13384" spans="3:5">
      <c r="C13384" s="17"/>
      <c r="D13384" s="17"/>
      <c r="E13384" s="7"/>
    </row>
    <row r="13385" spans="3:5">
      <c r="C13385" s="17"/>
      <c r="D13385" s="17"/>
      <c r="E13385" s="7"/>
    </row>
    <row r="13386" spans="3:5">
      <c r="C13386" s="17"/>
      <c r="D13386" s="17"/>
      <c r="E13386" s="7"/>
    </row>
    <row r="13387" spans="3:5">
      <c r="C13387" s="17"/>
      <c r="D13387" s="17"/>
      <c r="E13387" s="7"/>
    </row>
    <row r="13388" spans="3:5">
      <c r="C13388" s="17"/>
      <c r="D13388" s="17"/>
      <c r="E13388" s="7"/>
    </row>
    <row r="13389" spans="3:5">
      <c r="C13389" s="17"/>
      <c r="D13389" s="17"/>
      <c r="E13389" s="7"/>
    </row>
    <row r="13390" spans="3:5">
      <c r="C13390" s="17"/>
      <c r="D13390" s="17"/>
      <c r="E13390" s="7"/>
    </row>
    <row r="13391" spans="3:5">
      <c r="C13391" s="17"/>
      <c r="D13391" s="17"/>
      <c r="E13391" s="7"/>
    </row>
    <row r="13392" spans="3:5">
      <c r="C13392" s="17"/>
      <c r="D13392" s="17"/>
      <c r="E13392" s="7"/>
    </row>
    <row r="13393" spans="3:5">
      <c r="C13393" s="17"/>
      <c r="D13393" s="17"/>
      <c r="E13393" s="7"/>
    </row>
    <row r="13394" spans="3:5">
      <c r="C13394" s="17"/>
      <c r="D13394" s="17"/>
      <c r="E13394" s="7"/>
    </row>
    <row r="13395" spans="3:5">
      <c r="C13395" s="17"/>
      <c r="D13395" s="17"/>
      <c r="E13395" s="7"/>
    </row>
    <row r="13396" spans="3:5">
      <c r="C13396" s="17"/>
      <c r="D13396" s="17"/>
      <c r="E13396" s="7"/>
    </row>
    <row r="13397" spans="3:5">
      <c r="C13397" s="17"/>
      <c r="D13397" s="17"/>
      <c r="E13397" s="7"/>
    </row>
    <row r="13398" spans="3:5">
      <c r="C13398" s="17"/>
      <c r="D13398" s="17"/>
      <c r="E13398" s="7"/>
    </row>
    <row r="13399" spans="3:5">
      <c r="C13399" s="17"/>
      <c r="D13399" s="17"/>
      <c r="E13399" s="7"/>
    </row>
    <row r="13400" spans="3:5">
      <c r="C13400" s="17"/>
      <c r="D13400" s="17"/>
      <c r="E13400" s="7"/>
    </row>
    <row r="13401" spans="3:5">
      <c r="C13401" s="17"/>
      <c r="D13401" s="17"/>
      <c r="E13401" s="7"/>
    </row>
    <row r="13402" spans="3:5">
      <c r="C13402" s="17"/>
      <c r="D13402" s="17"/>
      <c r="E13402" s="7"/>
    </row>
    <row r="13403" spans="3:5">
      <c r="C13403" s="17"/>
      <c r="D13403" s="17"/>
      <c r="E13403" s="7"/>
    </row>
    <row r="13404" spans="3:5">
      <c r="C13404" s="17"/>
      <c r="D13404" s="17"/>
      <c r="E13404" s="7"/>
    </row>
    <row r="13405" spans="3:5">
      <c r="C13405" s="17"/>
      <c r="D13405" s="17"/>
      <c r="E13405" s="7"/>
    </row>
    <row r="13406" spans="3:5">
      <c r="C13406" s="17"/>
      <c r="D13406" s="17"/>
      <c r="E13406" s="7"/>
    </row>
    <row r="13407" spans="3:5">
      <c r="C13407" s="17"/>
      <c r="D13407" s="17"/>
      <c r="E13407" s="7"/>
    </row>
    <row r="13408" spans="3:5">
      <c r="C13408" s="17"/>
      <c r="D13408" s="17"/>
      <c r="E13408" s="7"/>
    </row>
    <row r="13409" spans="3:5">
      <c r="C13409" s="17"/>
      <c r="D13409" s="17"/>
      <c r="E13409" s="7"/>
    </row>
    <row r="13410" spans="3:5">
      <c r="C13410" s="17"/>
      <c r="D13410" s="17"/>
      <c r="E13410" s="7"/>
    </row>
    <row r="13411" spans="3:5">
      <c r="C13411" s="17"/>
      <c r="D13411" s="17"/>
      <c r="E13411" s="7"/>
    </row>
    <row r="13412" spans="3:5">
      <c r="C13412" s="17"/>
      <c r="D13412" s="17"/>
      <c r="E13412" s="7"/>
    </row>
    <row r="13413" spans="3:5">
      <c r="C13413" s="17"/>
      <c r="D13413" s="17"/>
      <c r="E13413" s="7"/>
    </row>
    <row r="13414" spans="3:5">
      <c r="C13414" s="17"/>
      <c r="D13414" s="17"/>
      <c r="E13414" s="7"/>
    </row>
    <row r="13415" spans="3:5">
      <c r="C13415" s="17"/>
      <c r="D13415" s="17"/>
      <c r="E13415" s="7"/>
    </row>
    <row r="13416" spans="3:5">
      <c r="C13416" s="17"/>
      <c r="D13416" s="17"/>
      <c r="E13416" s="7"/>
    </row>
    <row r="13417" spans="3:5">
      <c r="C13417" s="17"/>
      <c r="D13417" s="17"/>
      <c r="E13417" s="7"/>
    </row>
    <row r="13418" spans="3:5">
      <c r="C13418" s="17"/>
      <c r="D13418" s="17"/>
      <c r="E13418" s="7"/>
    </row>
    <row r="13419" spans="3:5">
      <c r="C13419" s="17"/>
      <c r="D13419" s="17"/>
      <c r="E13419" s="7"/>
    </row>
    <row r="13420" spans="3:5">
      <c r="C13420" s="17"/>
      <c r="D13420" s="17"/>
      <c r="E13420" s="7"/>
    </row>
    <row r="13421" spans="3:5">
      <c r="C13421" s="17"/>
      <c r="D13421" s="17"/>
      <c r="E13421" s="7"/>
    </row>
    <row r="13422" spans="3:5">
      <c r="C13422" s="17"/>
      <c r="D13422" s="17"/>
      <c r="E13422" s="7"/>
    </row>
    <row r="13423" spans="3:5">
      <c r="C13423" s="17"/>
      <c r="D13423" s="17"/>
      <c r="E13423" s="7"/>
    </row>
    <row r="13424" spans="3:5">
      <c r="C13424" s="17"/>
      <c r="D13424" s="17"/>
      <c r="E13424" s="7"/>
    </row>
    <row r="13425" spans="3:5">
      <c r="C13425" s="17"/>
      <c r="D13425" s="17"/>
      <c r="E13425" s="7"/>
    </row>
    <row r="13426" spans="3:5">
      <c r="C13426" s="17"/>
      <c r="D13426" s="17"/>
      <c r="E13426" s="7"/>
    </row>
    <row r="13427" spans="3:5">
      <c r="C13427" s="17"/>
      <c r="D13427" s="17"/>
      <c r="E13427" s="7"/>
    </row>
    <row r="13428" spans="3:5">
      <c r="C13428" s="17"/>
      <c r="D13428" s="17"/>
      <c r="E13428" s="7"/>
    </row>
    <row r="13429" spans="3:5">
      <c r="C13429" s="17"/>
      <c r="D13429" s="17"/>
      <c r="E13429" s="7"/>
    </row>
    <row r="13430" spans="3:5">
      <c r="C13430" s="17"/>
      <c r="D13430" s="17"/>
      <c r="E13430" s="7"/>
    </row>
    <row r="13431" spans="3:5">
      <c r="C13431" s="17"/>
      <c r="D13431" s="17"/>
      <c r="E13431" s="7"/>
    </row>
    <row r="13432" spans="3:5">
      <c r="C13432" s="17"/>
      <c r="D13432" s="17"/>
      <c r="E13432" s="7"/>
    </row>
    <row r="13433" spans="3:5">
      <c r="C13433" s="17"/>
      <c r="D13433" s="17"/>
      <c r="E13433" s="7"/>
    </row>
    <row r="13434" spans="3:5">
      <c r="C13434" s="17"/>
      <c r="D13434" s="17"/>
      <c r="E13434" s="7"/>
    </row>
    <row r="13435" spans="3:5">
      <c r="C13435" s="17"/>
      <c r="D13435" s="17"/>
      <c r="E13435" s="7"/>
    </row>
    <row r="13436" spans="3:5">
      <c r="C13436" s="17"/>
      <c r="D13436" s="17"/>
      <c r="E13436" s="7"/>
    </row>
    <row r="13437" spans="3:5">
      <c r="C13437" s="17"/>
      <c r="D13437" s="17"/>
      <c r="E13437" s="7"/>
    </row>
    <row r="13438" spans="3:5">
      <c r="C13438" s="17"/>
      <c r="D13438" s="17"/>
      <c r="E13438" s="7"/>
    </row>
    <row r="13439" spans="3:5">
      <c r="C13439" s="17"/>
      <c r="D13439" s="17"/>
      <c r="E13439" s="7"/>
    </row>
    <row r="13440" spans="3:5">
      <c r="C13440" s="17"/>
      <c r="D13440" s="17"/>
      <c r="E13440" s="7"/>
    </row>
    <row r="13441" spans="3:5">
      <c r="C13441" s="17"/>
      <c r="D13441" s="17"/>
      <c r="E13441" s="7"/>
    </row>
    <row r="13442" spans="3:5">
      <c r="C13442" s="17"/>
      <c r="D13442" s="17"/>
      <c r="E13442" s="7"/>
    </row>
    <row r="13443" spans="3:5">
      <c r="C13443" s="17"/>
      <c r="D13443" s="17"/>
      <c r="E13443" s="7"/>
    </row>
    <row r="13444" spans="3:5">
      <c r="C13444" s="17"/>
      <c r="D13444" s="17"/>
      <c r="E13444" s="7"/>
    </row>
    <row r="13445" spans="3:5">
      <c r="C13445" s="17"/>
      <c r="D13445" s="17"/>
      <c r="E13445" s="7"/>
    </row>
    <row r="13446" spans="3:5">
      <c r="C13446" s="17"/>
      <c r="D13446" s="17"/>
      <c r="E13446" s="7"/>
    </row>
    <row r="13447" spans="3:5">
      <c r="C13447" s="17"/>
      <c r="D13447" s="17"/>
      <c r="E13447" s="7"/>
    </row>
    <row r="13448" spans="3:5">
      <c r="C13448" s="17"/>
      <c r="D13448" s="17"/>
      <c r="E13448" s="7"/>
    </row>
    <row r="13449" spans="3:5">
      <c r="C13449" s="17"/>
      <c r="D13449" s="17"/>
      <c r="E13449" s="7"/>
    </row>
    <row r="13450" spans="3:5">
      <c r="C13450" s="17"/>
      <c r="D13450" s="17"/>
      <c r="E13450" s="7"/>
    </row>
    <row r="13451" spans="3:5">
      <c r="C13451" s="17"/>
      <c r="D13451" s="17"/>
      <c r="E13451" s="7"/>
    </row>
    <row r="13452" spans="3:5">
      <c r="C13452" s="17"/>
      <c r="D13452" s="17"/>
      <c r="E13452" s="7"/>
    </row>
    <row r="13453" spans="3:5">
      <c r="C13453" s="17"/>
      <c r="D13453" s="17"/>
      <c r="E13453" s="7"/>
    </row>
    <row r="13454" spans="3:5">
      <c r="C13454" s="17"/>
      <c r="D13454" s="17"/>
      <c r="E13454" s="7"/>
    </row>
    <row r="13455" spans="3:5">
      <c r="C13455" s="17"/>
      <c r="D13455" s="17"/>
      <c r="E13455" s="7"/>
    </row>
    <row r="13456" spans="3:5">
      <c r="C13456" s="17"/>
      <c r="D13456" s="17"/>
      <c r="E13456" s="7"/>
    </row>
    <row r="13457" spans="3:5">
      <c r="C13457" s="17"/>
      <c r="D13457" s="17"/>
      <c r="E13457" s="7"/>
    </row>
    <row r="13458" spans="3:5">
      <c r="C13458" s="17"/>
      <c r="D13458" s="17"/>
      <c r="E13458" s="7"/>
    </row>
    <row r="13459" spans="3:5">
      <c r="C13459" s="17"/>
      <c r="D13459" s="17"/>
      <c r="E13459" s="7"/>
    </row>
    <row r="13460" spans="3:5">
      <c r="C13460" s="17"/>
      <c r="D13460" s="17"/>
      <c r="E13460" s="7"/>
    </row>
    <row r="13461" spans="3:5">
      <c r="C13461" s="17"/>
      <c r="D13461" s="17"/>
      <c r="E13461" s="7"/>
    </row>
    <row r="13462" spans="3:5">
      <c r="C13462" s="17"/>
      <c r="D13462" s="17"/>
      <c r="E13462" s="7"/>
    </row>
    <row r="13463" spans="3:5">
      <c r="C13463" s="17"/>
      <c r="D13463" s="17"/>
      <c r="E13463" s="7"/>
    </row>
    <row r="13464" spans="3:5">
      <c r="C13464" s="17"/>
      <c r="D13464" s="17"/>
      <c r="E13464" s="7"/>
    </row>
    <row r="13465" spans="3:5">
      <c r="C13465" s="17"/>
      <c r="D13465" s="17"/>
      <c r="E13465" s="7"/>
    </row>
    <row r="13466" spans="3:5">
      <c r="C13466" s="17"/>
      <c r="D13466" s="17"/>
      <c r="E13466" s="7"/>
    </row>
    <row r="13467" spans="3:5">
      <c r="C13467" s="17"/>
      <c r="D13467" s="17"/>
      <c r="E13467" s="7"/>
    </row>
    <row r="13468" spans="3:5">
      <c r="C13468" s="17"/>
      <c r="D13468" s="17"/>
      <c r="E13468" s="7"/>
    </row>
    <row r="13469" spans="3:5">
      <c r="C13469" s="17"/>
      <c r="D13469" s="17"/>
      <c r="E13469" s="7"/>
    </row>
    <row r="13470" spans="3:5">
      <c r="C13470" s="17"/>
      <c r="D13470" s="17"/>
      <c r="E13470" s="7"/>
    </row>
    <row r="13471" spans="3:5">
      <c r="C13471" s="17"/>
      <c r="D13471" s="17"/>
      <c r="E13471" s="7"/>
    </row>
    <row r="13472" spans="3:5">
      <c r="C13472" s="17"/>
      <c r="D13472" s="17"/>
      <c r="E13472" s="7"/>
    </row>
    <row r="13473" spans="3:5">
      <c r="C13473" s="17"/>
      <c r="D13473" s="17"/>
      <c r="E13473" s="7"/>
    </row>
    <row r="13474" spans="3:5">
      <c r="C13474" s="17"/>
      <c r="D13474" s="17"/>
      <c r="E13474" s="7"/>
    </row>
    <row r="13475" spans="3:5">
      <c r="C13475" s="17"/>
      <c r="D13475" s="17"/>
      <c r="E13475" s="7"/>
    </row>
    <row r="13476" spans="3:5">
      <c r="C13476" s="17"/>
      <c r="D13476" s="17"/>
      <c r="E13476" s="7"/>
    </row>
    <row r="13477" spans="3:5">
      <c r="C13477" s="17"/>
      <c r="D13477" s="17"/>
      <c r="E13477" s="7"/>
    </row>
    <row r="13478" spans="3:5">
      <c r="C13478" s="17"/>
      <c r="D13478" s="17"/>
      <c r="E13478" s="7"/>
    </row>
    <row r="13479" spans="3:5">
      <c r="C13479" s="17"/>
      <c r="D13479" s="17"/>
      <c r="E13479" s="7"/>
    </row>
    <row r="13480" spans="3:5">
      <c r="C13480" s="17"/>
      <c r="D13480" s="17"/>
      <c r="E13480" s="7"/>
    </row>
    <row r="13481" spans="3:5">
      <c r="C13481" s="17"/>
      <c r="D13481" s="17"/>
      <c r="E13481" s="7"/>
    </row>
    <row r="13482" spans="3:5">
      <c r="C13482" s="17"/>
      <c r="D13482" s="17"/>
      <c r="E13482" s="7"/>
    </row>
    <row r="13483" spans="3:5">
      <c r="C13483" s="17"/>
      <c r="D13483" s="17"/>
      <c r="E13483" s="7"/>
    </row>
    <row r="13484" spans="3:5">
      <c r="C13484" s="17"/>
      <c r="D13484" s="17"/>
      <c r="E13484" s="7"/>
    </row>
    <row r="13485" spans="3:5">
      <c r="C13485" s="17"/>
      <c r="D13485" s="17"/>
      <c r="E13485" s="7"/>
    </row>
    <row r="13486" spans="3:5">
      <c r="C13486" s="17"/>
      <c r="D13486" s="17"/>
      <c r="E13486" s="7"/>
    </row>
    <row r="13487" spans="3:5">
      <c r="C13487" s="17"/>
      <c r="D13487" s="17"/>
      <c r="E13487" s="7"/>
    </row>
    <row r="13488" spans="3:5">
      <c r="C13488" s="17"/>
      <c r="D13488" s="17"/>
      <c r="E13488" s="7"/>
    </row>
    <row r="13489" spans="3:5">
      <c r="C13489" s="17"/>
      <c r="D13489" s="17"/>
      <c r="E13489" s="7"/>
    </row>
    <row r="13490" spans="3:5">
      <c r="C13490" s="17"/>
      <c r="D13490" s="17"/>
      <c r="E13490" s="7"/>
    </row>
    <row r="13491" spans="3:5">
      <c r="C13491" s="17"/>
      <c r="D13491" s="17"/>
      <c r="E13491" s="7"/>
    </row>
    <row r="13492" spans="3:5">
      <c r="C13492" s="17"/>
      <c r="D13492" s="17"/>
      <c r="E13492" s="7"/>
    </row>
    <row r="13493" spans="3:5">
      <c r="C13493" s="17"/>
      <c r="D13493" s="17"/>
      <c r="E13493" s="7"/>
    </row>
    <row r="13494" spans="3:5">
      <c r="C13494" s="17"/>
      <c r="D13494" s="17"/>
      <c r="E13494" s="7"/>
    </row>
    <row r="13495" spans="3:5">
      <c r="C13495" s="17"/>
      <c r="D13495" s="17"/>
      <c r="E13495" s="7"/>
    </row>
    <row r="13496" spans="3:5">
      <c r="C13496" s="17"/>
      <c r="D13496" s="17"/>
      <c r="E13496" s="7"/>
    </row>
    <row r="13497" spans="3:5">
      <c r="C13497" s="17"/>
      <c r="D13497" s="17"/>
      <c r="E13497" s="7"/>
    </row>
    <row r="13498" spans="3:5">
      <c r="C13498" s="17"/>
      <c r="D13498" s="17"/>
      <c r="E13498" s="7"/>
    </row>
    <row r="13499" spans="3:5">
      <c r="C13499" s="17"/>
      <c r="D13499" s="17"/>
      <c r="E13499" s="7"/>
    </row>
    <row r="13500" spans="3:5">
      <c r="C13500" s="17"/>
      <c r="D13500" s="17"/>
      <c r="E13500" s="7"/>
    </row>
    <row r="13501" spans="3:5">
      <c r="C13501" s="17"/>
      <c r="D13501" s="17"/>
      <c r="E13501" s="7"/>
    </row>
    <row r="13502" spans="3:5">
      <c r="C13502" s="17"/>
      <c r="D13502" s="17"/>
      <c r="E13502" s="7"/>
    </row>
    <row r="13503" spans="3:5">
      <c r="C13503" s="17"/>
      <c r="D13503" s="17"/>
      <c r="E13503" s="7"/>
    </row>
    <row r="13504" spans="3:5">
      <c r="C13504" s="17"/>
      <c r="D13504" s="17"/>
      <c r="E13504" s="7"/>
    </row>
    <row r="13505" spans="3:5">
      <c r="C13505" s="17"/>
      <c r="D13505" s="17"/>
      <c r="E13505" s="7"/>
    </row>
    <row r="13506" spans="3:5">
      <c r="C13506" s="17"/>
      <c r="D13506" s="17"/>
      <c r="E13506" s="7"/>
    </row>
    <row r="13507" spans="3:5">
      <c r="C13507" s="17"/>
      <c r="D13507" s="17"/>
      <c r="E13507" s="7"/>
    </row>
    <row r="13508" spans="3:5">
      <c r="C13508" s="17"/>
      <c r="D13508" s="17"/>
      <c r="E13508" s="7"/>
    </row>
    <row r="13509" spans="3:5">
      <c r="C13509" s="17"/>
      <c r="D13509" s="17"/>
      <c r="E13509" s="7"/>
    </row>
    <row r="13510" spans="3:5">
      <c r="C13510" s="17"/>
      <c r="D13510" s="17"/>
      <c r="E13510" s="7"/>
    </row>
    <row r="13511" spans="3:5">
      <c r="C13511" s="17"/>
      <c r="D13511" s="17"/>
      <c r="E13511" s="7"/>
    </row>
    <row r="13512" spans="3:5">
      <c r="C13512" s="17"/>
      <c r="D13512" s="17"/>
      <c r="E13512" s="7"/>
    </row>
    <row r="13513" spans="3:5">
      <c r="C13513" s="17"/>
      <c r="D13513" s="17"/>
      <c r="E13513" s="7"/>
    </row>
    <row r="13514" spans="3:5">
      <c r="C13514" s="17"/>
      <c r="D13514" s="17"/>
      <c r="E13514" s="7"/>
    </row>
    <row r="13515" spans="3:5">
      <c r="C13515" s="17"/>
      <c r="D13515" s="17"/>
      <c r="E13515" s="7"/>
    </row>
    <row r="13516" spans="3:5">
      <c r="C13516" s="17"/>
      <c r="D13516" s="17"/>
      <c r="E13516" s="7"/>
    </row>
    <row r="13517" spans="3:5">
      <c r="C13517" s="17"/>
      <c r="D13517" s="17"/>
      <c r="E13517" s="7"/>
    </row>
    <row r="13518" spans="3:5">
      <c r="C13518" s="17"/>
      <c r="D13518" s="17"/>
      <c r="E13518" s="7"/>
    </row>
    <row r="13519" spans="3:5">
      <c r="C13519" s="17"/>
      <c r="D13519" s="17"/>
      <c r="E13519" s="7"/>
    </row>
    <row r="13520" spans="3:5">
      <c r="C13520" s="17"/>
      <c r="D13520" s="17"/>
      <c r="E13520" s="7"/>
    </row>
    <row r="13521" spans="3:5">
      <c r="C13521" s="17"/>
      <c r="D13521" s="17"/>
      <c r="E13521" s="7"/>
    </row>
    <row r="13522" spans="3:5">
      <c r="C13522" s="17"/>
      <c r="D13522" s="17"/>
      <c r="E13522" s="7"/>
    </row>
    <row r="13523" spans="3:5">
      <c r="C13523" s="17"/>
      <c r="D13523" s="17"/>
      <c r="E13523" s="7"/>
    </row>
    <row r="13524" spans="3:5">
      <c r="C13524" s="17"/>
      <c r="D13524" s="17"/>
      <c r="E13524" s="7"/>
    </row>
    <row r="13525" spans="3:5">
      <c r="C13525" s="17"/>
      <c r="D13525" s="17"/>
      <c r="E13525" s="7"/>
    </row>
    <row r="13526" spans="3:5">
      <c r="C13526" s="17"/>
      <c r="D13526" s="17"/>
      <c r="E13526" s="7"/>
    </row>
    <row r="13527" spans="3:5">
      <c r="C13527" s="17"/>
      <c r="D13527" s="17"/>
      <c r="E13527" s="7"/>
    </row>
    <row r="13528" spans="3:5">
      <c r="C13528" s="17"/>
      <c r="D13528" s="17"/>
      <c r="E13528" s="7"/>
    </row>
    <row r="13529" spans="3:5">
      <c r="C13529" s="17"/>
      <c r="D13529" s="17"/>
      <c r="E13529" s="7"/>
    </row>
    <row r="13530" spans="3:5">
      <c r="C13530" s="17"/>
      <c r="D13530" s="17"/>
      <c r="E13530" s="7"/>
    </row>
    <row r="13531" spans="3:5">
      <c r="C13531" s="17"/>
      <c r="D13531" s="17"/>
      <c r="E13531" s="7"/>
    </row>
    <row r="13532" spans="3:5">
      <c r="C13532" s="17"/>
      <c r="D13532" s="17"/>
      <c r="E13532" s="7"/>
    </row>
    <row r="13533" spans="3:5">
      <c r="C13533" s="17"/>
      <c r="D13533" s="17"/>
      <c r="E13533" s="7"/>
    </row>
    <row r="13534" spans="3:5">
      <c r="C13534" s="17"/>
      <c r="D13534" s="17"/>
      <c r="E13534" s="7"/>
    </row>
    <row r="13535" spans="3:5">
      <c r="C13535" s="17"/>
      <c r="D13535" s="17"/>
      <c r="E13535" s="7"/>
    </row>
    <row r="13536" spans="3:5">
      <c r="C13536" s="17"/>
      <c r="D13536" s="17"/>
      <c r="E13536" s="7"/>
    </row>
    <row r="13537" spans="3:5">
      <c r="C13537" s="17"/>
      <c r="D13537" s="17"/>
      <c r="E13537" s="7"/>
    </row>
    <row r="13538" spans="3:5">
      <c r="C13538" s="17"/>
      <c r="D13538" s="17"/>
      <c r="E13538" s="7"/>
    </row>
    <row r="13539" spans="3:5">
      <c r="C13539" s="17"/>
      <c r="D13539" s="17"/>
      <c r="E13539" s="7"/>
    </row>
    <row r="13540" spans="3:5">
      <c r="C13540" s="17"/>
      <c r="D13540" s="17"/>
      <c r="E13540" s="7"/>
    </row>
    <row r="13541" spans="3:5">
      <c r="C13541" s="17"/>
      <c r="D13541" s="17"/>
      <c r="E13541" s="7"/>
    </row>
    <row r="13542" spans="3:5">
      <c r="C13542" s="17"/>
      <c r="D13542" s="17"/>
      <c r="E13542" s="7"/>
    </row>
    <row r="13543" spans="3:5">
      <c r="C13543" s="17"/>
      <c r="D13543" s="17"/>
      <c r="E13543" s="7"/>
    </row>
    <row r="13544" spans="3:5">
      <c r="C13544" s="17"/>
      <c r="D13544" s="17"/>
      <c r="E13544" s="7"/>
    </row>
    <row r="13545" spans="3:5">
      <c r="C13545" s="17"/>
      <c r="D13545" s="17"/>
      <c r="E13545" s="7"/>
    </row>
    <row r="13546" spans="3:5">
      <c r="C13546" s="17"/>
      <c r="D13546" s="17"/>
      <c r="E13546" s="7"/>
    </row>
    <row r="13547" spans="3:5">
      <c r="C13547" s="17"/>
      <c r="D13547" s="17"/>
      <c r="E13547" s="7"/>
    </row>
    <row r="13548" spans="3:5">
      <c r="C13548" s="17"/>
      <c r="D13548" s="17"/>
      <c r="E13548" s="7"/>
    </row>
    <row r="13549" spans="3:5">
      <c r="C13549" s="17"/>
      <c r="D13549" s="17"/>
      <c r="E13549" s="7"/>
    </row>
    <row r="13550" spans="3:5">
      <c r="C13550" s="17"/>
      <c r="D13550" s="17"/>
      <c r="E13550" s="7"/>
    </row>
    <row r="13551" spans="3:5">
      <c r="C13551" s="17"/>
      <c r="D13551" s="17"/>
      <c r="E13551" s="7"/>
    </row>
    <row r="13552" spans="3:5">
      <c r="C13552" s="17"/>
      <c r="D13552" s="17"/>
      <c r="E13552" s="7"/>
    </row>
    <row r="13553" spans="3:5">
      <c r="C13553" s="17"/>
      <c r="D13553" s="17"/>
      <c r="E13553" s="7"/>
    </row>
    <row r="13554" spans="3:5">
      <c r="C13554" s="17"/>
      <c r="D13554" s="17"/>
      <c r="E13554" s="7"/>
    </row>
    <row r="13555" spans="3:5">
      <c r="C13555" s="17"/>
      <c r="D13555" s="17"/>
      <c r="E13555" s="7"/>
    </row>
    <row r="13556" spans="3:5">
      <c r="C13556" s="17"/>
      <c r="D13556" s="17"/>
      <c r="E13556" s="7"/>
    </row>
    <row r="13557" spans="3:5">
      <c r="C13557" s="17"/>
      <c r="D13557" s="17"/>
      <c r="E13557" s="7"/>
    </row>
    <row r="13558" spans="3:5">
      <c r="C13558" s="17"/>
      <c r="D13558" s="17"/>
      <c r="E13558" s="7"/>
    </row>
    <row r="13559" spans="3:5">
      <c r="C13559" s="17"/>
      <c r="D13559" s="17"/>
      <c r="E13559" s="7"/>
    </row>
    <row r="13560" spans="3:5">
      <c r="C13560" s="17"/>
      <c r="D13560" s="17"/>
      <c r="E13560" s="7"/>
    </row>
    <row r="13561" spans="3:5">
      <c r="C13561" s="17"/>
      <c r="D13561" s="17"/>
      <c r="E13561" s="7"/>
    </row>
    <row r="13562" spans="3:5">
      <c r="C13562" s="17"/>
      <c r="D13562" s="17"/>
      <c r="E13562" s="7"/>
    </row>
    <row r="13563" spans="3:5">
      <c r="C13563" s="17"/>
      <c r="D13563" s="17"/>
      <c r="E13563" s="7"/>
    </row>
    <row r="13564" spans="3:5">
      <c r="C13564" s="17"/>
      <c r="D13564" s="17"/>
      <c r="E13564" s="7"/>
    </row>
    <row r="13565" spans="3:5">
      <c r="C13565" s="17"/>
      <c r="D13565" s="17"/>
      <c r="E13565" s="7"/>
    </row>
    <row r="13566" spans="3:5">
      <c r="C13566" s="17"/>
      <c r="D13566" s="17"/>
      <c r="E13566" s="7"/>
    </row>
    <row r="13567" spans="3:5">
      <c r="C13567" s="17"/>
      <c r="D13567" s="17"/>
      <c r="E13567" s="7"/>
    </row>
    <row r="13568" spans="3:5">
      <c r="C13568" s="17"/>
      <c r="D13568" s="17"/>
      <c r="E13568" s="7"/>
    </row>
    <row r="13569" spans="3:5">
      <c r="C13569" s="17"/>
      <c r="D13569" s="17"/>
      <c r="E13569" s="7"/>
    </row>
    <row r="13570" spans="3:5">
      <c r="C13570" s="17"/>
      <c r="D13570" s="17"/>
      <c r="E13570" s="7"/>
    </row>
    <row r="13571" spans="3:5">
      <c r="C13571" s="17"/>
      <c r="D13571" s="17"/>
      <c r="E13571" s="7"/>
    </row>
    <row r="13572" spans="3:5">
      <c r="C13572" s="17"/>
      <c r="D13572" s="17"/>
      <c r="E13572" s="7"/>
    </row>
    <row r="13573" spans="3:5">
      <c r="C13573" s="17"/>
      <c r="D13573" s="17"/>
      <c r="E13573" s="7"/>
    </row>
    <row r="13574" spans="3:5">
      <c r="C13574" s="17"/>
      <c r="D13574" s="17"/>
      <c r="E13574" s="7"/>
    </row>
    <row r="13575" spans="3:5">
      <c r="C13575" s="17"/>
      <c r="D13575" s="17"/>
      <c r="E13575" s="7"/>
    </row>
    <row r="13576" spans="3:5">
      <c r="C13576" s="17"/>
      <c r="D13576" s="17"/>
      <c r="E13576" s="7"/>
    </row>
    <row r="13577" spans="3:5">
      <c r="C13577" s="17"/>
      <c r="D13577" s="17"/>
      <c r="E13577" s="7"/>
    </row>
    <row r="13578" spans="3:5">
      <c r="C13578" s="17"/>
      <c r="D13578" s="17"/>
      <c r="E13578" s="7"/>
    </row>
    <row r="13579" spans="3:5">
      <c r="C13579" s="17"/>
      <c r="D13579" s="17"/>
      <c r="E13579" s="7"/>
    </row>
    <row r="13580" spans="3:5">
      <c r="C13580" s="17"/>
      <c r="D13580" s="17"/>
      <c r="E13580" s="7"/>
    </row>
    <row r="13581" spans="3:5">
      <c r="C13581" s="17"/>
      <c r="D13581" s="17"/>
      <c r="E13581" s="7"/>
    </row>
    <row r="13582" spans="3:5">
      <c r="C13582" s="17"/>
      <c r="D13582" s="17"/>
      <c r="E13582" s="7"/>
    </row>
    <row r="13583" spans="3:5">
      <c r="C13583" s="17"/>
      <c r="D13583" s="17"/>
      <c r="E13583" s="7"/>
    </row>
    <row r="13584" spans="3:5">
      <c r="C13584" s="17"/>
      <c r="D13584" s="17"/>
      <c r="E13584" s="7"/>
    </row>
    <row r="13585" spans="3:5">
      <c r="C13585" s="17"/>
      <c r="D13585" s="17"/>
      <c r="E13585" s="7"/>
    </row>
    <row r="13586" spans="3:5">
      <c r="C13586" s="17"/>
      <c r="D13586" s="17"/>
      <c r="E13586" s="7"/>
    </row>
    <row r="13587" spans="3:5">
      <c r="C13587" s="17"/>
      <c r="D13587" s="17"/>
      <c r="E13587" s="7"/>
    </row>
    <row r="13588" spans="3:5">
      <c r="C13588" s="17"/>
      <c r="D13588" s="17"/>
      <c r="E13588" s="7"/>
    </row>
    <row r="13589" spans="3:5">
      <c r="C13589" s="17"/>
      <c r="D13589" s="17"/>
      <c r="E13589" s="7"/>
    </row>
    <row r="13590" spans="3:5">
      <c r="C13590" s="17"/>
      <c r="D13590" s="17"/>
      <c r="E13590" s="7"/>
    </row>
    <row r="13591" spans="3:5">
      <c r="C13591" s="17"/>
      <c r="D13591" s="17"/>
      <c r="E13591" s="7"/>
    </row>
    <row r="13592" spans="3:5">
      <c r="C13592" s="17"/>
      <c r="D13592" s="17"/>
      <c r="E13592" s="7"/>
    </row>
    <row r="13593" spans="3:5">
      <c r="C13593" s="17"/>
      <c r="D13593" s="17"/>
      <c r="E13593" s="7"/>
    </row>
    <row r="13594" spans="3:5">
      <c r="C13594" s="17"/>
      <c r="D13594" s="17"/>
      <c r="E13594" s="7"/>
    </row>
    <row r="13595" spans="3:5">
      <c r="C13595" s="17"/>
      <c r="D13595" s="17"/>
      <c r="E13595" s="7"/>
    </row>
    <row r="13596" spans="3:5">
      <c r="C13596" s="17"/>
      <c r="D13596" s="17"/>
      <c r="E13596" s="7"/>
    </row>
    <row r="13597" spans="3:5">
      <c r="C13597" s="17"/>
      <c r="D13597" s="17"/>
      <c r="E13597" s="7"/>
    </row>
    <row r="13598" spans="3:5">
      <c r="C13598" s="17"/>
      <c r="D13598" s="17"/>
      <c r="E13598" s="7"/>
    </row>
    <row r="13599" spans="3:5">
      <c r="C13599" s="17"/>
      <c r="D13599" s="17"/>
      <c r="E13599" s="7"/>
    </row>
    <row r="13600" spans="3:5">
      <c r="C13600" s="17"/>
      <c r="D13600" s="17"/>
      <c r="E13600" s="7"/>
    </row>
    <row r="13601" spans="3:5">
      <c r="C13601" s="17"/>
      <c r="D13601" s="17"/>
      <c r="E13601" s="7"/>
    </row>
    <row r="13602" spans="3:5">
      <c r="C13602" s="17"/>
      <c r="D13602" s="17"/>
      <c r="E13602" s="7"/>
    </row>
    <row r="13603" spans="3:5">
      <c r="C13603" s="17"/>
      <c r="D13603" s="17"/>
      <c r="E13603" s="7"/>
    </row>
    <row r="13604" spans="3:5">
      <c r="C13604" s="17"/>
      <c r="D13604" s="17"/>
      <c r="E13604" s="7"/>
    </row>
    <row r="13605" spans="3:5">
      <c r="C13605" s="17"/>
      <c r="D13605" s="17"/>
      <c r="E13605" s="7"/>
    </row>
    <row r="13606" spans="3:5">
      <c r="C13606" s="17"/>
      <c r="D13606" s="17"/>
      <c r="E13606" s="7"/>
    </row>
    <row r="13607" spans="3:5">
      <c r="C13607" s="17"/>
      <c r="D13607" s="17"/>
      <c r="E13607" s="7"/>
    </row>
    <row r="13608" spans="3:5">
      <c r="C13608" s="17"/>
      <c r="D13608" s="17"/>
      <c r="E13608" s="7"/>
    </row>
    <row r="13609" spans="3:5">
      <c r="C13609" s="17"/>
      <c r="D13609" s="17"/>
      <c r="E13609" s="7"/>
    </row>
    <row r="13610" spans="3:5">
      <c r="C13610" s="17"/>
      <c r="D13610" s="17"/>
      <c r="E13610" s="7"/>
    </row>
    <row r="13611" spans="3:5">
      <c r="C13611" s="17"/>
      <c r="D13611" s="17"/>
      <c r="E13611" s="7"/>
    </row>
    <row r="13612" spans="3:5">
      <c r="C13612" s="17"/>
      <c r="D13612" s="17"/>
      <c r="E13612" s="7"/>
    </row>
    <row r="13613" spans="3:5">
      <c r="C13613" s="17"/>
      <c r="D13613" s="17"/>
      <c r="E13613" s="7"/>
    </row>
    <row r="13614" spans="3:5">
      <c r="C13614" s="17"/>
      <c r="D13614" s="17"/>
      <c r="E13614" s="7"/>
    </row>
    <row r="13615" spans="3:5">
      <c r="C13615" s="17"/>
      <c r="D13615" s="17"/>
      <c r="E13615" s="7"/>
    </row>
    <row r="13616" spans="3:5">
      <c r="C13616" s="17"/>
      <c r="D13616" s="17"/>
      <c r="E13616" s="7"/>
    </row>
    <row r="13617" spans="3:5">
      <c r="C13617" s="17"/>
      <c r="D13617" s="17"/>
      <c r="E13617" s="7"/>
    </row>
    <row r="13618" spans="3:5">
      <c r="C13618" s="17"/>
      <c r="D13618" s="17"/>
      <c r="E13618" s="7"/>
    </row>
    <row r="13619" spans="3:5">
      <c r="C13619" s="17"/>
      <c r="D13619" s="17"/>
      <c r="E13619" s="7"/>
    </row>
    <row r="13620" spans="3:5">
      <c r="C13620" s="17"/>
      <c r="D13620" s="17"/>
      <c r="E13620" s="7"/>
    </row>
    <row r="13621" spans="3:5">
      <c r="C13621" s="17"/>
      <c r="D13621" s="17"/>
      <c r="E13621" s="7"/>
    </row>
    <row r="13622" spans="3:5">
      <c r="C13622" s="17"/>
      <c r="D13622" s="17"/>
      <c r="E13622" s="7"/>
    </row>
    <row r="13623" spans="3:5">
      <c r="C13623" s="17"/>
      <c r="D13623" s="17"/>
      <c r="E13623" s="7"/>
    </row>
    <row r="13624" spans="3:5">
      <c r="C13624" s="17"/>
      <c r="D13624" s="17"/>
      <c r="E13624" s="7"/>
    </row>
    <row r="13625" spans="3:5">
      <c r="C13625" s="17"/>
      <c r="D13625" s="17"/>
      <c r="E13625" s="7"/>
    </row>
    <row r="13626" spans="3:5">
      <c r="C13626" s="17"/>
      <c r="D13626" s="17"/>
      <c r="E13626" s="7"/>
    </row>
    <row r="13627" spans="3:5">
      <c r="C13627" s="17"/>
      <c r="D13627" s="17"/>
      <c r="E13627" s="7"/>
    </row>
    <row r="13628" spans="3:5">
      <c r="C13628" s="17"/>
      <c r="D13628" s="17"/>
      <c r="E13628" s="7"/>
    </row>
    <row r="13629" spans="3:5">
      <c r="C13629" s="17"/>
      <c r="D13629" s="17"/>
      <c r="E13629" s="7"/>
    </row>
    <row r="13630" spans="3:5">
      <c r="C13630" s="17"/>
      <c r="D13630" s="17"/>
      <c r="E13630" s="7"/>
    </row>
    <row r="13631" spans="3:5">
      <c r="C13631" s="17"/>
      <c r="D13631" s="17"/>
      <c r="E13631" s="7"/>
    </row>
    <row r="13632" spans="3:5">
      <c r="C13632" s="17"/>
      <c r="D13632" s="17"/>
      <c r="E13632" s="7"/>
    </row>
    <row r="13633" spans="3:5">
      <c r="C13633" s="17"/>
      <c r="D13633" s="17"/>
      <c r="E13633" s="7"/>
    </row>
    <row r="13634" spans="3:5">
      <c r="C13634" s="17"/>
      <c r="D13634" s="17"/>
      <c r="E13634" s="7"/>
    </row>
    <row r="13635" spans="3:5">
      <c r="C13635" s="17"/>
      <c r="D13635" s="17"/>
      <c r="E13635" s="7"/>
    </row>
    <row r="13636" spans="3:5">
      <c r="C13636" s="17"/>
      <c r="D13636" s="17"/>
      <c r="E13636" s="7"/>
    </row>
    <row r="13637" spans="3:5">
      <c r="C13637" s="17"/>
      <c r="D13637" s="17"/>
      <c r="E13637" s="7"/>
    </row>
    <row r="13638" spans="3:5">
      <c r="C13638" s="17"/>
      <c r="D13638" s="17"/>
      <c r="E13638" s="7"/>
    </row>
    <row r="13639" spans="3:5">
      <c r="C13639" s="17"/>
      <c r="D13639" s="17"/>
      <c r="E13639" s="7"/>
    </row>
    <row r="13640" spans="3:5">
      <c r="C13640" s="17"/>
      <c r="D13640" s="17"/>
      <c r="E13640" s="7"/>
    </row>
    <row r="13641" spans="3:5">
      <c r="C13641" s="17"/>
      <c r="D13641" s="17"/>
      <c r="E13641" s="7"/>
    </row>
    <row r="13642" spans="3:5">
      <c r="C13642" s="17"/>
      <c r="D13642" s="17"/>
      <c r="E13642" s="7"/>
    </row>
    <row r="13643" spans="3:5">
      <c r="C13643" s="17"/>
      <c r="D13643" s="17"/>
      <c r="E13643" s="7"/>
    </row>
    <row r="13644" spans="3:5">
      <c r="C13644" s="17"/>
      <c r="D13644" s="17"/>
      <c r="E13644" s="7"/>
    </row>
    <row r="13645" spans="3:5">
      <c r="C13645" s="17"/>
      <c r="D13645" s="17"/>
      <c r="E13645" s="7"/>
    </row>
    <row r="13646" spans="3:5">
      <c r="C13646" s="17"/>
      <c r="D13646" s="17"/>
      <c r="E13646" s="7"/>
    </row>
    <row r="13647" spans="3:5">
      <c r="C13647" s="17"/>
      <c r="D13647" s="17"/>
      <c r="E13647" s="7"/>
    </row>
    <row r="13648" spans="3:5">
      <c r="C13648" s="17"/>
      <c r="D13648" s="17"/>
      <c r="E13648" s="7"/>
    </row>
    <row r="13649" spans="3:5">
      <c r="C13649" s="17"/>
      <c r="D13649" s="17"/>
      <c r="E13649" s="7"/>
    </row>
    <row r="13650" spans="3:5">
      <c r="C13650" s="17"/>
      <c r="D13650" s="17"/>
      <c r="E13650" s="7"/>
    </row>
    <row r="13651" spans="3:5">
      <c r="C13651" s="17"/>
      <c r="D13651" s="17"/>
      <c r="E13651" s="7"/>
    </row>
    <row r="13652" spans="3:5">
      <c r="C13652" s="17"/>
      <c r="D13652" s="17"/>
      <c r="E13652" s="7"/>
    </row>
    <row r="13653" spans="3:5">
      <c r="C13653" s="17"/>
      <c r="D13653" s="17"/>
      <c r="E13653" s="7"/>
    </row>
    <row r="13654" spans="3:5">
      <c r="C13654" s="17"/>
      <c r="D13654" s="17"/>
      <c r="E13654" s="7"/>
    </row>
    <row r="13655" spans="3:5">
      <c r="C13655" s="17"/>
      <c r="D13655" s="17"/>
      <c r="E13655" s="7"/>
    </row>
    <row r="13656" spans="3:5">
      <c r="C13656" s="17"/>
      <c r="D13656" s="17"/>
      <c r="E13656" s="7"/>
    </row>
    <row r="13657" spans="3:5">
      <c r="C13657" s="17"/>
      <c r="D13657" s="17"/>
      <c r="E13657" s="7"/>
    </row>
    <row r="13658" spans="3:5">
      <c r="C13658" s="17"/>
      <c r="D13658" s="17"/>
      <c r="E13658" s="7"/>
    </row>
    <row r="13659" spans="3:5">
      <c r="C13659" s="17"/>
      <c r="D13659" s="17"/>
      <c r="E13659" s="7"/>
    </row>
    <row r="13660" spans="3:5">
      <c r="C13660" s="17"/>
      <c r="D13660" s="17"/>
      <c r="E13660" s="7"/>
    </row>
    <row r="13661" spans="3:5">
      <c r="C13661" s="17"/>
      <c r="D13661" s="17"/>
      <c r="E13661" s="7"/>
    </row>
    <row r="13662" spans="3:5">
      <c r="C13662" s="17"/>
      <c r="D13662" s="17"/>
      <c r="E13662" s="7"/>
    </row>
    <row r="13663" spans="3:5">
      <c r="C13663" s="17"/>
      <c r="D13663" s="17"/>
      <c r="E13663" s="7"/>
    </row>
    <row r="13664" spans="3:5">
      <c r="C13664" s="17"/>
      <c r="D13664" s="17"/>
      <c r="E13664" s="7"/>
    </row>
    <row r="13665" spans="3:5">
      <c r="C13665" s="17"/>
      <c r="D13665" s="17"/>
      <c r="E13665" s="7"/>
    </row>
    <row r="13666" spans="3:5">
      <c r="C13666" s="17"/>
      <c r="D13666" s="17"/>
      <c r="E13666" s="7"/>
    </row>
    <row r="13667" spans="3:5">
      <c r="C13667" s="17"/>
      <c r="D13667" s="17"/>
      <c r="E13667" s="7"/>
    </row>
    <row r="13668" spans="3:5">
      <c r="C13668" s="17"/>
      <c r="D13668" s="17"/>
      <c r="E13668" s="7"/>
    </row>
    <row r="13669" spans="3:5">
      <c r="C13669" s="17"/>
      <c r="D13669" s="17"/>
      <c r="E13669" s="7"/>
    </row>
    <row r="13670" spans="3:5">
      <c r="C13670" s="17"/>
      <c r="D13670" s="17"/>
      <c r="E13670" s="7"/>
    </row>
    <row r="13671" spans="3:5">
      <c r="C13671" s="17"/>
      <c r="D13671" s="17"/>
      <c r="E13671" s="7"/>
    </row>
    <row r="13672" spans="3:5">
      <c r="C13672" s="17"/>
      <c r="D13672" s="17"/>
      <c r="E13672" s="7"/>
    </row>
    <row r="13673" spans="3:5">
      <c r="C13673" s="17"/>
      <c r="D13673" s="17"/>
      <c r="E13673" s="7"/>
    </row>
    <row r="13674" spans="3:5">
      <c r="C13674" s="17"/>
      <c r="D13674" s="17"/>
      <c r="E13674" s="7"/>
    </row>
    <row r="13675" spans="3:5">
      <c r="C13675" s="17"/>
      <c r="D13675" s="17"/>
      <c r="E13675" s="7"/>
    </row>
    <row r="13676" spans="3:5">
      <c r="C13676" s="17"/>
      <c r="D13676" s="17"/>
      <c r="E13676" s="7"/>
    </row>
    <row r="13677" spans="3:5">
      <c r="C13677" s="17"/>
      <c r="D13677" s="17"/>
      <c r="E13677" s="7"/>
    </row>
    <row r="13678" spans="3:5">
      <c r="C13678" s="17"/>
      <c r="D13678" s="17"/>
      <c r="E13678" s="7"/>
    </row>
    <row r="13679" spans="3:5">
      <c r="C13679" s="17"/>
      <c r="D13679" s="17"/>
      <c r="E13679" s="7"/>
    </row>
    <row r="13680" spans="3:5">
      <c r="C13680" s="17"/>
      <c r="D13680" s="17"/>
      <c r="E13680" s="7"/>
    </row>
    <row r="13681" spans="3:5">
      <c r="C13681" s="17"/>
      <c r="D13681" s="17"/>
      <c r="E13681" s="7"/>
    </row>
    <row r="13682" spans="3:5">
      <c r="C13682" s="17"/>
      <c r="D13682" s="17"/>
      <c r="E13682" s="7"/>
    </row>
    <row r="13683" spans="3:5">
      <c r="C13683" s="17"/>
      <c r="D13683" s="17"/>
      <c r="E13683" s="7"/>
    </row>
    <row r="13684" spans="3:5">
      <c r="C13684" s="17"/>
      <c r="D13684" s="17"/>
      <c r="E13684" s="7"/>
    </row>
    <row r="13685" spans="3:5">
      <c r="C13685" s="17"/>
      <c r="D13685" s="17"/>
      <c r="E13685" s="7"/>
    </row>
    <row r="13686" spans="3:5">
      <c r="C13686" s="17"/>
      <c r="D13686" s="17"/>
      <c r="E13686" s="7"/>
    </row>
    <row r="13687" spans="3:5">
      <c r="C13687" s="17"/>
      <c r="D13687" s="17"/>
      <c r="E13687" s="7"/>
    </row>
    <row r="13688" spans="3:5">
      <c r="C13688" s="17"/>
      <c r="D13688" s="17"/>
      <c r="E13688" s="7"/>
    </row>
    <row r="13689" spans="3:5">
      <c r="C13689" s="17"/>
      <c r="D13689" s="17"/>
      <c r="E13689" s="7"/>
    </row>
    <row r="13690" spans="3:5">
      <c r="C13690" s="17"/>
      <c r="D13690" s="17"/>
      <c r="E13690" s="7"/>
    </row>
    <row r="13691" spans="3:5">
      <c r="C13691" s="17"/>
      <c r="D13691" s="17"/>
      <c r="E13691" s="7"/>
    </row>
    <row r="13692" spans="3:5">
      <c r="C13692" s="17"/>
      <c r="D13692" s="17"/>
      <c r="E13692" s="7"/>
    </row>
    <row r="13693" spans="3:5">
      <c r="C13693" s="17"/>
      <c r="D13693" s="17"/>
      <c r="E13693" s="7"/>
    </row>
    <row r="13694" spans="3:5">
      <c r="C13694" s="17"/>
      <c r="D13694" s="17"/>
      <c r="E13694" s="7"/>
    </row>
    <row r="13695" spans="3:5">
      <c r="C13695" s="17"/>
      <c r="D13695" s="17"/>
      <c r="E13695" s="7"/>
    </row>
    <row r="13696" spans="3:5">
      <c r="C13696" s="17"/>
      <c r="D13696" s="17"/>
      <c r="E13696" s="7"/>
    </row>
    <row r="13697" spans="3:5">
      <c r="C13697" s="17"/>
      <c r="D13697" s="17"/>
      <c r="E13697" s="7"/>
    </row>
    <row r="13698" spans="3:5">
      <c r="C13698" s="17"/>
      <c r="D13698" s="17"/>
      <c r="E13698" s="7"/>
    </row>
    <row r="13699" spans="3:5">
      <c r="C13699" s="17"/>
      <c r="D13699" s="17"/>
      <c r="E13699" s="7"/>
    </row>
    <row r="13700" spans="3:5">
      <c r="C13700" s="17"/>
      <c r="D13700" s="17"/>
      <c r="E13700" s="7"/>
    </row>
    <row r="13701" spans="3:5">
      <c r="C13701" s="17"/>
      <c r="D13701" s="17"/>
      <c r="E13701" s="7"/>
    </row>
    <row r="13702" spans="3:5">
      <c r="C13702" s="17"/>
      <c r="D13702" s="17"/>
      <c r="E13702" s="7"/>
    </row>
    <row r="13703" spans="3:5">
      <c r="C13703" s="17"/>
      <c r="D13703" s="17"/>
      <c r="E13703" s="7"/>
    </row>
    <row r="13704" spans="3:5">
      <c r="C13704" s="17"/>
      <c r="D13704" s="17"/>
      <c r="E13704" s="7"/>
    </row>
    <row r="13705" spans="3:5">
      <c r="C13705" s="17"/>
      <c r="D13705" s="17"/>
      <c r="E13705" s="7"/>
    </row>
    <row r="13706" spans="3:5">
      <c r="C13706" s="17"/>
      <c r="D13706" s="17"/>
      <c r="E13706" s="7"/>
    </row>
    <row r="13707" spans="3:5">
      <c r="C13707" s="17"/>
      <c r="D13707" s="17"/>
      <c r="E13707" s="7"/>
    </row>
    <row r="13708" spans="3:5">
      <c r="C13708" s="17"/>
      <c r="D13708" s="17"/>
      <c r="E13708" s="7"/>
    </row>
    <row r="13709" spans="3:5">
      <c r="C13709" s="17"/>
      <c r="D13709" s="17"/>
      <c r="E13709" s="7"/>
    </row>
    <row r="13710" spans="3:5">
      <c r="C13710" s="17"/>
      <c r="D13710" s="17"/>
      <c r="E13710" s="7"/>
    </row>
    <row r="13711" spans="3:5">
      <c r="C13711" s="17"/>
      <c r="D13711" s="17"/>
      <c r="E13711" s="7"/>
    </row>
    <row r="13712" spans="3:5">
      <c r="C13712" s="17"/>
      <c r="D13712" s="17"/>
      <c r="E13712" s="7"/>
    </row>
    <row r="13713" spans="3:5">
      <c r="C13713" s="17"/>
      <c r="D13713" s="17"/>
      <c r="E13713" s="7"/>
    </row>
    <row r="13714" spans="3:5">
      <c r="C13714" s="17"/>
      <c r="D13714" s="17"/>
      <c r="E13714" s="7"/>
    </row>
    <row r="13715" spans="3:5">
      <c r="C13715" s="17"/>
      <c r="D13715" s="17"/>
      <c r="E13715" s="7"/>
    </row>
    <row r="13716" spans="3:5">
      <c r="C13716" s="17"/>
      <c r="D13716" s="17"/>
      <c r="E13716" s="7"/>
    </row>
    <row r="13717" spans="3:5">
      <c r="C13717" s="17"/>
      <c r="D13717" s="17"/>
      <c r="E13717" s="7"/>
    </row>
    <row r="13718" spans="3:5">
      <c r="C13718" s="17"/>
      <c r="D13718" s="17"/>
      <c r="E13718" s="7"/>
    </row>
    <row r="13719" spans="3:5">
      <c r="C13719" s="17"/>
      <c r="D13719" s="17"/>
      <c r="E13719" s="7"/>
    </row>
    <row r="13720" spans="3:5">
      <c r="C13720" s="17"/>
      <c r="D13720" s="17"/>
      <c r="E13720" s="7"/>
    </row>
    <row r="13721" spans="3:5">
      <c r="C13721" s="17"/>
      <c r="D13721" s="17"/>
      <c r="E13721" s="7"/>
    </row>
    <row r="13722" spans="3:5">
      <c r="C13722" s="17"/>
      <c r="D13722" s="17"/>
      <c r="E13722" s="7"/>
    </row>
    <row r="13723" spans="3:5">
      <c r="C13723" s="17"/>
      <c r="D13723" s="17"/>
      <c r="E13723" s="7"/>
    </row>
    <row r="13724" spans="3:5">
      <c r="C13724" s="17"/>
      <c r="D13724" s="17"/>
      <c r="E13724" s="7"/>
    </row>
    <row r="13725" spans="3:5">
      <c r="C13725" s="17"/>
      <c r="D13725" s="17"/>
      <c r="E13725" s="7"/>
    </row>
    <row r="13726" spans="3:5">
      <c r="C13726" s="17"/>
      <c r="D13726" s="17"/>
      <c r="E13726" s="7"/>
    </row>
    <row r="13727" spans="3:5">
      <c r="C13727" s="17"/>
      <c r="D13727" s="17"/>
      <c r="E13727" s="7"/>
    </row>
    <row r="13728" spans="3:5">
      <c r="C13728" s="17"/>
      <c r="D13728" s="17"/>
      <c r="E13728" s="7"/>
    </row>
    <row r="13729" spans="3:5">
      <c r="C13729" s="17"/>
      <c r="D13729" s="17"/>
      <c r="E13729" s="7"/>
    </row>
    <row r="13730" spans="3:5">
      <c r="C13730" s="17"/>
      <c r="D13730" s="17"/>
      <c r="E13730" s="7"/>
    </row>
    <row r="13731" spans="3:5">
      <c r="C13731" s="17"/>
      <c r="D13731" s="17"/>
      <c r="E13731" s="7"/>
    </row>
    <row r="13732" spans="3:5">
      <c r="C13732" s="17"/>
      <c r="D13732" s="17"/>
      <c r="E13732" s="7"/>
    </row>
    <row r="13733" spans="3:5">
      <c r="C13733" s="17"/>
      <c r="D13733" s="17"/>
      <c r="E13733" s="7"/>
    </row>
    <row r="13734" spans="3:5">
      <c r="C13734" s="17"/>
      <c r="D13734" s="17"/>
      <c r="E13734" s="7"/>
    </row>
    <row r="13735" spans="3:5">
      <c r="C13735" s="17"/>
      <c r="D13735" s="17"/>
      <c r="E13735" s="7"/>
    </row>
    <row r="13736" spans="3:5">
      <c r="C13736" s="17"/>
      <c r="D13736" s="17"/>
      <c r="E13736" s="7"/>
    </row>
    <row r="13737" spans="3:5">
      <c r="C13737" s="17"/>
      <c r="D13737" s="17"/>
      <c r="E13737" s="7"/>
    </row>
    <row r="13738" spans="3:5">
      <c r="C13738" s="17"/>
      <c r="D13738" s="17"/>
      <c r="E13738" s="7"/>
    </row>
    <row r="13739" spans="3:5">
      <c r="C13739" s="17"/>
      <c r="D13739" s="17"/>
      <c r="E13739" s="7"/>
    </row>
    <row r="13740" spans="3:5">
      <c r="C13740" s="17"/>
      <c r="D13740" s="17"/>
      <c r="E13740" s="7"/>
    </row>
    <row r="13741" spans="3:5">
      <c r="C13741" s="17"/>
      <c r="D13741" s="17"/>
      <c r="E13741" s="7"/>
    </row>
    <row r="13742" spans="3:5">
      <c r="C13742" s="17"/>
      <c r="D13742" s="17"/>
      <c r="E13742" s="7"/>
    </row>
    <row r="13743" spans="3:5">
      <c r="C13743" s="17"/>
      <c r="D13743" s="17"/>
      <c r="E13743" s="7"/>
    </row>
    <row r="13744" spans="3:5">
      <c r="C13744" s="17"/>
      <c r="D13744" s="17"/>
      <c r="E13744" s="7"/>
    </row>
    <row r="13745" spans="3:5">
      <c r="C13745" s="17"/>
      <c r="D13745" s="17"/>
      <c r="E13745" s="7"/>
    </row>
    <row r="13746" spans="3:5">
      <c r="C13746" s="17"/>
      <c r="D13746" s="17"/>
      <c r="E13746" s="7"/>
    </row>
    <row r="13747" spans="3:5">
      <c r="C13747" s="17"/>
      <c r="D13747" s="17"/>
      <c r="E13747" s="7"/>
    </row>
    <row r="13748" spans="3:5">
      <c r="C13748" s="17"/>
      <c r="D13748" s="17"/>
      <c r="E13748" s="7"/>
    </row>
    <row r="13749" spans="3:5">
      <c r="C13749" s="17"/>
      <c r="D13749" s="17"/>
      <c r="E13749" s="7"/>
    </row>
    <row r="13750" spans="3:5">
      <c r="C13750" s="17"/>
      <c r="D13750" s="17"/>
      <c r="E13750" s="7"/>
    </row>
    <row r="13751" spans="3:5">
      <c r="C13751" s="17"/>
      <c r="D13751" s="17"/>
      <c r="E13751" s="7"/>
    </row>
    <row r="13752" spans="3:5">
      <c r="C13752" s="17"/>
      <c r="D13752" s="17"/>
      <c r="E13752" s="7"/>
    </row>
    <row r="13753" spans="3:5">
      <c r="C13753" s="17"/>
      <c r="D13753" s="17"/>
      <c r="E13753" s="7"/>
    </row>
    <row r="13754" spans="3:5">
      <c r="C13754" s="17"/>
      <c r="D13754" s="17"/>
      <c r="E13754" s="7"/>
    </row>
    <row r="13755" spans="3:5">
      <c r="C13755" s="17"/>
      <c r="D13755" s="17"/>
      <c r="E13755" s="7"/>
    </row>
    <row r="13756" spans="3:5">
      <c r="C13756" s="17"/>
      <c r="D13756" s="17"/>
      <c r="E13756" s="7"/>
    </row>
    <row r="13757" spans="3:5">
      <c r="C13757" s="17"/>
      <c r="D13757" s="17"/>
      <c r="E13757" s="7"/>
    </row>
    <row r="13758" spans="3:5">
      <c r="C13758" s="17"/>
      <c r="D13758" s="17"/>
      <c r="E13758" s="7"/>
    </row>
    <row r="13759" spans="3:5">
      <c r="C13759" s="17"/>
      <c r="D13759" s="17"/>
      <c r="E13759" s="7"/>
    </row>
    <row r="13760" spans="3:5">
      <c r="C13760" s="17"/>
      <c r="D13760" s="17"/>
      <c r="E13760" s="7"/>
    </row>
    <row r="13761" spans="3:5">
      <c r="C13761" s="17"/>
      <c r="D13761" s="17"/>
      <c r="E13761" s="7"/>
    </row>
    <row r="13762" spans="3:5">
      <c r="C13762" s="17"/>
      <c r="D13762" s="17"/>
      <c r="E13762" s="7"/>
    </row>
    <row r="13763" spans="3:5">
      <c r="C13763" s="17"/>
      <c r="D13763" s="17"/>
      <c r="E13763" s="7"/>
    </row>
    <row r="13764" spans="3:5">
      <c r="C13764" s="17"/>
      <c r="D13764" s="17"/>
      <c r="E13764" s="7"/>
    </row>
    <row r="13765" spans="3:5">
      <c r="C13765" s="17"/>
      <c r="D13765" s="17"/>
      <c r="E13765" s="7"/>
    </row>
    <row r="13766" spans="3:5">
      <c r="C13766" s="17"/>
      <c r="D13766" s="17"/>
      <c r="E13766" s="7"/>
    </row>
    <row r="13767" spans="3:5">
      <c r="C13767" s="17"/>
      <c r="D13767" s="17"/>
      <c r="E13767" s="7"/>
    </row>
    <row r="13768" spans="3:5">
      <c r="C13768" s="17"/>
      <c r="D13768" s="17"/>
      <c r="E13768" s="7"/>
    </row>
    <row r="13769" spans="3:5">
      <c r="C13769" s="17"/>
      <c r="D13769" s="17"/>
      <c r="E13769" s="7"/>
    </row>
    <row r="13770" spans="3:5">
      <c r="C13770" s="17"/>
      <c r="D13770" s="17"/>
      <c r="E13770" s="7"/>
    </row>
    <row r="13771" spans="3:5">
      <c r="C13771" s="17"/>
      <c r="D13771" s="17"/>
      <c r="E13771" s="7"/>
    </row>
    <row r="13772" spans="3:5">
      <c r="C13772" s="17"/>
      <c r="D13772" s="17"/>
      <c r="E13772" s="7"/>
    </row>
    <row r="13773" spans="3:5">
      <c r="C13773" s="17"/>
      <c r="D13773" s="17"/>
      <c r="E13773" s="7"/>
    </row>
    <row r="13774" spans="3:5">
      <c r="C13774" s="17"/>
      <c r="D13774" s="17"/>
      <c r="E13774" s="7"/>
    </row>
    <row r="13775" spans="3:5">
      <c r="C13775" s="17"/>
      <c r="D13775" s="17"/>
      <c r="E13775" s="7"/>
    </row>
    <row r="13776" spans="3:5">
      <c r="C13776" s="17"/>
      <c r="D13776" s="17"/>
      <c r="E13776" s="7"/>
    </row>
    <row r="13777" spans="3:5">
      <c r="C13777" s="17"/>
      <c r="D13777" s="17"/>
      <c r="E13777" s="7"/>
    </row>
    <row r="13778" spans="3:5">
      <c r="C13778" s="17"/>
      <c r="D13778" s="17"/>
      <c r="E13778" s="7"/>
    </row>
    <row r="13779" spans="3:5">
      <c r="C13779" s="17"/>
      <c r="D13779" s="17"/>
      <c r="E13779" s="7"/>
    </row>
    <row r="13780" spans="3:5">
      <c r="C13780" s="17"/>
      <c r="D13780" s="17"/>
      <c r="E13780" s="7"/>
    </row>
    <row r="13781" spans="3:5">
      <c r="C13781" s="17"/>
      <c r="D13781" s="17"/>
      <c r="E13781" s="7"/>
    </row>
    <row r="13782" spans="3:5">
      <c r="C13782" s="17"/>
      <c r="D13782" s="17"/>
      <c r="E13782" s="7"/>
    </row>
    <row r="13783" spans="3:5">
      <c r="C13783" s="17"/>
      <c r="D13783" s="17"/>
      <c r="E13783" s="7"/>
    </row>
    <row r="13784" spans="3:5">
      <c r="C13784" s="17"/>
      <c r="D13784" s="17"/>
      <c r="E13784" s="7"/>
    </row>
    <row r="13785" spans="3:5">
      <c r="C13785" s="17"/>
      <c r="D13785" s="17"/>
      <c r="E13785" s="7"/>
    </row>
    <row r="13786" spans="3:5">
      <c r="C13786" s="17"/>
      <c r="D13786" s="17"/>
      <c r="E13786" s="7"/>
    </row>
    <row r="13787" spans="3:5">
      <c r="C13787" s="17"/>
      <c r="D13787" s="17"/>
      <c r="E13787" s="7"/>
    </row>
    <row r="13788" spans="3:5">
      <c r="C13788" s="17"/>
      <c r="D13788" s="17"/>
      <c r="E13788" s="7"/>
    </row>
    <row r="13789" spans="3:5">
      <c r="C13789" s="17"/>
      <c r="D13789" s="17"/>
      <c r="E13789" s="7"/>
    </row>
    <row r="13790" spans="3:5">
      <c r="C13790" s="17"/>
      <c r="D13790" s="17"/>
      <c r="E13790" s="7"/>
    </row>
    <row r="13791" spans="3:5">
      <c r="C13791" s="17"/>
      <c r="D13791" s="17"/>
      <c r="E13791" s="7"/>
    </row>
    <row r="13792" spans="3:5">
      <c r="C13792" s="17"/>
      <c r="D13792" s="17"/>
      <c r="E13792" s="7"/>
    </row>
    <row r="13793" spans="3:5">
      <c r="C13793" s="17"/>
      <c r="D13793" s="17"/>
      <c r="E13793" s="7"/>
    </row>
    <row r="13794" spans="3:5">
      <c r="C13794" s="17"/>
      <c r="D13794" s="17"/>
      <c r="E13794" s="7"/>
    </row>
    <row r="13795" spans="3:5">
      <c r="C13795" s="17"/>
      <c r="D13795" s="17"/>
      <c r="E13795" s="7"/>
    </row>
    <row r="13796" spans="3:5">
      <c r="C13796" s="17"/>
      <c r="D13796" s="17"/>
      <c r="E13796" s="7"/>
    </row>
    <row r="13797" spans="3:5">
      <c r="C13797" s="17"/>
      <c r="D13797" s="17"/>
      <c r="E13797" s="7"/>
    </row>
    <row r="13798" spans="3:5">
      <c r="C13798" s="17"/>
      <c r="D13798" s="17"/>
      <c r="E13798" s="7"/>
    </row>
    <row r="13799" spans="3:5">
      <c r="C13799" s="17"/>
      <c r="D13799" s="17"/>
      <c r="E13799" s="7"/>
    </row>
    <row r="13800" spans="3:5">
      <c r="C13800" s="17"/>
      <c r="D13800" s="17"/>
      <c r="E13800" s="7"/>
    </row>
    <row r="13801" spans="3:5">
      <c r="C13801" s="17"/>
      <c r="D13801" s="17"/>
      <c r="E13801" s="7"/>
    </row>
    <row r="13802" spans="3:5">
      <c r="C13802" s="17"/>
      <c r="D13802" s="17"/>
      <c r="E13802" s="7"/>
    </row>
    <row r="13803" spans="3:5">
      <c r="C13803" s="17"/>
      <c r="D13803" s="17"/>
      <c r="E13803" s="7"/>
    </row>
    <row r="13804" spans="3:5">
      <c r="C13804" s="17"/>
      <c r="D13804" s="17"/>
      <c r="E13804" s="7"/>
    </row>
    <row r="13805" spans="3:5">
      <c r="C13805" s="17"/>
      <c r="D13805" s="17"/>
      <c r="E13805" s="7"/>
    </row>
    <row r="13806" spans="3:5">
      <c r="C13806" s="17"/>
      <c r="D13806" s="17"/>
      <c r="E13806" s="7"/>
    </row>
    <row r="13807" spans="3:5">
      <c r="C13807" s="17"/>
      <c r="D13807" s="17"/>
      <c r="E13807" s="7"/>
    </row>
    <row r="13808" spans="3:5">
      <c r="C13808" s="17"/>
      <c r="D13808" s="17"/>
      <c r="E13808" s="7"/>
    </row>
    <row r="13809" spans="3:5">
      <c r="C13809" s="17"/>
      <c r="D13809" s="17"/>
      <c r="E13809" s="7"/>
    </row>
    <row r="13810" spans="3:5">
      <c r="C13810" s="17"/>
      <c r="D13810" s="17"/>
      <c r="E13810" s="7"/>
    </row>
    <row r="13811" spans="3:5">
      <c r="C13811" s="17"/>
      <c r="D13811" s="17"/>
      <c r="E13811" s="7"/>
    </row>
    <row r="13812" spans="3:5">
      <c r="C13812" s="17"/>
      <c r="D13812" s="17"/>
      <c r="E13812" s="7"/>
    </row>
    <row r="13813" spans="3:5">
      <c r="C13813" s="17"/>
      <c r="D13813" s="17"/>
      <c r="E13813" s="7"/>
    </row>
    <row r="13814" spans="3:5">
      <c r="C13814" s="17"/>
      <c r="D13814" s="17"/>
      <c r="E13814" s="7"/>
    </row>
    <row r="13815" spans="3:5">
      <c r="C13815" s="17"/>
      <c r="D13815" s="17"/>
      <c r="E13815" s="7"/>
    </row>
    <row r="13816" spans="3:5">
      <c r="C13816" s="17"/>
      <c r="D13816" s="17"/>
      <c r="E13816" s="7"/>
    </row>
    <row r="13817" spans="3:5">
      <c r="C13817" s="17"/>
      <c r="D13817" s="17"/>
      <c r="E13817" s="7"/>
    </row>
    <row r="13818" spans="3:5">
      <c r="C13818" s="17"/>
      <c r="D13818" s="17"/>
      <c r="E13818" s="7"/>
    </row>
    <row r="13819" spans="3:5">
      <c r="C13819" s="17"/>
      <c r="D13819" s="17"/>
      <c r="E13819" s="7"/>
    </row>
    <row r="13820" spans="3:5">
      <c r="C13820" s="17"/>
      <c r="D13820" s="17"/>
      <c r="E13820" s="7"/>
    </row>
    <row r="13821" spans="3:5">
      <c r="C13821" s="17"/>
      <c r="D13821" s="17"/>
      <c r="E13821" s="7"/>
    </row>
    <row r="13822" spans="3:5">
      <c r="C13822" s="17"/>
      <c r="D13822" s="17"/>
      <c r="E13822" s="7"/>
    </row>
    <row r="13823" spans="3:5">
      <c r="C13823" s="17"/>
      <c r="D13823" s="17"/>
      <c r="E13823" s="7"/>
    </row>
    <row r="13824" spans="3:5">
      <c r="C13824" s="17"/>
      <c r="D13824" s="17"/>
      <c r="E13824" s="7"/>
    </row>
    <row r="13825" spans="3:5">
      <c r="C13825" s="17"/>
      <c r="D13825" s="17"/>
      <c r="E13825" s="7"/>
    </row>
    <row r="13826" spans="3:5">
      <c r="C13826" s="17"/>
      <c r="D13826" s="17"/>
      <c r="E13826" s="7"/>
    </row>
    <row r="13827" spans="3:5">
      <c r="C13827" s="17"/>
      <c r="D13827" s="17"/>
      <c r="E13827" s="7"/>
    </row>
    <row r="13828" spans="3:5">
      <c r="C13828" s="17"/>
      <c r="D13828" s="17"/>
      <c r="E13828" s="7"/>
    </row>
    <row r="13829" spans="3:5">
      <c r="C13829" s="17"/>
      <c r="D13829" s="17"/>
      <c r="E13829" s="7"/>
    </row>
    <row r="13830" spans="3:5">
      <c r="C13830" s="17"/>
      <c r="D13830" s="17"/>
      <c r="E13830" s="7"/>
    </row>
    <row r="13831" spans="3:5">
      <c r="C13831" s="17"/>
      <c r="D13831" s="17"/>
      <c r="E13831" s="7"/>
    </row>
    <row r="13832" spans="3:5">
      <c r="C13832" s="17"/>
      <c r="D13832" s="17"/>
      <c r="E13832" s="7"/>
    </row>
    <row r="13833" spans="3:5">
      <c r="C13833" s="17"/>
      <c r="D13833" s="17"/>
      <c r="E13833" s="7"/>
    </row>
    <row r="13834" spans="3:5">
      <c r="C13834" s="17"/>
      <c r="D13834" s="17"/>
      <c r="E13834" s="7"/>
    </row>
    <row r="13835" spans="3:5">
      <c r="C13835" s="17"/>
      <c r="D13835" s="17"/>
      <c r="E13835" s="7"/>
    </row>
    <row r="13836" spans="3:5">
      <c r="C13836" s="17"/>
      <c r="D13836" s="17"/>
      <c r="E13836" s="7"/>
    </row>
    <row r="13837" spans="3:5">
      <c r="C13837" s="17"/>
      <c r="D13837" s="17"/>
      <c r="E13837" s="7"/>
    </row>
    <row r="13838" spans="3:5">
      <c r="C13838" s="17"/>
      <c r="D13838" s="17"/>
      <c r="E13838" s="7"/>
    </row>
    <row r="13839" spans="3:5">
      <c r="C13839" s="17"/>
      <c r="D13839" s="17"/>
      <c r="E13839" s="7"/>
    </row>
    <row r="13840" spans="3:5">
      <c r="C13840" s="17"/>
      <c r="D13840" s="17"/>
      <c r="E13840" s="7"/>
    </row>
    <row r="13841" spans="3:5">
      <c r="C13841" s="17"/>
      <c r="D13841" s="17"/>
      <c r="E13841" s="7"/>
    </row>
    <row r="13842" spans="3:5">
      <c r="C13842" s="17"/>
      <c r="D13842" s="17"/>
      <c r="E13842" s="7"/>
    </row>
    <row r="13843" spans="3:5">
      <c r="C13843" s="17"/>
      <c r="D13843" s="17"/>
      <c r="E13843" s="7"/>
    </row>
    <row r="13844" spans="3:5">
      <c r="C13844" s="17"/>
      <c r="D13844" s="17"/>
      <c r="E13844" s="7"/>
    </row>
    <row r="13845" spans="3:5">
      <c r="C13845" s="17"/>
      <c r="D13845" s="17"/>
      <c r="E13845" s="7"/>
    </row>
    <row r="13846" spans="3:5">
      <c r="C13846" s="17"/>
      <c r="D13846" s="17"/>
      <c r="E13846" s="7"/>
    </row>
    <row r="13847" spans="3:5">
      <c r="C13847" s="17"/>
      <c r="D13847" s="17"/>
      <c r="E13847" s="7"/>
    </row>
    <row r="13848" spans="3:5">
      <c r="C13848" s="17"/>
      <c r="D13848" s="17"/>
      <c r="E13848" s="7"/>
    </row>
    <row r="13849" spans="3:5">
      <c r="C13849" s="17"/>
      <c r="D13849" s="17"/>
      <c r="E13849" s="7"/>
    </row>
    <row r="13850" spans="3:5">
      <c r="C13850" s="17"/>
      <c r="D13850" s="17"/>
      <c r="E13850" s="7"/>
    </row>
    <row r="13851" spans="3:5">
      <c r="C13851" s="17"/>
      <c r="D13851" s="17"/>
      <c r="E13851" s="7"/>
    </row>
    <row r="13852" spans="3:5">
      <c r="C13852" s="17"/>
      <c r="D13852" s="17"/>
      <c r="E13852" s="7"/>
    </row>
    <row r="13853" spans="3:5">
      <c r="C13853" s="17"/>
      <c r="D13853" s="17"/>
      <c r="E13853" s="7"/>
    </row>
    <row r="13854" spans="3:5">
      <c r="C13854" s="17"/>
      <c r="D13854" s="17"/>
      <c r="E13854" s="7"/>
    </row>
    <row r="13855" spans="3:5">
      <c r="C13855" s="17"/>
      <c r="D13855" s="17"/>
      <c r="E13855" s="7"/>
    </row>
    <row r="13856" spans="3:5">
      <c r="C13856" s="17"/>
      <c r="D13856" s="17"/>
      <c r="E13856" s="7"/>
    </row>
    <row r="13857" spans="3:5">
      <c r="C13857" s="17"/>
      <c r="D13857" s="17"/>
      <c r="E13857" s="7"/>
    </row>
    <row r="13858" spans="3:5">
      <c r="C13858" s="17"/>
      <c r="D13858" s="17"/>
      <c r="E13858" s="7"/>
    </row>
    <row r="13859" spans="3:5">
      <c r="C13859" s="17"/>
      <c r="D13859" s="17"/>
      <c r="E13859" s="7"/>
    </row>
    <row r="13860" spans="3:5">
      <c r="C13860" s="17"/>
      <c r="D13860" s="17"/>
      <c r="E13860" s="7"/>
    </row>
    <row r="13861" spans="3:5">
      <c r="C13861" s="17"/>
      <c r="D13861" s="17"/>
      <c r="E13861" s="7"/>
    </row>
    <row r="13862" spans="3:5">
      <c r="C13862" s="17"/>
      <c r="D13862" s="17"/>
      <c r="E13862" s="7"/>
    </row>
    <row r="13863" spans="3:5">
      <c r="C13863" s="17"/>
      <c r="D13863" s="17"/>
      <c r="E13863" s="7"/>
    </row>
    <row r="13864" spans="3:5">
      <c r="C13864" s="17"/>
      <c r="D13864" s="17"/>
      <c r="E13864" s="7"/>
    </row>
    <row r="13865" spans="3:5">
      <c r="C13865" s="17"/>
      <c r="D13865" s="17"/>
      <c r="E13865" s="7"/>
    </row>
    <row r="13866" spans="3:5">
      <c r="C13866" s="17"/>
      <c r="D13866" s="17"/>
      <c r="E13866" s="7"/>
    </row>
    <row r="13867" spans="3:5">
      <c r="C13867" s="17"/>
      <c r="D13867" s="17"/>
      <c r="E13867" s="7"/>
    </row>
    <row r="13868" spans="3:5">
      <c r="C13868" s="17"/>
      <c r="D13868" s="17"/>
      <c r="E13868" s="7"/>
    </row>
    <row r="13869" spans="3:5">
      <c r="C13869" s="17"/>
      <c r="D13869" s="17"/>
      <c r="E13869" s="7"/>
    </row>
    <row r="13870" spans="3:5">
      <c r="C13870" s="17"/>
      <c r="D13870" s="17"/>
      <c r="E13870" s="7"/>
    </row>
    <row r="13871" spans="3:5">
      <c r="C13871" s="17"/>
      <c r="D13871" s="17"/>
      <c r="E13871" s="7"/>
    </row>
    <row r="13872" spans="3:5">
      <c r="C13872" s="17"/>
      <c r="D13872" s="17"/>
      <c r="E13872" s="7"/>
    </row>
    <row r="13873" spans="3:5">
      <c r="C13873" s="17"/>
      <c r="D13873" s="17"/>
      <c r="E13873" s="7"/>
    </row>
    <row r="13874" spans="3:5">
      <c r="C13874" s="17"/>
      <c r="D13874" s="17"/>
      <c r="E13874" s="7"/>
    </row>
    <row r="13875" spans="3:5">
      <c r="C13875" s="17"/>
      <c r="D13875" s="17"/>
      <c r="E13875" s="7"/>
    </row>
    <row r="13876" spans="3:5">
      <c r="C13876" s="17"/>
      <c r="D13876" s="17"/>
      <c r="E13876" s="7"/>
    </row>
    <row r="13877" spans="3:5">
      <c r="C13877" s="17"/>
      <c r="D13877" s="17"/>
      <c r="E13877" s="7"/>
    </row>
    <row r="13878" spans="3:5">
      <c r="C13878" s="17"/>
      <c r="D13878" s="17"/>
      <c r="E13878" s="7"/>
    </row>
    <row r="13879" spans="3:5">
      <c r="C13879" s="17"/>
      <c r="D13879" s="17"/>
      <c r="E13879" s="7"/>
    </row>
    <row r="13880" spans="3:5">
      <c r="C13880" s="17"/>
      <c r="D13880" s="17"/>
      <c r="E13880" s="7"/>
    </row>
    <row r="13881" spans="3:5">
      <c r="C13881" s="17"/>
      <c r="D13881" s="17"/>
      <c r="E13881" s="7"/>
    </row>
    <row r="13882" spans="3:5">
      <c r="C13882" s="17"/>
      <c r="D13882" s="17"/>
      <c r="E13882" s="7"/>
    </row>
    <row r="13883" spans="3:5">
      <c r="C13883" s="17"/>
      <c r="D13883" s="17"/>
      <c r="E13883" s="7"/>
    </row>
    <row r="13884" spans="3:5">
      <c r="C13884" s="17"/>
      <c r="D13884" s="17"/>
      <c r="E13884" s="7"/>
    </row>
    <row r="13885" spans="3:5">
      <c r="C13885" s="17"/>
      <c r="D13885" s="17"/>
      <c r="E13885" s="7"/>
    </row>
    <row r="13886" spans="3:5">
      <c r="C13886" s="17"/>
      <c r="D13886" s="17"/>
      <c r="E13886" s="7"/>
    </row>
    <row r="13887" spans="3:5">
      <c r="C13887" s="17"/>
      <c r="D13887" s="17"/>
      <c r="E13887" s="7"/>
    </row>
    <row r="13888" spans="3:5">
      <c r="C13888" s="17"/>
      <c r="D13888" s="17"/>
      <c r="E13888" s="7"/>
    </row>
    <row r="13889" spans="3:5">
      <c r="C13889" s="17"/>
      <c r="D13889" s="17"/>
      <c r="E13889" s="7"/>
    </row>
    <row r="13890" spans="3:5">
      <c r="C13890" s="17"/>
      <c r="D13890" s="17"/>
      <c r="E13890" s="7"/>
    </row>
    <row r="13891" spans="3:5">
      <c r="C13891" s="17"/>
      <c r="D13891" s="17"/>
      <c r="E13891" s="7"/>
    </row>
    <row r="13892" spans="3:5">
      <c r="C13892" s="17"/>
      <c r="D13892" s="17"/>
      <c r="E13892" s="7"/>
    </row>
    <row r="13893" spans="3:5">
      <c r="C13893" s="17"/>
      <c r="D13893" s="17"/>
      <c r="E13893" s="7"/>
    </row>
    <row r="13894" spans="3:5">
      <c r="C13894" s="17"/>
      <c r="D13894" s="17"/>
      <c r="E13894" s="7"/>
    </row>
    <row r="13895" spans="3:5">
      <c r="C13895" s="17"/>
      <c r="D13895" s="17"/>
      <c r="E13895" s="7"/>
    </row>
    <row r="13896" spans="3:5">
      <c r="C13896" s="17"/>
      <c r="D13896" s="17"/>
      <c r="E13896" s="7"/>
    </row>
    <row r="13897" spans="3:5">
      <c r="C13897" s="17"/>
      <c r="D13897" s="17"/>
      <c r="E13897" s="7"/>
    </row>
    <row r="13898" spans="3:5">
      <c r="C13898" s="17"/>
      <c r="D13898" s="17"/>
      <c r="E13898" s="7"/>
    </row>
    <row r="13899" spans="3:5">
      <c r="C13899" s="17"/>
      <c r="D13899" s="17"/>
      <c r="E13899" s="7"/>
    </row>
    <row r="13900" spans="3:5">
      <c r="C13900" s="17"/>
      <c r="D13900" s="17"/>
      <c r="E13900" s="7"/>
    </row>
    <row r="13901" spans="3:5">
      <c r="C13901" s="17"/>
      <c r="D13901" s="17"/>
      <c r="E13901" s="7"/>
    </row>
    <row r="13902" spans="3:5">
      <c r="C13902" s="17"/>
      <c r="D13902" s="17"/>
      <c r="E13902" s="7"/>
    </row>
    <row r="13903" spans="3:5">
      <c r="C13903" s="17"/>
      <c r="D13903" s="17"/>
      <c r="E13903" s="7"/>
    </row>
    <row r="13904" spans="3:5">
      <c r="C13904" s="17"/>
      <c r="D13904" s="17"/>
      <c r="E13904" s="7"/>
    </row>
    <row r="13905" spans="3:5">
      <c r="C13905" s="17"/>
      <c r="D13905" s="17"/>
      <c r="E13905" s="7"/>
    </row>
    <row r="13906" spans="3:5">
      <c r="C13906" s="17"/>
      <c r="D13906" s="17"/>
      <c r="E13906" s="7"/>
    </row>
    <row r="13907" spans="3:5">
      <c r="C13907" s="17"/>
      <c r="D13907" s="17"/>
      <c r="E13907" s="7"/>
    </row>
    <row r="13908" spans="3:5">
      <c r="C13908" s="17"/>
      <c r="D13908" s="17"/>
      <c r="E13908" s="7"/>
    </row>
    <row r="13909" spans="3:5">
      <c r="C13909" s="17"/>
      <c r="D13909" s="17"/>
      <c r="E13909" s="7"/>
    </row>
    <row r="13910" spans="3:5">
      <c r="C13910" s="17"/>
      <c r="D13910" s="17"/>
      <c r="E13910" s="7"/>
    </row>
    <row r="13911" spans="3:5">
      <c r="C13911" s="17"/>
      <c r="D13911" s="17"/>
      <c r="E13911" s="7"/>
    </row>
    <row r="13912" spans="3:5">
      <c r="C13912" s="17"/>
      <c r="D13912" s="17"/>
      <c r="E13912" s="7"/>
    </row>
    <row r="13913" spans="3:5">
      <c r="C13913" s="17"/>
      <c r="D13913" s="17"/>
      <c r="E13913" s="7"/>
    </row>
    <row r="13914" spans="3:5">
      <c r="C13914" s="17"/>
      <c r="D13914" s="17"/>
      <c r="E13914" s="7"/>
    </row>
    <row r="13915" spans="3:5">
      <c r="C13915" s="17"/>
      <c r="D13915" s="17"/>
      <c r="E13915" s="7"/>
    </row>
    <row r="13916" spans="3:5">
      <c r="C13916" s="17"/>
      <c r="D13916" s="17"/>
      <c r="E13916" s="7"/>
    </row>
    <row r="13917" spans="3:5">
      <c r="C13917" s="17"/>
      <c r="D13917" s="17"/>
      <c r="E13917" s="7"/>
    </row>
    <row r="13918" spans="3:5">
      <c r="C13918" s="17"/>
      <c r="D13918" s="17"/>
      <c r="E13918" s="7"/>
    </row>
    <row r="13919" spans="3:5">
      <c r="C13919" s="17"/>
      <c r="D13919" s="17"/>
      <c r="E13919" s="7"/>
    </row>
    <row r="13920" spans="3:5">
      <c r="C13920" s="17"/>
      <c r="D13920" s="17"/>
      <c r="E13920" s="7"/>
    </row>
    <row r="13921" spans="3:5">
      <c r="C13921" s="17"/>
      <c r="D13921" s="17"/>
      <c r="E13921" s="7"/>
    </row>
    <row r="13922" spans="3:5">
      <c r="C13922" s="17"/>
      <c r="D13922" s="17"/>
      <c r="E13922" s="7"/>
    </row>
    <row r="13923" spans="3:5">
      <c r="C13923" s="17"/>
      <c r="D13923" s="17"/>
      <c r="E13923" s="7"/>
    </row>
    <row r="13924" spans="3:5">
      <c r="C13924" s="17"/>
      <c r="D13924" s="17"/>
      <c r="E13924" s="7"/>
    </row>
    <row r="13925" spans="3:5">
      <c r="C13925" s="17"/>
      <c r="D13925" s="17"/>
      <c r="E13925" s="7"/>
    </row>
    <row r="13926" spans="3:5">
      <c r="C13926" s="17"/>
      <c r="D13926" s="17"/>
      <c r="E13926" s="7"/>
    </row>
    <row r="13927" spans="3:5">
      <c r="C13927" s="17"/>
      <c r="D13927" s="17"/>
      <c r="E13927" s="7"/>
    </row>
    <row r="13928" spans="3:5">
      <c r="C13928" s="17"/>
      <c r="D13928" s="17"/>
      <c r="E13928" s="7"/>
    </row>
    <row r="13929" spans="3:5">
      <c r="C13929" s="17"/>
      <c r="D13929" s="17"/>
      <c r="E13929" s="7"/>
    </row>
    <row r="13930" spans="3:5">
      <c r="C13930" s="17"/>
      <c r="D13930" s="17"/>
      <c r="E13930" s="7"/>
    </row>
    <row r="13931" spans="3:5">
      <c r="C13931" s="17"/>
      <c r="D13931" s="17"/>
      <c r="E13931" s="7"/>
    </row>
    <row r="13932" spans="3:5">
      <c r="C13932" s="17"/>
      <c r="D13932" s="17"/>
      <c r="E13932" s="7"/>
    </row>
    <row r="13933" spans="3:5">
      <c r="C13933" s="17"/>
      <c r="D13933" s="17"/>
      <c r="E13933" s="7"/>
    </row>
    <row r="13934" spans="3:5">
      <c r="C13934" s="17"/>
      <c r="D13934" s="17"/>
      <c r="E13934" s="7"/>
    </row>
    <row r="13935" spans="3:5">
      <c r="C13935" s="17"/>
      <c r="D13935" s="17"/>
      <c r="E13935" s="7"/>
    </row>
    <row r="13936" spans="3:5">
      <c r="C13936" s="17"/>
      <c r="D13936" s="17"/>
      <c r="E13936" s="7"/>
    </row>
    <row r="13937" spans="3:5">
      <c r="C13937" s="17"/>
      <c r="D13937" s="17"/>
      <c r="E13937" s="7"/>
    </row>
    <row r="13938" spans="3:5">
      <c r="C13938" s="17"/>
      <c r="D13938" s="17"/>
      <c r="E13938" s="7"/>
    </row>
    <row r="13939" spans="3:5">
      <c r="C13939" s="17"/>
      <c r="D13939" s="17"/>
      <c r="E13939" s="7"/>
    </row>
    <row r="13940" spans="3:5">
      <c r="C13940" s="17"/>
      <c r="D13940" s="17"/>
      <c r="E13940" s="7"/>
    </row>
    <row r="13941" spans="3:5">
      <c r="C13941" s="17"/>
      <c r="D13941" s="17"/>
      <c r="E13941" s="7"/>
    </row>
    <row r="13942" spans="3:5">
      <c r="C13942" s="17"/>
      <c r="D13942" s="17"/>
      <c r="E13942" s="7"/>
    </row>
    <row r="13943" spans="3:5">
      <c r="C13943" s="17"/>
      <c r="D13943" s="17"/>
      <c r="E13943" s="7"/>
    </row>
    <row r="13944" spans="3:5">
      <c r="C13944" s="17"/>
      <c r="D13944" s="17"/>
      <c r="E13944" s="7"/>
    </row>
    <row r="13945" spans="3:5">
      <c r="C13945" s="17"/>
      <c r="D13945" s="17"/>
      <c r="E13945" s="7"/>
    </row>
    <row r="13946" spans="3:5">
      <c r="C13946" s="17"/>
      <c r="D13946" s="17"/>
      <c r="E13946" s="7"/>
    </row>
    <row r="13947" spans="3:5">
      <c r="C13947" s="17"/>
      <c r="D13947" s="17"/>
      <c r="E13947" s="7"/>
    </row>
    <row r="13948" spans="3:5">
      <c r="C13948" s="17"/>
      <c r="D13948" s="17"/>
      <c r="E13948" s="7"/>
    </row>
    <row r="13949" spans="3:5">
      <c r="C13949" s="17"/>
      <c r="D13949" s="17"/>
      <c r="E13949" s="7"/>
    </row>
    <row r="13950" spans="3:5">
      <c r="C13950" s="17"/>
      <c r="D13950" s="17"/>
      <c r="E13950" s="7"/>
    </row>
    <row r="13951" spans="3:5">
      <c r="C13951" s="17"/>
      <c r="D13951" s="17"/>
      <c r="E13951" s="7"/>
    </row>
    <row r="13952" spans="3:5">
      <c r="C13952" s="17"/>
      <c r="D13952" s="17"/>
      <c r="E13952" s="7"/>
    </row>
    <row r="13953" spans="3:5">
      <c r="C13953" s="17"/>
      <c r="D13953" s="17"/>
      <c r="E13953" s="7"/>
    </row>
    <row r="13954" spans="3:5">
      <c r="C13954" s="17"/>
      <c r="D13954" s="17"/>
      <c r="E13954" s="7"/>
    </row>
    <row r="13955" spans="3:5">
      <c r="C13955" s="17"/>
      <c r="D13955" s="17"/>
      <c r="E13955" s="7"/>
    </row>
    <row r="13956" spans="3:5">
      <c r="C13956" s="17"/>
      <c r="D13956" s="17"/>
      <c r="E13956" s="7"/>
    </row>
    <row r="13957" spans="3:5">
      <c r="C13957" s="17"/>
      <c r="D13957" s="17"/>
      <c r="E13957" s="7"/>
    </row>
    <row r="13958" spans="3:5">
      <c r="C13958" s="17"/>
      <c r="D13958" s="17"/>
      <c r="E13958" s="7"/>
    </row>
    <row r="13959" spans="3:5">
      <c r="C13959" s="17"/>
      <c r="D13959" s="17"/>
      <c r="E13959" s="7"/>
    </row>
    <row r="13960" spans="3:5">
      <c r="C13960" s="17"/>
      <c r="D13960" s="17"/>
      <c r="E13960" s="7"/>
    </row>
    <row r="13961" spans="3:5">
      <c r="C13961" s="17"/>
      <c r="D13961" s="17"/>
      <c r="E13961" s="7"/>
    </row>
    <row r="13962" spans="3:5">
      <c r="C13962" s="17"/>
      <c r="D13962" s="17"/>
      <c r="E13962" s="7"/>
    </row>
    <row r="13963" spans="3:5">
      <c r="C13963" s="17"/>
      <c r="D13963" s="17"/>
      <c r="E13963" s="7"/>
    </row>
    <row r="13964" spans="3:5">
      <c r="C13964" s="17"/>
      <c r="D13964" s="17"/>
      <c r="E13964" s="7"/>
    </row>
    <row r="13965" spans="3:5">
      <c r="C13965" s="17"/>
      <c r="D13965" s="17"/>
      <c r="E13965" s="7"/>
    </row>
    <row r="13966" spans="3:5">
      <c r="C13966" s="17"/>
      <c r="D13966" s="17"/>
      <c r="E13966" s="7"/>
    </row>
    <row r="13967" spans="3:5">
      <c r="C13967" s="17"/>
      <c r="D13967" s="17"/>
      <c r="E13967" s="7"/>
    </row>
    <row r="13968" spans="3:5">
      <c r="C13968" s="17"/>
      <c r="D13968" s="17"/>
      <c r="E13968" s="7"/>
    </row>
    <row r="13969" spans="3:5">
      <c r="C13969" s="17"/>
      <c r="D13969" s="17"/>
      <c r="E13969" s="7"/>
    </row>
    <row r="13970" spans="3:5">
      <c r="C13970" s="17"/>
      <c r="D13970" s="17"/>
      <c r="E13970" s="7"/>
    </row>
    <row r="13971" spans="3:5">
      <c r="C13971" s="17"/>
      <c r="D13971" s="17"/>
      <c r="E13971" s="7"/>
    </row>
    <row r="13972" spans="3:5">
      <c r="C13972" s="17"/>
      <c r="D13972" s="17"/>
      <c r="E13972" s="7"/>
    </row>
    <row r="13973" spans="3:5">
      <c r="C13973" s="17"/>
      <c r="D13973" s="17"/>
      <c r="E13973" s="7"/>
    </row>
    <row r="13974" spans="3:5">
      <c r="C13974" s="17"/>
      <c r="D13974" s="17"/>
      <c r="E13974" s="7"/>
    </row>
    <row r="13975" spans="3:5">
      <c r="C13975" s="17"/>
      <c r="D13975" s="17"/>
      <c r="E13975" s="7"/>
    </row>
    <row r="13976" spans="3:5">
      <c r="C13976" s="17"/>
      <c r="D13976" s="17"/>
      <c r="E13976" s="7"/>
    </row>
    <row r="13977" spans="3:5">
      <c r="C13977" s="17"/>
      <c r="D13977" s="17"/>
      <c r="E13977" s="7"/>
    </row>
    <row r="13978" spans="3:5">
      <c r="C13978" s="17"/>
      <c r="D13978" s="17"/>
      <c r="E13978" s="7"/>
    </row>
    <row r="13979" spans="3:5">
      <c r="C13979" s="17"/>
      <c r="D13979" s="17"/>
      <c r="E13979" s="7"/>
    </row>
    <row r="13980" spans="3:5">
      <c r="C13980" s="17"/>
      <c r="D13980" s="17"/>
      <c r="E13980" s="7"/>
    </row>
    <row r="13981" spans="3:5">
      <c r="C13981" s="17"/>
      <c r="D13981" s="17"/>
      <c r="E13981" s="7"/>
    </row>
    <row r="13982" spans="3:5">
      <c r="C13982" s="17"/>
      <c r="D13982" s="17"/>
      <c r="E13982" s="7"/>
    </row>
    <row r="13983" spans="3:5">
      <c r="C13983" s="17"/>
      <c r="D13983" s="17"/>
      <c r="E13983" s="7"/>
    </row>
    <row r="13984" spans="3:5">
      <c r="C13984" s="17"/>
      <c r="D13984" s="17"/>
      <c r="E13984" s="7"/>
    </row>
    <row r="13985" spans="3:5">
      <c r="C13985" s="17"/>
      <c r="D13985" s="17"/>
      <c r="E13985" s="7"/>
    </row>
    <row r="13986" spans="3:5">
      <c r="C13986" s="17"/>
      <c r="D13986" s="17"/>
      <c r="E13986" s="7"/>
    </row>
    <row r="13987" spans="3:5">
      <c r="C13987" s="17"/>
      <c r="D13987" s="17"/>
      <c r="E13987" s="7"/>
    </row>
    <row r="13988" spans="3:5">
      <c r="C13988" s="17"/>
      <c r="D13988" s="17"/>
      <c r="E13988" s="7"/>
    </row>
    <row r="13989" spans="3:5">
      <c r="C13989" s="17"/>
      <c r="D13989" s="17"/>
      <c r="E13989" s="7"/>
    </row>
    <row r="13990" spans="3:5">
      <c r="C13990" s="17"/>
      <c r="D13990" s="17"/>
      <c r="E13990" s="7"/>
    </row>
    <row r="13991" spans="3:5">
      <c r="C13991" s="17"/>
      <c r="D13991" s="17"/>
      <c r="E13991" s="7"/>
    </row>
    <row r="13992" spans="3:5">
      <c r="C13992" s="17"/>
      <c r="D13992" s="17"/>
      <c r="E13992" s="7"/>
    </row>
    <row r="13993" spans="3:5">
      <c r="C13993" s="17"/>
      <c r="D13993" s="17"/>
      <c r="E13993" s="7"/>
    </row>
    <row r="13994" spans="3:5">
      <c r="C13994" s="17"/>
      <c r="D13994" s="17"/>
      <c r="E13994" s="7"/>
    </row>
    <row r="13995" spans="3:5">
      <c r="C13995" s="17"/>
      <c r="D13995" s="17"/>
      <c r="E13995" s="7"/>
    </row>
    <row r="13996" spans="3:5">
      <c r="C13996" s="17"/>
      <c r="D13996" s="17"/>
      <c r="E13996" s="7"/>
    </row>
    <row r="13997" spans="3:5">
      <c r="C13997" s="17"/>
      <c r="D13997" s="17"/>
      <c r="E13997" s="7"/>
    </row>
    <row r="13998" spans="3:5">
      <c r="C13998" s="17"/>
      <c r="D13998" s="17"/>
      <c r="E13998" s="7"/>
    </row>
    <row r="13999" spans="3:5">
      <c r="C13999" s="17"/>
      <c r="D13999" s="17"/>
      <c r="E13999" s="7"/>
    </row>
    <row r="14000" spans="3:5">
      <c r="C14000" s="17"/>
      <c r="D14000" s="17"/>
      <c r="E14000" s="7"/>
    </row>
    <row r="14001" spans="3:5">
      <c r="C14001" s="17"/>
      <c r="D14001" s="17"/>
      <c r="E14001" s="7"/>
    </row>
    <row r="14002" spans="3:5">
      <c r="C14002" s="17"/>
      <c r="D14002" s="17"/>
      <c r="E14002" s="7"/>
    </row>
    <row r="14003" spans="3:5">
      <c r="C14003" s="17"/>
      <c r="D14003" s="17"/>
      <c r="E14003" s="7"/>
    </row>
    <row r="14004" spans="3:5">
      <c r="C14004" s="17"/>
      <c r="D14004" s="17"/>
      <c r="E14004" s="7"/>
    </row>
    <row r="14005" spans="3:5">
      <c r="C14005" s="17"/>
      <c r="D14005" s="17"/>
      <c r="E14005" s="7"/>
    </row>
    <row r="14006" spans="3:5">
      <c r="C14006" s="17"/>
      <c r="D14006" s="17"/>
      <c r="E14006" s="7"/>
    </row>
    <row r="14007" spans="3:5">
      <c r="C14007" s="17"/>
      <c r="D14007" s="17"/>
      <c r="E14007" s="7"/>
    </row>
    <row r="14008" spans="3:5">
      <c r="C14008" s="17"/>
      <c r="D14008" s="17"/>
      <c r="E14008" s="7"/>
    </row>
    <row r="14009" spans="3:5">
      <c r="C14009" s="17"/>
      <c r="D14009" s="17"/>
      <c r="E14009" s="7"/>
    </row>
    <row r="14010" spans="3:5">
      <c r="C14010" s="17"/>
      <c r="D14010" s="17"/>
      <c r="E14010" s="7"/>
    </row>
    <row r="14011" spans="3:5">
      <c r="C14011" s="17"/>
      <c r="D14011" s="17"/>
      <c r="E14011" s="7"/>
    </row>
    <row r="14012" spans="3:5">
      <c r="C14012" s="17"/>
      <c r="D14012" s="17"/>
      <c r="E14012" s="7"/>
    </row>
    <row r="14013" spans="3:5">
      <c r="C14013" s="17"/>
      <c r="D14013" s="17"/>
      <c r="E14013" s="7"/>
    </row>
    <row r="14014" spans="3:5">
      <c r="C14014" s="17"/>
      <c r="D14014" s="17"/>
      <c r="E14014" s="7"/>
    </row>
    <row r="14015" spans="3:5">
      <c r="C14015" s="17"/>
      <c r="D14015" s="17"/>
      <c r="E14015" s="7"/>
    </row>
    <row r="14016" spans="3:5">
      <c r="C14016" s="17"/>
      <c r="D14016" s="17"/>
      <c r="E14016" s="7"/>
    </row>
    <row r="14017" spans="3:5">
      <c r="C14017" s="17"/>
      <c r="D14017" s="17"/>
      <c r="E14017" s="7"/>
    </row>
    <row r="14018" spans="3:5">
      <c r="C14018" s="17"/>
      <c r="D14018" s="17"/>
      <c r="E14018" s="7"/>
    </row>
    <row r="14019" spans="3:5">
      <c r="C14019" s="17"/>
      <c r="D14019" s="17"/>
      <c r="E14019" s="7"/>
    </row>
    <row r="14020" spans="3:5">
      <c r="C14020" s="17"/>
      <c r="D14020" s="17"/>
      <c r="E14020" s="7"/>
    </row>
    <row r="14021" spans="3:5">
      <c r="C14021" s="17"/>
      <c r="D14021" s="17"/>
      <c r="E14021" s="7"/>
    </row>
    <row r="14022" spans="3:5">
      <c r="C14022" s="17"/>
      <c r="D14022" s="17"/>
      <c r="E14022" s="7"/>
    </row>
    <row r="14023" spans="3:5">
      <c r="C14023" s="17"/>
      <c r="D14023" s="17"/>
      <c r="E14023" s="7"/>
    </row>
    <row r="14024" spans="3:5">
      <c r="C14024" s="17"/>
      <c r="D14024" s="17"/>
      <c r="E14024" s="7"/>
    </row>
    <row r="14025" spans="3:5">
      <c r="C14025" s="17"/>
      <c r="D14025" s="17"/>
      <c r="E14025" s="7"/>
    </row>
    <row r="14026" spans="3:5">
      <c r="C14026" s="17"/>
      <c r="D14026" s="17"/>
      <c r="E14026" s="7"/>
    </row>
    <row r="14027" spans="3:5">
      <c r="C14027" s="17"/>
      <c r="D14027" s="17"/>
      <c r="E14027" s="7"/>
    </row>
    <row r="14028" spans="3:5">
      <c r="C14028" s="17"/>
      <c r="D14028" s="17"/>
      <c r="E14028" s="7"/>
    </row>
    <row r="14029" spans="3:5">
      <c r="C14029" s="17"/>
      <c r="D14029" s="17"/>
      <c r="E14029" s="7"/>
    </row>
    <row r="14030" spans="3:5">
      <c r="C14030" s="17"/>
      <c r="D14030" s="17"/>
      <c r="E14030" s="7"/>
    </row>
    <row r="14031" spans="3:5">
      <c r="C14031" s="17"/>
      <c r="D14031" s="17"/>
      <c r="E14031" s="7"/>
    </row>
    <row r="14032" spans="3:5">
      <c r="C14032" s="17"/>
      <c r="D14032" s="17"/>
      <c r="E14032" s="7"/>
    </row>
    <row r="14033" spans="3:5">
      <c r="C14033" s="17"/>
      <c r="D14033" s="17"/>
      <c r="E14033" s="7"/>
    </row>
    <row r="14034" spans="3:5">
      <c r="C14034" s="17"/>
      <c r="D14034" s="17"/>
      <c r="E14034" s="7"/>
    </row>
    <row r="14035" spans="3:5">
      <c r="C14035" s="17"/>
      <c r="D14035" s="17"/>
      <c r="E14035" s="7"/>
    </row>
    <row r="14036" spans="3:5">
      <c r="C14036" s="17"/>
      <c r="D14036" s="17"/>
      <c r="E14036" s="7"/>
    </row>
    <row r="14037" spans="3:5">
      <c r="C14037" s="17"/>
      <c r="D14037" s="17"/>
      <c r="E14037" s="7"/>
    </row>
    <row r="14038" spans="3:5">
      <c r="C14038" s="17"/>
      <c r="D14038" s="17"/>
      <c r="E14038" s="7"/>
    </row>
    <row r="14039" spans="3:5">
      <c r="C14039" s="17"/>
      <c r="D14039" s="17"/>
      <c r="E14039" s="7"/>
    </row>
    <row r="14040" spans="3:5">
      <c r="C14040" s="17"/>
      <c r="D14040" s="17"/>
      <c r="E14040" s="7"/>
    </row>
    <row r="14041" spans="3:5">
      <c r="C14041" s="17"/>
      <c r="D14041" s="17"/>
      <c r="E14041" s="7"/>
    </row>
    <row r="14042" spans="3:5">
      <c r="C14042" s="17"/>
      <c r="D14042" s="17"/>
      <c r="E14042" s="7"/>
    </row>
    <row r="14043" spans="3:5">
      <c r="C14043" s="17"/>
      <c r="D14043" s="17"/>
      <c r="E14043" s="7"/>
    </row>
    <row r="14044" spans="3:5">
      <c r="C14044" s="17"/>
      <c r="D14044" s="17"/>
      <c r="E14044" s="7"/>
    </row>
    <row r="14045" spans="3:5">
      <c r="C14045" s="17"/>
      <c r="D14045" s="17"/>
      <c r="E14045" s="7"/>
    </row>
    <row r="14046" spans="3:5">
      <c r="C14046" s="17"/>
      <c r="D14046" s="17"/>
      <c r="E14046" s="7"/>
    </row>
    <row r="14047" spans="3:5">
      <c r="C14047" s="17"/>
      <c r="D14047" s="17"/>
      <c r="E14047" s="7"/>
    </row>
    <row r="14048" spans="3:5">
      <c r="C14048" s="17"/>
      <c r="D14048" s="17"/>
      <c r="E14048" s="7"/>
    </row>
    <row r="14049" spans="3:5">
      <c r="C14049" s="17"/>
      <c r="D14049" s="17"/>
      <c r="E14049" s="7"/>
    </row>
    <row r="14050" spans="3:5">
      <c r="C14050" s="17"/>
      <c r="D14050" s="17"/>
      <c r="E14050" s="7"/>
    </row>
    <row r="14051" spans="3:5">
      <c r="C14051" s="17"/>
      <c r="D14051" s="17"/>
      <c r="E14051" s="7"/>
    </row>
    <row r="14052" spans="3:5">
      <c r="C14052" s="17"/>
      <c r="D14052" s="17"/>
      <c r="E14052" s="7"/>
    </row>
    <row r="14053" spans="3:5">
      <c r="C14053" s="17"/>
      <c r="D14053" s="17"/>
      <c r="E14053" s="7"/>
    </row>
    <row r="14054" spans="3:5">
      <c r="C14054" s="17"/>
      <c r="D14054" s="17"/>
      <c r="E14054" s="7"/>
    </row>
    <row r="14055" spans="3:5">
      <c r="C14055" s="17"/>
      <c r="D14055" s="17"/>
      <c r="E14055" s="7"/>
    </row>
    <row r="14056" spans="3:5">
      <c r="C14056" s="17"/>
      <c r="D14056" s="17"/>
      <c r="E14056" s="7"/>
    </row>
    <row r="14057" spans="3:5">
      <c r="C14057" s="17"/>
      <c r="D14057" s="17"/>
      <c r="E14057" s="7"/>
    </row>
    <row r="14058" spans="3:5">
      <c r="C14058" s="17"/>
      <c r="D14058" s="17"/>
      <c r="E14058" s="7"/>
    </row>
    <row r="14059" spans="3:5">
      <c r="C14059" s="17"/>
      <c r="D14059" s="17"/>
      <c r="E14059" s="7"/>
    </row>
    <row r="14060" spans="3:5">
      <c r="C14060" s="17"/>
      <c r="D14060" s="17"/>
      <c r="E14060" s="7"/>
    </row>
    <row r="14061" spans="3:5">
      <c r="C14061" s="17"/>
      <c r="D14061" s="17"/>
      <c r="E14061" s="7"/>
    </row>
    <row r="14062" spans="3:5">
      <c r="C14062" s="17"/>
      <c r="D14062" s="17"/>
      <c r="E14062" s="7"/>
    </row>
    <row r="14063" spans="3:5">
      <c r="C14063" s="17"/>
      <c r="D14063" s="17"/>
      <c r="E14063" s="7"/>
    </row>
    <row r="14064" spans="3:5">
      <c r="C14064" s="17"/>
      <c r="D14064" s="17"/>
      <c r="E14064" s="7"/>
    </row>
    <row r="14065" spans="3:5">
      <c r="C14065" s="17"/>
      <c r="D14065" s="17"/>
      <c r="E14065" s="7"/>
    </row>
    <row r="14066" spans="3:5">
      <c r="C14066" s="17"/>
      <c r="D14066" s="17"/>
      <c r="E14066" s="7"/>
    </row>
    <row r="14067" spans="3:5">
      <c r="C14067" s="17"/>
      <c r="D14067" s="17"/>
      <c r="E14067" s="7"/>
    </row>
    <row r="14068" spans="3:5">
      <c r="C14068" s="17"/>
      <c r="D14068" s="17"/>
      <c r="E14068" s="7"/>
    </row>
    <row r="14069" spans="3:5">
      <c r="C14069" s="17"/>
      <c r="D14069" s="17"/>
      <c r="E14069" s="7"/>
    </row>
    <row r="14070" spans="3:5">
      <c r="C14070" s="17"/>
      <c r="D14070" s="17"/>
      <c r="E14070" s="7"/>
    </row>
    <row r="14071" spans="3:5">
      <c r="C14071" s="17"/>
      <c r="D14071" s="17"/>
      <c r="E14071" s="7"/>
    </row>
    <row r="14072" spans="3:5">
      <c r="C14072" s="17"/>
      <c r="D14072" s="17"/>
      <c r="E14072" s="7"/>
    </row>
    <row r="14073" spans="3:5">
      <c r="C14073" s="17"/>
      <c r="D14073" s="17"/>
      <c r="E14073" s="7"/>
    </row>
    <row r="14074" spans="3:5">
      <c r="C14074" s="17"/>
      <c r="D14074" s="17"/>
      <c r="E14074" s="7"/>
    </row>
    <row r="14075" spans="3:5">
      <c r="C14075" s="17"/>
      <c r="D14075" s="17"/>
      <c r="E14075" s="7"/>
    </row>
    <row r="14076" spans="3:5">
      <c r="C14076" s="17"/>
      <c r="D14076" s="17"/>
      <c r="E14076" s="7"/>
    </row>
    <row r="14077" spans="3:5">
      <c r="C14077" s="17"/>
      <c r="D14077" s="17"/>
      <c r="E14077" s="7"/>
    </row>
    <row r="14078" spans="3:5">
      <c r="C14078" s="17"/>
      <c r="D14078" s="17"/>
      <c r="E14078" s="7"/>
    </row>
    <row r="14079" spans="3:5">
      <c r="C14079" s="17"/>
      <c r="D14079" s="17"/>
      <c r="E14079" s="7"/>
    </row>
    <row r="14080" spans="3:5">
      <c r="C14080" s="17"/>
      <c r="D14080" s="17"/>
      <c r="E14080" s="7"/>
    </row>
    <row r="14081" spans="3:5">
      <c r="C14081" s="17"/>
      <c r="D14081" s="17"/>
      <c r="E14081" s="7"/>
    </row>
    <row r="14082" spans="3:5">
      <c r="C14082" s="17"/>
      <c r="D14082" s="17"/>
      <c r="E14082" s="7"/>
    </row>
    <row r="14083" spans="3:5">
      <c r="C14083" s="17"/>
      <c r="D14083" s="17"/>
      <c r="E14083" s="7"/>
    </row>
    <row r="14084" spans="3:5">
      <c r="C14084" s="17"/>
      <c r="D14084" s="17"/>
      <c r="E14084" s="7"/>
    </row>
    <row r="14085" spans="3:5">
      <c r="C14085" s="17"/>
      <c r="D14085" s="17"/>
      <c r="E14085" s="7"/>
    </row>
    <row r="14086" spans="3:5">
      <c r="C14086" s="17"/>
      <c r="D14086" s="17"/>
      <c r="E14086" s="7"/>
    </row>
    <row r="14087" spans="3:5">
      <c r="C14087" s="17"/>
      <c r="D14087" s="17"/>
      <c r="E14087" s="7"/>
    </row>
    <row r="14088" spans="3:5">
      <c r="C14088" s="17"/>
      <c r="D14088" s="17"/>
      <c r="E14088" s="7"/>
    </row>
    <row r="14089" spans="3:5">
      <c r="C14089" s="17"/>
      <c r="D14089" s="17"/>
      <c r="E14089" s="7"/>
    </row>
    <row r="14090" spans="3:5">
      <c r="C14090" s="17"/>
      <c r="D14090" s="17"/>
      <c r="E14090" s="7"/>
    </row>
    <row r="14091" spans="3:5">
      <c r="C14091" s="17"/>
      <c r="D14091" s="17"/>
      <c r="E14091" s="7"/>
    </row>
    <row r="14092" spans="3:5">
      <c r="C14092" s="17"/>
      <c r="D14092" s="17"/>
      <c r="E14092" s="7"/>
    </row>
    <row r="14093" spans="3:5">
      <c r="C14093" s="17"/>
      <c r="D14093" s="17"/>
      <c r="E14093" s="7"/>
    </row>
    <row r="14094" spans="3:5">
      <c r="C14094" s="17"/>
      <c r="D14094" s="17"/>
      <c r="E14094" s="7"/>
    </row>
    <row r="14095" spans="3:5">
      <c r="C14095" s="17"/>
      <c r="D14095" s="17"/>
      <c r="E14095" s="7"/>
    </row>
    <row r="14096" spans="3:5">
      <c r="C14096" s="17"/>
      <c r="D14096" s="17"/>
      <c r="E14096" s="7"/>
    </row>
    <row r="14097" spans="3:5">
      <c r="C14097" s="17"/>
      <c r="D14097" s="17"/>
      <c r="E14097" s="7"/>
    </row>
    <row r="14098" spans="3:5">
      <c r="C14098" s="17"/>
      <c r="D14098" s="17"/>
      <c r="E14098" s="7"/>
    </row>
    <row r="14099" spans="3:5">
      <c r="C14099" s="17"/>
      <c r="D14099" s="17"/>
      <c r="E14099" s="7"/>
    </row>
    <row r="14100" spans="3:5">
      <c r="C14100" s="17"/>
      <c r="D14100" s="17"/>
      <c r="E14100" s="7"/>
    </row>
    <row r="14101" spans="3:5">
      <c r="C14101" s="17"/>
      <c r="D14101" s="17"/>
      <c r="E14101" s="7"/>
    </row>
    <row r="14102" spans="3:5">
      <c r="C14102" s="17"/>
      <c r="D14102" s="17"/>
      <c r="E14102" s="7"/>
    </row>
    <row r="14103" spans="3:5">
      <c r="C14103" s="17"/>
      <c r="D14103" s="17"/>
      <c r="E14103" s="7"/>
    </row>
    <row r="14104" spans="3:5">
      <c r="C14104" s="17"/>
      <c r="D14104" s="17"/>
      <c r="E14104" s="7"/>
    </row>
    <row r="14105" spans="3:5">
      <c r="C14105" s="17"/>
      <c r="D14105" s="17"/>
      <c r="E14105" s="7"/>
    </row>
    <row r="14106" spans="3:5">
      <c r="C14106" s="17"/>
      <c r="D14106" s="17"/>
      <c r="E14106" s="7"/>
    </row>
    <row r="14107" spans="3:5">
      <c r="C14107" s="17"/>
      <c r="D14107" s="17"/>
      <c r="E14107" s="7"/>
    </row>
    <row r="14108" spans="3:5">
      <c r="C14108" s="17"/>
      <c r="D14108" s="17"/>
      <c r="E14108" s="7"/>
    </row>
    <row r="14109" spans="3:5">
      <c r="C14109" s="17"/>
      <c r="D14109" s="17"/>
      <c r="E14109" s="7"/>
    </row>
    <row r="14110" spans="3:5">
      <c r="C14110" s="17"/>
      <c r="D14110" s="17"/>
      <c r="E14110" s="7"/>
    </row>
    <row r="14111" spans="3:5">
      <c r="C14111" s="17"/>
      <c r="D14111" s="17"/>
      <c r="E14111" s="7"/>
    </row>
    <row r="14112" spans="3:5">
      <c r="C14112" s="17"/>
      <c r="D14112" s="17"/>
      <c r="E14112" s="7"/>
    </row>
    <row r="14113" spans="3:5">
      <c r="C14113" s="17"/>
      <c r="D14113" s="17"/>
      <c r="E14113" s="7"/>
    </row>
    <row r="14114" spans="3:5">
      <c r="C14114" s="17"/>
      <c r="D14114" s="17"/>
      <c r="E14114" s="7"/>
    </row>
    <row r="14115" spans="3:5">
      <c r="C14115" s="17"/>
      <c r="D14115" s="17"/>
      <c r="E14115" s="7"/>
    </row>
    <row r="14116" spans="3:5">
      <c r="C14116" s="17"/>
      <c r="D14116" s="17"/>
      <c r="E14116" s="7"/>
    </row>
    <row r="14117" spans="3:5">
      <c r="C14117" s="17"/>
      <c r="D14117" s="17"/>
      <c r="E14117" s="7"/>
    </row>
    <row r="14118" spans="3:5">
      <c r="C14118" s="17"/>
      <c r="D14118" s="17"/>
      <c r="E14118" s="7"/>
    </row>
    <row r="14119" spans="3:5">
      <c r="C14119" s="17"/>
      <c r="D14119" s="17"/>
      <c r="E14119" s="7"/>
    </row>
    <row r="14120" spans="3:5">
      <c r="C14120" s="17"/>
      <c r="D14120" s="17"/>
      <c r="E14120" s="7"/>
    </row>
    <row r="14121" spans="3:5">
      <c r="C14121" s="17"/>
      <c r="D14121" s="17"/>
      <c r="E14121" s="7"/>
    </row>
    <row r="14122" spans="3:5">
      <c r="C14122" s="17"/>
      <c r="D14122" s="17"/>
      <c r="E14122" s="7"/>
    </row>
    <row r="14123" spans="3:5">
      <c r="C14123" s="17"/>
      <c r="D14123" s="17"/>
      <c r="E14123" s="7"/>
    </row>
    <row r="14124" spans="3:5">
      <c r="C14124" s="17"/>
      <c r="D14124" s="17"/>
      <c r="E14124" s="7"/>
    </row>
    <row r="14125" spans="3:5">
      <c r="C14125" s="17"/>
      <c r="D14125" s="17"/>
      <c r="E14125" s="7"/>
    </row>
    <row r="14126" spans="3:5">
      <c r="C14126" s="17"/>
      <c r="D14126" s="17"/>
      <c r="E14126" s="7"/>
    </row>
    <row r="14127" spans="3:5">
      <c r="C14127" s="17"/>
      <c r="D14127" s="17"/>
      <c r="E14127" s="7"/>
    </row>
    <row r="14128" spans="3:5">
      <c r="C14128" s="17"/>
      <c r="D14128" s="17"/>
      <c r="E14128" s="7"/>
    </row>
    <row r="14129" spans="3:5">
      <c r="C14129" s="17"/>
      <c r="D14129" s="17"/>
      <c r="E14129" s="7"/>
    </row>
    <row r="14130" spans="3:5">
      <c r="C14130" s="17"/>
      <c r="D14130" s="17"/>
      <c r="E14130" s="7"/>
    </row>
    <row r="14131" spans="3:5">
      <c r="C14131" s="17"/>
      <c r="D14131" s="17"/>
      <c r="E14131" s="7"/>
    </row>
    <row r="14132" spans="3:5">
      <c r="C14132" s="17"/>
      <c r="D14132" s="17"/>
      <c r="E14132" s="7"/>
    </row>
    <row r="14133" spans="3:5">
      <c r="C14133" s="17"/>
      <c r="D14133" s="17"/>
      <c r="E14133" s="7"/>
    </row>
    <row r="14134" spans="3:5">
      <c r="C14134" s="17"/>
      <c r="D14134" s="17"/>
      <c r="E14134" s="7"/>
    </row>
    <row r="14135" spans="3:5">
      <c r="C14135" s="17"/>
      <c r="D14135" s="17"/>
      <c r="E14135" s="7"/>
    </row>
    <row r="14136" spans="3:5">
      <c r="C14136" s="17"/>
      <c r="D14136" s="17"/>
      <c r="E14136" s="7"/>
    </row>
    <row r="14137" spans="3:5">
      <c r="C14137" s="17"/>
      <c r="D14137" s="17"/>
      <c r="E14137" s="7"/>
    </row>
    <row r="14138" spans="3:5">
      <c r="C14138" s="17"/>
      <c r="D14138" s="17"/>
      <c r="E14138" s="7"/>
    </row>
    <row r="14139" spans="3:5">
      <c r="C14139" s="17"/>
      <c r="D14139" s="17"/>
      <c r="E14139" s="7"/>
    </row>
    <row r="14140" spans="3:5">
      <c r="C14140" s="17"/>
      <c r="D14140" s="17"/>
      <c r="E14140" s="7"/>
    </row>
    <row r="14141" spans="3:5">
      <c r="C14141" s="17"/>
      <c r="D14141" s="17"/>
      <c r="E14141" s="7"/>
    </row>
    <row r="14142" spans="3:5">
      <c r="C14142" s="17"/>
      <c r="D14142" s="17"/>
      <c r="E14142" s="7"/>
    </row>
    <row r="14143" spans="3:5">
      <c r="C14143" s="17"/>
      <c r="D14143" s="17"/>
      <c r="E14143" s="7"/>
    </row>
    <row r="14144" spans="3:5">
      <c r="C14144" s="17"/>
      <c r="D14144" s="17"/>
      <c r="E14144" s="7"/>
    </row>
    <row r="14145" spans="3:5">
      <c r="C14145" s="17"/>
      <c r="D14145" s="17"/>
      <c r="E14145" s="7"/>
    </row>
    <row r="14146" spans="3:5">
      <c r="C14146" s="17"/>
      <c r="D14146" s="17"/>
      <c r="E14146" s="7"/>
    </row>
    <row r="14147" spans="3:5">
      <c r="C14147" s="17"/>
      <c r="D14147" s="17"/>
      <c r="E14147" s="7"/>
    </row>
    <row r="14148" spans="3:5">
      <c r="C14148" s="17"/>
      <c r="D14148" s="17"/>
      <c r="E14148" s="7"/>
    </row>
    <row r="14149" spans="3:5">
      <c r="C14149" s="17"/>
      <c r="D14149" s="17"/>
      <c r="E14149" s="7"/>
    </row>
    <row r="14150" spans="3:5">
      <c r="C14150" s="17"/>
      <c r="D14150" s="17"/>
      <c r="E14150" s="7"/>
    </row>
    <row r="14151" spans="3:5">
      <c r="C14151" s="17"/>
      <c r="D14151" s="17"/>
      <c r="E14151" s="7"/>
    </row>
    <row r="14152" spans="3:5">
      <c r="C14152" s="17"/>
      <c r="D14152" s="17"/>
      <c r="E14152" s="7"/>
    </row>
    <row r="14153" spans="3:5">
      <c r="C14153" s="17"/>
      <c r="D14153" s="17"/>
      <c r="E14153" s="7"/>
    </row>
    <row r="14154" spans="3:5">
      <c r="C14154" s="17"/>
      <c r="D14154" s="17"/>
      <c r="E14154" s="7"/>
    </row>
    <row r="14155" spans="3:5">
      <c r="C14155" s="17"/>
      <c r="D14155" s="17"/>
      <c r="E14155" s="7"/>
    </row>
    <row r="14156" spans="3:5">
      <c r="C14156" s="17"/>
      <c r="D14156" s="17"/>
      <c r="E14156" s="7"/>
    </row>
    <row r="14157" spans="3:5">
      <c r="C14157" s="17"/>
      <c r="D14157" s="17"/>
      <c r="E14157" s="7"/>
    </row>
    <row r="14158" spans="3:5">
      <c r="C14158" s="17"/>
      <c r="D14158" s="17"/>
      <c r="E14158" s="7"/>
    </row>
    <row r="14159" spans="3:5">
      <c r="C14159" s="17"/>
      <c r="D14159" s="17"/>
      <c r="E14159" s="7"/>
    </row>
    <row r="14160" spans="3:5">
      <c r="C14160" s="17"/>
      <c r="D14160" s="17"/>
      <c r="E14160" s="7"/>
    </row>
    <row r="14161" spans="3:5">
      <c r="C14161" s="17"/>
      <c r="D14161" s="17"/>
      <c r="E14161" s="7"/>
    </row>
    <row r="14162" spans="3:5">
      <c r="C14162" s="17"/>
      <c r="D14162" s="17"/>
      <c r="E14162" s="7"/>
    </row>
    <row r="14163" spans="3:5">
      <c r="C14163" s="17"/>
      <c r="D14163" s="17"/>
      <c r="E14163" s="7"/>
    </row>
    <row r="14164" spans="3:5">
      <c r="C14164" s="17"/>
      <c r="D14164" s="17"/>
      <c r="E14164" s="7"/>
    </row>
    <row r="14165" spans="3:5">
      <c r="C14165" s="17"/>
      <c r="D14165" s="17"/>
      <c r="E14165" s="7"/>
    </row>
    <row r="14166" spans="3:5">
      <c r="C14166" s="17"/>
      <c r="D14166" s="17"/>
      <c r="E14166" s="7"/>
    </row>
    <row r="14167" spans="3:5">
      <c r="C14167" s="17"/>
      <c r="D14167" s="17"/>
      <c r="E14167" s="7"/>
    </row>
    <row r="14168" spans="3:5">
      <c r="C14168" s="17"/>
      <c r="D14168" s="17"/>
      <c r="E14168" s="7"/>
    </row>
    <row r="14169" spans="3:5">
      <c r="C14169" s="17"/>
      <c r="D14169" s="17"/>
      <c r="E14169" s="7"/>
    </row>
    <row r="14170" spans="3:5">
      <c r="C14170" s="17"/>
      <c r="D14170" s="17"/>
      <c r="E14170" s="7"/>
    </row>
    <row r="14171" spans="3:5">
      <c r="C14171" s="17"/>
      <c r="D14171" s="17"/>
      <c r="E14171" s="7"/>
    </row>
    <row r="14172" spans="3:5">
      <c r="C14172" s="17"/>
      <c r="D14172" s="17"/>
      <c r="E14172" s="7"/>
    </row>
    <row r="14173" spans="3:5">
      <c r="C14173" s="17"/>
      <c r="D14173" s="17"/>
      <c r="E14173" s="7"/>
    </row>
    <row r="14174" spans="3:5">
      <c r="C14174" s="17"/>
      <c r="D14174" s="17"/>
      <c r="E14174" s="7"/>
    </row>
    <row r="14175" spans="3:5">
      <c r="C14175" s="17"/>
      <c r="D14175" s="17"/>
      <c r="E14175" s="7"/>
    </row>
    <row r="14176" spans="3:5">
      <c r="C14176" s="17"/>
      <c r="D14176" s="17"/>
      <c r="E14176" s="7"/>
    </row>
    <row r="14177" spans="3:5">
      <c r="C14177" s="17"/>
      <c r="D14177" s="17"/>
      <c r="E14177" s="7"/>
    </row>
    <row r="14178" spans="3:5">
      <c r="C14178" s="17"/>
      <c r="D14178" s="17"/>
      <c r="E14178" s="7"/>
    </row>
    <row r="14179" spans="3:5">
      <c r="C14179" s="17"/>
      <c r="D14179" s="17"/>
      <c r="E14179" s="7"/>
    </row>
    <row r="14180" spans="3:5">
      <c r="C14180" s="17"/>
      <c r="D14180" s="17"/>
      <c r="E14180" s="7"/>
    </row>
    <row r="14181" spans="3:5">
      <c r="C14181" s="17"/>
      <c r="D14181" s="17"/>
      <c r="E14181" s="7"/>
    </row>
    <row r="14182" spans="3:5">
      <c r="C14182" s="17"/>
      <c r="D14182" s="17"/>
      <c r="E14182" s="7"/>
    </row>
    <row r="14183" spans="3:5">
      <c r="C14183" s="17"/>
      <c r="D14183" s="17"/>
      <c r="E14183" s="7"/>
    </row>
    <row r="14184" spans="3:5">
      <c r="C14184" s="17"/>
      <c r="D14184" s="17"/>
      <c r="E14184" s="7"/>
    </row>
    <row r="14185" spans="3:5">
      <c r="C14185" s="17"/>
      <c r="D14185" s="17"/>
      <c r="E14185" s="7"/>
    </row>
    <row r="14186" spans="3:5">
      <c r="C14186" s="17"/>
      <c r="D14186" s="17"/>
      <c r="E14186" s="7"/>
    </row>
    <row r="14187" spans="3:5">
      <c r="C14187" s="17"/>
      <c r="D14187" s="17"/>
      <c r="E14187" s="7"/>
    </row>
    <row r="14188" spans="3:5">
      <c r="C14188" s="17"/>
      <c r="D14188" s="17"/>
      <c r="E14188" s="7"/>
    </row>
    <row r="14189" spans="3:5">
      <c r="C14189" s="17"/>
      <c r="D14189" s="17"/>
      <c r="E14189" s="7"/>
    </row>
    <row r="14190" spans="3:5">
      <c r="C14190" s="17"/>
      <c r="D14190" s="17"/>
      <c r="E14190" s="7"/>
    </row>
    <row r="14191" spans="3:5">
      <c r="C14191" s="17"/>
      <c r="D14191" s="17"/>
      <c r="E14191" s="7"/>
    </row>
    <row r="14192" spans="3:5">
      <c r="C14192" s="17"/>
      <c r="D14192" s="17"/>
      <c r="E14192" s="7"/>
    </row>
    <row r="14193" spans="3:5">
      <c r="C14193" s="17"/>
      <c r="D14193" s="17"/>
      <c r="E14193" s="7"/>
    </row>
    <row r="14194" spans="3:5">
      <c r="C14194" s="17"/>
      <c r="D14194" s="17"/>
      <c r="E14194" s="7"/>
    </row>
    <row r="14195" spans="3:5">
      <c r="C14195" s="17"/>
      <c r="D14195" s="17"/>
      <c r="E14195" s="7"/>
    </row>
    <row r="14196" spans="3:5">
      <c r="C14196" s="17"/>
      <c r="D14196" s="17"/>
      <c r="E14196" s="7"/>
    </row>
    <row r="14197" spans="3:5">
      <c r="C14197" s="17"/>
      <c r="D14197" s="17"/>
      <c r="E14197" s="7"/>
    </row>
    <row r="14198" spans="3:5">
      <c r="C14198" s="17"/>
      <c r="D14198" s="17"/>
      <c r="E14198" s="7"/>
    </row>
    <row r="14199" spans="3:5">
      <c r="C14199" s="17"/>
      <c r="D14199" s="17"/>
      <c r="E14199" s="7"/>
    </row>
    <row r="14200" spans="3:5">
      <c r="C14200" s="17"/>
      <c r="D14200" s="17"/>
      <c r="E14200" s="7"/>
    </row>
    <row r="14201" spans="3:5">
      <c r="C14201" s="17"/>
      <c r="D14201" s="17"/>
      <c r="E14201" s="7"/>
    </row>
    <row r="14202" spans="3:5">
      <c r="C14202" s="17"/>
      <c r="D14202" s="17"/>
      <c r="E14202" s="7"/>
    </row>
    <row r="14203" spans="3:5">
      <c r="C14203" s="17"/>
      <c r="D14203" s="17"/>
      <c r="E14203" s="7"/>
    </row>
    <row r="14204" spans="3:5">
      <c r="C14204" s="17"/>
      <c r="D14204" s="17"/>
      <c r="E14204" s="7"/>
    </row>
    <row r="14205" spans="3:5">
      <c r="C14205" s="17"/>
      <c r="D14205" s="17"/>
      <c r="E14205" s="7"/>
    </row>
    <row r="14206" spans="3:5">
      <c r="C14206" s="17"/>
      <c r="D14206" s="17"/>
      <c r="E14206" s="7"/>
    </row>
    <row r="14207" spans="3:5">
      <c r="C14207" s="17"/>
      <c r="D14207" s="17"/>
      <c r="E14207" s="7"/>
    </row>
    <row r="14208" spans="3:5">
      <c r="C14208" s="17"/>
      <c r="D14208" s="17"/>
      <c r="E14208" s="7"/>
    </row>
    <row r="14209" spans="3:5">
      <c r="C14209" s="17"/>
      <c r="D14209" s="17"/>
      <c r="E14209" s="7"/>
    </row>
    <row r="14210" spans="3:5">
      <c r="C14210" s="17"/>
      <c r="D14210" s="17"/>
      <c r="E14210" s="7"/>
    </row>
    <row r="14211" spans="3:5">
      <c r="C14211" s="17"/>
      <c r="D14211" s="17"/>
      <c r="E14211" s="7"/>
    </row>
    <row r="14212" spans="3:5">
      <c r="C14212" s="17"/>
      <c r="D14212" s="17"/>
      <c r="E14212" s="7"/>
    </row>
    <row r="14213" spans="3:5">
      <c r="C14213" s="17"/>
      <c r="D14213" s="17"/>
      <c r="E14213" s="7"/>
    </row>
    <row r="14214" spans="3:5">
      <c r="C14214" s="17"/>
      <c r="D14214" s="17"/>
      <c r="E14214" s="7"/>
    </row>
    <row r="14215" spans="3:5">
      <c r="C14215" s="17"/>
      <c r="D14215" s="17"/>
      <c r="E14215" s="7"/>
    </row>
    <row r="14216" spans="3:5">
      <c r="C14216" s="17"/>
      <c r="D14216" s="17"/>
      <c r="E14216" s="7"/>
    </row>
    <row r="14217" spans="3:5">
      <c r="C14217" s="17"/>
      <c r="D14217" s="17"/>
      <c r="E14217" s="7"/>
    </row>
    <row r="14218" spans="3:5">
      <c r="C14218" s="17"/>
      <c r="D14218" s="17"/>
      <c r="E14218" s="7"/>
    </row>
    <row r="14219" spans="3:5">
      <c r="C14219" s="17"/>
      <c r="D14219" s="17"/>
      <c r="E14219" s="7"/>
    </row>
    <row r="14220" spans="3:5">
      <c r="C14220" s="17"/>
      <c r="D14220" s="17"/>
      <c r="E14220" s="7"/>
    </row>
    <row r="14221" spans="3:5">
      <c r="C14221" s="17"/>
      <c r="D14221" s="17"/>
      <c r="E14221" s="7"/>
    </row>
    <row r="14222" spans="3:5">
      <c r="C14222" s="17"/>
      <c r="D14222" s="17"/>
      <c r="E14222" s="7"/>
    </row>
    <row r="14223" spans="3:5">
      <c r="C14223" s="17"/>
      <c r="D14223" s="17"/>
      <c r="E14223" s="7"/>
    </row>
    <row r="14224" spans="3:5">
      <c r="C14224" s="17"/>
      <c r="D14224" s="17"/>
      <c r="E14224" s="7"/>
    </row>
    <row r="14225" spans="3:5">
      <c r="C14225" s="17"/>
      <c r="D14225" s="17"/>
      <c r="E14225" s="7"/>
    </row>
    <row r="14226" spans="3:5">
      <c r="C14226" s="17"/>
      <c r="D14226" s="17"/>
      <c r="E14226" s="7"/>
    </row>
    <row r="14227" spans="3:5">
      <c r="C14227" s="17"/>
      <c r="D14227" s="17"/>
      <c r="E14227" s="7"/>
    </row>
    <row r="14228" spans="3:5">
      <c r="C14228" s="17"/>
      <c r="D14228" s="17"/>
      <c r="E14228" s="7"/>
    </row>
    <row r="14229" spans="3:5">
      <c r="C14229" s="17"/>
      <c r="D14229" s="17"/>
      <c r="E14229" s="7"/>
    </row>
    <row r="14230" spans="3:5">
      <c r="C14230" s="17"/>
      <c r="D14230" s="17"/>
      <c r="E14230" s="7"/>
    </row>
    <row r="14231" spans="3:5">
      <c r="C14231" s="17"/>
      <c r="D14231" s="17"/>
      <c r="E14231" s="7"/>
    </row>
    <row r="14232" spans="3:5">
      <c r="C14232" s="17"/>
      <c r="D14232" s="17"/>
      <c r="E14232" s="7"/>
    </row>
    <row r="14233" spans="3:5">
      <c r="C14233" s="17"/>
      <c r="D14233" s="17"/>
      <c r="E14233" s="7"/>
    </row>
    <row r="14234" spans="3:5">
      <c r="C14234" s="17"/>
      <c r="D14234" s="17"/>
      <c r="E14234" s="7"/>
    </row>
    <row r="14235" spans="3:5">
      <c r="C14235" s="17"/>
      <c r="D14235" s="17"/>
      <c r="E14235" s="7"/>
    </row>
    <row r="14236" spans="3:5">
      <c r="C14236" s="17"/>
      <c r="D14236" s="17"/>
      <c r="E14236" s="7"/>
    </row>
    <row r="14237" spans="3:5">
      <c r="C14237" s="17"/>
      <c r="D14237" s="17"/>
      <c r="E14237" s="7"/>
    </row>
    <row r="14238" spans="3:5">
      <c r="C14238" s="17"/>
      <c r="D14238" s="17"/>
      <c r="E14238" s="7"/>
    </row>
    <row r="14239" spans="3:5">
      <c r="C14239" s="17"/>
      <c r="D14239" s="17"/>
      <c r="E14239" s="7"/>
    </row>
    <row r="14240" spans="3:5">
      <c r="C14240" s="17"/>
      <c r="D14240" s="17"/>
      <c r="E14240" s="7"/>
    </row>
    <row r="14241" spans="3:5">
      <c r="C14241" s="17"/>
      <c r="D14241" s="17"/>
      <c r="E14241" s="7"/>
    </row>
    <row r="14242" spans="3:5">
      <c r="C14242" s="17"/>
      <c r="D14242" s="17"/>
      <c r="E14242" s="7"/>
    </row>
    <row r="14243" spans="3:5">
      <c r="C14243" s="17"/>
      <c r="D14243" s="17"/>
      <c r="E14243" s="7"/>
    </row>
    <row r="14244" spans="3:5">
      <c r="C14244" s="17"/>
      <c r="D14244" s="17"/>
      <c r="E14244" s="7"/>
    </row>
    <row r="14245" spans="3:5">
      <c r="C14245" s="17"/>
      <c r="D14245" s="17"/>
      <c r="E14245" s="7"/>
    </row>
    <row r="14246" spans="3:5">
      <c r="C14246" s="17"/>
      <c r="D14246" s="17"/>
      <c r="E14246" s="7"/>
    </row>
    <row r="14247" spans="3:5">
      <c r="C14247" s="17"/>
      <c r="D14247" s="17"/>
      <c r="E14247" s="7"/>
    </row>
    <row r="14248" spans="3:5">
      <c r="C14248" s="17"/>
      <c r="D14248" s="17"/>
      <c r="E14248" s="7"/>
    </row>
    <row r="14249" spans="3:5">
      <c r="C14249" s="17"/>
      <c r="D14249" s="17"/>
      <c r="E14249" s="7"/>
    </row>
    <row r="14250" spans="3:5">
      <c r="C14250" s="17"/>
      <c r="D14250" s="17"/>
      <c r="E14250" s="7"/>
    </row>
    <row r="14251" spans="3:5">
      <c r="C14251" s="17"/>
      <c r="D14251" s="17"/>
      <c r="E14251" s="7"/>
    </row>
    <row r="14252" spans="3:5">
      <c r="C14252" s="17"/>
      <c r="D14252" s="17"/>
      <c r="E14252" s="7"/>
    </row>
    <row r="14253" spans="3:5">
      <c r="C14253" s="17"/>
      <c r="D14253" s="17"/>
      <c r="E14253" s="7"/>
    </row>
    <row r="14254" spans="3:5">
      <c r="C14254" s="17"/>
      <c r="D14254" s="17"/>
      <c r="E14254" s="7"/>
    </row>
    <row r="14255" spans="3:5">
      <c r="C14255" s="17"/>
      <c r="D14255" s="17"/>
      <c r="E14255" s="7"/>
    </row>
    <row r="14256" spans="3:5">
      <c r="C14256" s="17"/>
      <c r="D14256" s="17"/>
      <c r="E14256" s="7"/>
    </row>
    <row r="14257" spans="3:5">
      <c r="C14257" s="17"/>
      <c r="D14257" s="17"/>
      <c r="E14257" s="7"/>
    </row>
    <row r="14258" spans="3:5">
      <c r="C14258" s="17"/>
      <c r="D14258" s="17"/>
      <c r="E14258" s="7"/>
    </row>
    <row r="14259" spans="3:5">
      <c r="C14259" s="17"/>
      <c r="D14259" s="17"/>
      <c r="E14259" s="7"/>
    </row>
    <row r="14260" spans="3:5">
      <c r="C14260" s="17"/>
      <c r="D14260" s="17"/>
      <c r="E14260" s="7"/>
    </row>
    <row r="14261" spans="3:5">
      <c r="C14261" s="17"/>
      <c r="D14261" s="17"/>
      <c r="E14261" s="7"/>
    </row>
    <row r="14262" spans="3:5">
      <c r="C14262" s="17"/>
      <c r="D14262" s="17"/>
      <c r="E14262" s="7"/>
    </row>
    <row r="14263" spans="3:5">
      <c r="C14263" s="17"/>
      <c r="D14263" s="17"/>
      <c r="E14263" s="7"/>
    </row>
    <row r="14264" spans="3:5">
      <c r="C14264" s="17"/>
      <c r="D14264" s="17"/>
      <c r="E14264" s="7"/>
    </row>
    <row r="14265" spans="3:5">
      <c r="C14265" s="17"/>
      <c r="D14265" s="17"/>
      <c r="E14265" s="7"/>
    </row>
    <row r="14266" spans="3:5">
      <c r="C14266" s="17"/>
      <c r="D14266" s="17"/>
      <c r="E14266" s="7"/>
    </row>
    <row r="14267" spans="3:5">
      <c r="C14267" s="17"/>
      <c r="D14267" s="17"/>
      <c r="E14267" s="7"/>
    </row>
    <row r="14268" spans="3:5">
      <c r="C14268" s="17"/>
      <c r="D14268" s="17"/>
      <c r="E14268" s="7"/>
    </row>
    <row r="14269" spans="3:5">
      <c r="C14269" s="17"/>
      <c r="D14269" s="17"/>
      <c r="E14269" s="7"/>
    </row>
    <row r="14270" spans="3:5">
      <c r="C14270" s="17"/>
      <c r="D14270" s="17"/>
      <c r="E14270" s="7"/>
    </row>
    <row r="14271" spans="3:5">
      <c r="C14271" s="17"/>
      <c r="D14271" s="17"/>
      <c r="E14271" s="7"/>
    </row>
    <row r="14272" spans="3:5">
      <c r="C14272" s="17"/>
      <c r="D14272" s="17"/>
      <c r="E14272" s="7"/>
    </row>
    <row r="14273" spans="3:5">
      <c r="C14273" s="17"/>
      <c r="D14273" s="17"/>
      <c r="E14273" s="7"/>
    </row>
    <row r="14274" spans="3:5">
      <c r="C14274" s="17"/>
      <c r="D14274" s="17"/>
      <c r="E14274" s="7"/>
    </row>
    <row r="14275" spans="3:5">
      <c r="C14275" s="17"/>
      <c r="D14275" s="17"/>
      <c r="E14275" s="7"/>
    </row>
    <row r="14276" spans="3:5">
      <c r="C14276" s="17"/>
      <c r="D14276" s="17"/>
      <c r="E14276" s="7"/>
    </row>
    <row r="14277" spans="3:5">
      <c r="C14277" s="17"/>
      <c r="D14277" s="17"/>
      <c r="E14277" s="7"/>
    </row>
    <row r="14278" spans="3:5">
      <c r="C14278" s="17"/>
      <c r="D14278" s="17"/>
      <c r="E14278" s="7"/>
    </row>
    <row r="14279" spans="3:5">
      <c r="C14279" s="17"/>
      <c r="D14279" s="17"/>
      <c r="E14279" s="7"/>
    </row>
    <row r="14280" spans="3:5">
      <c r="C14280" s="17"/>
      <c r="D14280" s="17"/>
      <c r="E14280" s="7"/>
    </row>
    <row r="14281" spans="3:5">
      <c r="C14281" s="17"/>
      <c r="D14281" s="17"/>
      <c r="E14281" s="7"/>
    </row>
    <row r="14282" spans="3:5">
      <c r="C14282" s="17"/>
      <c r="D14282" s="17"/>
      <c r="E14282" s="7"/>
    </row>
    <row r="14283" spans="3:5">
      <c r="C14283" s="17"/>
      <c r="D14283" s="17"/>
      <c r="E14283" s="7"/>
    </row>
    <row r="14284" spans="3:5">
      <c r="C14284" s="17"/>
      <c r="D14284" s="17"/>
      <c r="E14284" s="7"/>
    </row>
    <row r="14285" spans="3:5">
      <c r="C14285" s="17"/>
      <c r="D14285" s="17"/>
      <c r="E14285" s="7"/>
    </row>
    <row r="14286" spans="3:5">
      <c r="C14286" s="17"/>
      <c r="D14286" s="17"/>
      <c r="E14286" s="7"/>
    </row>
    <row r="14287" spans="3:5">
      <c r="C14287" s="17"/>
      <c r="D14287" s="17"/>
      <c r="E14287" s="7"/>
    </row>
    <row r="14288" spans="3:5">
      <c r="C14288" s="17"/>
      <c r="D14288" s="17"/>
      <c r="E14288" s="7"/>
    </row>
    <row r="14289" spans="3:5">
      <c r="C14289" s="17"/>
      <c r="D14289" s="17"/>
      <c r="E14289" s="7"/>
    </row>
    <row r="14290" spans="3:5">
      <c r="C14290" s="17"/>
      <c r="D14290" s="17"/>
      <c r="E14290" s="7"/>
    </row>
    <row r="14291" spans="3:5">
      <c r="C14291" s="17"/>
      <c r="D14291" s="17"/>
      <c r="E14291" s="7"/>
    </row>
    <row r="14292" spans="3:5">
      <c r="C14292" s="17"/>
      <c r="D14292" s="17"/>
      <c r="E14292" s="7"/>
    </row>
    <row r="14293" spans="3:5">
      <c r="C14293" s="17"/>
      <c r="D14293" s="17"/>
      <c r="E14293" s="7"/>
    </row>
    <row r="14294" spans="3:5">
      <c r="C14294" s="17"/>
      <c r="D14294" s="17"/>
      <c r="E14294" s="7"/>
    </row>
    <row r="14295" spans="3:5">
      <c r="C14295" s="17"/>
      <c r="D14295" s="17"/>
      <c r="E14295" s="7"/>
    </row>
    <row r="14296" spans="3:5">
      <c r="C14296" s="17"/>
      <c r="D14296" s="17"/>
      <c r="E14296" s="7"/>
    </row>
    <row r="14297" spans="3:5">
      <c r="C14297" s="17"/>
      <c r="D14297" s="17"/>
      <c r="E14297" s="7"/>
    </row>
    <row r="14298" spans="3:5">
      <c r="C14298" s="17"/>
      <c r="D14298" s="17"/>
      <c r="E14298" s="7"/>
    </row>
    <row r="14299" spans="3:5">
      <c r="C14299" s="17"/>
      <c r="D14299" s="17"/>
      <c r="E14299" s="7"/>
    </row>
    <row r="14300" spans="3:5">
      <c r="C14300" s="17"/>
      <c r="D14300" s="17"/>
      <c r="E14300" s="7"/>
    </row>
    <row r="14301" spans="3:5">
      <c r="C14301" s="17"/>
      <c r="D14301" s="17"/>
      <c r="E14301" s="7"/>
    </row>
    <row r="14302" spans="3:5">
      <c r="C14302" s="17"/>
      <c r="D14302" s="17"/>
      <c r="E14302" s="7"/>
    </row>
    <row r="14303" spans="3:5">
      <c r="C14303" s="17"/>
      <c r="D14303" s="17"/>
      <c r="E14303" s="7"/>
    </row>
    <row r="14304" spans="3:5">
      <c r="C14304" s="17"/>
      <c r="D14304" s="17"/>
      <c r="E14304" s="7"/>
    </row>
    <row r="14305" spans="3:5">
      <c r="C14305" s="17"/>
      <c r="D14305" s="17"/>
      <c r="E14305" s="7"/>
    </row>
    <row r="14306" spans="3:5">
      <c r="C14306" s="17"/>
      <c r="D14306" s="17"/>
      <c r="E14306" s="7"/>
    </row>
    <row r="14307" spans="3:5">
      <c r="C14307" s="17"/>
      <c r="D14307" s="17"/>
      <c r="E14307" s="7"/>
    </row>
    <row r="14308" spans="3:5">
      <c r="C14308" s="17"/>
      <c r="D14308" s="17"/>
      <c r="E14308" s="7"/>
    </row>
    <row r="14309" spans="3:5">
      <c r="C14309" s="17"/>
      <c r="D14309" s="17"/>
      <c r="E14309" s="7"/>
    </row>
    <row r="14310" spans="3:5">
      <c r="C14310" s="17"/>
      <c r="D14310" s="17"/>
      <c r="E14310" s="7"/>
    </row>
    <row r="14311" spans="3:5">
      <c r="C14311" s="17"/>
      <c r="D14311" s="17"/>
      <c r="E14311" s="7"/>
    </row>
    <row r="14312" spans="3:5">
      <c r="C14312" s="17"/>
      <c r="D14312" s="17"/>
      <c r="E14312" s="7"/>
    </row>
    <row r="14313" spans="3:5">
      <c r="C14313" s="17"/>
      <c r="D14313" s="17"/>
      <c r="E14313" s="7"/>
    </row>
    <row r="14314" spans="3:5">
      <c r="C14314" s="17"/>
      <c r="D14314" s="17"/>
      <c r="E14314" s="7"/>
    </row>
    <row r="14315" spans="3:5">
      <c r="C14315" s="17"/>
      <c r="D14315" s="17"/>
      <c r="E14315" s="7"/>
    </row>
    <row r="14316" spans="3:5">
      <c r="C14316" s="17"/>
      <c r="D14316" s="17"/>
      <c r="E14316" s="7"/>
    </row>
    <row r="14317" spans="3:5">
      <c r="C14317" s="17"/>
      <c r="D14317" s="17"/>
      <c r="E14317" s="7"/>
    </row>
    <row r="14318" spans="3:5">
      <c r="C14318" s="17"/>
      <c r="D14318" s="17"/>
      <c r="E14318" s="7"/>
    </row>
    <row r="14319" spans="3:5">
      <c r="C14319" s="17"/>
      <c r="D14319" s="17"/>
      <c r="E14319" s="7"/>
    </row>
    <row r="14320" spans="3:5">
      <c r="C14320" s="17"/>
      <c r="D14320" s="17"/>
      <c r="E14320" s="7"/>
    </row>
    <row r="14321" spans="3:5">
      <c r="C14321" s="17"/>
      <c r="D14321" s="17"/>
      <c r="E14321" s="7"/>
    </row>
    <row r="14322" spans="3:5">
      <c r="C14322" s="17"/>
      <c r="D14322" s="17"/>
      <c r="E14322" s="7"/>
    </row>
    <row r="14323" spans="3:5">
      <c r="C14323" s="17"/>
      <c r="D14323" s="17"/>
      <c r="E14323" s="7"/>
    </row>
    <row r="14324" spans="3:5">
      <c r="C14324" s="17"/>
      <c r="D14324" s="17"/>
      <c r="E14324" s="7"/>
    </row>
    <row r="14325" spans="3:5">
      <c r="C14325" s="17"/>
      <c r="D14325" s="17"/>
      <c r="E14325" s="7"/>
    </row>
    <row r="14326" spans="3:5">
      <c r="C14326" s="17"/>
      <c r="D14326" s="17"/>
      <c r="E14326" s="7"/>
    </row>
    <row r="14327" spans="3:5">
      <c r="C14327" s="17"/>
      <c r="D14327" s="17"/>
      <c r="E14327" s="7"/>
    </row>
    <row r="14328" spans="3:5">
      <c r="C14328" s="17"/>
      <c r="D14328" s="17"/>
      <c r="E14328" s="7"/>
    </row>
    <row r="14329" spans="3:5">
      <c r="C14329" s="17"/>
      <c r="D14329" s="17"/>
      <c r="E14329" s="7"/>
    </row>
    <row r="14330" spans="3:5">
      <c r="C14330" s="17"/>
      <c r="D14330" s="17"/>
      <c r="E14330" s="7"/>
    </row>
    <row r="14331" spans="3:5">
      <c r="C14331" s="17"/>
      <c r="D14331" s="17"/>
      <c r="E14331" s="7"/>
    </row>
    <row r="14332" spans="3:5">
      <c r="C14332" s="17"/>
      <c r="D14332" s="17"/>
      <c r="E14332" s="7"/>
    </row>
    <row r="14333" spans="3:5">
      <c r="C14333" s="17"/>
      <c r="D14333" s="17"/>
      <c r="E14333" s="7"/>
    </row>
    <row r="14334" spans="3:5">
      <c r="C14334" s="17"/>
      <c r="D14334" s="17"/>
      <c r="E14334" s="7"/>
    </row>
    <row r="14335" spans="3:5">
      <c r="C14335" s="17"/>
      <c r="D14335" s="17"/>
      <c r="E14335" s="7"/>
    </row>
    <row r="14336" spans="3:5">
      <c r="C14336" s="17"/>
      <c r="D14336" s="17"/>
      <c r="E14336" s="7"/>
    </row>
    <row r="14337" spans="3:5">
      <c r="C14337" s="17"/>
      <c r="D14337" s="17"/>
      <c r="E14337" s="7"/>
    </row>
    <row r="14338" spans="3:5">
      <c r="C14338" s="17"/>
      <c r="D14338" s="17"/>
      <c r="E14338" s="7"/>
    </row>
    <row r="14339" spans="3:5">
      <c r="C14339" s="17"/>
      <c r="D14339" s="17"/>
      <c r="E14339" s="7"/>
    </row>
    <row r="14340" spans="3:5">
      <c r="C14340" s="17"/>
      <c r="D14340" s="17"/>
      <c r="E14340" s="7"/>
    </row>
    <row r="14341" spans="3:5">
      <c r="C14341" s="17"/>
      <c r="D14341" s="17"/>
      <c r="E14341" s="7"/>
    </row>
    <row r="14342" spans="3:5">
      <c r="C14342" s="17"/>
      <c r="D14342" s="17"/>
      <c r="E14342" s="7"/>
    </row>
    <row r="14343" spans="3:5">
      <c r="C14343" s="17"/>
      <c r="D14343" s="17"/>
      <c r="E14343" s="7"/>
    </row>
    <row r="14344" spans="3:5">
      <c r="C14344" s="17"/>
      <c r="D14344" s="17"/>
      <c r="E14344" s="7"/>
    </row>
    <row r="14345" spans="3:5">
      <c r="C14345" s="17"/>
      <c r="D14345" s="17"/>
      <c r="E14345" s="7"/>
    </row>
    <row r="14346" spans="3:5">
      <c r="C14346" s="17"/>
      <c r="D14346" s="17"/>
      <c r="E14346" s="7"/>
    </row>
    <row r="14347" spans="3:5">
      <c r="C14347" s="17"/>
      <c r="D14347" s="17"/>
      <c r="E14347" s="7"/>
    </row>
    <row r="14348" spans="3:5">
      <c r="C14348" s="17"/>
      <c r="D14348" s="17"/>
      <c r="E14348" s="7"/>
    </row>
    <row r="14349" spans="3:5">
      <c r="C14349" s="17"/>
      <c r="D14349" s="17"/>
      <c r="E14349" s="7"/>
    </row>
    <row r="14350" spans="3:5">
      <c r="C14350" s="17"/>
      <c r="D14350" s="17"/>
      <c r="E14350" s="7"/>
    </row>
    <row r="14351" spans="3:5">
      <c r="C14351" s="17"/>
      <c r="D14351" s="17"/>
      <c r="E14351" s="7"/>
    </row>
    <row r="14352" spans="3:5">
      <c r="C14352" s="17"/>
      <c r="D14352" s="17"/>
      <c r="E14352" s="7"/>
    </row>
    <row r="14353" spans="3:5">
      <c r="C14353" s="17"/>
      <c r="D14353" s="17"/>
      <c r="E14353" s="7"/>
    </row>
    <row r="14354" spans="3:5">
      <c r="C14354" s="17"/>
      <c r="D14354" s="17"/>
      <c r="E14354" s="7"/>
    </row>
    <row r="14355" spans="3:5">
      <c r="C14355" s="17"/>
      <c r="D14355" s="17"/>
      <c r="E14355" s="7"/>
    </row>
    <row r="14356" spans="3:5">
      <c r="C14356" s="17"/>
      <c r="D14356" s="17"/>
      <c r="E14356" s="7"/>
    </row>
    <row r="14357" spans="3:5">
      <c r="C14357" s="17"/>
      <c r="D14357" s="17"/>
      <c r="E14357" s="7"/>
    </row>
    <row r="14358" spans="3:5">
      <c r="C14358" s="17"/>
      <c r="D14358" s="17"/>
      <c r="E14358" s="7"/>
    </row>
    <row r="14359" spans="3:5">
      <c r="C14359" s="17"/>
      <c r="D14359" s="17"/>
      <c r="E14359" s="7"/>
    </row>
    <row r="14360" spans="3:5">
      <c r="C14360" s="17"/>
      <c r="D14360" s="17"/>
      <c r="E14360" s="7"/>
    </row>
    <row r="14361" spans="3:5">
      <c r="C14361" s="17"/>
      <c r="D14361" s="17"/>
      <c r="E14361" s="7"/>
    </row>
    <row r="14362" spans="3:5">
      <c r="C14362" s="17"/>
      <c r="D14362" s="17"/>
      <c r="E14362" s="7"/>
    </row>
    <row r="14363" spans="3:5">
      <c r="C14363" s="17"/>
      <c r="D14363" s="17"/>
      <c r="E14363" s="7"/>
    </row>
    <row r="14364" spans="3:5">
      <c r="C14364" s="17"/>
      <c r="D14364" s="17"/>
      <c r="E14364" s="7"/>
    </row>
    <row r="14365" spans="3:5">
      <c r="C14365" s="17"/>
      <c r="D14365" s="17"/>
      <c r="E14365" s="7"/>
    </row>
    <row r="14366" spans="3:5">
      <c r="C14366" s="17"/>
      <c r="D14366" s="17"/>
      <c r="E14366" s="7"/>
    </row>
    <row r="14367" spans="3:5">
      <c r="C14367" s="17"/>
      <c r="D14367" s="17"/>
      <c r="E14367" s="7"/>
    </row>
    <row r="14368" spans="3:5">
      <c r="C14368" s="17"/>
      <c r="D14368" s="17"/>
      <c r="E14368" s="7"/>
    </row>
    <row r="14369" spans="3:5">
      <c r="C14369" s="17"/>
      <c r="D14369" s="17"/>
      <c r="E14369" s="7"/>
    </row>
    <row r="14370" spans="3:5">
      <c r="C14370" s="17"/>
      <c r="D14370" s="17"/>
      <c r="E14370" s="7"/>
    </row>
    <row r="14371" spans="3:5">
      <c r="C14371" s="17"/>
      <c r="D14371" s="17"/>
      <c r="E14371" s="7"/>
    </row>
    <row r="14372" spans="3:5">
      <c r="C14372" s="17"/>
      <c r="D14372" s="17"/>
      <c r="E14372" s="7"/>
    </row>
    <row r="14373" spans="3:5">
      <c r="C14373" s="17"/>
      <c r="D14373" s="17"/>
      <c r="E14373" s="7"/>
    </row>
    <row r="14374" spans="3:5">
      <c r="C14374" s="17"/>
      <c r="D14374" s="17"/>
      <c r="E14374" s="7"/>
    </row>
    <row r="14375" spans="3:5">
      <c r="C14375" s="17"/>
      <c r="D14375" s="17"/>
      <c r="E14375" s="7"/>
    </row>
    <row r="14376" spans="3:5">
      <c r="C14376" s="17"/>
      <c r="D14376" s="17"/>
      <c r="E14376" s="7"/>
    </row>
    <row r="14377" spans="3:5">
      <c r="C14377" s="17"/>
      <c r="D14377" s="17"/>
      <c r="E14377" s="7"/>
    </row>
    <row r="14378" spans="3:5">
      <c r="C14378" s="17"/>
      <c r="D14378" s="17"/>
      <c r="E14378" s="7"/>
    </row>
    <row r="14379" spans="3:5">
      <c r="C14379" s="17"/>
      <c r="D14379" s="17"/>
      <c r="E14379" s="7"/>
    </row>
    <row r="14380" spans="3:5">
      <c r="C14380" s="17"/>
      <c r="D14380" s="17"/>
      <c r="E14380" s="7"/>
    </row>
    <row r="14381" spans="3:5">
      <c r="C14381" s="17"/>
      <c r="D14381" s="17"/>
      <c r="E14381" s="7"/>
    </row>
    <row r="14382" spans="3:5">
      <c r="C14382" s="17"/>
      <c r="D14382" s="17"/>
      <c r="E14382" s="7"/>
    </row>
    <row r="14383" spans="3:5">
      <c r="C14383" s="17"/>
      <c r="D14383" s="17"/>
      <c r="E14383" s="7"/>
    </row>
    <row r="14384" spans="3:5">
      <c r="C14384" s="17"/>
      <c r="D14384" s="17"/>
      <c r="E14384" s="7"/>
    </row>
    <row r="14385" spans="3:5">
      <c r="C14385" s="17"/>
      <c r="D14385" s="17"/>
      <c r="E14385" s="7"/>
    </row>
    <row r="14386" spans="3:5">
      <c r="C14386" s="17"/>
      <c r="D14386" s="17"/>
      <c r="E14386" s="7"/>
    </row>
    <row r="14387" spans="3:5">
      <c r="C14387" s="17"/>
      <c r="D14387" s="17"/>
      <c r="E14387" s="7"/>
    </row>
    <row r="14388" spans="3:5">
      <c r="C14388" s="17"/>
      <c r="D14388" s="17"/>
      <c r="E14388" s="7"/>
    </row>
    <row r="14389" spans="3:5">
      <c r="C14389" s="17"/>
      <c r="D14389" s="17"/>
      <c r="E14389" s="7"/>
    </row>
    <row r="14390" spans="3:5">
      <c r="C14390" s="17"/>
      <c r="D14390" s="17"/>
      <c r="E14390" s="7"/>
    </row>
    <row r="14391" spans="3:5">
      <c r="C14391" s="17"/>
      <c r="D14391" s="17"/>
      <c r="E14391" s="7"/>
    </row>
    <row r="14392" spans="3:5">
      <c r="C14392" s="17"/>
      <c r="D14392" s="17"/>
      <c r="E14392" s="7"/>
    </row>
    <row r="14393" spans="3:5">
      <c r="C14393" s="17"/>
      <c r="D14393" s="17"/>
      <c r="E14393" s="7"/>
    </row>
    <row r="14394" spans="3:5">
      <c r="C14394" s="17"/>
      <c r="D14394" s="17"/>
      <c r="E14394" s="7"/>
    </row>
    <row r="14395" spans="3:5">
      <c r="C14395" s="17"/>
      <c r="D14395" s="17"/>
      <c r="E14395" s="7"/>
    </row>
    <row r="14396" spans="3:5">
      <c r="C14396" s="17"/>
      <c r="D14396" s="17"/>
      <c r="E14396" s="7"/>
    </row>
    <row r="14397" spans="3:5">
      <c r="C14397" s="17"/>
      <c r="D14397" s="17"/>
      <c r="E14397" s="7"/>
    </row>
    <row r="14398" spans="3:5">
      <c r="C14398" s="17"/>
      <c r="D14398" s="17"/>
      <c r="E14398" s="7"/>
    </row>
    <row r="14399" spans="3:5">
      <c r="C14399" s="17"/>
      <c r="D14399" s="17"/>
      <c r="E14399" s="7"/>
    </row>
    <row r="14400" spans="3:5">
      <c r="C14400" s="17"/>
      <c r="D14400" s="17"/>
      <c r="E14400" s="7"/>
    </row>
    <row r="14401" spans="3:5">
      <c r="C14401" s="17"/>
      <c r="D14401" s="17"/>
      <c r="E14401" s="7"/>
    </row>
    <row r="14402" spans="3:5">
      <c r="C14402" s="17"/>
      <c r="D14402" s="17"/>
      <c r="E14402" s="7"/>
    </row>
    <row r="14403" spans="3:5">
      <c r="C14403" s="17"/>
      <c r="D14403" s="17"/>
      <c r="E14403" s="7"/>
    </row>
    <row r="14404" spans="3:5">
      <c r="C14404" s="17"/>
      <c r="D14404" s="17"/>
      <c r="E14404" s="7"/>
    </row>
    <row r="14405" spans="3:5">
      <c r="C14405" s="17"/>
      <c r="D14405" s="17"/>
      <c r="E14405" s="7"/>
    </row>
    <row r="14406" spans="3:5">
      <c r="C14406" s="17"/>
      <c r="D14406" s="17"/>
      <c r="E14406" s="7"/>
    </row>
    <row r="14407" spans="3:5">
      <c r="C14407" s="17"/>
      <c r="D14407" s="17"/>
      <c r="E14407" s="7"/>
    </row>
    <row r="14408" spans="3:5">
      <c r="C14408" s="17"/>
      <c r="D14408" s="17"/>
      <c r="E14408" s="7"/>
    </row>
    <row r="14409" spans="3:5">
      <c r="C14409" s="17"/>
      <c r="D14409" s="17"/>
      <c r="E14409" s="7"/>
    </row>
    <row r="14410" spans="3:5">
      <c r="C14410" s="17"/>
      <c r="D14410" s="17"/>
      <c r="E14410" s="7"/>
    </row>
    <row r="14411" spans="3:5">
      <c r="C14411" s="17"/>
      <c r="D14411" s="17"/>
      <c r="E14411" s="7"/>
    </row>
    <row r="14412" spans="3:5">
      <c r="C14412" s="17"/>
      <c r="D14412" s="17"/>
      <c r="E14412" s="7"/>
    </row>
    <row r="14413" spans="3:5">
      <c r="C14413" s="17"/>
      <c r="D14413" s="17"/>
      <c r="E14413" s="7"/>
    </row>
    <row r="14414" spans="3:5">
      <c r="C14414" s="17"/>
      <c r="D14414" s="17"/>
      <c r="E14414" s="7"/>
    </row>
    <row r="14415" spans="3:5">
      <c r="C14415" s="17"/>
      <c r="D14415" s="17"/>
      <c r="E14415" s="7"/>
    </row>
    <row r="14416" spans="3:5">
      <c r="C14416" s="17"/>
      <c r="D14416" s="17"/>
      <c r="E14416" s="7"/>
    </row>
    <row r="14417" spans="3:5">
      <c r="C14417" s="17"/>
      <c r="D14417" s="17"/>
      <c r="E14417" s="7"/>
    </row>
    <row r="14418" spans="3:5">
      <c r="C14418" s="17"/>
      <c r="D14418" s="17"/>
      <c r="E14418" s="7"/>
    </row>
    <row r="14419" spans="3:5">
      <c r="C14419" s="17"/>
      <c r="D14419" s="17"/>
      <c r="E14419" s="7"/>
    </row>
    <row r="14420" spans="3:5">
      <c r="C14420" s="17"/>
      <c r="D14420" s="17"/>
      <c r="E14420" s="7"/>
    </row>
    <row r="14421" spans="3:5">
      <c r="C14421" s="17"/>
      <c r="D14421" s="17"/>
      <c r="E14421" s="7"/>
    </row>
    <row r="14422" spans="3:5">
      <c r="C14422" s="17"/>
      <c r="D14422" s="17"/>
      <c r="E14422" s="7"/>
    </row>
    <row r="14423" spans="3:5">
      <c r="C14423" s="17"/>
      <c r="D14423" s="17"/>
      <c r="E14423" s="7"/>
    </row>
    <row r="14424" spans="3:5">
      <c r="C14424" s="17"/>
      <c r="D14424" s="17"/>
      <c r="E14424" s="7"/>
    </row>
    <row r="14425" spans="3:5">
      <c r="C14425" s="17"/>
      <c r="D14425" s="17"/>
      <c r="E14425" s="7"/>
    </row>
    <row r="14426" spans="3:5">
      <c r="C14426" s="17"/>
      <c r="D14426" s="17"/>
      <c r="E14426" s="7"/>
    </row>
    <row r="14427" spans="3:5">
      <c r="C14427" s="17"/>
      <c r="D14427" s="17"/>
      <c r="E14427" s="7"/>
    </row>
    <row r="14428" spans="3:5">
      <c r="C14428" s="17"/>
      <c r="D14428" s="17"/>
      <c r="E14428" s="7"/>
    </row>
    <row r="14429" spans="3:5">
      <c r="C14429" s="17"/>
      <c r="D14429" s="17"/>
      <c r="E14429" s="7"/>
    </row>
    <row r="14430" spans="3:5">
      <c r="C14430" s="17"/>
      <c r="D14430" s="17"/>
      <c r="E14430" s="7"/>
    </row>
    <row r="14431" spans="3:5">
      <c r="C14431" s="17"/>
      <c r="D14431" s="17"/>
      <c r="E14431" s="7"/>
    </row>
    <row r="14432" spans="3:5">
      <c r="C14432" s="17"/>
      <c r="D14432" s="17"/>
      <c r="E14432" s="7"/>
    </row>
    <row r="14433" spans="3:5">
      <c r="C14433" s="17"/>
      <c r="D14433" s="17"/>
      <c r="E14433" s="7"/>
    </row>
    <row r="14434" spans="3:5">
      <c r="C14434" s="17"/>
      <c r="D14434" s="17"/>
      <c r="E14434" s="7"/>
    </row>
    <row r="14435" spans="3:5">
      <c r="C14435" s="17"/>
      <c r="D14435" s="17"/>
      <c r="E14435" s="7"/>
    </row>
    <row r="14436" spans="3:5">
      <c r="C14436" s="17"/>
      <c r="D14436" s="17"/>
      <c r="E14436" s="7"/>
    </row>
    <row r="14437" spans="3:5">
      <c r="C14437" s="17"/>
      <c r="D14437" s="17"/>
      <c r="E14437" s="7"/>
    </row>
    <row r="14438" spans="3:5">
      <c r="C14438" s="17"/>
      <c r="D14438" s="17"/>
      <c r="E14438" s="7"/>
    </row>
    <row r="14439" spans="3:5">
      <c r="C14439" s="17"/>
      <c r="D14439" s="17"/>
      <c r="E14439" s="7"/>
    </row>
    <row r="14440" spans="3:5">
      <c r="C14440" s="17"/>
      <c r="D14440" s="17"/>
      <c r="E14440" s="7"/>
    </row>
    <row r="14441" spans="3:5">
      <c r="C14441" s="17"/>
      <c r="D14441" s="17"/>
      <c r="E14441" s="7"/>
    </row>
    <row r="14442" spans="3:5">
      <c r="C14442" s="17"/>
      <c r="D14442" s="17"/>
      <c r="E14442" s="7"/>
    </row>
    <row r="14443" spans="3:5">
      <c r="C14443" s="17"/>
      <c r="D14443" s="17"/>
      <c r="E14443" s="7"/>
    </row>
    <row r="14444" spans="3:5">
      <c r="C14444" s="17"/>
      <c r="D14444" s="17"/>
      <c r="E14444" s="7"/>
    </row>
    <row r="14445" spans="3:5">
      <c r="C14445" s="17"/>
      <c r="D14445" s="17"/>
      <c r="E14445" s="7"/>
    </row>
    <row r="14446" spans="3:5">
      <c r="C14446" s="17"/>
      <c r="D14446" s="17"/>
      <c r="E14446" s="7"/>
    </row>
    <row r="14447" spans="3:5">
      <c r="C14447" s="17"/>
      <c r="D14447" s="17"/>
      <c r="E14447" s="7"/>
    </row>
    <row r="14448" spans="3:5">
      <c r="C14448" s="17"/>
      <c r="D14448" s="17"/>
      <c r="E14448" s="7"/>
    </row>
    <row r="14449" spans="3:5">
      <c r="C14449" s="17"/>
      <c r="D14449" s="17"/>
      <c r="E14449" s="7"/>
    </row>
    <row r="14450" spans="3:5">
      <c r="C14450" s="17"/>
      <c r="D14450" s="17"/>
      <c r="E14450" s="7"/>
    </row>
    <row r="14451" spans="3:5">
      <c r="C14451" s="17"/>
      <c r="D14451" s="17"/>
      <c r="E14451" s="7"/>
    </row>
    <row r="14452" spans="3:5">
      <c r="C14452" s="17"/>
      <c r="D14452" s="17"/>
      <c r="E14452" s="7"/>
    </row>
    <row r="14453" spans="3:5">
      <c r="C14453" s="17"/>
      <c r="D14453" s="17"/>
      <c r="E14453" s="7"/>
    </row>
    <row r="14454" spans="3:5">
      <c r="C14454" s="17"/>
      <c r="D14454" s="17"/>
      <c r="E14454" s="7"/>
    </row>
    <row r="14455" spans="3:5">
      <c r="C14455" s="17"/>
      <c r="D14455" s="17"/>
      <c r="E14455" s="7"/>
    </row>
    <row r="14456" spans="3:5">
      <c r="C14456" s="17"/>
      <c r="D14456" s="17"/>
      <c r="E14456" s="7"/>
    </row>
    <row r="14457" spans="3:5">
      <c r="C14457" s="17"/>
      <c r="D14457" s="17"/>
      <c r="E14457" s="7"/>
    </row>
    <row r="14458" spans="3:5">
      <c r="C14458" s="17"/>
      <c r="D14458" s="17"/>
      <c r="E14458" s="7"/>
    </row>
    <row r="14459" spans="3:5">
      <c r="C14459" s="17"/>
      <c r="D14459" s="17"/>
      <c r="E14459" s="7"/>
    </row>
    <row r="14460" spans="3:5">
      <c r="C14460" s="17"/>
      <c r="D14460" s="17"/>
      <c r="E14460" s="7"/>
    </row>
    <row r="14461" spans="3:5">
      <c r="C14461" s="17"/>
      <c r="D14461" s="17"/>
      <c r="E14461" s="7"/>
    </row>
    <row r="14462" spans="3:5">
      <c r="C14462" s="17"/>
      <c r="D14462" s="17"/>
      <c r="E14462" s="7"/>
    </row>
    <row r="14463" spans="3:5">
      <c r="C14463" s="17"/>
      <c r="D14463" s="17"/>
      <c r="E14463" s="7"/>
    </row>
    <row r="14464" spans="3:5">
      <c r="C14464" s="17"/>
      <c r="D14464" s="17"/>
      <c r="E14464" s="7"/>
    </row>
    <row r="14465" spans="3:5">
      <c r="C14465" s="17"/>
      <c r="D14465" s="17"/>
      <c r="E14465" s="7"/>
    </row>
    <row r="14466" spans="3:5">
      <c r="C14466" s="17"/>
      <c r="D14466" s="17"/>
      <c r="E14466" s="7"/>
    </row>
    <row r="14467" spans="3:5">
      <c r="C14467" s="17"/>
      <c r="D14467" s="17"/>
      <c r="E14467" s="7"/>
    </row>
    <row r="14468" spans="3:5">
      <c r="C14468" s="17"/>
      <c r="D14468" s="17"/>
      <c r="E14468" s="7"/>
    </row>
    <row r="14469" spans="3:5">
      <c r="C14469" s="17"/>
      <c r="D14469" s="17"/>
      <c r="E14469" s="7"/>
    </row>
    <row r="14470" spans="3:5">
      <c r="C14470" s="17"/>
      <c r="D14470" s="17"/>
      <c r="E14470" s="7"/>
    </row>
    <row r="14471" spans="3:5">
      <c r="C14471" s="17"/>
      <c r="D14471" s="17"/>
      <c r="E14471" s="7"/>
    </row>
    <row r="14472" spans="3:5">
      <c r="C14472" s="17"/>
      <c r="D14472" s="17"/>
      <c r="E14472" s="7"/>
    </row>
    <row r="14473" spans="3:5">
      <c r="C14473" s="17"/>
      <c r="D14473" s="17"/>
      <c r="E14473" s="7"/>
    </row>
    <row r="14474" spans="3:5">
      <c r="C14474" s="17"/>
      <c r="D14474" s="17"/>
      <c r="E14474" s="7"/>
    </row>
    <row r="14475" spans="3:5">
      <c r="C14475" s="17"/>
      <c r="D14475" s="17"/>
      <c r="E14475" s="7"/>
    </row>
    <row r="14476" spans="3:5">
      <c r="C14476" s="17"/>
      <c r="D14476" s="17"/>
      <c r="E14476" s="7"/>
    </row>
    <row r="14477" spans="3:5">
      <c r="C14477" s="17"/>
      <c r="D14477" s="17"/>
      <c r="E14477" s="7"/>
    </row>
    <row r="14478" spans="3:5">
      <c r="C14478" s="17"/>
      <c r="D14478" s="17"/>
      <c r="E14478" s="7"/>
    </row>
    <row r="14479" spans="3:5">
      <c r="C14479" s="17"/>
      <c r="D14479" s="17"/>
      <c r="E14479" s="7"/>
    </row>
    <row r="14480" spans="3:5">
      <c r="C14480" s="17"/>
      <c r="D14480" s="17"/>
      <c r="E14480" s="7"/>
    </row>
    <row r="14481" spans="3:5">
      <c r="C14481" s="17"/>
      <c r="D14481" s="17"/>
      <c r="E14481" s="7"/>
    </row>
    <row r="14482" spans="3:5">
      <c r="C14482" s="17"/>
      <c r="D14482" s="17"/>
      <c r="E14482" s="7"/>
    </row>
    <row r="14483" spans="3:5">
      <c r="C14483" s="17"/>
      <c r="D14483" s="17"/>
      <c r="E14483" s="7"/>
    </row>
    <row r="14484" spans="3:5">
      <c r="C14484" s="17"/>
      <c r="D14484" s="17"/>
      <c r="E14484" s="7"/>
    </row>
    <row r="14485" spans="3:5">
      <c r="C14485" s="17"/>
      <c r="D14485" s="17"/>
      <c r="E14485" s="7"/>
    </row>
    <row r="14486" spans="3:5">
      <c r="C14486" s="17"/>
      <c r="D14486" s="17"/>
      <c r="E14486" s="7"/>
    </row>
    <row r="14487" spans="3:5">
      <c r="C14487" s="17"/>
      <c r="D14487" s="17"/>
      <c r="E14487" s="7"/>
    </row>
    <row r="14488" spans="3:5">
      <c r="C14488" s="17"/>
      <c r="D14488" s="17"/>
      <c r="E14488" s="7"/>
    </row>
    <row r="14489" spans="3:5">
      <c r="C14489" s="17"/>
      <c r="D14489" s="17"/>
      <c r="E14489" s="7"/>
    </row>
    <row r="14490" spans="3:5">
      <c r="C14490" s="17"/>
      <c r="D14490" s="17"/>
      <c r="E14490" s="7"/>
    </row>
    <row r="14491" spans="3:5">
      <c r="C14491" s="17"/>
      <c r="D14491" s="17"/>
      <c r="E14491" s="7"/>
    </row>
    <row r="14492" spans="3:5">
      <c r="C14492" s="17"/>
      <c r="D14492" s="17"/>
      <c r="E14492" s="7"/>
    </row>
    <row r="14493" spans="3:5">
      <c r="C14493" s="17"/>
      <c r="D14493" s="17"/>
      <c r="E14493" s="7"/>
    </row>
    <row r="14494" spans="3:5">
      <c r="C14494" s="17"/>
      <c r="D14494" s="17"/>
      <c r="E14494" s="7"/>
    </row>
    <row r="14495" spans="3:5">
      <c r="C14495" s="17"/>
      <c r="D14495" s="17"/>
      <c r="E14495" s="7"/>
    </row>
    <row r="14496" spans="3:5">
      <c r="C14496" s="17"/>
      <c r="D14496" s="17"/>
      <c r="E14496" s="7"/>
    </row>
    <row r="14497" spans="3:5">
      <c r="C14497" s="17"/>
      <c r="D14497" s="17"/>
      <c r="E14497" s="7"/>
    </row>
    <row r="14498" spans="3:5">
      <c r="C14498" s="17"/>
      <c r="D14498" s="17"/>
      <c r="E14498" s="7"/>
    </row>
    <row r="14499" spans="3:5">
      <c r="C14499" s="17"/>
      <c r="D14499" s="17"/>
      <c r="E14499" s="7"/>
    </row>
    <row r="14500" spans="3:5">
      <c r="C14500" s="17"/>
      <c r="D14500" s="17"/>
      <c r="E14500" s="7"/>
    </row>
    <row r="14501" spans="3:5">
      <c r="C14501" s="17"/>
      <c r="D14501" s="17"/>
      <c r="E14501" s="7"/>
    </row>
    <row r="14502" spans="3:5">
      <c r="C14502" s="17"/>
      <c r="D14502" s="17"/>
      <c r="E14502" s="7"/>
    </row>
    <row r="14503" spans="3:5">
      <c r="C14503" s="17"/>
      <c r="D14503" s="17"/>
      <c r="E14503" s="7"/>
    </row>
    <row r="14504" spans="3:5">
      <c r="C14504" s="17"/>
      <c r="D14504" s="17"/>
      <c r="E14504" s="7"/>
    </row>
    <row r="14505" spans="3:5">
      <c r="C14505" s="17"/>
      <c r="D14505" s="17"/>
      <c r="E14505" s="7"/>
    </row>
    <row r="14506" spans="3:5">
      <c r="C14506" s="17"/>
      <c r="D14506" s="17"/>
      <c r="E14506" s="7"/>
    </row>
    <row r="14507" spans="3:5">
      <c r="C14507" s="17"/>
      <c r="D14507" s="17"/>
      <c r="E14507" s="7"/>
    </row>
    <row r="14508" spans="3:5">
      <c r="C14508" s="17"/>
      <c r="D14508" s="17"/>
      <c r="E14508" s="7"/>
    </row>
    <row r="14509" spans="3:5">
      <c r="C14509" s="17"/>
      <c r="D14509" s="17"/>
      <c r="E14509" s="7"/>
    </row>
    <row r="14510" spans="3:5">
      <c r="C14510" s="17"/>
      <c r="D14510" s="17"/>
      <c r="E14510" s="7"/>
    </row>
    <row r="14511" spans="3:5">
      <c r="C14511" s="17"/>
      <c r="D14511" s="17"/>
      <c r="E14511" s="7"/>
    </row>
    <row r="14512" spans="3:5">
      <c r="C14512" s="17"/>
      <c r="D14512" s="17"/>
      <c r="E14512" s="7"/>
    </row>
    <row r="14513" spans="3:5">
      <c r="C14513" s="17"/>
      <c r="D14513" s="17"/>
      <c r="E14513" s="7"/>
    </row>
    <row r="14514" spans="3:5">
      <c r="C14514" s="17"/>
      <c r="D14514" s="17"/>
      <c r="E14514" s="7"/>
    </row>
    <row r="14515" spans="3:5">
      <c r="C14515" s="17"/>
      <c r="D14515" s="17"/>
      <c r="E14515" s="7"/>
    </row>
    <row r="14516" spans="3:5">
      <c r="C14516" s="17"/>
      <c r="D14516" s="17"/>
      <c r="E14516" s="7"/>
    </row>
    <row r="14517" spans="3:5">
      <c r="C14517" s="17"/>
      <c r="D14517" s="17"/>
      <c r="E14517" s="7"/>
    </row>
    <row r="14518" spans="3:5">
      <c r="C14518" s="17"/>
      <c r="D14518" s="17"/>
      <c r="E14518" s="7"/>
    </row>
    <row r="14519" spans="3:5">
      <c r="C14519" s="17"/>
      <c r="D14519" s="17"/>
      <c r="E14519" s="7"/>
    </row>
    <row r="14520" spans="3:5">
      <c r="C14520" s="17"/>
      <c r="D14520" s="17"/>
      <c r="E14520" s="7"/>
    </row>
    <row r="14521" spans="3:5">
      <c r="C14521" s="17"/>
      <c r="D14521" s="17"/>
      <c r="E14521" s="7"/>
    </row>
    <row r="14522" spans="3:5">
      <c r="C14522" s="17"/>
      <c r="D14522" s="17"/>
      <c r="E14522" s="7"/>
    </row>
    <row r="14523" spans="3:5">
      <c r="C14523" s="17"/>
      <c r="D14523" s="17"/>
      <c r="E14523" s="7"/>
    </row>
    <row r="14524" spans="3:5">
      <c r="C14524" s="17"/>
      <c r="D14524" s="17"/>
      <c r="E14524" s="7"/>
    </row>
    <row r="14525" spans="3:5">
      <c r="C14525" s="17"/>
      <c r="D14525" s="17"/>
      <c r="E14525" s="7"/>
    </row>
    <row r="14526" spans="3:5">
      <c r="C14526" s="17"/>
      <c r="D14526" s="17"/>
      <c r="E14526" s="7"/>
    </row>
    <row r="14527" spans="3:5">
      <c r="C14527" s="17"/>
      <c r="D14527" s="17"/>
      <c r="E14527" s="7"/>
    </row>
    <row r="14528" spans="3:5">
      <c r="C14528" s="17"/>
      <c r="D14528" s="17"/>
      <c r="E14528" s="7"/>
    </row>
    <row r="14529" spans="3:5">
      <c r="C14529" s="17"/>
      <c r="D14529" s="17"/>
      <c r="E14529" s="7"/>
    </row>
    <row r="14530" spans="3:5">
      <c r="C14530" s="17"/>
      <c r="D14530" s="17"/>
      <c r="E14530" s="7"/>
    </row>
    <row r="14531" spans="3:5">
      <c r="C14531" s="17"/>
      <c r="D14531" s="17"/>
      <c r="E14531" s="7"/>
    </row>
    <row r="14532" spans="3:5">
      <c r="C14532" s="17"/>
      <c r="D14532" s="17"/>
      <c r="E14532" s="7"/>
    </row>
    <row r="14533" spans="3:5">
      <c r="C14533" s="17"/>
      <c r="D14533" s="17"/>
      <c r="E14533" s="7"/>
    </row>
    <row r="14534" spans="3:5">
      <c r="C14534" s="17"/>
      <c r="D14534" s="17"/>
      <c r="E14534" s="7"/>
    </row>
    <row r="14535" spans="3:5">
      <c r="C14535" s="17"/>
      <c r="D14535" s="17"/>
      <c r="E14535" s="7"/>
    </row>
    <row r="14536" spans="3:5">
      <c r="C14536" s="17"/>
      <c r="D14536" s="17"/>
      <c r="E14536" s="7"/>
    </row>
    <row r="14537" spans="3:5">
      <c r="C14537" s="17"/>
      <c r="D14537" s="17"/>
      <c r="E14537" s="7"/>
    </row>
    <row r="14538" spans="3:5">
      <c r="C14538" s="17"/>
      <c r="D14538" s="17"/>
      <c r="E14538" s="7"/>
    </row>
    <row r="14539" spans="3:5">
      <c r="C14539" s="17"/>
      <c r="D14539" s="17"/>
      <c r="E14539" s="7"/>
    </row>
    <row r="14540" spans="3:5">
      <c r="C14540" s="17"/>
      <c r="D14540" s="17"/>
      <c r="E14540" s="7"/>
    </row>
    <row r="14541" spans="3:5">
      <c r="C14541" s="17"/>
      <c r="D14541" s="17"/>
      <c r="E14541" s="7"/>
    </row>
    <row r="14542" spans="3:5">
      <c r="C14542" s="17"/>
      <c r="D14542" s="17"/>
      <c r="E14542" s="7"/>
    </row>
    <row r="14543" spans="3:5">
      <c r="C14543" s="17"/>
      <c r="D14543" s="17"/>
      <c r="E14543" s="7"/>
    </row>
    <row r="14544" spans="3:5">
      <c r="C14544" s="17"/>
      <c r="D14544" s="17"/>
      <c r="E14544" s="7"/>
    </row>
    <row r="14545" spans="3:5">
      <c r="C14545" s="17"/>
      <c r="D14545" s="17"/>
      <c r="E14545" s="7"/>
    </row>
    <row r="14546" spans="3:5">
      <c r="C14546" s="17"/>
      <c r="D14546" s="17"/>
      <c r="E14546" s="7"/>
    </row>
    <row r="14547" spans="3:5">
      <c r="C14547" s="17"/>
      <c r="D14547" s="17"/>
      <c r="E14547" s="7"/>
    </row>
    <row r="14548" spans="3:5">
      <c r="C14548" s="17"/>
      <c r="D14548" s="17"/>
      <c r="E14548" s="7"/>
    </row>
    <row r="14549" spans="3:5">
      <c r="C14549" s="17"/>
      <c r="D14549" s="17"/>
      <c r="E14549" s="7"/>
    </row>
    <row r="14550" spans="3:5">
      <c r="C14550" s="17"/>
      <c r="D14550" s="17"/>
      <c r="E14550" s="7"/>
    </row>
    <row r="14551" spans="3:5">
      <c r="C14551" s="17"/>
      <c r="D14551" s="17"/>
      <c r="E14551" s="7"/>
    </row>
    <row r="14552" spans="3:5">
      <c r="C14552" s="17"/>
      <c r="D14552" s="17"/>
      <c r="E14552" s="7"/>
    </row>
    <row r="14553" spans="3:5">
      <c r="C14553" s="17"/>
      <c r="D14553" s="17"/>
      <c r="E14553" s="7"/>
    </row>
    <row r="14554" spans="3:5">
      <c r="C14554" s="17"/>
      <c r="D14554" s="17"/>
      <c r="E14554" s="7"/>
    </row>
    <row r="14555" spans="3:5">
      <c r="C14555" s="17"/>
      <c r="D14555" s="17"/>
      <c r="E14555" s="7"/>
    </row>
    <row r="14556" spans="3:5">
      <c r="C14556" s="17"/>
      <c r="D14556" s="17"/>
      <c r="E14556" s="7"/>
    </row>
    <row r="14557" spans="3:5">
      <c r="C14557" s="17"/>
      <c r="D14557" s="17"/>
      <c r="E14557" s="7"/>
    </row>
    <row r="14558" spans="3:5">
      <c r="C14558" s="17"/>
      <c r="D14558" s="17"/>
      <c r="E14558" s="7"/>
    </row>
    <row r="14559" spans="3:5">
      <c r="C14559" s="17"/>
      <c r="D14559" s="17"/>
      <c r="E14559" s="7"/>
    </row>
    <row r="14560" spans="3:5">
      <c r="C14560" s="17"/>
      <c r="D14560" s="17"/>
      <c r="E14560" s="7"/>
    </row>
    <row r="14561" spans="3:5">
      <c r="C14561" s="17"/>
      <c r="D14561" s="17"/>
      <c r="E14561" s="7"/>
    </row>
    <row r="14562" spans="3:5">
      <c r="C14562" s="17"/>
      <c r="D14562" s="17"/>
      <c r="E14562" s="7"/>
    </row>
    <row r="14563" spans="3:5">
      <c r="C14563" s="17"/>
      <c r="D14563" s="17"/>
      <c r="E14563" s="7"/>
    </row>
    <row r="14564" spans="3:5">
      <c r="C14564" s="17"/>
      <c r="D14564" s="17"/>
      <c r="E14564" s="7"/>
    </row>
    <row r="14565" spans="3:5">
      <c r="C14565" s="17"/>
      <c r="D14565" s="17"/>
      <c r="E14565" s="7"/>
    </row>
    <row r="14566" spans="3:5">
      <c r="C14566" s="17"/>
      <c r="D14566" s="17"/>
      <c r="E14566" s="7"/>
    </row>
    <row r="14567" spans="3:5">
      <c r="C14567" s="17"/>
      <c r="D14567" s="17"/>
      <c r="E14567" s="7"/>
    </row>
    <row r="14568" spans="3:5">
      <c r="C14568" s="17"/>
      <c r="D14568" s="17"/>
      <c r="E14568" s="7"/>
    </row>
    <row r="14569" spans="3:5">
      <c r="C14569" s="17"/>
      <c r="D14569" s="17"/>
      <c r="E14569" s="7"/>
    </row>
    <row r="14570" spans="3:5">
      <c r="C14570" s="17"/>
      <c r="D14570" s="17"/>
      <c r="E14570" s="7"/>
    </row>
    <row r="14571" spans="3:5">
      <c r="C14571" s="17"/>
      <c r="D14571" s="17"/>
      <c r="E14571" s="7"/>
    </row>
    <row r="14572" spans="3:5">
      <c r="C14572" s="17"/>
      <c r="D14572" s="17"/>
      <c r="E14572" s="7"/>
    </row>
    <row r="14573" spans="3:5">
      <c r="C14573" s="17"/>
      <c r="D14573" s="17"/>
      <c r="E14573" s="7"/>
    </row>
    <row r="14574" spans="3:5">
      <c r="C14574" s="17"/>
      <c r="D14574" s="17"/>
      <c r="E14574" s="7"/>
    </row>
    <row r="14575" spans="3:5">
      <c r="C14575" s="17"/>
      <c r="D14575" s="17"/>
      <c r="E14575" s="7"/>
    </row>
    <row r="14576" spans="3:5">
      <c r="C14576" s="17"/>
      <c r="D14576" s="17"/>
      <c r="E14576" s="7"/>
    </row>
    <row r="14577" spans="3:5">
      <c r="C14577" s="17"/>
      <c r="D14577" s="17"/>
      <c r="E14577" s="7"/>
    </row>
    <row r="14578" spans="3:5">
      <c r="C14578" s="17"/>
      <c r="D14578" s="17"/>
      <c r="E14578" s="7"/>
    </row>
    <row r="14579" spans="3:5">
      <c r="C14579" s="17"/>
      <c r="D14579" s="17"/>
      <c r="E14579" s="7"/>
    </row>
    <row r="14580" spans="3:5">
      <c r="C14580" s="17"/>
      <c r="D14580" s="17"/>
      <c r="E14580" s="7"/>
    </row>
    <row r="14581" spans="3:5">
      <c r="C14581" s="17"/>
      <c r="D14581" s="17"/>
      <c r="E14581" s="7"/>
    </row>
    <row r="14582" spans="3:5">
      <c r="C14582" s="17"/>
      <c r="D14582" s="17"/>
      <c r="E14582" s="7"/>
    </row>
    <row r="14583" spans="3:5">
      <c r="C14583" s="17"/>
      <c r="D14583" s="17"/>
      <c r="E14583" s="7"/>
    </row>
    <row r="14584" spans="3:5">
      <c r="C14584" s="17"/>
      <c r="D14584" s="17"/>
      <c r="E14584" s="7"/>
    </row>
    <row r="14585" spans="3:5">
      <c r="C14585" s="17"/>
      <c r="D14585" s="17"/>
      <c r="E14585" s="7"/>
    </row>
    <row r="14586" spans="3:5">
      <c r="C14586" s="17"/>
      <c r="D14586" s="17"/>
      <c r="E14586" s="7"/>
    </row>
    <row r="14587" spans="3:5">
      <c r="C14587" s="17"/>
      <c r="D14587" s="17"/>
      <c r="E14587" s="7"/>
    </row>
    <row r="14588" spans="3:5">
      <c r="C14588" s="17"/>
      <c r="D14588" s="17"/>
      <c r="E14588" s="7"/>
    </row>
    <row r="14589" spans="3:5">
      <c r="C14589" s="17"/>
      <c r="D14589" s="17"/>
      <c r="E14589" s="7"/>
    </row>
    <row r="14590" spans="3:5">
      <c r="C14590" s="17"/>
      <c r="D14590" s="17"/>
      <c r="E14590" s="7"/>
    </row>
    <row r="14591" spans="3:5">
      <c r="C14591" s="17"/>
      <c r="D14591" s="17"/>
      <c r="E14591" s="7"/>
    </row>
    <row r="14592" spans="3:5">
      <c r="C14592" s="17"/>
      <c r="D14592" s="17"/>
      <c r="E14592" s="7"/>
    </row>
    <row r="14593" spans="3:5">
      <c r="C14593" s="17"/>
      <c r="D14593" s="17"/>
      <c r="E14593" s="7"/>
    </row>
    <row r="14594" spans="3:5">
      <c r="C14594" s="17"/>
      <c r="D14594" s="17"/>
      <c r="E14594" s="7"/>
    </row>
    <row r="14595" spans="3:5">
      <c r="C14595" s="17"/>
      <c r="D14595" s="17"/>
      <c r="E14595" s="7"/>
    </row>
    <row r="14596" spans="3:5">
      <c r="C14596" s="17"/>
      <c r="D14596" s="17"/>
      <c r="E14596" s="7"/>
    </row>
    <row r="14597" spans="3:5">
      <c r="C14597" s="17"/>
      <c r="D14597" s="17"/>
      <c r="E14597" s="7"/>
    </row>
    <row r="14598" spans="3:5">
      <c r="C14598" s="17"/>
      <c r="D14598" s="17"/>
      <c r="E14598" s="7"/>
    </row>
    <row r="14599" spans="3:5">
      <c r="C14599" s="17"/>
      <c r="D14599" s="17"/>
      <c r="E14599" s="7"/>
    </row>
    <row r="14600" spans="3:5">
      <c r="C14600" s="17"/>
      <c r="D14600" s="17"/>
      <c r="E14600" s="7"/>
    </row>
    <row r="14601" spans="3:5">
      <c r="C14601" s="17"/>
      <c r="D14601" s="17"/>
      <c r="E14601" s="7"/>
    </row>
    <row r="14602" spans="3:5">
      <c r="C14602" s="17"/>
      <c r="D14602" s="17"/>
      <c r="E14602" s="7"/>
    </row>
    <row r="14603" spans="3:5">
      <c r="C14603" s="17"/>
      <c r="D14603" s="17"/>
      <c r="E14603" s="7"/>
    </row>
    <row r="14604" spans="3:5">
      <c r="C14604" s="17"/>
      <c r="D14604" s="17"/>
      <c r="E14604" s="7"/>
    </row>
    <row r="14605" spans="3:5">
      <c r="C14605" s="17"/>
      <c r="D14605" s="17"/>
      <c r="E14605" s="7"/>
    </row>
    <row r="14606" spans="3:5">
      <c r="C14606" s="17"/>
      <c r="D14606" s="17"/>
      <c r="E14606" s="7"/>
    </row>
    <row r="14607" spans="3:5">
      <c r="C14607" s="17"/>
      <c r="D14607" s="17"/>
      <c r="E14607" s="7"/>
    </row>
    <row r="14608" spans="3:5">
      <c r="C14608" s="17"/>
      <c r="D14608" s="17"/>
      <c r="E14608" s="7"/>
    </row>
    <row r="14609" spans="3:5">
      <c r="C14609" s="17"/>
      <c r="D14609" s="17"/>
      <c r="E14609" s="7"/>
    </row>
    <row r="14610" spans="3:5">
      <c r="C14610" s="17"/>
      <c r="D14610" s="17"/>
      <c r="E14610" s="7"/>
    </row>
    <row r="14611" spans="3:5">
      <c r="C14611" s="17"/>
      <c r="D14611" s="17"/>
      <c r="E14611" s="7"/>
    </row>
    <row r="14612" spans="3:5">
      <c r="C14612" s="17"/>
      <c r="D14612" s="17"/>
      <c r="E14612" s="7"/>
    </row>
    <row r="14613" spans="3:5">
      <c r="C14613" s="17"/>
      <c r="D14613" s="17"/>
      <c r="E14613" s="7"/>
    </row>
    <row r="14614" spans="3:5">
      <c r="C14614" s="17"/>
      <c r="D14614" s="17"/>
      <c r="E14614" s="7"/>
    </row>
    <row r="14615" spans="3:5">
      <c r="C14615" s="17"/>
      <c r="D14615" s="17"/>
      <c r="E14615" s="7"/>
    </row>
    <row r="14616" spans="3:5">
      <c r="C14616" s="17"/>
      <c r="D14616" s="17"/>
      <c r="E14616" s="7"/>
    </row>
    <row r="14617" spans="3:5">
      <c r="C14617" s="17"/>
      <c r="D14617" s="17"/>
      <c r="E14617" s="7"/>
    </row>
    <row r="14618" spans="3:5">
      <c r="C14618" s="17"/>
      <c r="D14618" s="17"/>
      <c r="E14618" s="7"/>
    </row>
    <row r="14619" spans="3:5">
      <c r="C14619" s="17"/>
      <c r="D14619" s="17"/>
      <c r="E14619" s="7"/>
    </row>
    <row r="14620" spans="3:5">
      <c r="C14620" s="17"/>
      <c r="D14620" s="17"/>
      <c r="E14620" s="7"/>
    </row>
    <row r="14621" spans="3:5">
      <c r="C14621" s="17"/>
      <c r="D14621" s="17"/>
      <c r="E14621" s="7"/>
    </row>
    <row r="14622" spans="3:5">
      <c r="C14622" s="17"/>
      <c r="D14622" s="17"/>
      <c r="E14622" s="7"/>
    </row>
    <row r="14623" spans="3:5">
      <c r="C14623" s="17"/>
      <c r="D14623" s="17"/>
      <c r="E14623" s="7"/>
    </row>
    <row r="14624" spans="3:5">
      <c r="C14624" s="17"/>
      <c r="D14624" s="17"/>
      <c r="E14624" s="7"/>
    </row>
    <row r="14625" spans="3:5">
      <c r="C14625" s="17"/>
      <c r="D14625" s="17"/>
      <c r="E14625" s="7"/>
    </row>
    <row r="14626" spans="3:5">
      <c r="C14626" s="17"/>
      <c r="D14626" s="17"/>
      <c r="E14626" s="7"/>
    </row>
    <row r="14627" spans="3:5">
      <c r="C14627" s="17"/>
      <c r="D14627" s="17"/>
      <c r="E14627" s="7"/>
    </row>
    <row r="14628" spans="3:5">
      <c r="C14628" s="17"/>
      <c r="D14628" s="17"/>
      <c r="E14628" s="7"/>
    </row>
    <row r="14629" spans="3:5">
      <c r="C14629" s="17"/>
      <c r="D14629" s="17"/>
      <c r="E14629" s="7"/>
    </row>
    <row r="14630" spans="3:5">
      <c r="C14630" s="17"/>
      <c r="D14630" s="17"/>
      <c r="E14630" s="7"/>
    </row>
    <row r="14631" spans="3:5">
      <c r="C14631" s="17"/>
      <c r="D14631" s="17"/>
      <c r="E14631" s="7"/>
    </row>
    <row r="14632" spans="3:5">
      <c r="C14632" s="17"/>
      <c r="D14632" s="17"/>
      <c r="E14632" s="7"/>
    </row>
    <row r="14633" spans="3:5">
      <c r="C14633" s="17"/>
      <c r="D14633" s="17"/>
      <c r="E14633" s="7"/>
    </row>
    <row r="14634" spans="3:5">
      <c r="C14634" s="17"/>
      <c r="D14634" s="17"/>
      <c r="E14634" s="7"/>
    </row>
    <row r="14635" spans="3:5">
      <c r="C14635" s="17"/>
      <c r="D14635" s="17"/>
      <c r="E14635" s="7"/>
    </row>
    <row r="14636" spans="3:5">
      <c r="C14636" s="17"/>
      <c r="D14636" s="17"/>
      <c r="E14636" s="7"/>
    </row>
    <row r="14637" spans="3:5">
      <c r="C14637" s="17"/>
      <c r="D14637" s="17"/>
      <c r="E14637" s="7"/>
    </row>
    <row r="14638" spans="3:5">
      <c r="C14638" s="17"/>
      <c r="D14638" s="17"/>
      <c r="E14638" s="7"/>
    </row>
    <row r="14639" spans="3:5">
      <c r="C14639" s="17"/>
      <c r="D14639" s="17"/>
      <c r="E14639" s="7"/>
    </row>
    <row r="14640" spans="3:5">
      <c r="C14640" s="17"/>
      <c r="D14640" s="17"/>
      <c r="E14640" s="7"/>
    </row>
    <row r="14641" spans="3:5">
      <c r="C14641" s="17"/>
      <c r="D14641" s="17"/>
      <c r="E14641" s="7"/>
    </row>
    <row r="14642" spans="3:5">
      <c r="C14642" s="17"/>
      <c r="D14642" s="17"/>
      <c r="E14642" s="7"/>
    </row>
    <row r="14643" spans="3:5">
      <c r="C14643" s="17"/>
      <c r="D14643" s="17"/>
      <c r="E14643" s="7"/>
    </row>
    <row r="14644" spans="3:5">
      <c r="C14644" s="17"/>
      <c r="D14644" s="17"/>
      <c r="E14644" s="7"/>
    </row>
    <row r="14645" spans="3:5">
      <c r="C14645" s="17"/>
      <c r="D14645" s="17"/>
      <c r="E14645" s="7"/>
    </row>
    <row r="14646" spans="3:5">
      <c r="C14646" s="17"/>
      <c r="D14646" s="17"/>
      <c r="E14646" s="7"/>
    </row>
    <row r="14647" spans="3:5">
      <c r="C14647" s="17"/>
      <c r="D14647" s="17"/>
      <c r="E14647" s="7"/>
    </row>
    <row r="14648" spans="3:5">
      <c r="C14648" s="17"/>
      <c r="D14648" s="17"/>
      <c r="E14648" s="7"/>
    </row>
    <row r="14649" spans="3:5">
      <c r="C14649" s="17"/>
      <c r="D14649" s="17"/>
      <c r="E14649" s="7"/>
    </row>
    <row r="14650" spans="3:5">
      <c r="C14650" s="17"/>
      <c r="D14650" s="17"/>
      <c r="E14650" s="7"/>
    </row>
    <row r="14651" spans="3:5">
      <c r="C14651" s="17"/>
      <c r="D14651" s="17"/>
      <c r="E14651" s="7"/>
    </row>
    <row r="14652" spans="3:5">
      <c r="C14652" s="17"/>
      <c r="D14652" s="17"/>
      <c r="E14652" s="7"/>
    </row>
    <row r="14653" spans="3:5">
      <c r="C14653" s="17"/>
      <c r="D14653" s="17"/>
      <c r="E14653" s="7"/>
    </row>
    <row r="14654" spans="3:5">
      <c r="C14654" s="17"/>
      <c r="D14654" s="17"/>
      <c r="E14654" s="7"/>
    </row>
    <row r="14655" spans="3:5">
      <c r="C14655" s="17"/>
      <c r="D14655" s="17"/>
      <c r="E14655" s="7"/>
    </row>
    <row r="14656" spans="3:5">
      <c r="C14656" s="17"/>
      <c r="D14656" s="17"/>
      <c r="E14656" s="7"/>
    </row>
    <row r="14657" spans="3:5">
      <c r="C14657" s="17"/>
      <c r="D14657" s="17"/>
      <c r="E14657" s="7"/>
    </row>
    <row r="14658" spans="3:5">
      <c r="C14658" s="17"/>
      <c r="D14658" s="17"/>
      <c r="E14658" s="7"/>
    </row>
    <row r="14659" spans="3:5">
      <c r="C14659" s="17"/>
      <c r="D14659" s="17"/>
      <c r="E14659" s="7"/>
    </row>
    <row r="14660" spans="3:5">
      <c r="C14660" s="17"/>
      <c r="D14660" s="17"/>
      <c r="E14660" s="7"/>
    </row>
    <row r="14661" spans="3:5">
      <c r="C14661" s="17"/>
      <c r="D14661" s="17"/>
      <c r="E14661" s="7"/>
    </row>
    <row r="14662" spans="3:5">
      <c r="C14662" s="17"/>
      <c r="D14662" s="17"/>
      <c r="E14662" s="7"/>
    </row>
    <row r="14663" spans="3:5">
      <c r="C14663" s="17"/>
      <c r="D14663" s="17"/>
      <c r="E14663" s="7"/>
    </row>
    <row r="14664" spans="3:5">
      <c r="C14664" s="17"/>
      <c r="D14664" s="17"/>
      <c r="E14664" s="7"/>
    </row>
    <row r="14665" spans="3:5">
      <c r="C14665" s="17"/>
      <c r="D14665" s="17"/>
      <c r="E14665" s="7"/>
    </row>
    <row r="14666" spans="3:5">
      <c r="C14666" s="17"/>
      <c r="D14666" s="17"/>
      <c r="E14666" s="7"/>
    </row>
    <row r="14667" spans="3:5">
      <c r="C14667" s="17"/>
      <c r="D14667" s="17"/>
      <c r="E14667" s="7"/>
    </row>
    <row r="14668" spans="3:5">
      <c r="C14668" s="17"/>
      <c r="D14668" s="17"/>
      <c r="E14668" s="7"/>
    </row>
    <row r="14669" spans="3:5">
      <c r="C14669" s="17"/>
      <c r="D14669" s="17"/>
      <c r="E14669" s="7"/>
    </row>
    <row r="14670" spans="3:5">
      <c r="C14670" s="17"/>
      <c r="D14670" s="17"/>
      <c r="E14670" s="7"/>
    </row>
    <row r="14671" spans="3:5">
      <c r="C14671" s="17"/>
      <c r="D14671" s="17"/>
      <c r="E14671" s="7"/>
    </row>
    <row r="14672" spans="3:5">
      <c r="C14672" s="17"/>
      <c r="D14672" s="17"/>
      <c r="E14672" s="7"/>
    </row>
    <row r="14673" spans="3:5">
      <c r="C14673" s="17"/>
      <c r="D14673" s="17"/>
      <c r="E14673" s="7"/>
    </row>
    <row r="14674" spans="3:5">
      <c r="C14674" s="17"/>
      <c r="D14674" s="17"/>
      <c r="E14674" s="7"/>
    </row>
    <row r="14675" spans="3:5">
      <c r="C14675" s="17"/>
      <c r="D14675" s="17"/>
      <c r="E14675" s="7"/>
    </row>
    <row r="14676" spans="3:5">
      <c r="C14676" s="17"/>
      <c r="D14676" s="17"/>
      <c r="E14676" s="7"/>
    </row>
    <row r="14677" spans="3:5">
      <c r="C14677" s="17"/>
      <c r="D14677" s="17"/>
      <c r="E14677" s="7"/>
    </row>
    <row r="14678" spans="3:5">
      <c r="C14678" s="17"/>
      <c r="D14678" s="17"/>
      <c r="E14678" s="7"/>
    </row>
    <row r="14679" spans="3:5">
      <c r="C14679" s="17"/>
      <c r="D14679" s="17"/>
      <c r="E14679" s="7"/>
    </row>
    <row r="14680" spans="3:5">
      <c r="C14680" s="17"/>
      <c r="D14680" s="17"/>
      <c r="E14680" s="7"/>
    </row>
    <row r="14681" spans="3:5">
      <c r="C14681" s="17"/>
      <c r="D14681" s="17"/>
      <c r="E14681" s="7"/>
    </row>
    <row r="14682" spans="3:5">
      <c r="C14682" s="17"/>
      <c r="D14682" s="17"/>
      <c r="E14682" s="7"/>
    </row>
    <row r="14683" spans="3:5">
      <c r="C14683" s="17"/>
      <c r="D14683" s="17"/>
      <c r="E14683" s="7"/>
    </row>
    <row r="14684" spans="3:5">
      <c r="C14684" s="17"/>
      <c r="D14684" s="17"/>
      <c r="E14684" s="7"/>
    </row>
    <row r="14685" spans="3:5">
      <c r="C14685" s="17"/>
      <c r="D14685" s="17"/>
      <c r="E14685" s="7"/>
    </row>
    <row r="14686" spans="3:5">
      <c r="C14686" s="17"/>
      <c r="D14686" s="17"/>
      <c r="E14686" s="7"/>
    </row>
    <row r="14687" spans="3:5">
      <c r="C14687" s="17"/>
      <c r="D14687" s="17"/>
      <c r="E14687" s="7"/>
    </row>
    <row r="14688" spans="3:5">
      <c r="C14688" s="17"/>
      <c r="D14688" s="17"/>
      <c r="E14688" s="7"/>
    </row>
    <row r="14689" spans="3:5">
      <c r="C14689" s="17"/>
      <c r="D14689" s="17"/>
      <c r="E14689" s="7"/>
    </row>
    <row r="14690" spans="3:5">
      <c r="C14690" s="17"/>
      <c r="D14690" s="17"/>
      <c r="E14690" s="7"/>
    </row>
    <row r="14691" spans="3:5">
      <c r="C14691" s="17"/>
      <c r="D14691" s="17"/>
      <c r="E14691" s="7"/>
    </row>
    <row r="14692" spans="3:5">
      <c r="C14692" s="17"/>
      <c r="D14692" s="17"/>
      <c r="E14692" s="7"/>
    </row>
    <row r="14693" spans="3:5">
      <c r="C14693" s="17"/>
      <c r="D14693" s="17"/>
      <c r="E14693" s="7"/>
    </row>
    <row r="14694" spans="3:5">
      <c r="C14694" s="17"/>
      <c r="D14694" s="17"/>
      <c r="E14694" s="7"/>
    </row>
    <row r="14695" spans="3:5">
      <c r="C14695" s="17"/>
      <c r="D14695" s="17"/>
      <c r="E14695" s="7"/>
    </row>
    <row r="14696" spans="3:5">
      <c r="C14696" s="17"/>
      <c r="D14696" s="17"/>
      <c r="E14696" s="7"/>
    </row>
    <row r="14697" spans="3:5">
      <c r="C14697" s="17"/>
      <c r="D14697" s="17"/>
      <c r="E14697" s="7"/>
    </row>
    <row r="14698" spans="3:5">
      <c r="C14698" s="17"/>
      <c r="D14698" s="17"/>
      <c r="E14698" s="7"/>
    </row>
    <row r="14699" spans="3:5">
      <c r="C14699" s="17"/>
      <c r="D14699" s="17"/>
      <c r="E14699" s="7"/>
    </row>
    <row r="14700" spans="3:5">
      <c r="C14700" s="17"/>
      <c r="D14700" s="17"/>
      <c r="E14700" s="7"/>
    </row>
    <row r="14701" spans="3:5">
      <c r="C14701" s="17"/>
      <c r="D14701" s="17"/>
      <c r="E14701" s="7"/>
    </row>
    <row r="14702" spans="3:5">
      <c r="C14702" s="17"/>
      <c r="D14702" s="17"/>
      <c r="E14702" s="7"/>
    </row>
    <row r="14703" spans="3:5">
      <c r="C14703" s="17"/>
      <c r="D14703" s="17"/>
      <c r="E14703" s="7"/>
    </row>
    <row r="14704" spans="3:5">
      <c r="C14704" s="17"/>
      <c r="D14704" s="17"/>
      <c r="E14704" s="7"/>
    </row>
    <row r="14705" spans="3:5">
      <c r="C14705" s="17"/>
      <c r="D14705" s="17"/>
      <c r="E14705" s="7"/>
    </row>
    <row r="14706" spans="3:5">
      <c r="C14706" s="17"/>
      <c r="D14706" s="17"/>
      <c r="E14706" s="7"/>
    </row>
    <row r="14707" spans="3:5">
      <c r="C14707" s="17"/>
      <c r="D14707" s="17"/>
      <c r="E14707" s="7"/>
    </row>
    <row r="14708" spans="3:5">
      <c r="C14708" s="17"/>
      <c r="D14708" s="17"/>
      <c r="E14708" s="7"/>
    </row>
    <row r="14709" spans="3:5">
      <c r="C14709" s="17"/>
      <c r="D14709" s="17"/>
      <c r="E14709" s="7"/>
    </row>
    <row r="14710" spans="3:5">
      <c r="C14710" s="17"/>
      <c r="D14710" s="17"/>
      <c r="E14710" s="7"/>
    </row>
    <row r="14711" spans="3:5">
      <c r="C14711" s="17"/>
      <c r="D14711" s="17"/>
      <c r="E14711" s="7"/>
    </row>
    <row r="14712" spans="3:5">
      <c r="C14712" s="17"/>
      <c r="D14712" s="17"/>
      <c r="E14712" s="7"/>
    </row>
    <row r="14713" spans="3:5">
      <c r="C14713" s="17"/>
      <c r="D14713" s="17"/>
      <c r="E14713" s="7"/>
    </row>
    <row r="14714" spans="3:5">
      <c r="C14714" s="17"/>
      <c r="D14714" s="17"/>
      <c r="E14714" s="7"/>
    </row>
    <row r="14715" spans="3:5">
      <c r="C14715" s="17"/>
      <c r="D14715" s="17"/>
      <c r="E14715" s="7"/>
    </row>
    <row r="14716" spans="3:5">
      <c r="C14716" s="17"/>
      <c r="D14716" s="17"/>
      <c r="E14716" s="7"/>
    </row>
    <row r="14717" spans="3:5">
      <c r="C14717" s="17"/>
      <c r="D14717" s="17"/>
      <c r="E14717" s="7"/>
    </row>
    <row r="14718" spans="3:5">
      <c r="C14718" s="17"/>
      <c r="D14718" s="17"/>
      <c r="E14718" s="7"/>
    </row>
    <row r="14719" spans="3:5">
      <c r="C14719" s="17"/>
      <c r="D14719" s="17"/>
      <c r="E14719" s="7"/>
    </row>
    <row r="14720" spans="3:5">
      <c r="C14720" s="17"/>
      <c r="D14720" s="17"/>
      <c r="E14720" s="7"/>
    </row>
    <row r="14721" spans="3:5">
      <c r="C14721" s="17"/>
      <c r="D14721" s="17"/>
      <c r="E14721" s="7"/>
    </row>
    <row r="14722" spans="3:5">
      <c r="C14722" s="17"/>
      <c r="D14722" s="17"/>
      <c r="E14722" s="7"/>
    </row>
    <row r="14723" spans="3:5">
      <c r="C14723" s="17"/>
      <c r="D14723" s="17"/>
      <c r="E14723" s="7"/>
    </row>
    <row r="14724" spans="3:5">
      <c r="C14724" s="17"/>
      <c r="D14724" s="17"/>
      <c r="E14724" s="7"/>
    </row>
    <row r="14725" spans="3:5">
      <c r="C14725" s="17"/>
      <c r="D14725" s="17"/>
      <c r="E14725" s="7"/>
    </row>
    <row r="14726" spans="3:5">
      <c r="C14726" s="17"/>
      <c r="D14726" s="17"/>
      <c r="E14726" s="7"/>
    </row>
    <row r="14727" spans="3:5">
      <c r="C14727" s="17"/>
      <c r="D14727" s="17"/>
      <c r="E14727" s="7"/>
    </row>
    <row r="14728" spans="3:5">
      <c r="C14728" s="17"/>
      <c r="D14728" s="17"/>
      <c r="E14728" s="7"/>
    </row>
    <row r="14729" spans="3:5">
      <c r="C14729" s="17"/>
      <c r="D14729" s="17"/>
      <c r="E14729" s="7"/>
    </row>
    <row r="14730" spans="3:5">
      <c r="C14730" s="17"/>
      <c r="D14730" s="17"/>
      <c r="E14730" s="7"/>
    </row>
    <row r="14731" spans="3:5">
      <c r="C14731" s="17"/>
      <c r="D14731" s="17"/>
      <c r="E14731" s="7"/>
    </row>
    <row r="14732" spans="3:5">
      <c r="C14732" s="17"/>
      <c r="D14732" s="17"/>
      <c r="E14732" s="7"/>
    </row>
    <row r="14733" spans="3:5">
      <c r="C14733" s="17"/>
      <c r="D14733" s="17"/>
      <c r="E14733" s="7"/>
    </row>
    <row r="14734" spans="3:5">
      <c r="C14734" s="17"/>
      <c r="D14734" s="17"/>
      <c r="E14734" s="7"/>
    </row>
    <row r="14735" spans="3:5">
      <c r="C14735" s="17"/>
      <c r="D14735" s="17"/>
      <c r="E14735" s="7"/>
    </row>
    <row r="14736" spans="3:5">
      <c r="C14736" s="17"/>
      <c r="D14736" s="17"/>
      <c r="E14736" s="7"/>
    </row>
    <row r="14737" spans="3:5">
      <c r="C14737" s="17"/>
      <c r="D14737" s="17"/>
      <c r="E14737" s="7"/>
    </row>
    <row r="14738" spans="3:5">
      <c r="C14738" s="17"/>
      <c r="D14738" s="17"/>
      <c r="E14738" s="7"/>
    </row>
    <row r="14739" spans="3:5">
      <c r="C14739" s="17"/>
      <c r="D14739" s="17"/>
      <c r="E14739" s="7"/>
    </row>
    <row r="14740" spans="3:5">
      <c r="C14740" s="17"/>
      <c r="D14740" s="17"/>
      <c r="E14740" s="7"/>
    </row>
    <row r="14741" spans="3:5">
      <c r="C14741" s="17"/>
      <c r="D14741" s="17"/>
      <c r="E14741" s="7"/>
    </row>
    <row r="14742" spans="3:5">
      <c r="C14742" s="17"/>
      <c r="D14742" s="17"/>
      <c r="E14742" s="7"/>
    </row>
    <row r="14743" spans="3:5">
      <c r="C14743" s="17"/>
      <c r="D14743" s="17"/>
      <c r="E14743" s="7"/>
    </row>
    <row r="14744" spans="3:5">
      <c r="C14744" s="17"/>
      <c r="D14744" s="17"/>
      <c r="E14744" s="7"/>
    </row>
    <row r="14745" spans="3:5">
      <c r="C14745" s="17"/>
      <c r="D14745" s="17"/>
      <c r="E14745" s="7"/>
    </row>
    <row r="14746" spans="3:5">
      <c r="C14746" s="17"/>
      <c r="D14746" s="17"/>
      <c r="E14746" s="7"/>
    </row>
    <row r="14747" spans="3:5">
      <c r="C14747" s="17"/>
      <c r="D14747" s="17"/>
      <c r="E14747" s="7"/>
    </row>
    <row r="14748" spans="3:5">
      <c r="C14748" s="17"/>
      <c r="D14748" s="17"/>
      <c r="E14748" s="7"/>
    </row>
    <row r="14749" spans="3:5">
      <c r="C14749" s="17"/>
      <c r="D14749" s="17"/>
      <c r="E14749" s="7"/>
    </row>
    <row r="14750" spans="3:5">
      <c r="C14750" s="17"/>
      <c r="D14750" s="17"/>
      <c r="E14750" s="7"/>
    </row>
    <row r="14751" spans="3:5">
      <c r="C14751" s="17"/>
      <c r="D14751" s="17"/>
      <c r="E14751" s="7"/>
    </row>
    <row r="14752" spans="3:5">
      <c r="C14752" s="17"/>
      <c r="D14752" s="17"/>
      <c r="E14752" s="7"/>
    </row>
    <row r="14753" spans="3:5">
      <c r="C14753" s="17"/>
      <c r="D14753" s="17"/>
      <c r="E14753" s="7"/>
    </row>
    <row r="14754" spans="3:5">
      <c r="C14754" s="17"/>
      <c r="D14754" s="17"/>
      <c r="E14754" s="7"/>
    </row>
    <row r="14755" spans="3:5">
      <c r="C14755" s="17"/>
      <c r="D14755" s="17"/>
      <c r="E14755" s="7"/>
    </row>
    <row r="14756" spans="3:5">
      <c r="C14756" s="17"/>
      <c r="D14756" s="17"/>
      <c r="E14756" s="7"/>
    </row>
    <row r="14757" spans="3:5">
      <c r="C14757" s="17"/>
      <c r="D14757" s="17"/>
      <c r="E14757" s="7"/>
    </row>
    <row r="14758" spans="3:5">
      <c r="C14758" s="17"/>
      <c r="D14758" s="17"/>
      <c r="E14758" s="7"/>
    </row>
    <row r="14759" spans="3:5">
      <c r="C14759" s="17"/>
      <c r="D14759" s="17"/>
      <c r="E14759" s="7"/>
    </row>
    <row r="14760" spans="3:5">
      <c r="C14760" s="17"/>
      <c r="D14760" s="17"/>
      <c r="E14760" s="7"/>
    </row>
    <row r="14761" spans="3:5">
      <c r="C14761" s="17"/>
      <c r="D14761" s="17"/>
      <c r="E14761" s="7"/>
    </row>
    <row r="14762" spans="3:5">
      <c r="C14762" s="17"/>
      <c r="D14762" s="17"/>
      <c r="E14762" s="7"/>
    </row>
    <row r="14763" spans="3:5">
      <c r="C14763" s="17"/>
      <c r="D14763" s="17"/>
      <c r="E14763" s="7"/>
    </row>
    <row r="14764" spans="3:5">
      <c r="C14764" s="17"/>
      <c r="D14764" s="17"/>
      <c r="E14764" s="7"/>
    </row>
    <row r="14765" spans="3:5">
      <c r="C14765" s="17"/>
      <c r="D14765" s="17"/>
      <c r="E14765" s="7"/>
    </row>
    <row r="14766" spans="3:5">
      <c r="C14766" s="17"/>
      <c r="D14766" s="17"/>
      <c r="E14766" s="7"/>
    </row>
    <row r="14767" spans="3:5">
      <c r="C14767" s="17"/>
      <c r="D14767" s="17"/>
      <c r="E14767" s="7"/>
    </row>
    <row r="14768" spans="3:5">
      <c r="C14768" s="17"/>
      <c r="D14768" s="17"/>
      <c r="E14768" s="7"/>
    </row>
    <row r="14769" spans="3:5">
      <c r="C14769" s="17"/>
      <c r="D14769" s="17"/>
      <c r="E14769" s="7"/>
    </row>
    <row r="14770" spans="3:5">
      <c r="C14770" s="17"/>
      <c r="D14770" s="17"/>
      <c r="E14770" s="7"/>
    </row>
    <row r="14771" spans="3:5">
      <c r="C14771" s="17"/>
      <c r="D14771" s="17"/>
      <c r="E14771" s="7"/>
    </row>
    <row r="14772" spans="3:5">
      <c r="C14772" s="17"/>
      <c r="D14772" s="17"/>
      <c r="E14772" s="7"/>
    </row>
    <row r="14773" spans="3:5">
      <c r="C14773" s="17"/>
      <c r="D14773" s="17"/>
      <c r="E14773" s="7"/>
    </row>
    <row r="14774" spans="3:5">
      <c r="C14774" s="17"/>
      <c r="D14774" s="17"/>
      <c r="E14774" s="7"/>
    </row>
    <row r="14775" spans="3:5">
      <c r="C14775" s="17"/>
      <c r="D14775" s="17"/>
      <c r="E14775" s="7"/>
    </row>
    <row r="14776" spans="3:5">
      <c r="C14776" s="17"/>
      <c r="D14776" s="17"/>
      <c r="E14776" s="7"/>
    </row>
    <row r="14777" spans="3:5">
      <c r="C14777" s="17"/>
      <c r="D14777" s="17"/>
      <c r="E14777" s="7"/>
    </row>
    <row r="14778" spans="3:5">
      <c r="C14778" s="17"/>
      <c r="D14778" s="17"/>
      <c r="E14778" s="7"/>
    </row>
    <row r="14779" spans="3:5">
      <c r="C14779" s="17"/>
      <c r="D14779" s="17"/>
      <c r="E14779" s="7"/>
    </row>
    <row r="14780" spans="3:5">
      <c r="C14780" s="17"/>
      <c r="D14780" s="17"/>
      <c r="E14780" s="7"/>
    </row>
    <row r="14781" spans="3:5">
      <c r="C14781" s="17"/>
      <c r="D14781" s="17"/>
      <c r="E14781" s="7"/>
    </row>
    <row r="14782" spans="3:5">
      <c r="C14782" s="17"/>
      <c r="D14782" s="17"/>
      <c r="E14782" s="7"/>
    </row>
    <row r="14783" spans="3:5">
      <c r="C14783" s="17"/>
      <c r="D14783" s="17"/>
      <c r="E14783" s="7"/>
    </row>
    <row r="14784" spans="3:5">
      <c r="C14784" s="17"/>
      <c r="D14784" s="17"/>
      <c r="E14784" s="7"/>
    </row>
    <row r="14785" spans="3:5">
      <c r="C14785" s="17"/>
      <c r="D14785" s="17"/>
      <c r="E14785" s="7"/>
    </row>
    <row r="14786" spans="3:5">
      <c r="C14786" s="17"/>
      <c r="D14786" s="17"/>
      <c r="E14786" s="7"/>
    </row>
    <row r="14787" spans="3:5">
      <c r="C14787" s="17"/>
      <c r="D14787" s="17"/>
      <c r="E14787" s="7"/>
    </row>
    <row r="14788" spans="3:5">
      <c r="C14788" s="17"/>
      <c r="D14788" s="17"/>
      <c r="E14788" s="7"/>
    </row>
    <row r="14789" spans="3:5">
      <c r="C14789" s="17"/>
      <c r="D14789" s="17"/>
      <c r="E14789" s="7"/>
    </row>
    <row r="14790" spans="3:5">
      <c r="C14790" s="17"/>
      <c r="D14790" s="17"/>
      <c r="E14790" s="7"/>
    </row>
    <row r="14791" spans="3:5">
      <c r="C14791" s="17"/>
      <c r="D14791" s="17"/>
      <c r="E14791" s="7"/>
    </row>
    <row r="14792" spans="3:5">
      <c r="C14792" s="17"/>
      <c r="D14792" s="17"/>
      <c r="E14792" s="7"/>
    </row>
    <row r="14793" spans="3:5">
      <c r="C14793" s="17"/>
      <c r="D14793" s="17"/>
      <c r="E14793" s="7"/>
    </row>
    <row r="14794" spans="3:5">
      <c r="C14794" s="17"/>
      <c r="D14794" s="17"/>
      <c r="E14794" s="7"/>
    </row>
    <row r="14795" spans="3:5">
      <c r="C14795" s="17"/>
      <c r="D14795" s="17"/>
      <c r="E14795" s="7"/>
    </row>
    <row r="14796" spans="3:5">
      <c r="C14796" s="17"/>
      <c r="D14796" s="17"/>
      <c r="E14796" s="7"/>
    </row>
    <row r="14797" spans="3:5">
      <c r="C14797" s="17"/>
      <c r="D14797" s="17"/>
      <c r="E14797" s="7"/>
    </row>
    <row r="14798" spans="3:5">
      <c r="C14798" s="17"/>
      <c r="D14798" s="17"/>
      <c r="E14798" s="7"/>
    </row>
    <row r="14799" spans="3:5">
      <c r="C14799" s="17"/>
      <c r="D14799" s="17"/>
      <c r="E14799" s="7"/>
    </row>
    <row r="14800" spans="3:5">
      <c r="C14800" s="17"/>
      <c r="D14800" s="17"/>
      <c r="E14800" s="7"/>
    </row>
    <row r="14801" spans="3:5">
      <c r="C14801" s="17"/>
      <c r="D14801" s="17"/>
      <c r="E14801" s="7"/>
    </row>
    <row r="14802" spans="3:5">
      <c r="C14802" s="17"/>
      <c r="D14802" s="17"/>
      <c r="E14802" s="7"/>
    </row>
    <row r="14803" spans="3:5">
      <c r="C14803" s="17"/>
      <c r="D14803" s="17"/>
      <c r="E14803" s="7"/>
    </row>
    <row r="14804" spans="3:5">
      <c r="C14804" s="17"/>
      <c r="D14804" s="17"/>
      <c r="E14804" s="7"/>
    </row>
    <row r="14805" spans="3:5">
      <c r="C14805" s="17"/>
      <c r="D14805" s="17"/>
      <c r="E14805" s="7"/>
    </row>
    <row r="14806" spans="3:5">
      <c r="C14806" s="17"/>
      <c r="D14806" s="17"/>
      <c r="E14806" s="7"/>
    </row>
    <row r="14807" spans="3:5">
      <c r="C14807" s="17"/>
      <c r="D14807" s="17"/>
      <c r="E14807" s="7"/>
    </row>
    <row r="14808" spans="3:5">
      <c r="C14808" s="17"/>
      <c r="D14808" s="17"/>
      <c r="E14808" s="7"/>
    </row>
    <row r="14809" spans="3:5">
      <c r="C14809" s="17"/>
      <c r="D14809" s="17"/>
      <c r="E14809" s="7"/>
    </row>
    <row r="14810" spans="3:5">
      <c r="C14810" s="17"/>
      <c r="D14810" s="17"/>
      <c r="E14810" s="7"/>
    </row>
    <row r="14811" spans="3:5">
      <c r="C14811" s="17"/>
      <c r="D14811" s="17"/>
      <c r="E14811" s="7"/>
    </row>
    <row r="14812" spans="3:5">
      <c r="C14812" s="17"/>
      <c r="D14812" s="17"/>
      <c r="E14812" s="7"/>
    </row>
    <row r="14813" spans="3:5">
      <c r="C14813" s="17"/>
      <c r="D14813" s="17"/>
      <c r="E14813" s="7"/>
    </row>
    <row r="14814" spans="3:5">
      <c r="C14814" s="17"/>
      <c r="D14814" s="17"/>
      <c r="E14814" s="7"/>
    </row>
    <row r="14815" spans="3:5">
      <c r="C14815" s="17"/>
      <c r="D14815" s="17"/>
      <c r="E14815" s="7"/>
    </row>
    <row r="14816" spans="3:5">
      <c r="C14816" s="17"/>
      <c r="D14816" s="17"/>
      <c r="E14816" s="7"/>
    </row>
    <row r="14817" spans="3:5">
      <c r="C14817" s="17"/>
      <c r="D14817" s="17"/>
      <c r="E14817" s="7"/>
    </row>
    <row r="14818" spans="3:5">
      <c r="C14818" s="17"/>
      <c r="D14818" s="17"/>
      <c r="E14818" s="7"/>
    </row>
    <row r="14819" spans="3:5">
      <c r="C14819" s="17"/>
      <c r="D14819" s="17"/>
      <c r="E14819" s="7"/>
    </row>
    <row r="14820" spans="3:5">
      <c r="C14820" s="17"/>
      <c r="D14820" s="17"/>
      <c r="E14820" s="7"/>
    </row>
    <row r="14821" spans="3:5">
      <c r="C14821" s="17"/>
      <c r="D14821" s="17"/>
      <c r="E14821" s="7"/>
    </row>
    <row r="14822" spans="3:5">
      <c r="C14822" s="17"/>
      <c r="D14822" s="17"/>
      <c r="E14822" s="7"/>
    </row>
    <row r="14823" spans="3:5">
      <c r="C14823" s="17"/>
      <c r="D14823" s="17"/>
      <c r="E14823" s="7"/>
    </row>
    <row r="14824" spans="3:5">
      <c r="C14824" s="17"/>
      <c r="D14824" s="17"/>
      <c r="E14824" s="7"/>
    </row>
    <row r="14825" spans="3:5">
      <c r="C14825" s="17"/>
      <c r="D14825" s="17"/>
      <c r="E14825" s="7"/>
    </row>
    <row r="14826" spans="3:5">
      <c r="C14826" s="17"/>
      <c r="D14826" s="17"/>
      <c r="E14826" s="7"/>
    </row>
    <row r="14827" spans="3:5">
      <c r="C14827" s="17"/>
      <c r="D14827" s="17"/>
      <c r="E14827" s="7"/>
    </row>
    <row r="14828" spans="3:5">
      <c r="C14828" s="17"/>
      <c r="D14828" s="17"/>
      <c r="E14828" s="7"/>
    </row>
    <row r="14829" spans="3:5">
      <c r="C14829" s="17"/>
      <c r="D14829" s="17"/>
      <c r="E14829" s="7"/>
    </row>
    <row r="14830" spans="3:5">
      <c r="C14830" s="17"/>
      <c r="D14830" s="17"/>
      <c r="E14830" s="7"/>
    </row>
    <row r="14831" spans="3:5">
      <c r="C14831" s="17"/>
      <c r="D14831" s="17"/>
      <c r="E14831" s="7"/>
    </row>
    <row r="14832" spans="3:5">
      <c r="C14832" s="17"/>
      <c r="D14832" s="17"/>
      <c r="E14832" s="7"/>
    </row>
    <row r="14833" spans="3:5">
      <c r="C14833" s="17"/>
      <c r="D14833" s="17"/>
      <c r="E14833" s="7"/>
    </row>
    <row r="14834" spans="3:5">
      <c r="C14834" s="17"/>
      <c r="D14834" s="17"/>
      <c r="E14834" s="7"/>
    </row>
    <row r="14835" spans="3:5">
      <c r="C14835" s="17"/>
      <c r="D14835" s="17"/>
      <c r="E14835" s="7"/>
    </row>
    <row r="14836" spans="3:5">
      <c r="C14836" s="17"/>
      <c r="D14836" s="17"/>
      <c r="E14836" s="7"/>
    </row>
    <row r="14837" spans="3:5">
      <c r="C14837" s="17"/>
      <c r="D14837" s="17"/>
      <c r="E14837" s="7"/>
    </row>
    <row r="14838" spans="3:5">
      <c r="C14838" s="17"/>
      <c r="D14838" s="17"/>
      <c r="E14838" s="7"/>
    </row>
    <row r="14839" spans="3:5">
      <c r="C14839" s="17"/>
      <c r="D14839" s="17"/>
      <c r="E14839" s="7"/>
    </row>
    <row r="14840" spans="3:5">
      <c r="C14840" s="17"/>
      <c r="D14840" s="17"/>
      <c r="E14840" s="7"/>
    </row>
    <row r="14841" spans="3:5">
      <c r="C14841" s="17"/>
      <c r="D14841" s="17"/>
      <c r="E14841" s="7"/>
    </row>
    <row r="14842" spans="3:5">
      <c r="C14842" s="17"/>
      <c r="D14842" s="17"/>
      <c r="E14842" s="7"/>
    </row>
    <row r="14843" spans="3:5">
      <c r="C14843" s="17"/>
      <c r="D14843" s="17"/>
      <c r="E14843" s="7"/>
    </row>
    <row r="14844" spans="3:5">
      <c r="C14844" s="17"/>
      <c r="D14844" s="17"/>
      <c r="E14844" s="7"/>
    </row>
    <row r="14845" spans="3:5">
      <c r="C14845" s="17"/>
      <c r="D14845" s="17"/>
      <c r="E14845" s="7"/>
    </row>
    <row r="14846" spans="3:5">
      <c r="C14846" s="17"/>
      <c r="D14846" s="17"/>
      <c r="E14846" s="7"/>
    </row>
    <row r="14847" spans="3:5">
      <c r="C14847" s="17"/>
      <c r="D14847" s="17"/>
      <c r="E14847" s="7"/>
    </row>
    <row r="14848" spans="3:5">
      <c r="C14848" s="17"/>
      <c r="D14848" s="17"/>
      <c r="E14848" s="7"/>
    </row>
    <row r="14849" spans="3:5">
      <c r="C14849" s="17"/>
      <c r="D14849" s="17"/>
      <c r="E14849" s="7"/>
    </row>
    <row r="14850" spans="3:5">
      <c r="C14850" s="17"/>
      <c r="D14850" s="17"/>
      <c r="E14850" s="7"/>
    </row>
    <row r="14851" spans="3:5">
      <c r="C14851" s="17"/>
      <c r="D14851" s="17"/>
      <c r="E14851" s="7"/>
    </row>
    <row r="14852" spans="3:5">
      <c r="C14852" s="17"/>
      <c r="D14852" s="17"/>
      <c r="E14852" s="7"/>
    </row>
    <row r="14853" spans="3:5">
      <c r="C14853" s="17"/>
      <c r="D14853" s="17"/>
      <c r="E14853" s="7"/>
    </row>
    <row r="14854" spans="3:5">
      <c r="C14854" s="17"/>
      <c r="D14854" s="17"/>
      <c r="E14854" s="7"/>
    </row>
    <row r="14855" spans="3:5">
      <c r="C14855" s="17"/>
      <c r="D14855" s="17"/>
      <c r="E14855" s="7"/>
    </row>
    <row r="14856" spans="3:5">
      <c r="C14856" s="17"/>
      <c r="D14856" s="17"/>
      <c r="E14856" s="7"/>
    </row>
    <row r="14857" spans="3:5">
      <c r="C14857" s="17"/>
      <c r="D14857" s="17"/>
      <c r="E14857" s="7"/>
    </row>
    <row r="14858" spans="3:5">
      <c r="C14858" s="17"/>
      <c r="D14858" s="17"/>
      <c r="E14858" s="7"/>
    </row>
    <row r="14859" spans="3:5">
      <c r="C14859" s="17"/>
      <c r="D14859" s="17"/>
      <c r="E14859" s="7"/>
    </row>
    <row r="14860" spans="3:5">
      <c r="C14860" s="17"/>
      <c r="D14860" s="17"/>
      <c r="E14860" s="7"/>
    </row>
    <row r="14861" spans="3:5">
      <c r="C14861" s="17"/>
      <c r="D14861" s="17"/>
      <c r="E14861" s="7"/>
    </row>
    <row r="14862" spans="3:5">
      <c r="C14862" s="17"/>
      <c r="D14862" s="17"/>
      <c r="E14862" s="7"/>
    </row>
    <row r="14863" spans="3:5">
      <c r="C14863" s="17"/>
      <c r="D14863" s="17"/>
      <c r="E14863" s="7"/>
    </row>
    <row r="14864" spans="3:5">
      <c r="C14864" s="17"/>
      <c r="D14864" s="17"/>
      <c r="E14864" s="7"/>
    </row>
    <row r="14865" spans="3:5">
      <c r="C14865" s="17"/>
      <c r="D14865" s="17"/>
      <c r="E14865" s="7"/>
    </row>
    <row r="14866" spans="3:5">
      <c r="C14866" s="17"/>
      <c r="D14866" s="17"/>
      <c r="E14866" s="7"/>
    </row>
    <row r="14867" spans="3:5">
      <c r="C14867" s="17"/>
      <c r="D14867" s="17"/>
      <c r="E14867" s="7"/>
    </row>
    <row r="14868" spans="3:5">
      <c r="C14868" s="17"/>
      <c r="D14868" s="17"/>
      <c r="E14868" s="7"/>
    </row>
    <row r="14869" spans="3:5">
      <c r="C14869" s="17"/>
      <c r="D14869" s="17"/>
      <c r="E14869" s="7"/>
    </row>
    <row r="14870" spans="3:5">
      <c r="C14870" s="17"/>
      <c r="D14870" s="17"/>
      <c r="E14870" s="7"/>
    </row>
    <row r="14871" spans="3:5">
      <c r="C14871" s="17"/>
      <c r="D14871" s="17"/>
      <c r="E14871" s="7"/>
    </row>
    <row r="14872" spans="3:5">
      <c r="C14872" s="17"/>
      <c r="D14872" s="17"/>
      <c r="E14872" s="7"/>
    </row>
    <row r="14873" spans="3:5">
      <c r="C14873" s="17"/>
      <c r="D14873" s="17"/>
      <c r="E14873" s="7"/>
    </row>
    <row r="14874" spans="3:5">
      <c r="C14874" s="17"/>
      <c r="D14874" s="17"/>
      <c r="E14874" s="7"/>
    </row>
    <row r="14875" spans="3:5">
      <c r="C14875" s="17"/>
      <c r="D14875" s="17"/>
      <c r="E14875" s="7"/>
    </row>
    <row r="14876" spans="3:5">
      <c r="C14876" s="17"/>
      <c r="D14876" s="17"/>
      <c r="E14876" s="7"/>
    </row>
    <row r="14877" spans="3:5">
      <c r="C14877" s="17"/>
      <c r="D14877" s="17"/>
      <c r="E14877" s="7"/>
    </row>
    <row r="14878" spans="3:5">
      <c r="C14878" s="17"/>
      <c r="D14878" s="17"/>
      <c r="E14878" s="7"/>
    </row>
    <row r="14879" spans="3:5">
      <c r="C14879" s="17"/>
      <c r="D14879" s="17"/>
      <c r="E14879" s="7"/>
    </row>
    <row r="14880" spans="3:5">
      <c r="C14880" s="17"/>
      <c r="D14880" s="17"/>
      <c r="E14880" s="7"/>
    </row>
    <row r="14881" spans="3:5">
      <c r="C14881" s="17"/>
      <c r="D14881" s="17"/>
      <c r="E14881" s="7"/>
    </row>
    <row r="14882" spans="3:5">
      <c r="C14882" s="17"/>
      <c r="D14882" s="17"/>
      <c r="E14882" s="7"/>
    </row>
    <row r="14883" spans="3:5">
      <c r="C14883" s="17"/>
      <c r="D14883" s="17"/>
      <c r="E14883" s="7"/>
    </row>
    <row r="14884" spans="3:5">
      <c r="C14884" s="17"/>
      <c r="D14884" s="17"/>
      <c r="E14884" s="7"/>
    </row>
    <row r="14885" spans="3:5">
      <c r="C14885" s="17"/>
      <c r="D14885" s="17"/>
      <c r="E14885" s="7"/>
    </row>
    <row r="14886" spans="3:5">
      <c r="C14886" s="17"/>
      <c r="D14886" s="17"/>
      <c r="E14886" s="7"/>
    </row>
    <row r="14887" spans="3:5">
      <c r="C14887" s="17"/>
      <c r="D14887" s="17"/>
      <c r="E14887" s="7"/>
    </row>
    <row r="14888" spans="3:5">
      <c r="C14888" s="17"/>
      <c r="D14888" s="17"/>
      <c r="E14888" s="7"/>
    </row>
    <row r="14889" spans="3:5">
      <c r="C14889" s="17"/>
      <c r="D14889" s="17"/>
      <c r="E14889" s="7"/>
    </row>
    <row r="14890" spans="3:5">
      <c r="C14890" s="17"/>
      <c r="D14890" s="17"/>
      <c r="E14890" s="7"/>
    </row>
    <row r="14891" spans="3:5">
      <c r="C14891" s="17"/>
      <c r="D14891" s="17"/>
      <c r="E14891" s="7"/>
    </row>
    <row r="14892" spans="3:5">
      <c r="C14892" s="17"/>
      <c r="D14892" s="17"/>
      <c r="E14892" s="7"/>
    </row>
    <row r="14893" spans="3:5">
      <c r="C14893" s="17"/>
      <c r="D14893" s="17"/>
      <c r="E14893" s="7"/>
    </row>
    <row r="14894" spans="3:5">
      <c r="C14894" s="17"/>
      <c r="D14894" s="17"/>
      <c r="E14894" s="7"/>
    </row>
    <row r="14895" spans="3:5">
      <c r="C14895" s="17"/>
      <c r="D14895" s="17"/>
      <c r="E14895" s="7"/>
    </row>
    <row r="14896" spans="3:5">
      <c r="C14896" s="17"/>
      <c r="D14896" s="17"/>
      <c r="E14896" s="7"/>
    </row>
    <row r="14897" spans="3:5">
      <c r="C14897" s="17"/>
      <c r="D14897" s="17"/>
      <c r="E14897" s="7"/>
    </row>
    <row r="14898" spans="3:5">
      <c r="C14898" s="17"/>
      <c r="D14898" s="17"/>
      <c r="E14898" s="7"/>
    </row>
    <row r="14899" spans="3:5">
      <c r="C14899" s="17"/>
      <c r="D14899" s="17"/>
      <c r="E14899" s="7"/>
    </row>
    <row r="14900" spans="3:5">
      <c r="C14900" s="17"/>
      <c r="D14900" s="17"/>
      <c r="E14900" s="7"/>
    </row>
    <row r="14901" spans="3:5">
      <c r="C14901" s="17"/>
      <c r="D14901" s="17"/>
      <c r="E14901" s="7"/>
    </row>
    <row r="14902" spans="3:5">
      <c r="C14902" s="17"/>
      <c r="D14902" s="17"/>
      <c r="E14902" s="7"/>
    </row>
    <row r="14903" spans="3:5">
      <c r="C14903" s="17"/>
      <c r="D14903" s="17"/>
      <c r="E14903" s="7"/>
    </row>
    <row r="14904" spans="3:5">
      <c r="C14904" s="17"/>
      <c r="D14904" s="17"/>
      <c r="E14904" s="7"/>
    </row>
    <row r="14905" spans="3:5">
      <c r="C14905" s="17"/>
      <c r="D14905" s="17"/>
      <c r="E14905" s="7"/>
    </row>
    <row r="14906" spans="3:5">
      <c r="C14906" s="17"/>
      <c r="D14906" s="17"/>
      <c r="E14906" s="7"/>
    </row>
    <row r="14907" spans="3:5">
      <c r="C14907" s="17"/>
      <c r="D14907" s="17"/>
      <c r="E14907" s="7"/>
    </row>
    <row r="14908" spans="3:5">
      <c r="C14908" s="17"/>
      <c r="D14908" s="17"/>
      <c r="E14908" s="7"/>
    </row>
    <row r="14909" spans="3:5">
      <c r="C14909" s="17"/>
      <c r="D14909" s="17"/>
      <c r="E14909" s="7"/>
    </row>
    <row r="14910" spans="3:5">
      <c r="C14910" s="17"/>
      <c r="D14910" s="17"/>
      <c r="E14910" s="7"/>
    </row>
    <row r="14911" spans="3:5">
      <c r="C14911" s="17"/>
      <c r="D14911" s="17"/>
      <c r="E14911" s="7"/>
    </row>
    <row r="14912" spans="3:5">
      <c r="C14912" s="17"/>
      <c r="D14912" s="17"/>
      <c r="E14912" s="7"/>
    </row>
    <row r="14913" spans="3:5">
      <c r="C14913" s="17"/>
      <c r="D14913" s="17"/>
      <c r="E14913" s="7"/>
    </row>
    <row r="14914" spans="3:5">
      <c r="C14914" s="17"/>
      <c r="D14914" s="17"/>
      <c r="E14914" s="7"/>
    </row>
    <row r="14915" spans="3:5">
      <c r="C14915" s="17"/>
      <c r="D14915" s="17"/>
      <c r="E14915" s="7"/>
    </row>
    <row r="14916" spans="3:5">
      <c r="C14916" s="17"/>
      <c r="D14916" s="17"/>
      <c r="E14916" s="7"/>
    </row>
    <row r="14917" spans="3:5">
      <c r="C14917" s="17"/>
      <c r="D14917" s="17"/>
      <c r="E14917" s="7"/>
    </row>
    <row r="14918" spans="3:5">
      <c r="C14918" s="17"/>
      <c r="D14918" s="17"/>
      <c r="E14918" s="7"/>
    </row>
    <row r="14919" spans="3:5">
      <c r="C14919" s="17"/>
      <c r="D14919" s="17"/>
      <c r="E14919" s="7"/>
    </row>
    <row r="14920" spans="3:5">
      <c r="C14920" s="17"/>
      <c r="D14920" s="17"/>
      <c r="E14920" s="7"/>
    </row>
    <row r="14921" spans="3:5">
      <c r="C14921" s="17"/>
      <c r="D14921" s="17"/>
      <c r="E14921" s="7"/>
    </row>
    <row r="14922" spans="3:5">
      <c r="C14922" s="17"/>
      <c r="D14922" s="17"/>
      <c r="E14922" s="7"/>
    </row>
    <row r="14923" spans="3:5">
      <c r="C14923" s="17"/>
      <c r="D14923" s="17"/>
      <c r="E14923" s="7"/>
    </row>
    <row r="14924" spans="3:5">
      <c r="C14924" s="17"/>
      <c r="D14924" s="17"/>
      <c r="E14924" s="7"/>
    </row>
    <row r="14925" spans="3:5">
      <c r="C14925" s="17"/>
      <c r="D14925" s="17"/>
      <c r="E14925" s="7"/>
    </row>
    <row r="14926" spans="3:5">
      <c r="C14926" s="17"/>
      <c r="D14926" s="17"/>
      <c r="E14926" s="7"/>
    </row>
    <row r="14927" spans="3:5">
      <c r="C14927" s="17"/>
      <c r="D14927" s="17"/>
      <c r="E14927" s="7"/>
    </row>
    <row r="14928" spans="3:5">
      <c r="C14928" s="17"/>
      <c r="D14928" s="17"/>
      <c r="E14928" s="7"/>
    </row>
    <row r="14929" spans="3:5">
      <c r="C14929" s="17"/>
      <c r="D14929" s="17"/>
      <c r="E14929" s="7"/>
    </row>
    <row r="14930" spans="3:5">
      <c r="C14930" s="17"/>
      <c r="D14930" s="17"/>
      <c r="E14930" s="7"/>
    </row>
    <row r="14931" spans="3:5">
      <c r="C14931" s="17"/>
      <c r="D14931" s="17"/>
      <c r="E14931" s="7"/>
    </row>
    <row r="14932" spans="3:5">
      <c r="C14932" s="17"/>
      <c r="D14932" s="17"/>
      <c r="E14932" s="7"/>
    </row>
    <row r="14933" spans="3:5">
      <c r="C14933" s="17"/>
      <c r="D14933" s="17"/>
      <c r="E14933" s="7"/>
    </row>
    <row r="14934" spans="3:5">
      <c r="C14934" s="17"/>
      <c r="D14934" s="17"/>
      <c r="E14934" s="7"/>
    </row>
    <row r="14935" spans="3:5">
      <c r="C14935" s="17"/>
      <c r="D14935" s="17"/>
      <c r="E14935" s="7"/>
    </row>
    <row r="14936" spans="3:5">
      <c r="C14936" s="17"/>
      <c r="D14936" s="17"/>
      <c r="E14936" s="7"/>
    </row>
    <row r="14937" spans="3:5">
      <c r="C14937" s="17"/>
      <c r="D14937" s="17"/>
      <c r="E14937" s="7"/>
    </row>
    <row r="14938" spans="3:5">
      <c r="C14938" s="17"/>
      <c r="D14938" s="17"/>
      <c r="E14938" s="7"/>
    </row>
    <row r="14939" spans="3:5">
      <c r="C14939" s="17"/>
      <c r="D14939" s="17"/>
      <c r="E14939" s="7"/>
    </row>
    <row r="14940" spans="3:5">
      <c r="C14940" s="17"/>
      <c r="D14940" s="17"/>
      <c r="E14940" s="7"/>
    </row>
    <row r="14941" spans="3:5">
      <c r="C14941" s="17"/>
      <c r="D14941" s="17"/>
      <c r="E14941" s="7"/>
    </row>
    <row r="14942" spans="3:5">
      <c r="C14942" s="17"/>
      <c r="D14942" s="17"/>
      <c r="E14942" s="7"/>
    </row>
    <row r="14943" spans="3:5">
      <c r="C14943" s="17"/>
      <c r="D14943" s="17"/>
      <c r="E14943" s="7"/>
    </row>
    <row r="14944" spans="3:5">
      <c r="C14944" s="17"/>
      <c r="D14944" s="17"/>
      <c r="E14944" s="7"/>
    </row>
    <row r="14945" spans="3:5">
      <c r="C14945" s="17"/>
      <c r="D14945" s="17"/>
      <c r="E14945" s="7"/>
    </row>
    <row r="14946" spans="3:5">
      <c r="C14946" s="17"/>
      <c r="D14946" s="17"/>
      <c r="E14946" s="7"/>
    </row>
    <row r="14947" spans="3:5">
      <c r="C14947" s="17"/>
      <c r="D14947" s="17"/>
      <c r="E14947" s="7"/>
    </row>
    <row r="14948" spans="3:5">
      <c r="C14948" s="17"/>
      <c r="D14948" s="17"/>
      <c r="E14948" s="7"/>
    </row>
    <row r="14949" spans="3:5">
      <c r="C14949" s="17"/>
      <c r="D14949" s="17"/>
      <c r="E14949" s="7"/>
    </row>
    <row r="14950" spans="3:5">
      <c r="C14950" s="17"/>
      <c r="D14950" s="17"/>
      <c r="E14950" s="7"/>
    </row>
    <row r="14951" spans="3:5">
      <c r="C14951" s="17"/>
      <c r="D14951" s="17"/>
      <c r="E14951" s="7"/>
    </row>
    <row r="14952" spans="3:5">
      <c r="C14952" s="17"/>
      <c r="D14952" s="17"/>
      <c r="E14952" s="7"/>
    </row>
    <row r="14953" spans="3:5">
      <c r="C14953" s="17"/>
      <c r="D14953" s="17"/>
      <c r="E14953" s="7"/>
    </row>
    <row r="14954" spans="3:5">
      <c r="C14954" s="17"/>
      <c r="D14954" s="17"/>
      <c r="E14954" s="7"/>
    </row>
    <row r="14955" spans="3:5">
      <c r="C14955" s="17"/>
      <c r="D14955" s="17"/>
      <c r="E14955" s="7"/>
    </row>
    <row r="14956" spans="3:5">
      <c r="C14956" s="17"/>
      <c r="D14956" s="17"/>
      <c r="E14956" s="7"/>
    </row>
    <row r="14957" spans="3:5">
      <c r="C14957" s="17"/>
      <c r="D14957" s="17"/>
      <c r="E14957" s="7"/>
    </row>
    <row r="14958" spans="3:5">
      <c r="C14958" s="17"/>
      <c r="D14958" s="17"/>
      <c r="E14958" s="7"/>
    </row>
    <row r="14959" spans="3:5">
      <c r="C14959" s="17"/>
      <c r="D14959" s="17"/>
      <c r="E14959" s="7"/>
    </row>
    <row r="14960" spans="3:5">
      <c r="C14960" s="17"/>
      <c r="D14960" s="17"/>
      <c r="E14960" s="7"/>
    </row>
    <row r="14961" spans="3:5">
      <c r="C14961" s="17"/>
      <c r="D14961" s="17"/>
      <c r="E14961" s="7"/>
    </row>
    <row r="14962" spans="3:5">
      <c r="C14962" s="17"/>
      <c r="D14962" s="17"/>
      <c r="E14962" s="7"/>
    </row>
    <row r="14963" spans="3:5">
      <c r="C14963" s="17"/>
      <c r="D14963" s="17"/>
      <c r="E14963" s="7"/>
    </row>
    <row r="14964" spans="3:5">
      <c r="C14964" s="17"/>
      <c r="D14964" s="17"/>
      <c r="E14964" s="7"/>
    </row>
    <row r="14965" spans="3:5">
      <c r="C14965" s="17"/>
      <c r="D14965" s="17"/>
      <c r="E14965" s="7"/>
    </row>
    <row r="14966" spans="3:5">
      <c r="C14966" s="17"/>
      <c r="D14966" s="17"/>
      <c r="E14966" s="7"/>
    </row>
    <row r="14967" spans="3:5">
      <c r="C14967" s="17"/>
      <c r="D14967" s="17"/>
      <c r="E14967" s="7"/>
    </row>
    <row r="14968" spans="3:5">
      <c r="C14968" s="17"/>
      <c r="D14968" s="17"/>
      <c r="E14968" s="7"/>
    </row>
    <row r="14969" spans="3:5">
      <c r="C14969" s="17"/>
      <c r="D14969" s="17"/>
      <c r="E14969" s="7"/>
    </row>
    <row r="14970" spans="3:5">
      <c r="C14970" s="17"/>
      <c r="D14970" s="17"/>
      <c r="E14970" s="7"/>
    </row>
    <row r="14971" spans="3:5">
      <c r="C14971" s="17"/>
      <c r="D14971" s="17"/>
      <c r="E14971" s="7"/>
    </row>
    <row r="14972" spans="3:5">
      <c r="C14972" s="17"/>
      <c r="D14972" s="17"/>
      <c r="E14972" s="7"/>
    </row>
    <row r="14973" spans="3:5">
      <c r="C14973" s="17"/>
      <c r="D14973" s="17"/>
      <c r="E14973" s="7"/>
    </row>
    <row r="14974" spans="3:5">
      <c r="C14974" s="17"/>
      <c r="D14974" s="17"/>
      <c r="E14974" s="7"/>
    </row>
    <row r="14975" spans="3:5">
      <c r="C14975" s="17"/>
      <c r="D14975" s="17"/>
      <c r="E14975" s="7"/>
    </row>
    <row r="14976" spans="3:5">
      <c r="C14976" s="17"/>
      <c r="D14976" s="17"/>
      <c r="E14976" s="7"/>
    </row>
    <row r="14977" spans="3:5">
      <c r="C14977" s="17"/>
      <c r="D14977" s="17"/>
      <c r="E14977" s="7"/>
    </row>
    <row r="14978" spans="3:5">
      <c r="C14978" s="17"/>
      <c r="D14978" s="17"/>
      <c r="E14978" s="7"/>
    </row>
    <row r="14979" spans="3:5">
      <c r="C14979" s="17"/>
      <c r="D14979" s="17"/>
      <c r="E14979" s="7"/>
    </row>
    <row r="14980" spans="3:5">
      <c r="C14980" s="17"/>
      <c r="D14980" s="17"/>
      <c r="E14980" s="7"/>
    </row>
    <row r="14981" spans="3:5">
      <c r="C14981" s="17"/>
      <c r="D14981" s="17"/>
      <c r="E14981" s="7"/>
    </row>
    <row r="14982" spans="3:5">
      <c r="C14982" s="17"/>
      <c r="D14982" s="17"/>
      <c r="E14982" s="7"/>
    </row>
    <row r="14983" spans="3:5">
      <c r="C14983" s="17"/>
      <c r="D14983" s="17"/>
      <c r="E14983" s="7"/>
    </row>
    <row r="14984" spans="3:5">
      <c r="C14984" s="17"/>
      <c r="D14984" s="17"/>
      <c r="E14984" s="7"/>
    </row>
    <row r="14985" spans="3:5">
      <c r="C14985" s="17"/>
      <c r="D14985" s="17"/>
      <c r="E14985" s="7"/>
    </row>
    <row r="14986" spans="3:5">
      <c r="C14986" s="17"/>
      <c r="D14986" s="17"/>
      <c r="E14986" s="7"/>
    </row>
    <row r="14987" spans="3:5">
      <c r="C14987" s="17"/>
      <c r="D14987" s="17"/>
      <c r="E14987" s="7"/>
    </row>
    <row r="14988" spans="3:5">
      <c r="C14988" s="17"/>
      <c r="D14988" s="17"/>
      <c r="E14988" s="7"/>
    </row>
    <row r="14989" spans="3:5">
      <c r="C14989" s="17"/>
      <c r="D14989" s="17"/>
      <c r="E14989" s="7"/>
    </row>
    <row r="14990" spans="3:5">
      <c r="C14990" s="17"/>
      <c r="D14990" s="17"/>
      <c r="E14990" s="7"/>
    </row>
    <row r="14991" spans="3:5">
      <c r="C14991" s="17"/>
      <c r="D14991" s="17"/>
      <c r="E14991" s="7"/>
    </row>
    <row r="14992" spans="3:5">
      <c r="C14992" s="17"/>
      <c r="D14992" s="17"/>
      <c r="E14992" s="7"/>
    </row>
    <row r="14993" spans="3:5">
      <c r="C14993" s="17"/>
      <c r="D14993" s="17"/>
      <c r="E14993" s="7"/>
    </row>
    <row r="14994" spans="3:5">
      <c r="C14994" s="17"/>
      <c r="D14994" s="17"/>
      <c r="E14994" s="7"/>
    </row>
    <row r="14995" spans="3:5">
      <c r="C14995" s="17"/>
      <c r="D14995" s="17"/>
      <c r="E14995" s="7"/>
    </row>
    <row r="14996" spans="3:5">
      <c r="C14996" s="17"/>
      <c r="D14996" s="17"/>
      <c r="E14996" s="7"/>
    </row>
    <row r="14997" spans="3:5">
      <c r="C14997" s="17"/>
      <c r="D14997" s="17"/>
      <c r="E14997" s="7"/>
    </row>
    <row r="14998" spans="3:5">
      <c r="C14998" s="17"/>
      <c r="D14998" s="17"/>
      <c r="E14998" s="7"/>
    </row>
    <row r="14999" spans="3:5">
      <c r="C14999" s="17"/>
      <c r="D14999" s="17"/>
      <c r="E14999" s="7"/>
    </row>
    <row r="15000" spans="3:5">
      <c r="C15000" s="17"/>
      <c r="D15000" s="17"/>
      <c r="E15000" s="7"/>
    </row>
    <row r="15001" spans="3:5">
      <c r="C15001" s="17"/>
      <c r="D15001" s="17"/>
      <c r="E15001" s="7"/>
    </row>
    <row r="15002" spans="3:5">
      <c r="C15002" s="17"/>
      <c r="D15002" s="17"/>
      <c r="E15002" s="7"/>
    </row>
    <row r="15003" spans="3:5">
      <c r="C15003" s="17"/>
      <c r="D15003" s="17"/>
      <c r="E15003" s="7"/>
    </row>
    <row r="15004" spans="3:5">
      <c r="C15004" s="17"/>
      <c r="D15004" s="17"/>
      <c r="E15004" s="7"/>
    </row>
    <row r="15005" spans="3:5">
      <c r="C15005" s="17"/>
      <c r="D15005" s="17"/>
      <c r="E15005" s="7"/>
    </row>
    <row r="15006" spans="3:5">
      <c r="C15006" s="17"/>
      <c r="D15006" s="17"/>
      <c r="E15006" s="7"/>
    </row>
    <row r="15007" spans="3:5">
      <c r="C15007" s="17"/>
      <c r="D15007" s="17"/>
      <c r="E15007" s="7"/>
    </row>
    <row r="15008" spans="3:5">
      <c r="C15008" s="17"/>
      <c r="D15008" s="17"/>
      <c r="E15008" s="7"/>
    </row>
    <row r="15009" spans="3:5">
      <c r="C15009" s="17"/>
      <c r="D15009" s="17"/>
      <c r="E15009" s="7"/>
    </row>
    <row r="15010" spans="3:5">
      <c r="C15010" s="17"/>
      <c r="D15010" s="17"/>
      <c r="E15010" s="7"/>
    </row>
    <row r="15011" spans="3:5">
      <c r="C15011" s="17"/>
      <c r="D15011" s="17"/>
      <c r="E15011" s="7"/>
    </row>
    <row r="15012" spans="3:5">
      <c r="C15012" s="17"/>
      <c r="D15012" s="17"/>
      <c r="E15012" s="7"/>
    </row>
    <row r="15013" spans="3:5">
      <c r="C15013" s="17"/>
      <c r="D15013" s="17"/>
      <c r="E15013" s="7"/>
    </row>
    <row r="15014" spans="3:5">
      <c r="C15014" s="17"/>
      <c r="D15014" s="17"/>
      <c r="E15014" s="7"/>
    </row>
    <row r="15015" spans="3:5">
      <c r="C15015" s="17"/>
      <c r="D15015" s="17"/>
      <c r="E15015" s="7"/>
    </row>
    <row r="15016" spans="3:5">
      <c r="C15016" s="17"/>
      <c r="D15016" s="17"/>
      <c r="E15016" s="7"/>
    </row>
    <row r="15017" spans="3:5">
      <c r="C15017" s="17"/>
      <c r="D15017" s="17"/>
      <c r="E15017" s="7"/>
    </row>
    <row r="15018" spans="3:5">
      <c r="C15018" s="17"/>
      <c r="D15018" s="17"/>
      <c r="E15018" s="7"/>
    </row>
    <row r="15019" spans="3:5">
      <c r="C15019" s="17"/>
      <c r="D15019" s="17"/>
      <c r="E15019" s="7"/>
    </row>
    <row r="15020" spans="3:5">
      <c r="C15020" s="17"/>
      <c r="D15020" s="17"/>
      <c r="E15020" s="7"/>
    </row>
    <row r="15021" spans="3:5">
      <c r="C15021" s="17"/>
      <c r="D15021" s="17"/>
      <c r="E15021" s="7"/>
    </row>
    <row r="15022" spans="3:5">
      <c r="C15022" s="17"/>
      <c r="D15022" s="17"/>
      <c r="E15022" s="7"/>
    </row>
    <row r="15023" spans="3:5">
      <c r="C15023" s="17"/>
      <c r="D15023" s="17"/>
      <c r="E15023" s="7"/>
    </row>
    <row r="15024" spans="3:5">
      <c r="C15024" s="17"/>
      <c r="D15024" s="17"/>
      <c r="E15024" s="7"/>
    </row>
    <row r="15025" spans="3:5">
      <c r="C15025" s="17"/>
      <c r="D15025" s="17"/>
      <c r="E15025" s="7"/>
    </row>
    <row r="15026" spans="3:5">
      <c r="C15026" s="17"/>
      <c r="D15026" s="17"/>
      <c r="E15026" s="7"/>
    </row>
    <row r="15027" spans="3:5">
      <c r="C15027" s="17"/>
      <c r="D15027" s="17"/>
      <c r="E15027" s="7"/>
    </row>
    <row r="15028" spans="3:5">
      <c r="C15028" s="17"/>
      <c r="D15028" s="17"/>
      <c r="E15028" s="7"/>
    </row>
    <row r="15029" spans="3:5">
      <c r="C15029" s="17"/>
      <c r="D15029" s="17"/>
      <c r="E15029" s="7"/>
    </row>
    <row r="15030" spans="3:5">
      <c r="C15030" s="17"/>
      <c r="D15030" s="17"/>
      <c r="E15030" s="7"/>
    </row>
    <row r="15031" spans="3:5">
      <c r="C15031" s="17"/>
      <c r="D15031" s="17"/>
      <c r="E15031" s="7"/>
    </row>
    <row r="15032" spans="3:5">
      <c r="C15032" s="17"/>
      <c r="D15032" s="17"/>
      <c r="E15032" s="7"/>
    </row>
    <row r="15033" spans="3:5">
      <c r="C15033" s="17"/>
      <c r="D15033" s="17"/>
      <c r="E15033" s="7"/>
    </row>
    <row r="15034" spans="3:5">
      <c r="C15034" s="17"/>
      <c r="D15034" s="17"/>
      <c r="E15034" s="7"/>
    </row>
    <row r="15035" spans="3:5">
      <c r="C15035" s="17"/>
      <c r="D15035" s="17"/>
      <c r="E15035" s="7"/>
    </row>
    <row r="15036" spans="3:5">
      <c r="C15036" s="17"/>
      <c r="D15036" s="17"/>
      <c r="E15036" s="7"/>
    </row>
    <row r="15037" spans="3:5">
      <c r="C15037" s="17"/>
      <c r="D15037" s="17"/>
      <c r="E15037" s="7"/>
    </row>
    <row r="15038" spans="3:5">
      <c r="C15038" s="17"/>
      <c r="D15038" s="17"/>
      <c r="E15038" s="7"/>
    </row>
    <row r="15039" spans="3:5">
      <c r="C15039" s="17"/>
      <c r="D15039" s="17"/>
      <c r="E15039" s="7"/>
    </row>
    <row r="15040" spans="3:5">
      <c r="C15040" s="17"/>
      <c r="D15040" s="17"/>
      <c r="E15040" s="7"/>
    </row>
    <row r="15041" spans="3:5">
      <c r="C15041" s="17"/>
      <c r="D15041" s="17"/>
      <c r="E15041" s="7"/>
    </row>
    <row r="15042" spans="3:5">
      <c r="C15042" s="17"/>
      <c r="D15042" s="17"/>
      <c r="E15042" s="7"/>
    </row>
    <row r="15043" spans="3:5">
      <c r="C15043" s="17"/>
      <c r="D15043" s="17"/>
      <c r="E15043" s="7"/>
    </row>
    <row r="15044" spans="3:5">
      <c r="C15044" s="17"/>
      <c r="D15044" s="17"/>
      <c r="E15044" s="7"/>
    </row>
    <row r="15045" spans="3:5">
      <c r="C15045" s="17"/>
      <c r="D15045" s="17"/>
      <c r="E15045" s="7"/>
    </row>
    <row r="15046" spans="3:5">
      <c r="C15046" s="17"/>
      <c r="D15046" s="17"/>
      <c r="E15046" s="7"/>
    </row>
    <row r="15047" spans="3:5">
      <c r="C15047" s="17"/>
      <c r="D15047" s="17"/>
      <c r="E15047" s="7"/>
    </row>
    <row r="15048" spans="3:5">
      <c r="C15048" s="17"/>
      <c r="D15048" s="17"/>
      <c r="E15048" s="7"/>
    </row>
    <row r="15049" spans="3:5">
      <c r="C15049" s="17"/>
      <c r="D15049" s="17"/>
      <c r="E15049" s="7"/>
    </row>
    <row r="15050" spans="3:5">
      <c r="C15050" s="17"/>
      <c r="D15050" s="17"/>
      <c r="E15050" s="7"/>
    </row>
    <row r="15051" spans="3:5">
      <c r="C15051" s="17"/>
      <c r="D15051" s="17"/>
      <c r="E15051" s="7"/>
    </row>
    <row r="15052" spans="3:5">
      <c r="C15052" s="17"/>
      <c r="D15052" s="17"/>
      <c r="E15052" s="7"/>
    </row>
    <row r="15053" spans="3:5">
      <c r="C15053" s="17"/>
      <c r="D15053" s="17"/>
      <c r="E15053" s="7"/>
    </row>
    <row r="15054" spans="3:5">
      <c r="C15054" s="17"/>
      <c r="D15054" s="17"/>
      <c r="E15054" s="7"/>
    </row>
    <row r="15055" spans="3:5">
      <c r="C15055" s="17"/>
      <c r="D15055" s="17"/>
      <c r="E15055" s="7"/>
    </row>
    <row r="15056" spans="3:5">
      <c r="C15056" s="17"/>
      <c r="D15056" s="17"/>
      <c r="E15056" s="7"/>
    </row>
    <row r="15057" spans="3:5">
      <c r="C15057" s="17"/>
      <c r="D15057" s="17"/>
      <c r="E15057" s="7"/>
    </row>
    <row r="15058" spans="3:5">
      <c r="C15058" s="17"/>
      <c r="D15058" s="17"/>
      <c r="E15058" s="7"/>
    </row>
    <row r="15059" spans="3:5">
      <c r="C15059" s="17"/>
      <c r="D15059" s="17"/>
      <c r="E15059" s="7"/>
    </row>
    <row r="15060" spans="3:5">
      <c r="C15060" s="17"/>
      <c r="D15060" s="17"/>
      <c r="E15060" s="7"/>
    </row>
    <row r="15061" spans="3:5">
      <c r="C15061" s="17"/>
      <c r="D15061" s="17"/>
      <c r="E15061" s="7"/>
    </row>
    <row r="15062" spans="3:5">
      <c r="C15062" s="17"/>
      <c r="D15062" s="17"/>
      <c r="E15062" s="7"/>
    </row>
    <row r="15063" spans="3:5">
      <c r="C15063" s="17"/>
      <c r="D15063" s="17"/>
      <c r="E15063" s="7"/>
    </row>
    <row r="15064" spans="3:5">
      <c r="C15064" s="17"/>
      <c r="D15064" s="17"/>
      <c r="E15064" s="7"/>
    </row>
    <row r="15065" spans="3:5">
      <c r="C15065" s="17"/>
      <c r="D15065" s="17"/>
      <c r="E15065" s="7"/>
    </row>
    <row r="15066" spans="3:5">
      <c r="C15066" s="17"/>
      <c r="D15066" s="17"/>
      <c r="E15066" s="7"/>
    </row>
    <row r="15067" spans="3:5">
      <c r="C15067" s="17"/>
      <c r="D15067" s="17"/>
      <c r="E15067" s="7"/>
    </row>
    <row r="15068" spans="3:5">
      <c r="C15068" s="17"/>
      <c r="D15068" s="17"/>
      <c r="E15068" s="7"/>
    </row>
    <row r="15069" spans="3:5">
      <c r="C15069" s="17"/>
      <c r="D15069" s="17"/>
      <c r="E15069" s="7"/>
    </row>
    <row r="15070" spans="3:5">
      <c r="C15070" s="17"/>
      <c r="D15070" s="17"/>
      <c r="E15070" s="7"/>
    </row>
    <row r="15071" spans="3:5">
      <c r="C15071" s="17"/>
      <c r="D15071" s="17"/>
      <c r="E15071" s="7"/>
    </row>
    <row r="15072" spans="3:5">
      <c r="C15072" s="17"/>
      <c r="D15072" s="17"/>
      <c r="E15072" s="7"/>
    </row>
    <row r="15073" spans="3:5">
      <c r="C15073" s="17"/>
      <c r="D15073" s="17"/>
      <c r="E15073" s="7"/>
    </row>
    <row r="15074" spans="3:5">
      <c r="C15074" s="17"/>
      <c r="D15074" s="17"/>
      <c r="E15074" s="7"/>
    </row>
    <row r="15075" spans="3:5">
      <c r="C15075" s="17"/>
      <c r="D15075" s="17"/>
      <c r="E15075" s="7"/>
    </row>
    <row r="15076" spans="3:5">
      <c r="C15076" s="17"/>
      <c r="D15076" s="17"/>
      <c r="E15076" s="7"/>
    </row>
    <row r="15077" spans="3:5">
      <c r="C15077" s="17"/>
      <c r="D15077" s="17"/>
      <c r="E15077" s="7"/>
    </row>
    <row r="15078" spans="3:5">
      <c r="C15078" s="17"/>
      <c r="D15078" s="17"/>
      <c r="E15078" s="7"/>
    </row>
    <row r="15079" spans="3:5">
      <c r="C15079" s="17"/>
      <c r="D15079" s="17"/>
      <c r="E15079" s="7"/>
    </row>
    <row r="15080" spans="3:5">
      <c r="C15080" s="17"/>
      <c r="D15080" s="17"/>
      <c r="E15080" s="7"/>
    </row>
    <row r="15081" spans="3:5">
      <c r="C15081" s="17"/>
      <c r="D15081" s="17"/>
      <c r="E15081" s="7"/>
    </row>
    <row r="15082" spans="3:5">
      <c r="C15082" s="17"/>
      <c r="D15082" s="17"/>
      <c r="E15082" s="7"/>
    </row>
    <row r="15083" spans="3:5">
      <c r="C15083" s="17"/>
      <c r="D15083" s="17"/>
      <c r="E15083" s="7"/>
    </row>
    <row r="15084" spans="3:5">
      <c r="C15084" s="17"/>
      <c r="D15084" s="17"/>
      <c r="E15084" s="7"/>
    </row>
    <row r="15085" spans="3:5">
      <c r="C15085" s="17"/>
      <c r="D15085" s="17"/>
      <c r="E15085" s="7"/>
    </row>
    <row r="15086" spans="3:5">
      <c r="C15086" s="17"/>
      <c r="D15086" s="17"/>
      <c r="E15086" s="7"/>
    </row>
    <row r="15087" spans="3:5">
      <c r="C15087" s="17"/>
      <c r="D15087" s="17"/>
      <c r="E15087" s="7"/>
    </row>
    <row r="15088" spans="3:5">
      <c r="C15088" s="17"/>
      <c r="D15088" s="17"/>
      <c r="E15088" s="7"/>
    </row>
    <row r="15089" spans="3:5">
      <c r="C15089" s="17"/>
      <c r="D15089" s="17"/>
      <c r="E15089" s="7"/>
    </row>
    <row r="15090" spans="3:5">
      <c r="C15090" s="17"/>
      <c r="D15090" s="17"/>
      <c r="E15090" s="7"/>
    </row>
    <row r="15091" spans="3:5">
      <c r="C15091" s="17"/>
      <c r="D15091" s="17"/>
      <c r="E15091" s="7"/>
    </row>
    <row r="15092" spans="3:5">
      <c r="C15092" s="17"/>
      <c r="D15092" s="17"/>
      <c r="E15092" s="7"/>
    </row>
    <row r="15093" spans="3:5">
      <c r="C15093" s="17"/>
      <c r="D15093" s="17"/>
      <c r="E15093" s="7"/>
    </row>
    <row r="15094" spans="3:5">
      <c r="C15094" s="17"/>
      <c r="D15094" s="17"/>
      <c r="E15094" s="7"/>
    </row>
    <row r="15095" spans="3:5">
      <c r="C15095" s="17"/>
      <c r="D15095" s="17"/>
      <c r="E15095" s="7"/>
    </row>
    <row r="15096" spans="3:5">
      <c r="C15096" s="17"/>
      <c r="D15096" s="17"/>
      <c r="E15096" s="7"/>
    </row>
    <row r="15097" spans="3:5">
      <c r="C15097" s="17"/>
      <c r="D15097" s="17"/>
      <c r="E15097" s="7"/>
    </row>
    <row r="15098" spans="3:5">
      <c r="C15098" s="17"/>
      <c r="D15098" s="17"/>
      <c r="E15098" s="7"/>
    </row>
    <row r="15099" spans="3:5">
      <c r="C15099" s="17"/>
      <c r="D15099" s="17"/>
      <c r="E15099" s="7"/>
    </row>
    <row r="15100" spans="3:5">
      <c r="C15100" s="17"/>
      <c r="D15100" s="17"/>
      <c r="E15100" s="7"/>
    </row>
    <row r="15101" spans="3:5">
      <c r="C15101" s="17"/>
      <c r="D15101" s="17"/>
      <c r="E15101" s="7"/>
    </row>
    <row r="15102" spans="3:5">
      <c r="C15102" s="17"/>
      <c r="D15102" s="17"/>
      <c r="E15102" s="7"/>
    </row>
    <row r="15103" spans="3:5">
      <c r="C15103" s="17"/>
      <c r="D15103" s="17"/>
      <c r="E15103" s="7"/>
    </row>
    <row r="15104" spans="3:5">
      <c r="C15104" s="17"/>
      <c r="D15104" s="17"/>
      <c r="E15104" s="7"/>
    </row>
    <row r="15105" spans="3:5">
      <c r="C15105" s="17"/>
      <c r="D15105" s="17"/>
      <c r="E15105" s="7"/>
    </row>
    <row r="15106" spans="3:5">
      <c r="C15106" s="17"/>
      <c r="D15106" s="17"/>
      <c r="E15106" s="7"/>
    </row>
    <row r="15107" spans="3:5">
      <c r="C15107" s="17"/>
      <c r="D15107" s="17"/>
      <c r="E15107" s="7"/>
    </row>
    <row r="15108" spans="3:5">
      <c r="C15108" s="17"/>
      <c r="D15108" s="17"/>
      <c r="E15108" s="7"/>
    </row>
    <row r="15109" spans="3:5">
      <c r="C15109" s="17"/>
      <c r="D15109" s="17"/>
      <c r="E15109" s="7"/>
    </row>
    <row r="15110" spans="3:5">
      <c r="C15110" s="17"/>
      <c r="D15110" s="17"/>
      <c r="E15110" s="7"/>
    </row>
    <row r="15111" spans="3:5">
      <c r="C15111" s="17"/>
      <c r="D15111" s="17"/>
      <c r="E15111" s="7"/>
    </row>
    <row r="15112" spans="3:5">
      <c r="C15112" s="17"/>
      <c r="D15112" s="17"/>
      <c r="E15112" s="7"/>
    </row>
    <row r="15113" spans="3:5">
      <c r="C15113" s="17"/>
      <c r="D15113" s="17"/>
      <c r="E15113" s="7"/>
    </row>
    <row r="15114" spans="3:5">
      <c r="C15114" s="17"/>
      <c r="D15114" s="17"/>
      <c r="E15114" s="7"/>
    </row>
    <row r="15115" spans="3:5">
      <c r="C15115" s="17"/>
      <c r="D15115" s="17"/>
      <c r="E15115" s="7"/>
    </row>
    <row r="15116" spans="3:5">
      <c r="C15116" s="17"/>
      <c r="D15116" s="17"/>
      <c r="E15116" s="7"/>
    </row>
    <row r="15117" spans="3:5">
      <c r="C15117" s="17"/>
      <c r="D15117" s="17"/>
      <c r="E15117" s="7"/>
    </row>
    <row r="15118" spans="3:5">
      <c r="C15118" s="17"/>
      <c r="D15118" s="17"/>
      <c r="E15118" s="7"/>
    </row>
    <row r="15119" spans="3:5">
      <c r="C15119" s="17"/>
      <c r="D15119" s="17"/>
      <c r="E15119" s="7"/>
    </row>
    <row r="15120" spans="3:5">
      <c r="C15120" s="17"/>
      <c r="D15120" s="17"/>
      <c r="E15120" s="7"/>
    </row>
    <row r="15121" spans="3:5">
      <c r="C15121" s="17"/>
      <c r="D15121" s="17"/>
      <c r="E15121" s="7"/>
    </row>
    <row r="15122" spans="3:5">
      <c r="C15122" s="17"/>
      <c r="D15122" s="17"/>
      <c r="E15122" s="7"/>
    </row>
    <row r="15123" spans="3:5">
      <c r="C15123" s="17"/>
      <c r="D15123" s="17"/>
      <c r="E15123" s="7"/>
    </row>
    <row r="15124" spans="3:5">
      <c r="C15124" s="17"/>
      <c r="D15124" s="17"/>
      <c r="E15124" s="7"/>
    </row>
    <row r="15125" spans="3:5">
      <c r="C15125" s="17"/>
      <c r="D15125" s="17"/>
      <c r="E15125" s="7"/>
    </row>
    <row r="15126" spans="3:5">
      <c r="C15126" s="17"/>
      <c r="D15126" s="17"/>
      <c r="E15126" s="7"/>
    </row>
    <row r="15127" spans="3:5">
      <c r="C15127" s="17"/>
      <c r="D15127" s="17"/>
      <c r="E15127" s="7"/>
    </row>
    <row r="15128" spans="3:5">
      <c r="C15128" s="17"/>
      <c r="D15128" s="17"/>
      <c r="E15128" s="7"/>
    </row>
    <row r="15129" spans="3:5">
      <c r="C15129" s="17"/>
      <c r="D15129" s="17"/>
      <c r="E15129" s="7"/>
    </row>
    <row r="15130" spans="3:5">
      <c r="C15130" s="17"/>
      <c r="D15130" s="17"/>
      <c r="E15130" s="7"/>
    </row>
    <row r="15131" spans="3:5">
      <c r="C15131" s="17"/>
      <c r="D15131" s="17"/>
      <c r="E15131" s="7"/>
    </row>
    <row r="15132" spans="3:5">
      <c r="C15132" s="17"/>
      <c r="D15132" s="17"/>
      <c r="E15132" s="7"/>
    </row>
    <row r="15133" spans="3:5">
      <c r="C15133" s="17"/>
      <c r="D15133" s="17"/>
      <c r="E15133" s="7"/>
    </row>
    <row r="15134" spans="3:5">
      <c r="C15134" s="17"/>
      <c r="D15134" s="17"/>
      <c r="E15134" s="7"/>
    </row>
    <row r="15135" spans="3:5">
      <c r="C15135" s="17"/>
      <c r="D15135" s="17"/>
      <c r="E15135" s="7"/>
    </row>
    <row r="15136" spans="3:5">
      <c r="C15136" s="17"/>
      <c r="D15136" s="17"/>
      <c r="E15136" s="7"/>
    </row>
    <row r="15137" spans="3:5">
      <c r="C15137" s="17"/>
      <c r="D15137" s="17"/>
      <c r="E15137" s="7"/>
    </row>
    <row r="15138" spans="3:5">
      <c r="C15138" s="17"/>
      <c r="D15138" s="17"/>
      <c r="E15138" s="7"/>
    </row>
    <row r="15139" spans="3:5">
      <c r="C15139" s="17"/>
      <c r="D15139" s="17"/>
      <c r="E15139" s="7"/>
    </row>
    <row r="15140" spans="3:5">
      <c r="C15140" s="17"/>
      <c r="D15140" s="17"/>
      <c r="E15140" s="7"/>
    </row>
    <row r="15141" spans="3:5">
      <c r="C15141" s="17"/>
      <c r="D15141" s="17"/>
      <c r="E15141" s="7"/>
    </row>
    <row r="15142" spans="3:5">
      <c r="C15142" s="17"/>
      <c r="D15142" s="17"/>
      <c r="E15142" s="7"/>
    </row>
    <row r="15143" spans="3:5">
      <c r="C15143" s="17"/>
      <c r="D15143" s="17"/>
      <c r="E15143" s="7"/>
    </row>
    <row r="15144" spans="3:5">
      <c r="C15144" s="17"/>
      <c r="D15144" s="17"/>
      <c r="E15144" s="7"/>
    </row>
    <row r="15145" spans="3:5">
      <c r="C15145" s="17"/>
      <c r="D15145" s="17"/>
      <c r="E15145" s="7"/>
    </row>
    <row r="15146" spans="3:5">
      <c r="C15146" s="17"/>
      <c r="D15146" s="17"/>
      <c r="E15146" s="7"/>
    </row>
    <row r="15147" spans="3:5">
      <c r="C15147" s="17"/>
      <c r="D15147" s="17"/>
      <c r="E15147" s="7"/>
    </row>
    <row r="15148" spans="3:5">
      <c r="C15148" s="17"/>
      <c r="D15148" s="17"/>
      <c r="E15148" s="7"/>
    </row>
    <row r="15149" spans="3:5">
      <c r="C15149" s="17"/>
      <c r="D15149" s="17"/>
      <c r="E15149" s="7"/>
    </row>
    <row r="15150" spans="3:5">
      <c r="C15150" s="17"/>
      <c r="D15150" s="17"/>
      <c r="E15150" s="7"/>
    </row>
    <row r="15151" spans="3:5">
      <c r="C15151" s="17"/>
      <c r="D15151" s="17"/>
      <c r="E15151" s="7"/>
    </row>
    <row r="15152" spans="3:5">
      <c r="C15152" s="17"/>
      <c r="D15152" s="17"/>
      <c r="E15152" s="7"/>
    </row>
    <row r="15153" spans="3:5">
      <c r="C15153" s="17"/>
      <c r="D15153" s="17"/>
      <c r="E15153" s="7"/>
    </row>
    <row r="15154" spans="3:5">
      <c r="C15154" s="17"/>
      <c r="D15154" s="17"/>
      <c r="E15154" s="7"/>
    </row>
    <row r="15155" spans="3:5">
      <c r="C15155" s="17"/>
      <c r="D15155" s="17"/>
      <c r="E15155" s="7"/>
    </row>
    <row r="15156" spans="3:5">
      <c r="C15156" s="17"/>
      <c r="D15156" s="17"/>
      <c r="E15156" s="7"/>
    </row>
    <row r="15157" spans="3:5">
      <c r="C15157" s="17"/>
      <c r="D15157" s="17"/>
      <c r="E15157" s="7"/>
    </row>
    <row r="15158" spans="3:5">
      <c r="C15158" s="17"/>
      <c r="D15158" s="17"/>
      <c r="E15158" s="7"/>
    </row>
    <row r="15159" spans="3:5">
      <c r="C15159" s="17"/>
      <c r="D15159" s="17"/>
      <c r="E15159" s="7"/>
    </row>
    <row r="15160" spans="3:5">
      <c r="C15160" s="17"/>
      <c r="D15160" s="17"/>
      <c r="E15160" s="7"/>
    </row>
    <row r="15161" spans="3:5">
      <c r="C15161" s="17"/>
      <c r="D15161" s="17"/>
      <c r="E15161" s="7"/>
    </row>
    <row r="15162" spans="3:5">
      <c r="C15162" s="17"/>
      <c r="D15162" s="17"/>
      <c r="E15162" s="7"/>
    </row>
    <row r="15163" spans="3:5">
      <c r="C15163" s="17"/>
      <c r="D15163" s="17"/>
      <c r="E15163" s="7"/>
    </row>
    <row r="15164" spans="3:5">
      <c r="C15164" s="17"/>
      <c r="D15164" s="17"/>
      <c r="E15164" s="7"/>
    </row>
    <row r="15165" spans="3:5">
      <c r="C15165" s="17"/>
      <c r="D15165" s="17"/>
      <c r="E15165" s="7"/>
    </row>
    <row r="15166" spans="3:5">
      <c r="C15166" s="17"/>
      <c r="D15166" s="17"/>
      <c r="E15166" s="7"/>
    </row>
    <row r="15167" spans="3:5">
      <c r="C15167" s="17"/>
      <c r="D15167" s="17"/>
      <c r="E15167" s="7"/>
    </row>
    <row r="15168" spans="3:5">
      <c r="C15168" s="17"/>
      <c r="D15168" s="17"/>
      <c r="E15168" s="7"/>
    </row>
    <row r="15169" spans="3:5">
      <c r="C15169" s="17"/>
      <c r="D15169" s="17"/>
      <c r="E15169" s="7"/>
    </row>
    <row r="15170" spans="3:5">
      <c r="C15170" s="17"/>
      <c r="D15170" s="17"/>
      <c r="E15170" s="7"/>
    </row>
    <row r="15171" spans="3:5">
      <c r="C15171" s="17"/>
      <c r="D15171" s="17"/>
      <c r="E15171" s="7"/>
    </row>
    <row r="15172" spans="3:5">
      <c r="C15172" s="17"/>
      <c r="D15172" s="17"/>
      <c r="E15172" s="7"/>
    </row>
    <row r="15173" spans="3:5">
      <c r="C15173" s="17"/>
      <c r="D15173" s="17"/>
      <c r="E15173" s="7"/>
    </row>
    <row r="15174" spans="3:5">
      <c r="C15174" s="17"/>
      <c r="D15174" s="17"/>
      <c r="E15174" s="7"/>
    </row>
    <row r="15175" spans="3:5">
      <c r="C15175" s="17"/>
      <c r="D15175" s="17"/>
      <c r="E15175" s="7"/>
    </row>
    <row r="15176" spans="3:5">
      <c r="C15176" s="17"/>
      <c r="D15176" s="17"/>
      <c r="E15176" s="7"/>
    </row>
    <row r="15177" spans="3:5">
      <c r="C15177" s="17"/>
      <c r="D15177" s="17"/>
      <c r="E15177" s="7"/>
    </row>
    <row r="15178" spans="3:5">
      <c r="C15178" s="17"/>
      <c r="D15178" s="17"/>
      <c r="E15178" s="7"/>
    </row>
    <row r="15179" spans="3:5">
      <c r="C15179" s="17"/>
      <c r="D15179" s="17"/>
      <c r="E15179" s="7"/>
    </row>
    <row r="15180" spans="3:5">
      <c r="C15180" s="17"/>
      <c r="D15180" s="17"/>
      <c r="E15180" s="7"/>
    </row>
    <row r="15181" spans="3:5">
      <c r="C15181" s="17"/>
      <c r="D15181" s="17"/>
      <c r="E15181" s="7"/>
    </row>
    <row r="15182" spans="3:5">
      <c r="C15182" s="17"/>
      <c r="D15182" s="17"/>
      <c r="E15182" s="7"/>
    </row>
    <row r="15183" spans="3:5">
      <c r="C15183" s="17"/>
      <c r="D15183" s="17"/>
      <c r="E15183" s="7"/>
    </row>
    <row r="15184" spans="3:5">
      <c r="C15184" s="17"/>
      <c r="D15184" s="17"/>
      <c r="E15184" s="7"/>
    </row>
    <row r="15185" spans="3:5">
      <c r="C15185" s="17"/>
      <c r="D15185" s="17"/>
      <c r="E15185" s="7"/>
    </row>
    <row r="15186" spans="3:5">
      <c r="C15186" s="17"/>
      <c r="D15186" s="17"/>
      <c r="E15186" s="7"/>
    </row>
    <row r="15187" spans="3:5">
      <c r="C15187" s="17"/>
      <c r="D15187" s="17"/>
      <c r="E15187" s="7"/>
    </row>
    <row r="15188" spans="3:5">
      <c r="C15188" s="17"/>
      <c r="D15188" s="17"/>
      <c r="E15188" s="7"/>
    </row>
    <row r="15189" spans="3:5">
      <c r="C15189" s="17"/>
      <c r="D15189" s="17"/>
      <c r="E15189" s="7"/>
    </row>
    <row r="15190" spans="3:5">
      <c r="C15190" s="17"/>
      <c r="D15190" s="17"/>
      <c r="E15190" s="7"/>
    </row>
    <row r="15191" spans="3:5">
      <c r="C15191" s="17"/>
      <c r="D15191" s="17"/>
      <c r="E15191" s="7"/>
    </row>
    <row r="15192" spans="3:5">
      <c r="C15192" s="17"/>
      <c r="D15192" s="17"/>
      <c r="E15192" s="7"/>
    </row>
    <row r="15193" spans="3:5">
      <c r="C15193" s="17"/>
      <c r="D15193" s="17"/>
      <c r="E15193" s="7"/>
    </row>
    <row r="15194" spans="3:5">
      <c r="C15194" s="17"/>
      <c r="D15194" s="17"/>
      <c r="E15194" s="7"/>
    </row>
    <row r="15195" spans="3:5">
      <c r="C15195" s="17"/>
      <c r="D15195" s="17"/>
      <c r="E15195" s="7"/>
    </row>
    <row r="15196" spans="3:5">
      <c r="C15196" s="17"/>
      <c r="D15196" s="17"/>
      <c r="E15196" s="7"/>
    </row>
    <row r="15197" spans="3:5">
      <c r="C15197" s="17"/>
      <c r="D15197" s="17"/>
      <c r="E15197" s="7"/>
    </row>
    <row r="15198" spans="3:5">
      <c r="C15198" s="17"/>
      <c r="D15198" s="17"/>
      <c r="E15198" s="7"/>
    </row>
    <row r="15199" spans="3:5">
      <c r="C15199" s="17"/>
      <c r="D15199" s="17"/>
      <c r="E15199" s="7"/>
    </row>
    <row r="15200" spans="3:5">
      <c r="C15200" s="17"/>
      <c r="D15200" s="17"/>
      <c r="E15200" s="7"/>
    </row>
    <row r="15201" spans="3:5">
      <c r="C15201" s="17"/>
      <c r="D15201" s="17"/>
      <c r="E15201" s="7"/>
    </row>
    <row r="15202" spans="3:5">
      <c r="C15202" s="17"/>
      <c r="D15202" s="17"/>
      <c r="E15202" s="7"/>
    </row>
    <row r="15203" spans="3:5">
      <c r="C15203" s="17"/>
      <c r="D15203" s="17"/>
      <c r="E15203" s="7"/>
    </row>
    <row r="15204" spans="3:5">
      <c r="C15204" s="17"/>
      <c r="D15204" s="17"/>
      <c r="E15204" s="7"/>
    </row>
    <row r="15205" spans="3:5">
      <c r="C15205" s="17"/>
      <c r="D15205" s="17"/>
      <c r="E15205" s="7"/>
    </row>
    <row r="15206" spans="3:5">
      <c r="C15206" s="17"/>
      <c r="D15206" s="17"/>
      <c r="E15206" s="7"/>
    </row>
    <row r="15207" spans="3:5">
      <c r="C15207" s="17"/>
      <c r="D15207" s="17"/>
      <c r="E15207" s="7"/>
    </row>
    <row r="15208" spans="3:5">
      <c r="C15208" s="17"/>
      <c r="D15208" s="17"/>
      <c r="E15208" s="7"/>
    </row>
    <row r="15209" spans="3:5">
      <c r="C15209" s="17"/>
      <c r="D15209" s="17"/>
      <c r="E15209" s="7"/>
    </row>
    <row r="15210" spans="3:5">
      <c r="C15210" s="17"/>
      <c r="D15210" s="17"/>
      <c r="E15210" s="7"/>
    </row>
    <row r="15211" spans="3:5">
      <c r="C15211" s="17"/>
      <c r="D15211" s="17"/>
      <c r="E15211" s="7"/>
    </row>
    <row r="15212" spans="3:5">
      <c r="C15212" s="17"/>
      <c r="D15212" s="17"/>
      <c r="E15212" s="7"/>
    </row>
    <row r="15213" spans="3:5">
      <c r="C15213" s="17"/>
      <c r="D15213" s="17"/>
      <c r="E15213" s="7"/>
    </row>
    <row r="15214" spans="3:5">
      <c r="C15214" s="17"/>
      <c r="D15214" s="17"/>
      <c r="E15214" s="7"/>
    </row>
    <row r="15215" spans="3:5">
      <c r="C15215" s="17"/>
      <c r="D15215" s="17"/>
      <c r="E15215" s="7"/>
    </row>
    <row r="15216" spans="3:5">
      <c r="C15216" s="17"/>
      <c r="D15216" s="17"/>
      <c r="E15216" s="7"/>
    </row>
    <row r="15217" spans="3:5">
      <c r="C15217" s="17"/>
      <c r="D15217" s="17"/>
      <c r="E15217" s="7"/>
    </row>
    <row r="15218" spans="3:5">
      <c r="C15218" s="17"/>
      <c r="D15218" s="17"/>
      <c r="E15218" s="7"/>
    </row>
    <row r="15219" spans="3:5">
      <c r="C15219" s="17"/>
      <c r="D15219" s="17"/>
      <c r="E15219" s="7"/>
    </row>
    <row r="15220" spans="3:5">
      <c r="C15220" s="17"/>
      <c r="D15220" s="17"/>
      <c r="E15220" s="7"/>
    </row>
    <row r="15221" spans="3:5">
      <c r="C15221" s="17"/>
      <c r="D15221" s="17"/>
      <c r="E15221" s="7"/>
    </row>
    <row r="15222" spans="3:5">
      <c r="C15222" s="17"/>
      <c r="D15222" s="17"/>
      <c r="E15222" s="7"/>
    </row>
    <row r="15223" spans="3:5">
      <c r="C15223" s="17"/>
      <c r="D15223" s="17"/>
      <c r="E15223" s="7"/>
    </row>
    <row r="15224" spans="3:5">
      <c r="C15224" s="17"/>
      <c r="D15224" s="17"/>
      <c r="E15224" s="7"/>
    </row>
    <row r="15225" spans="3:5">
      <c r="C15225" s="17"/>
      <c r="D15225" s="17"/>
      <c r="E15225" s="7"/>
    </row>
    <row r="15226" spans="3:5">
      <c r="C15226" s="17"/>
      <c r="D15226" s="17"/>
      <c r="E15226" s="7"/>
    </row>
    <row r="15227" spans="3:5">
      <c r="C15227" s="17"/>
      <c r="D15227" s="17"/>
      <c r="E15227" s="7"/>
    </row>
    <row r="15228" spans="3:5">
      <c r="C15228" s="17"/>
      <c r="D15228" s="17"/>
      <c r="E15228" s="7"/>
    </row>
    <row r="15229" spans="3:5">
      <c r="C15229" s="17"/>
      <c r="D15229" s="17"/>
      <c r="E15229" s="7"/>
    </row>
    <row r="15230" spans="3:5">
      <c r="C15230" s="17"/>
      <c r="D15230" s="17"/>
      <c r="E15230" s="7"/>
    </row>
    <row r="15231" spans="3:5">
      <c r="C15231" s="17"/>
      <c r="D15231" s="17"/>
      <c r="E15231" s="7"/>
    </row>
    <row r="15232" spans="3:5">
      <c r="C15232" s="17"/>
      <c r="D15232" s="17"/>
      <c r="E15232" s="7"/>
    </row>
    <row r="15233" spans="3:5">
      <c r="C15233" s="17"/>
      <c r="D15233" s="17"/>
      <c r="E15233" s="7"/>
    </row>
    <row r="15234" spans="3:5">
      <c r="C15234" s="17"/>
      <c r="D15234" s="17"/>
      <c r="E15234" s="7"/>
    </row>
    <row r="15235" spans="3:5">
      <c r="C15235" s="17"/>
      <c r="D15235" s="17"/>
      <c r="E15235" s="7"/>
    </row>
    <row r="15236" spans="3:5">
      <c r="C15236" s="17"/>
      <c r="D15236" s="17"/>
      <c r="E15236" s="7"/>
    </row>
    <row r="15237" spans="3:5">
      <c r="C15237" s="17"/>
      <c r="D15237" s="17"/>
      <c r="E15237" s="7"/>
    </row>
    <row r="15238" spans="3:5">
      <c r="C15238" s="17"/>
      <c r="D15238" s="17"/>
      <c r="E15238" s="7"/>
    </row>
    <row r="15239" spans="3:5">
      <c r="C15239" s="17"/>
      <c r="D15239" s="17"/>
      <c r="E15239" s="7"/>
    </row>
    <row r="15240" spans="3:5">
      <c r="C15240" s="17"/>
      <c r="D15240" s="17"/>
      <c r="E15240" s="7"/>
    </row>
    <row r="15241" spans="3:5">
      <c r="C15241" s="17"/>
      <c r="D15241" s="17"/>
      <c r="E15241" s="7"/>
    </row>
    <row r="15242" spans="3:5">
      <c r="C15242" s="17"/>
      <c r="D15242" s="17"/>
      <c r="E15242" s="7"/>
    </row>
    <row r="15243" spans="3:5">
      <c r="C15243" s="17"/>
      <c r="D15243" s="17"/>
      <c r="E15243" s="7"/>
    </row>
    <row r="15244" spans="3:5">
      <c r="C15244" s="17"/>
      <c r="D15244" s="17"/>
      <c r="E15244" s="7"/>
    </row>
    <row r="15245" spans="3:5">
      <c r="C15245" s="17"/>
      <c r="D15245" s="17"/>
      <c r="E15245" s="7"/>
    </row>
    <row r="15246" spans="3:5">
      <c r="C15246" s="17"/>
      <c r="D15246" s="17"/>
      <c r="E15246" s="7"/>
    </row>
    <row r="15247" spans="3:5">
      <c r="C15247" s="17"/>
      <c r="D15247" s="17"/>
      <c r="E15247" s="7"/>
    </row>
    <row r="15248" spans="3:5">
      <c r="C15248" s="17"/>
      <c r="D15248" s="17"/>
      <c r="E15248" s="7"/>
    </row>
    <row r="15249" spans="3:5">
      <c r="C15249" s="17"/>
      <c r="D15249" s="17"/>
      <c r="E15249" s="7"/>
    </row>
    <row r="15250" spans="3:5">
      <c r="C15250" s="17"/>
      <c r="D15250" s="17"/>
      <c r="E15250" s="7"/>
    </row>
    <row r="15251" spans="3:5">
      <c r="C15251" s="17"/>
      <c r="D15251" s="17"/>
      <c r="E15251" s="7"/>
    </row>
    <row r="15252" spans="3:5">
      <c r="C15252" s="17"/>
      <c r="D15252" s="17"/>
      <c r="E15252" s="7"/>
    </row>
    <row r="15253" spans="3:5">
      <c r="C15253" s="17"/>
      <c r="D15253" s="17"/>
      <c r="E15253" s="7"/>
    </row>
    <row r="15254" spans="3:5">
      <c r="C15254" s="17"/>
      <c r="D15254" s="17"/>
      <c r="E15254" s="7"/>
    </row>
    <row r="15255" spans="3:5">
      <c r="C15255" s="17"/>
      <c r="D15255" s="17"/>
      <c r="E15255" s="7"/>
    </row>
    <row r="15256" spans="3:5">
      <c r="C15256" s="17"/>
      <c r="D15256" s="17"/>
      <c r="E15256" s="7"/>
    </row>
    <row r="15257" spans="3:5">
      <c r="C15257" s="17"/>
      <c r="D15257" s="17"/>
      <c r="E15257" s="7"/>
    </row>
    <row r="15258" spans="3:5">
      <c r="C15258" s="17"/>
      <c r="D15258" s="17"/>
      <c r="E15258" s="7"/>
    </row>
    <row r="15259" spans="3:5">
      <c r="C15259" s="17"/>
      <c r="D15259" s="17"/>
      <c r="E15259" s="7"/>
    </row>
    <row r="15260" spans="3:5">
      <c r="C15260" s="17"/>
      <c r="D15260" s="17"/>
      <c r="E15260" s="7"/>
    </row>
    <row r="15261" spans="3:5">
      <c r="C15261" s="17"/>
      <c r="D15261" s="17"/>
      <c r="E15261" s="7"/>
    </row>
    <row r="15262" spans="3:5">
      <c r="C15262" s="17"/>
      <c r="D15262" s="17"/>
      <c r="E15262" s="7"/>
    </row>
    <row r="15263" spans="3:5">
      <c r="C15263" s="17"/>
      <c r="D15263" s="17"/>
      <c r="E15263" s="7"/>
    </row>
    <row r="15264" spans="3:5">
      <c r="C15264" s="17"/>
      <c r="D15264" s="17"/>
      <c r="E15264" s="7"/>
    </row>
    <row r="15265" spans="3:5">
      <c r="C15265" s="17"/>
      <c r="D15265" s="17"/>
      <c r="E15265" s="7"/>
    </row>
    <row r="15266" spans="3:5">
      <c r="C15266" s="17"/>
      <c r="D15266" s="17"/>
      <c r="E15266" s="7"/>
    </row>
    <row r="15267" spans="3:5">
      <c r="C15267" s="17"/>
      <c r="D15267" s="17"/>
      <c r="E15267" s="7"/>
    </row>
    <row r="15268" spans="3:5">
      <c r="C15268" s="17"/>
      <c r="D15268" s="17"/>
      <c r="E15268" s="7"/>
    </row>
    <row r="15269" spans="3:5">
      <c r="C15269" s="17"/>
      <c r="D15269" s="17"/>
      <c r="E15269" s="7"/>
    </row>
    <row r="15270" spans="3:5">
      <c r="C15270" s="17"/>
      <c r="D15270" s="17"/>
      <c r="E15270" s="7"/>
    </row>
    <row r="15271" spans="3:5">
      <c r="C15271" s="17"/>
      <c r="D15271" s="17"/>
      <c r="E15271" s="7"/>
    </row>
    <row r="15272" spans="3:5">
      <c r="C15272" s="17"/>
      <c r="D15272" s="17"/>
      <c r="E15272" s="7"/>
    </row>
    <row r="15273" spans="3:5">
      <c r="C15273" s="17"/>
      <c r="D15273" s="17"/>
      <c r="E15273" s="7"/>
    </row>
    <row r="15274" spans="3:5">
      <c r="C15274" s="17"/>
      <c r="D15274" s="17"/>
      <c r="E15274" s="7"/>
    </row>
    <row r="15275" spans="3:5">
      <c r="C15275" s="17"/>
      <c r="D15275" s="17"/>
      <c r="E15275" s="7"/>
    </row>
    <row r="15276" spans="3:5">
      <c r="C15276" s="17"/>
      <c r="D15276" s="17"/>
      <c r="E15276" s="7"/>
    </row>
    <row r="15277" spans="3:5">
      <c r="C15277" s="17"/>
      <c r="D15277" s="17"/>
      <c r="E15277" s="7"/>
    </row>
    <row r="15278" spans="3:5">
      <c r="C15278" s="17"/>
      <c r="D15278" s="17"/>
      <c r="E15278" s="7"/>
    </row>
    <row r="15279" spans="3:5">
      <c r="C15279" s="17"/>
      <c r="D15279" s="17"/>
      <c r="E15279" s="7"/>
    </row>
    <row r="15280" spans="3:5">
      <c r="C15280" s="17"/>
      <c r="D15280" s="17"/>
      <c r="E15280" s="7"/>
    </row>
    <row r="15281" spans="3:5">
      <c r="C15281" s="17"/>
      <c r="D15281" s="17"/>
      <c r="E15281" s="7"/>
    </row>
    <row r="15282" spans="3:5">
      <c r="C15282" s="17"/>
      <c r="D15282" s="17"/>
      <c r="E15282" s="7"/>
    </row>
    <row r="15283" spans="3:5">
      <c r="C15283" s="17"/>
      <c r="D15283" s="17"/>
      <c r="E15283" s="7"/>
    </row>
    <row r="15284" spans="3:5">
      <c r="C15284" s="17"/>
      <c r="D15284" s="17"/>
      <c r="E15284" s="7"/>
    </row>
    <row r="15285" spans="3:5">
      <c r="C15285" s="17"/>
      <c r="D15285" s="17"/>
      <c r="E15285" s="7"/>
    </row>
    <row r="15286" spans="3:5">
      <c r="C15286" s="17"/>
      <c r="D15286" s="17"/>
      <c r="E15286" s="7"/>
    </row>
    <row r="15287" spans="3:5">
      <c r="C15287" s="17"/>
      <c r="D15287" s="17"/>
      <c r="E15287" s="7"/>
    </row>
    <row r="15288" spans="3:5">
      <c r="C15288" s="17"/>
      <c r="D15288" s="17"/>
      <c r="E15288" s="7"/>
    </row>
    <row r="15289" spans="3:5">
      <c r="C15289" s="17"/>
      <c r="D15289" s="17"/>
      <c r="E15289" s="7"/>
    </row>
    <row r="15290" spans="3:5">
      <c r="C15290" s="17"/>
      <c r="D15290" s="17"/>
      <c r="E15290" s="7"/>
    </row>
    <row r="15291" spans="3:5">
      <c r="C15291" s="17"/>
      <c r="D15291" s="17"/>
      <c r="E15291" s="7"/>
    </row>
    <row r="15292" spans="3:5">
      <c r="C15292" s="17"/>
      <c r="D15292" s="17"/>
      <c r="E15292" s="7"/>
    </row>
    <row r="15293" spans="3:5">
      <c r="C15293" s="17"/>
      <c r="D15293" s="17"/>
      <c r="E15293" s="7"/>
    </row>
    <row r="15294" spans="3:5">
      <c r="C15294" s="17"/>
      <c r="D15294" s="17"/>
      <c r="E15294" s="7"/>
    </row>
    <row r="15295" spans="3:5">
      <c r="C15295" s="17"/>
      <c r="D15295" s="17"/>
      <c r="E15295" s="7"/>
    </row>
    <row r="15296" spans="3:5">
      <c r="C15296" s="17"/>
      <c r="D15296" s="17"/>
      <c r="E15296" s="7"/>
    </row>
    <row r="15297" spans="3:5">
      <c r="C15297" s="17"/>
      <c r="D15297" s="17"/>
      <c r="E15297" s="7"/>
    </row>
    <row r="15298" spans="3:5">
      <c r="C15298" s="17"/>
      <c r="D15298" s="17"/>
      <c r="E15298" s="7"/>
    </row>
    <row r="15299" spans="3:5">
      <c r="C15299" s="17"/>
      <c r="D15299" s="17"/>
      <c r="E15299" s="7"/>
    </row>
    <row r="15300" spans="3:5">
      <c r="C15300" s="17"/>
      <c r="D15300" s="17"/>
      <c r="E15300" s="7"/>
    </row>
    <row r="15301" spans="3:5">
      <c r="C15301" s="17"/>
      <c r="D15301" s="17"/>
      <c r="E15301" s="7"/>
    </row>
    <row r="15302" spans="3:5">
      <c r="C15302" s="17"/>
      <c r="D15302" s="17"/>
      <c r="E15302" s="7"/>
    </row>
    <row r="15303" spans="3:5">
      <c r="C15303" s="17"/>
      <c r="D15303" s="17"/>
      <c r="E15303" s="7"/>
    </row>
    <row r="15304" spans="3:5">
      <c r="C15304" s="17"/>
      <c r="D15304" s="17"/>
      <c r="E15304" s="7"/>
    </row>
    <row r="15305" spans="3:5">
      <c r="C15305" s="17"/>
      <c r="D15305" s="17"/>
      <c r="E15305" s="7"/>
    </row>
    <row r="15306" spans="3:5">
      <c r="C15306" s="17"/>
      <c r="D15306" s="17"/>
      <c r="E15306" s="7"/>
    </row>
    <row r="15307" spans="3:5">
      <c r="C15307" s="17"/>
      <c r="D15307" s="17"/>
      <c r="E15307" s="7"/>
    </row>
    <row r="15308" spans="3:5">
      <c r="C15308" s="17"/>
      <c r="D15308" s="17"/>
      <c r="E15308" s="7"/>
    </row>
    <row r="15309" spans="3:5">
      <c r="C15309" s="17"/>
      <c r="D15309" s="17"/>
      <c r="E15309" s="7"/>
    </row>
    <row r="15310" spans="3:5">
      <c r="C15310" s="17"/>
      <c r="D15310" s="17"/>
      <c r="E15310" s="7"/>
    </row>
    <row r="15311" spans="3:5">
      <c r="C15311" s="17"/>
      <c r="D15311" s="17"/>
      <c r="E15311" s="7"/>
    </row>
    <row r="15312" spans="3:5">
      <c r="C15312" s="17"/>
      <c r="D15312" s="17"/>
      <c r="E15312" s="7"/>
    </row>
    <row r="15313" spans="3:5">
      <c r="C15313" s="17"/>
      <c r="D15313" s="17"/>
      <c r="E15313" s="7"/>
    </row>
    <row r="15314" spans="3:5">
      <c r="C15314" s="17"/>
      <c r="D15314" s="17"/>
      <c r="E15314" s="7"/>
    </row>
    <row r="15315" spans="3:5">
      <c r="C15315" s="17"/>
      <c r="D15315" s="17"/>
      <c r="E15315" s="7"/>
    </row>
    <row r="15316" spans="3:5">
      <c r="C15316" s="17"/>
      <c r="D15316" s="17"/>
      <c r="E15316" s="7"/>
    </row>
    <row r="15317" spans="3:5">
      <c r="C15317" s="17"/>
      <c r="D15317" s="17"/>
      <c r="E15317" s="7"/>
    </row>
    <row r="15318" spans="3:5">
      <c r="C15318" s="17"/>
      <c r="D15318" s="17"/>
      <c r="E15318" s="7"/>
    </row>
    <row r="15319" spans="3:5">
      <c r="C15319" s="17"/>
      <c r="D15319" s="17"/>
      <c r="E15319" s="7"/>
    </row>
    <row r="15320" spans="3:5">
      <c r="C15320" s="17"/>
      <c r="D15320" s="17"/>
      <c r="E15320" s="7"/>
    </row>
    <row r="15321" spans="3:5">
      <c r="C15321" s="17"/>
      <c r="D15321" s="17"/>
      <c r="E15321" s="7"/>
    </row>
    <row r="15322" spans="3:5">
      <c r="C15322" s="17"/>
      <c r="D15322" s="17"/>
      <c r="E15322" s="7"/>
    </row>
    <row r="15323" spans="3:5">
      <c r="C15323" s="17"/>
      <c r="D15323" s="17"/>
      <c r="E15323" s="7"/>
    </row>
    <row r="15324" spans="3:5">
      <c r="C15324" s="17"/>
      <c r="D15324" s="17"/>
      <c r="E15324" s="7"/>
    </row>
    <row r="15325" spans="3:5">
      <c r="C15325" s="17"/>
      <c r="D15325" s="17"/>
      <c r="E15325" s="7"/>
    </row>
    <row r="15326" spans="3:5">
      <c r="C15326" s="17"/>
      <c r="D15326" s="17"/>
      <c r="E15326" s="7"/>
    </row>
    <row r="15327" spans="3:5">
      <c r="C15327" s="17"/>
      <c r="D15327" s="17"/>
      <c r="E15327" s="7"/>
    </row>
    <row r="15328" spans="3:5">
      <c r="C15328" s="17"/>
      <c r="D15328" s="17"/>
      <c r="E15328" s="7"/>
    </row>
    <row r="15329" spans="3:5">
      <c r="C15329" s="17"/>
      <c r="D15329" s="17"/>
      <c r="E15329" s="7"/>
    </row>
    <row r="15330" spans="3:5">
      <c r="C15330" s="17"/>
      <c r="D15330" s="17"/>
      <c r="E15330" s="7"/>
    </row>
    <row r="15331" spans="3:5">
      <c r="C15331" s="17"/>
      <c r="D15331" s="17"/>
      <c r="E15331" s="7"/>
    </row>
    <row r="15332" spans="3:5">
      <c r="C15332" s="17"/>
      <c r="D15332" s="17"/>
      <c r="E15332" s="7"/>
    </row>
    <row r="15333" spans="3:5">
      <c r="C15333" s="17"/>
      <c r="D15333" s="17"/>
      <c r="E15333" s="7"/>
    </row>
    <row r="15334" spans="3:5">
      <c r="C15334" s="17"/>
      <c r="D15334" s="17"/>
      <c r="E15334" s="7"/>
    </row>
    <row r="15335" spans="3:5">
      <c r="C15335" s="17"/>
      <c r="D15335" s="17"/>
      <c r="E15335" s="7"/>
    </row>
    <row r="15336" spans="3:5">
      <c r="C15336" s="17"/>
      <c r="D15336" s="17"/>
      <c r="E15336" s="7"/>
    </row>
    <row r="15337" spans="3:5">
      <c r="C15337" s="17"/>
      <c r="D15337" s="17"/>
      <c r="E15337" s="7"/>
    </row>
    <row r="15338" spans="3:5">
      <c r="C15338" s="17"/>
      <c r="D15338" s="17"/>
      <c r="E15338" s="7"/>
    </row>
    <row r="15339" spans="3:5">
      <c r="C15339" s="17"/>
      <c r="D15339" s="17"/>
      <c r="E15339" s="7"/>
    </row>
    <row r="15340" spans="3:5">
      <c r="C15340" s="17"/>
      <c r="D15340" s="17"/>
      <c r="E15340" s="7"/>
    </row>
    <row r="15341" spans="3:5">
      <c r="C15341" s="17"/>
      <c r="D15341" s="17"/>
      <c r="E15341" s="7"/>
    </row>
    <row r="15342" spans="3:5">
      <c r="C15342" s="17"/>
      <c r="D15342" s="17"/>
      <c r="E15342" s="7"/>
    </row>
    <row r="15343" spans="3:5">
      <c r="C15343" s="17"/>
      <c r="D15343" s="17"/>
      <c r="E15343" s="7"/>
    </row>
    <row r="15344" spans="3:5">
      <c r="C15344" s="17"/>
      <c r="D15344" s="17"/>
      <c r="E15344" s="7"/>
    </row>
    <row r="15345" spans="3:5">
      <c r="C15345" s="17"/>
      <c r="D15345" s="17"/>
      <c r="E15345" s="7"/>
    </row>
    <row r="15346" spans="3:5">
      <c r="C15346" s="17"/>
      <c r="D15346" s="17"/>
      <c r="E15346" s="7"/>
    </row>
    <row r="15347" spans="3:5">
      <c r="C15347" s="17"/>
      <c r="D15347" s="17"/>
      <c r="E15347" s="7"/>
    </row>
    <row r="15348" spans="3:5">
      <c r="C15348" s="17"/>
      <c r="D15348" s="17"/>
      <c r="E15348" s="7"/>
    </row>
    <row r="15349" spans="3:5">
      <c r="C15349" s="17"/>
      <c r="D15349" s="17"/>
      <c r="E15349" s="7"/>
    </row>
    <row r="15350" spans="3:5">
      <c r="C15350" s="17"/>
      <c r="D15350" s="17"/>
      <c r="E15350" s="7"/>
    </row>
    <row r="15351" spans="3:5">
      <c r="C15351" s="17"/>
      <c r="D15351" s="17"/>
      <c r="E15351" s="7"/>
    </row>
    <row r="15352" spans="3:5">
      <c r="C15352" s="17"/>
      <c r="D15352" s="17"/>
      <c r="E15352" s="7"/>
    </row>
    <row r="15353" spans="3:5">
      <c r="C15353" s="17"/>
      <c r="D15353" s="17"/>
      <c r="E15353" s="7"/>
    </row>
    <row r="15354" spans="3:5">
      <c r="C15354" s="17"/>
      <c r="D15354" s="17"/>
      <c r="E15354" s="7"/>
    </row>
    <row r="15355" spans="3:5">
      <c r="C15355" s="17"/>
      <c r="D15355" s="17"/>
      <c r="E15355" s="7"/>
    </row>
    <row r="15356" spans="3:5">
      <c r="C15356" s="17"/>
      <c r="D15356" s="17"/>
      <c r="E15356" s="7"/>
    </row>
    <row r="15357" spans="3:5">
      <c r="C15357" s="17"/>
      <c r="D15357" s="17"/>
      <c r="E15357" s="7"/>
    </row>
    <row r="15358" spans="3:5">
      <c r="C15358" s="17"/>
      <c r="D15358" s="17"/>
      <c r="E15358" s="7"/>
    </row>
    <row r="15359" spans="3:5">
      <c r="C15359" s="17"/>
      <c r="D15359" s="17"/>
      <c r="E15359" s="7"/>
    </row>
    <row r="15360" spans="3:5">
      <c r="C15360" s="17"/>
      <c r="D15360" s="17"/>
      <c r="E15360" s="7"/>
    </row>
    <row r="15361" spans="3:5">
      <c r="C15361" s="17"/>
      <c r="D15361" s="17"/>
      <c r="E15361" s="7"/>
    </row>
    <row r="15362" spans="3:5">
      <c r="C15362" s="17"/>
      <c r="D15362" s="17"/>
      <c r="E15362" s="7"/>
    </row>
    <row r="15363" spans="3:5">
      <c r="C15363" s="17"/>
      <c r="D15363" s="17"/>
      <c r="E15363" s="7"/>
    </row>
    <row r="15364" spans="3:5">
      <c r="C15364" s="17"/>
      <c r="D15364" s="17"/>
      <c r="E15364" s="7"/>
    </row>
    <row r="15365" spans="3:5">
      <c r="C15365" s="17"/>
      <c r="D15365" s="17"/>
      <c r="E15365" s="7"/>
    </row>
    <row r="15366" spans="3:5">
      <c r="C15366" s="17"/>
      <c r="D15366" s="17"/>
      <c r="E15366" s="7"/>
    </row>
    <row r="15367" spans="3:5">
      <c r="C15367" s="17"/>
      <c r="D15367" s="17"/>
      <c r="E15367" s="7"/>
    </row>
    <row r="15368" spans="3:5">
      <c r="C15368" s="17"/>
      <c r="D15368" s="17"/>
      <c r="E15368" s="7"/>
    </row>
    <row r="15369" spans="3:5">
      <c r="C15369" s="17"/>
      <c r="D15369" s="17"/>
      <c r="E15369" s="7"/>
    </row>
    <row r="15370" spans="3:5">
      <c r="C15370" s="17"/>
      <c r="D15370" s="17"/>
      <c r="E15370" s="7"/>
    </row>
    <row r="15371" spans="3:5">
      <c r="C15371" s="17"/>
      <c r="D15371" s="17"/>
      <c r="E15371" s="7"/>
    </row>
    <row r="15372" spans="3:5">
      <c r="C15372" s="17"/>
      <c r="D15372" s="17"/>
      <c r="E15372" s="7"/>
    </row>
    <row r="15373" spans="3:5">
      <c r="C15373" s="17"/>
      <c r="D15373" s="17"/>
      <c r="E15373" s="7"/>
    </row>
    <row r="15374" spans="3:5">
      <c r="C15374" s="17"/>
      <c r="D15374" s="17"/>
      <c r="E15374" s="7"/>
    </row>
    <row r="15375" spans="3:5">
      <c r="C15375" s="17"/>
      <c r="D15375" s="17"/>
      <c r="E15375" s="7"/>
    </row>
    <row r="15376" spans="3:5">
      <c r="C15376" s="17"/>
      <c r="D15376" s="17"/>
      <c r="E15376" s="7"/>
    </row>
    <row r="15377" spans="3:5">
      <c r="C15377" s="17"/>
      <c r="D15377" s="17"/>
      <c r="E15377" s="7"/>
    </row>
    <row r="15378" spans="3:5">
      <c r="C15378" s="17"/>
      <c r="D15378" s="17"/>
      <c r="E15378" s="7"/>
    </row>
    <row r="15379" spans="3:5">
      <c r="C15379" s="17"/>
      <c r="D15379" s="17"/>
      <c r="E15379" s="7"/>
    </row>
    <row r="15380" spans="3:5">
      <c r="C15380" s="17"/>
      <c r="D15380" s="17"/>
      <c r="E15380" s="7"/>
    </row>
    <row r="15381" spans="3:5">
      <c r="C15381" s="17"/>
      <c r="D15381" s="17"/>
      <c r="E15381" s="7"/>
    </row>
    <row r="15382" spans="3:5">
      <c r="C15382" s="17"/>
      <c r="D15382" s="17"/>
      <c r="E15382" s="7"/>
    </row>
    <row r="15383" spans="3:5">
      <c r="C15383" s="17"/>
      <c r="D15383" s="17"/>
      <c r="E15383" s="7"/>
    </row>
    <row r="15384" spans="3:5">
      <c r="C15384" s="17"/>
      <c r="D15384" s="17"/>
      <c r="E15384" s="7"/>
    </row>
    <row r="15385" spans="3:5">
      <c r="C15385" s="17"/>
      <c r="D15385" s="17"/>
      <c r="E15385" s="7"/>
    </row>
    <row r="15386" spans="3:5">
      <c r="C15386" s="17"/>
      <c r="D15386" s="17"/>
      <c r="E15386" s="7"/>
    </row>
    <row r="15387" spans="3:5">
      <c r="C15387" s="17"/>
      <c r="D15387" s="17"/>
      <c r="E15387" s="7"/>
    </row>
    <row r="15388" spans="3:5">
      <c r="C15388" s="17"/>
      <c r="D15388" s="17"/>
      <c r="E15388" s="7"/>
    </row>
    <row r="15389" spans="3:5">
      <c r="C15389" s="17"/>
      <c r="D15389" s="17"/>
      <c r="E15389" s="7"/>
    </row>
    <row r="15390" spans="3:5">
      <c r="C15390" s="17"/>
      <c r="D15390" s="17"/>
      <c r="E15390" s="7"/>
    </row>
    <row r="15391" spans="3:5">
      <c r="C15391" s="17"/>
      <c r="D15391" s="17"/>
      <c r="E15391" s="7"/>
    </row>
    <row r="15392" spans="3:5">
      <c r="C15392" s="17"/>
      <c r="D15392" s="17"/>
      <c r="E15392" s="7"/>
    </row>
    <row r="15393" spans="3:5">
      <c r="C15393" s="17"/>
      <c r="D15393" s="17"/>
      <c r="E15393" s="7"/>
    </row>
    <row r="15394" spans="3:5">
      <c r="C15394" s="17"/>
      <c r="D15394" s="17"/>
      <c r="E15394" s="7"/>
    </row>
    <row r="15395" spans="3:5">
      <c r="C15395" s="17"/>
      <c r="D15395" s="17"/>
      <c r="E15395" s="7"/>
    </row>
    <row r="15396" spans="3:5">
      <c r="C15396" s="17"/>
      <c r="D15396" s="17"/>
      <c r="E15396" s="7"/>
    </row>
    <row r="15397" spans="3:5">
      <c r="C15397" s="17"/>
      <c r="D15397" s="17"/>
      <c r="E15397" s="7"/>
    </row>
    <row r="15398" spans="3:5">
      <c r="C15398" s="17"/>
      <c r="D15398" s="17"/>
      <c r="E15398" s="7"/>
    </row>
    <row r="15399" spans="3:5">
      <c r="C15399" s="17"/>
      <c r="D15399" s="17"/>
      <c r="E15399" s="7"/>
    </row>
    <row r="15400" spans="3:5">
      <c r="C15400" s="17"/>
      <c r="D15400" s="17"/>
      <c r="E15400" s="7"/>
    </row>
    <row r="15401" spans="3:5">
      <c r="C15401" s="17"/>
      <c r="D15401" s="17"/>
      <c r="E15401" s="7"/>
    </row>
    <row r="15402" spans="3:5">
      <c r="C15402" s="17"/>
      <c r="D15402" s="17"/>
      <c r="E15402" s="7"/>
    </row>
    <row r="15403" spans="3:5">
      <c r="C15403" s="17"/>
      <c r="D15403" s="17"/>
      <c r="E15403" s="7"/>
    </row>
    <row r="15404" spans="3:5">
      <c r="C15404" s="17"/>
      <c r="D15404" s="17"/>
      <c r="E15404" s="7"/>
    </row>
    <row r="15405" spans="3:5">
      <c r="C15405" s="17"/>
      <c r="D15405" s="17"/>
      <c r="E15405" s="7"/>
    </row>
    <row r="15406" spans="3:5">
      <c r="C15406" s="17"/>
      <c r="D15406" s="17"/>
      <c r="E15406" s="7"/>
    </row>
    <row r="15407" spans="3:5">
      <c r="C15407" s="17"/>
      <c r="D15407" s="17"/>
      <c r="E15407" s="7"/>
    </row>
    <row r="15408" spans="3:5">
      <c r="C15408" s="17"/>
      <c r="D15408" s="17"/>
      <c r="E15408" s="7"/>
    </row>
    <row r="15409" spans="3:5">
      <c r="C15409" s="17"/>
      <c r="D15409" s="17"/>
      <c r="E15409" s="7"/>
    </row>
    <row r="15410" spans="3:5">
      <c r="C15410" s="17"/>
      <c r="D15410" s="17"/>
      <c r="E15410" s="7"/>
    </row>
    <row r="15411" spans="3:5">
      <c r="C15411" s="17"/>
      <c r="D15411" s="17"/>
      <c r="E15411" s="7"/>
    </row>
    <row r="15412" spans="3:5">
      <c r="C15412" s="17"/>
      <c r="D15412" s="17"/>
      <c r="E15412" s="7"/>
    </row>
    <row r="15413" spans="3:5">
      <c r="C15413" s="17"/>
      <c r="D15413" s="17"/>
      <c r="E15413" s="7"/>
    </row>
    <row r="15414" spans="3:5">
      <c r="C15414" s="17"/>
      <c r="D15414" s="17"/>
      <c r="E15414" s="7"/>
    </row>
    <row r="15415" spans="3:5">
      <c r="C15415" s="17"/>
      <c r="D15415" s="17"/>
      <c r="E15415" s="7"/>
    </row>
    <row r="15416" spans="3:5">
      <c r="C15416" s="17"/>
      <c r="D15416" s="17"/>
      <c r="E15416" s="7"/>
    </row>
    <row r="15417" spans="3:5">
      <c r="C15417" s="17"/>
      <c r="D15417" s="17"/>
      <c r="E15417" s="7"/>
    </row>
    <row r="15418" spans="3:5">
      <c r="C15418" s="17"/>
      <c r="D15418" s="17"/>
      <c r="E15418" s="7"/>
    </row>
    <row r="15419" spans="3:5">
      <c r="C15419" s="17"/>
      <c r="D15419" s="17"/>
      <c r="E15419" s="7"/>
    </row>
    <row r="15420" spans="3:5">
      <c r="C15420" s="17"/>
      <c r="D15420" s="17"/>
      <c r="E15420" s="7"/>
    </row>
    <row r="15421" spans="3:5">
      <c r="C15421" s="17"/>
      <c r="D15421" s="17"/>
      <c r="E15421" s="7"/>
    </row>
    <row r="15422" spans="3:5">
      <c r="C15422" s="17"/>
      <c r="D15422" s="17"/>
      <c r="E15422" s="7"/>
    </row>
    <row r="15423" spans="3:5">
      <c r="C15423" s="17"/>
      <c r="D15423" s="17"/>
      <c r="E15423" s="7"/>
    </row>
    <row r="15424" spans="3:5">
      <c r="C15424" s="17"/>
      <c r="D15424" s="17"/>
      <c r="E15424" s="7"/>
    </row>
    <row r="15425" spans="3:5">
      <c r="C15425" s="17"/>
      <c r="D15425" s="17"/>
      <c r="E15425" s="7"/>
    </row>
    <row r="15426" spans="3:5">
      <c r="C15426" s="17"/>
      <c r="D15426" s="17"/>
      <c r="E15426" s="7"/>
    </row>
    <row r="15427" spans="3:5">
      <c r="C15427" s="17"/>
      <c r="D15427" s="17"/>
      <c r="E15427" s="7"/>
    </row>
    <row r="15428" spans="3:5">
      <c r="C15428" s="17"/>
      <c r="D15428" s="17"/>
      <c r="E15428" s="7"/>
    </row>
    <row r="15429" spans="3:5">
      <c r="C15429" s="17"/>
      <c r="D15429" s="17"/>
      <c r="E15429" s="7"/>
    </row>
    <row r="15430" spans="3:5">
      <c r="C15430" s="17"/>
      <c r="D15430" s="17"/>
      <c r="E15430" s="7"/>
    </row>
    <row r="15431" spans="3:5">
      <c r="C15431" s="17"/>
      <c r="D15431" s="17"/>
      <c r="E15431" s="7"/>
    </row>
    <row r="15432" spans="3:5">
      <c r="C15432" s="17"/>
      <c r="D15432" s="17"/>
      <c r="E15432" s="7"/>
    </row>
    <row r="15433" spans="3:5">
      <c r="C15433" s="17"/>
      <c r="D15433" s="17"/>
      <c r="E15433" s="7"/>
    </row>
    <row r="15434" spans="3:5">
      <c r="C15434" s="17"/>
      <c r="D15434" s="17"/>
      <c r="E15434" s="7"/>
    </row>
    <row r="15435" spans="3:5">
      <c r="C15435" s="17"/>
      <c r="D15435" s="17"/>
      <c r="E15435" s="7"/>
    </row>
    <row r="15436" spans="3:5">
      <c r="C15436" s="17"/>
      <c r="D15436" s="17"/>
      <c r="E15436" s="7"/>
    </row>
    <row r="15437" spans="3:5">
      <c r="C15437" s="17"/>
      <c r="D15437" s="17"/>
      <c r="E15437" s="7"/>
    </row>
    <row r="15438" spans="3:5">
      <c r="C15438" s="17"/>
      <c r="D15438" s="17"/>
      <c r="E15438" s="7"/>
    </row>
    <row r="15439" spans="3:5">
      <c r="C15439" s="17"/>
      <c r="D15439" s="17"/>
      <c r="E15439" s="7"/>
    </row>
    <row r="15440" spans="3:5">
      <c r="C15440" s="17"/>
      <c r="D15440" s="17"/>
      <c r="E15440" s="7"/>
    </row>
    <row r="15441" spans="3:5">
      <c r="C15441" s="17"/>
      <c r="D15441" s="17"/>
      <c r="E15441" s="7"/>
    </row>
    <row r="15442" spans="3:5">
      <c r="C15442" s="17"/>
      <c r="D15442" s="17"/>
      <c r="E15442" s="7"/>
    </row>
    <row r="15443" spans="3:5">
      <c r="C15443" s="17"/>
      <c r="D15443" s="17"/>
      <c r="E15443" s="7"/>
    </row>
    <row r="15444" spans="3:5">
      <c r="C15444" s="17"/>
      <c r="D15444" s="17"/>
      <c r="E15444" s="7"/>
    </row>
    <row r="15445" spans="3:5">
      <c r="C15445" s="17"/>
      <c r="D15445" s="17"/>
      <c r="E15445" s="7"/>
    </row>
    <row r="15446" spans="3:5">
      <c r="C15446" s="17"/>
      <c r="D15446" s="17"/>
      <c r="E15446" s="7"/>
    </row>
    <row r="15447" spans="3:5">
      <c r="C15447" s="17"/>
      <c r="D15447" s="17"/>
      <c r="E15447" s="7"/>
    </row>
    <row r="15448" spans="3:5">
      <c r="C15448" s="17"/>
      <c r="D15448" s="17"/>
      <c r="E15448" s="7"/>
    </row>
    <row r="15449" spans="3:5">
      <c r="C15449" s="17"/>
      <c r="D15449" s="17"/>
      <c r="E15449" s="7"/>
    </row>
    <row r="15450" spans="3:5">
      <c r="C15450" s="17"/>
      <c r="D15450" s="17"/>
      <c r="E15450" s="7"/>
    </row>
    <row r="15451" spans="3:5">
      <c r="C15451" s="17"/>
      <c r="D15451" s="17"/>
      <c r="E15451" s="7"/>
    </row>
    <row r="15452" spans="3:5">
      <c r="C15452" s="17"/>
      <c r="D15452" s="17"/>
      <c r="E15452" s="7"/>
    </row>
    <row r="15453" spans="3:5">
      <c r="C15453" s="17"/>
      <c r="D15453" s="17"/>
      <c r="E15453" s="7"/>
    </row>
    <row r="15454" spans="3:5">
      <c r="C15454" s="17"/>
      <c r="D15454" s="17"/>
      <c r="E15454" s="7"/>
    </row>
    <row r="15455" spans="3:5">
      <c r="C15455" s="17"/>
      <c r="D15455" s="17"/>
      <c r="E15455" s="7"/>
    </row>
    <row r="15456" spans="3:5">
      <c r="C15456" s="17"/>
      <c r="D15456" s="17"/>
      <c r="E15456" s="7"/>
    </row>
    <row r="15457" spans="3:5">
      <c r="C15457" s="17"/>
      <c r="D15457" s="17"/>
      <c r="E15457" s="7"/>
    </row>
    <row r="15458" spans="3:5">
      <c r="C15458" s="17"/>
      <c r="D15458" s="17"/>
      <c r="E15458" s="7"/>
    </row>
    <row r="15459" spans="3:5">
      <c r="C15459" s="17"/>
      <c r="D15459" s="17"/>
      <c r="E15459" s="7"/>
    </row>
    <row r="15460" spans="3:5">
      <c r="C15460" s="17"/>
      <c r="D15460" s="17"/>
      <c r="E15460" s="7"/>
    </row>
    <row r="15461" spans="3:5">
      <c r="C15461" s="17"/>
      <c r="D15461" s="17"/>
      <c r="E15461" s="7"/>
    </row>
    <row r="15462" spans="3:5">
      <c r="C15462" s="17"/>
      <c r="D15462" s="17"/>
      <c r="E15462" s="7"/>
    </row>
    <row r="15463" spans="3:5">
      <c r="C15463" s="17"/>
      <c r="D15463" s="17"/>
      <c r="E15463" s="7"/>
    </row>
    <row r="15464" spans="3:5">
      <c r="C15464" s="17"/>
      <c r="D15464" s="17"/>
      <c r="E15464" s="7"/>
    </row>
    <row r="15465" spans="3:5">
      <c r="C15465" s="17"/>
      <c r="D15465" s="17"/>
      <c r="E15465" s="7"/>
    </row>
    <row r="15466" spans="3:5">
      <c r="C15466" s="17"/>
      <c r="D15466" s="17"/>
      <c r="E15466" s="7"/>
    </row>
    <row r="15467" spans="3:5">
      <c r="C15467" s="17"/>
      <c r="D15467" s="17"/>
      <c r="E15467" s="7"/>
    </row>
    <row r="15468" spans="3:5">
      <c r="C15468" s="17"/>
      <c r="D15468" s="17"/>
      <c r="E15468" s="7"/>
    </row>
    <row r="15469" spans="3:5">
      <c r="C15469" s="17"/>
      <c r="D15469" s="17"/>
      <c r="E15469" s="7"/>
    </row>
    <row r="15470" spans="3:5">
      <c r="C15470" s="17"/>
      <c r="D15470" s="17"/>
      <c r="E15470" s="7"/>
    </row>
    <row r="15471" spans="3:5">
      <c r="C15471" s="17"/>
      <c r="D15471" s="17"/>
      <c r="E15471" s="7"/>
    </row>
    <row r="15472" spans="3:5">
      <c r="C15472" s="17"/>
      <c r="D15472" s="17"/>
      <c r="E15472" s="7"/>
    </row>
    <row r="15473" spans="3:5">
      <c r="C15473" s="17"/>
      <c r="D15473" s="17"/>
      <c r="E15473" s="7"/>
    </row>
    <row r="15474" spans="3:5">
      <c r="C15474" s="17"/>
      <c r="D15474" s="17"/>
      <c r="E15474" s="7"/>
    </row>
    <row r="15475" spans="3:5">
      <c r="C15475" s="17"/>
      <c r="D15475" s="17"/>
      <c r="E15475" s="7"/>
    </row>
    <row r="15476" spans="3:5">
      <c r="C15476" s="17"/>
      <c r="D15476" s="17"/>
      <c r="E15476" s="7"/>
    </row>
    <row r="15477" spans="3:5">
      <c r="C15477" s="17"/>
      <c r="D15477" s="17"/>
      <c r="E15477" s="7"/>
    </row>
    <row r="15478" spans="3:5">
      <c r="C15478" s="17"/>
      <c r="D15478" s="17"/>
      <c r="E15478" s="7"/>
    </row>
    <row r="15479" spans="3:5">
      <c r="C15479" s="17"/>
      <c r="D15479" s="17"/>
      <c r="E15479" s="7"/>
    </row>
    <row r="15480" spans="3:5">
      <c r="C15480" s="17"/>
      <c r="D15480" s="17"/>
      <c r="E15480" s="7"/>
    </row>
    <row r="15481" spans="3:5">
      <c r="C15481" s="17"/>
      <c r="D15481" s="17"/>
      <c r="E15481" s="7"/>
    </row>
    <row r="15482" spans="3:5">
      <c r="C15482" s="17"/>
      <c r="D15482" s="17"/>
      <c r="E15482" s="7"/>
    </row>
    <row r="15483" spans="3:5">
      <c r="C15483" s="17"/>
      <c r="D15483" s="17"/>
      <c r="E15483" s="7"/>
    </row>
    <row r="15484" spans="3:5">
      <c r="C15484" s="17"/>
      <c r="D15484" s="17"/>
      <c r="E15484" s="7"/>
    </row>
    <row r="15485" spans="3:5">
      <c r="C15485" s="17"/>
      <c r="D15485" s="17"/>
      <c r="E15485" s="7"/>
    </row>
    <row r="15486" spans="3:5">
      <c r="C15486" s="17"/>
      <c r="D15486" s="17"/>
      <c r="E15486" s="7"/>
    </row>
    <row r="15487" spans="3:5">
      <c r="C15487" s="17"/>
      <c r="D15487" s="17"/>
      <c r="E15487" s="7"/>
    </row>
    <row r="15488" spans="3:5">
      <c r="C15488" s="17"/>
      <c r="D15488" s="17"/>
      <c r="E15488" s="7"/>
    </row>
    <row r="15489" spans="3:5">
      <c r="C15489" s="17"/>
      <c r="D15489" s="17"/>
      <c r="E15489" s="7"/>
    </row>
    <row r="15490" spans="3:5">
      <c r="C15490" s="17"/>
      <c r="D15490" s="17"/>
      <c r="E15490" s="7"/>
    </row>
    <row r="15491" spans="3:5">
      <c r="C15491" s="17"/>
      <c r="D15491" s="17"/>
      <c r="E15491" s="7"/>
    </row>
    <row r="15492" spans="3:5">
      <c r="C15492" s="17"/>
      <c r="D15492" s="17"/>
      <c r="E15492" s="7"/>
    </row>
    <row r="15493" spans="3:5">
      <c r="C15493" s="17"/>
      <c r="D15493" s="17"/>
      <c r="E15493" s="7"/>
    </row>
    <row r="15494" spans="3:5">
      <c r="C15494" s="17"/>
      <c r="D15494" s="17"/>
      <c r="E15494" s="7"/>
    </row>
    <row r="15495" spans="3:5">
      <c r="C15495" s="17"/>
      <c r="D15495" s="17"/>
      <c r="E15495" s="7"/>
    </row>
    <row r="15496" spans="3:5">
      <c r="C15496" s="17"/>
      <c r="D15496" s="17"/>
      <c r="E15496" s="7"/>
    </row>
    <row r="15497" spans="3:5">
      <c r="C15497" s="17"/>
      <c r="D15497" s="17"/>
      <c r="E15497" s="7"/>
    </row>
    <row r="15498" spans="3:5">
      <c r="C15498" s="17"/>
      <c r="D15498" s="17"/>
      <c r="E15498" s="7"/>
    </row>
    <row r="15499" spans="3:5">
      <c r="C15499" s="17"/>
      <c r="D15499" s="17"/>
      <c r="E15499" s="7"/>
    </row>
    <row r="15500" spans="3:5">
      <c r="C15500" s="17"/>
      <c r="D15500" s="17"/>
      <c r="E15500" s="7"/>
    </row>
    <row r="15501" spans="3:5">
      <c r="C15501" s="17"/>
      <c r="D15501" s="17"/>
      <c r="E15501" s="7"/>
    </row>
    <row r="15502" spans="3:5">
      <c r="C15502" s="17"/>
      <c r="D15502" s="17"/>
      <c r="E15502" s="7"/>
    </row>
    <row r="15503" spans="3:5">
      <c r="C15503" s="17"/>
      <c r="D15503" s="17"/>
      <c r="E15503" s="7"/>
    </row>
    <row r="15504" spans="3:5">
      <c r="C15504" s="17"/>
      <c r="D15504" s="17"/>
      <c r="E15504" s="7"/>
    </row>
    <row r="15505" spans="3:5">
      <c r="C15505" s="17"/>
      <c r="D15505" s="17"/>
      <c r="E15505" s="7"/>
    </row>
    <row r="15506" spans="3:5">
      <c r="C15506" s="17"/>
      <c r="D15506" s="17"/>
      <c r="E15506" s="7"/>
    </row>
    <row r="15507" spans="3:5">
      <c r="C15507" s="17"/>
      <c r="D15507" s="17"/>
      <c r="E15507" s="7"/>
    </row>
    <row r="15508" spans="3:5">
      <c r="C15508" s="17"/>
      <c r="D15508" s="17"/>
      <c r="E15508" s="7"/>
    </row>
    <row r="15509" spans="3:5">
      <c r="C15509" s="17"/>
      <c r="D15509" s="17"/>
      <c r="E15509" s="7"/>
    </row>
    <row r="15510" spans="3:5">
      <c r="C15510" s="17"/>
      <c r="D15510" s="17"/>
      <c r="E15510" s="7"/>
    </row>
    <row r="15511" spans="3:5">
      <c r="C15511" s="17"/>
      <c r="D15511" s="17"/>
      <c r="E15511" s="7"/>
    </row>
    <row r="15512" spans="3:5">
      <c r="C15512" s="17"/>
      <c r="D15512" s="17"/>
      <c r="E15512" s="7"/>
    </row>
    <row r="15513" spans="3:5">
      <c r="C15513" s="17"/>
      <c r="D15513" s="17"/>
      <c r="E15513" s="7"/>
    </row>
    <row r="15514" spans="3:5">
      <c r="C15514" s="17"/>
      <c r="D15514" s="17"/>
      <c r="E15514" s="7"/>
    </row>
    <row r="15515" spans="3:5">
      <c r="C15515" s="17"/>
      <c r="D15515" s="17"/>
      <c r="E15515" s="7"/>
    </row>
    <row r="15516" spans="3:5">
      <c r="C15516" s="17"/>
      <c r="D15516" s="17"/>
      <c r="E15516" s="7"/>
    </row>
    <row r="15517" spans="3:5">
      <c r="C15517" s="17"/>
      <c r="D15517" s="17"/>
      <c r="E15517" s="7"/>
    </row>
    <row r="15518" spans="3:5">
      <c r="C15518" s="17"/>
      <c r="D15518" s="17"/>
      <c r="E15518" s="7"/>
    </row>
    <row r="15519" spans="3:5">
      <c r="C15519" s="17"/>
      <c r="D15519" s="17"/>
      <c r="E15519" s="7"/>
    </row>
    <row r="15520" spans="3:5">
      <c r="C15520" s="17"/>
      <c r="D15520" s="17"/>
      <c r="E15520" s="7"/>
    </row>
    <row r="15521" spans="3:5">
      <c r="C15521" s="17"/>
      <c r="D15521" s="17"/>
      <c r="E15521" s="7"/>
    </row>
    <row r="15522" spans="3:5">
      <c r="C15522" s="17"/>
      <c r="D15522" s="17"/>
      <c r="E15522" s="7"/>
    </row>
    <row r="15523" spans="3:5">
      <c r="C15523" s="17"/>
      <c r="D15523" s="17"/>
      <c r="E15523" s="7"/>
    </row>
    <row r="15524" spans="3:5">
      <c r="C15524" s="17"/>
      <c r="D15524" s="17"/>
      <c r="E15524" s="7"/>
    </row>
    <row r="15525" spans="3:5">
      <c r="C15525" s="17"/>
      <c r="D15525" s="17"/>
      <c r="E15525" s="7"/>
    </row>
    <row r="15526" spans="3:5">
      <c r="C15526" s="17"/>
      <c r="D15526" s="17"/>
      <c r="E15526" s="7"/>
    </row>
    <row r="15527" spans="3:5">
      <c r="C15527" s="17"/>
      <c r="D15527" s="17"/>
      <c r="E15527" s="7"/>
    </row>
    <row r="15528" spans="3:5">
      <c r="C15528" s="17"/>
      <c r="D15528" s="17"/>
      <c r="E15528" s="7"/>
    </row>
    <row r="15529" spans="3:5">
      <c r="C15529" s="17"/>
      <c r="D15529" s="17"/>
      <c r="E15529" s="7"/>
    </row>
    <row r="15530" spans="3:5">
      <c r="C15530" s="17"/>
      <c r="D15530" s="17"/>
      <c r="E15530" s="7"/>
    </row>
    <row r="15531" spans="3:5">
      <c r="C15531" s="17"/>
      <c r="D15531" s="17"/>
      <c r="E15531" s="7"/>
    </row>
    <row r="15532" spans="3:5">
      <c r="C15532" s="17"/>
      <c r="D15532" s="17"/>
      <c r="E15532" s="7"/>
    </row>
    <row r="15533" spans="3:5">
      <c r="C15533" s="17"/>
      <c r="D15533" s="17"/>
      <c r="E15533" s="7"/>
    </row>
    <row r="15534" spans="3:5">
      <c r="C15534" s="17"/>
      <c r="D15534" s="17"/>
      <c r="E15534" s="7"/>
    </row>
    <row r="15535" spans="3:5">
      <c r="C15535" s="17"/>
      <c r="D15535" s="17"/>
      <c r="E15535" s="7"/>
    </row>
    <row r="15536" spans="3:5">
      <c r="C15536" s="17"/>
      <c r="D15536" s="17"/>
      <c r="E15536" s="7"/>
    </row>
    <row r="15537" spans="3:5">
      <c r="C15537" s="17"/>
      <c r="D15537" s="17"/>
      <c r="E15537" s="7"/>
    </row>
    <row r="15538" spans="3:5">
      <c r="C15538" s="17"/>
      <c r="D15538" s="17"/>
      <c r="E15538" s="7"/>
    </row>
    <row r="15539" spans="3:5">
      <c r="C15539" s="17"/>
      <c r="D15539" s="17"/>
      <c r="E15539" s="7"/>
    </row>
    <row r="15540" spans="3:5">
      <c r="C15540" s="17"/>
      <c r="D15540" s="17"/>
      <c r="E15540" s="7"/>
    </row>
    <row r="15541" spans="3:5">
      <c r="C15541" s="17"/>
      <c r="D15541" s="17"/>
      <c r="E15541" s="7"/>
    </row>
    <row r="15542" spans="3:5">
      <c r="C15542" s="17"/>
      <c r="D15542" s="17"/>
      <c r="E15542" s="7"/>
    </row>
    <row r="15543" spans="3:5">
      <c r="C15543" s="17"/>
      <c r="D15543" s="17"/>
      <c r="E15543" s="7"/>
    </row>
    <row r="15544" spans="3:5">
      <c r="C15544" s="17"/>
      <c r="D15544" s="17"/>
      <c r="E15544" s="7"/>
    </row>
    <row r="15545" spans="3:5">
      <c r="C15545" s="17"/>
      <c r="D15545" s="17"/>
      <c r="E15545" s="7"/>
    </row>
    <row r="15546" spans="3:5">
      <c r="C15546" s="17"/>
      <c r="D15546" s="17"/>
      <c r="E15546" s="7"/>
    </row>
    <row r="15547" spans="3:5">
      <c r="C15547" s="17"/>
      <c r="D15547" s="17"/>
      <c r="E15547" s="7"/>
    </row>
    <row r="15548" spans="3:5">
      <c r="C15548" s="17"/>
      <c r="D15548" s="17"/>
      <c r="E15548" s="7"/>
    </row>
    <row r="15549" spans="3:5">
      <c r="C15549" s="17"/>
      <c r="D15549" s="17"/>
      <c r="E15549" s="7"/>
    </row>
    <row r="15550" spans="3:5">
      <c r="C15550" s="17"/>
      <c r="D15550" s="17"/>
      <c r="E15550" s="7"/>
    </row>
    <row r="15551" spans="3:5">
      <c r="C15551" s="17"/>
      <c r="D15551" s="17"/>
      <c r="E15551" s="7"/>
    </row>
    <row r="15552" spans="3:5">
      <c r="C15552" s="17"/>
      <c r="D15552" s="17"/>
      <c r="E15552" s="7"/>
    </row>
    <row r="15553" spans="3:5">
      <c r="C15553" s="17"/>
      <c r="D15553" s="17"/>
      <c r="E15553" s="7"/>
    </row>
    <row r="15554" spans="3:5">
      <c r="C15554" s="17"/>
      <c r="D15554" s="17"/>
      <c r="E15554" s="7"/>
    </row>
    <row r="15555" spans="3:5">
      <c r="C15555" s="17"/>
      <c r="D15555" s="17"/>
      <c r="E15555" s="7"/>
    </row>
    <row r="15556" spans="3:5">
      <c r="C15556" s="17"/>
      <c r="D15556" s="17"/>
      <c r="E15556" s="7"/>
    </row>
    <row r="15557" spans="3:5">
      <c r="C15557" s="17"/>
      <c r="D15557" s="17"/>
      <c r="E15557" s="7"/>
    </row>
    <row r="15558" spans="3:5">
      <c r="C15558" s="17"/>
      <c r="D15558" s="17"/>
      <c r="E15558" s="7"/>
    </row>
    <row r="15559" spans="3:5">
      <c r="C15559" s="17"/>
      <c r="D15559" s="17"/>
      <c r="E15559" s="7"/>
    </row>
    <row r="15560" spans="3:5">
      <c r="C15560" s="17"/>
      <c r="D15560" s="17"/>
      <c r="E15560" s="7"/>
    </row>
    <row r="15561" spans="3:5">
      <c r="C15561" s="17"/>
      <c r="D15561" s="17"/>
      <c r="E15561" s="7"/>
    </row>
    <row r="15562" spans="3:5">
      <c r="C15562" s="17"/>
      <c r="D15562" s="17"/>
      <c r="E15562" s="7"/>
    </row>
    <row r="15563" spans="3:5">
      <c r="C15563" s="17"/>
      <c r="D15563" s="17"/>
      <c r="E15563" s="7"/>
    </row>
    <row r="15564" spans="3:5">
      <c r="C15564" s="17"/>
      <c r="D15564" s="17"/>
      <c r="E15564" s="7"/>
    </row>
    <row r="15565" spans="3:5">
      <c r="C15565" s="17"/>
      <c r="D15565" s="17"/>
      <c r="E15565" s="7"/>
    </row>
    <row r="15566" spans="3:5">
      <c r="C15566" s="17"/>
      <c r="D15566" s="17"/>
      <c r="E15566" s="7"/>
    </row>
    <row r="15567" spans="3:5">
      <c r="C15567" s="17"/>
      <c r="D15567" s="17"/>
      <c r="E15567" s="7"/>
    </row>
    <row r="15568" spans="3:5">
      <c r="C15568" s="17"/>
      <c r="D15568" s="17"/>
      <c r="E15568" s="7"/>
    </row>
    <row r="15569" spans="3:5">
      <c r="C15569" s="17"/>
      <c r="D15569" s="17"/>
      <c r="E15569" s="7"/>
    </row>
    <row r="15570" spans="3:5">
      <c r="C15570" s="17"/>
      <c r="D15570" s="17"/>
      <c r="E15570" s="7"/>
    </row>
    <row r="15571" spans="3:5">
      <c r="C15571" s="17"/>
      <c r="D15571" s="17"/>
      <c r="E15571" s="7"/>
    </row>
    <row r="15572" spans="3:5">
      <c r="C15572" s="17"/>
      <c r="D15572" s="17"/>
      <c r="E15572" s="7"/>
    </row>
    <row r="15573" spans="3:5">
      <c r="C15573" s="17"/>
      <c r="D15573" s="17"/>
      <c r="E15573" s="7"/>
    </row>
    <row r="15574" spans="3:5">
      <c r="C15574" s="17"/>
      <c r="D15574" s="17"/>
      <c r="E15574" s="7"/>
    </row>
    <row r="15575" spans="3:5">
      <c r="C15575" s="17"/>
      <c r="D15575" s="17"/>
      <c r="E15575" s="7"/>
    </row>
    <row r="15576" spans="3:5">
      <c r="C15576" s="17"/>
      <c r="D15576" s="17"/>
      <c r="E15576" s="7"/>
    </row>
    <row r="15577" spans="3:5">
      <c r="C15577" s="17"/>
      <c r="D15577" s="17"/>
      <c r="E15577" s="7"/>
    </row>
    <row r="15578" spans="3:5">
      <c r="C15578" s="17"/>
      <c r="D15578" s="17"/>
      <c r="E15578" s="7"/>
    </row>
    <row r="15579" spans="3:5">
      <c r="C15579" s="17"/>
      <c r="D15579" s="17"/>
      <c r="E15579" s="7"/>
    </row>
    <row r="15580" spans="3:5">
      <c r="C15580" s="17"/>
      <c r="D15580" s="17"/>
      <c r="E15580" s="7"/>
    </row>
    <row r="15581" spans="3:5">
      <c r="C15581" s="17"/>
      <c r="D15581" s="17"/>
      <c r="E15581" s="7"/>
    </row>
    <row r="15582" spans="3:5">
      <c r="C15582" s="17"/>
      <c r="D15582" s="17"/>
      <c r="E15582" s="7"/>
    </row>
    <row r="15583" spans="3:5">
      <c r="C15583" s="17"/>
      <c r="D15583" s="17"/>
      <c r="E15583" s="7"/>
    </row>
    <row r="15584" spans="3:5">
      <c r="C15584" s="17"/>
      <c r="D15584" s="17"/>
      <c r="E15584" s="7"/>
    </row>
    <row r="15585" spans="3:5">
      <c r="C15585" s="17"/>
      <c r="D15585" s="17"/>
      <c r="E15585" s="7"/>
    </row>
    <row r="15586" spans="3:5">
      <c r="C15586" s="17"/>
      <c r="D15586" s="17"/>
      <c r="E15586" s="7"/>
    </row>
    <row r="15587" spans="3:5">
      <c r="C15587" s="17"/>
      <c r="D15587" s="17"/>
      <c r="E15587" s="7"/>
    </row>
    <row r="15588" spans="3:5">
      <c r="C15588" s="17"/>
      <c r="D15588" s="17"/>
      <c r="E15588" s="7"/>
    </row>
    <row r="15589" spans="3:5">
      <c r="C15589" s="17"/>
      <c r="D15589" s="17"/>
      <c r="E15589" s="7"/>
    </row>
    <row r="15590" spans="3:5">
      <c r="C15590" s="17"/>
      <c r="D15590" s="17"/>
      <c r="E15590" s="7"/>
    </row>
    <row r="15591" spans="3:5">
      <c r="C15591" s="17"/>
      <c r="D15591" s="17"/>
      <c r="E15591" s="7"/>
    </row>
    <row r="15592" spans="3:5">
      <c r="C15592" s="17"/>
      <c r="D15592" s="17"/>
      <c r="E15592" s="7"/>
    </row>
    <row r="15593" spans="3:5">
      <c r="C15593" s="17"/>
      <c r="D15593" s="17"/>
      <c r="E15593" s="7"/>
    </row>
    <row r="15594" spans="3:5">
      <c r="C15594" s="17"/>
      <c r="D15594" s="17"/>
      <c r="E15594" s="7"/>
    </row>
    <row r="15595" spans="3:5">
      <c r="C15595" s="17"/>
      <c r="D15595" s="17"/>
      <c r="E15595" s="7"/>
    </row>
    <row r="15596" spans="3:5">
      <c r="C15596" s="17"/>
      <c r="D15596" s="17"/>
      <c r="E15596" s="7"/>
    </row>
    <row r="15597" spans="3:5">
      <c r="C15597" s="17"/>
      <c r="D15597" s="17"/>
      <c r="E15597" s="7"/>
    </row>
    <row r="15598" spans="3:5">
      <c r="C15598" s="17"/>
      <c r="D15598" s="17"/>
      <c r="E15598" s="7"/>
    </row>
    <row r="15599" spans="3:5">
      <c r="C15599" s="17"/>
      <c r="D15599" s="17"/>
      <c r="E15599" s="7"/>
    </row>
    <row r="15600" spans="3:5">
      <c r="C15600" s="17"/>
      <c r="D15600" s="17"/>
      <c r="E15600" s="7"/>
    </row>
    <row r="15601" spans="3:5">
      <c r="C15601" s="17"/>
      <c r="D15601" s="17"/>
      <c r="E15601" s="7"/>
    </row>
    <row r="15602" spans="3:5">
      <c r="C15602" s="17"/>
      <c r="D15602" s="17"/>
      <c r="E15602" s="7"/>
    </row>
    <row r="15603" spans="3:5">
      <c r="C15603" s="17"/>
      <c r="D15603" s="17"/>
      <c r="E15603" s="7"/>
    </row>
    <row r="15604" spans="3:5">
      <c r="C15604" s="17"/>
      <c r="D15604" s="17"/>
      <c r="E15604" s="7"/>
    </row>
    <row r="15605" spans="3:5">
      <c r="C15605" s="17"/>
      <c r="D15605" s="17"/>
      <c r="E15605" s="7"/>
    </row>
    <row r="15606" spans="3:5">
      <c r="C15606" s="17"/>
      <c r="D15606" s="17"/>
      <c r="E15606" s="7"/>
    </row>
    <row r="15607" spans="3:5">
      <c r="C15607" s="17"/>
      <c r="D15607" s="17"/>
      <c r="E15607" s="7"/>
    </row>
    <row r="15608" spans="3:5">
      <c r="C15608" s="17"/>
      <c r="D15608" s="17"/>
      <c r="E15608" s="7"/>
    </row>
    <row r="15609" spans="3:5">
      <c r="C15609" s="17"/>
      <c r="D15609" s="17"/>
      <c r="E15609" s="7"/>
    </row>
    <row r="15610" spans="3:5">
      <c r="C15610" s="17"/>
      <c r="D15610" s="17"/>
      <c r="E15610" s="7"/>
    </row>
    <row r="15611" spans="3:5">
      <c r="C15611" s="17"/>
      <c r="D15611" s="17"/>
      <c r="E15611" s="7"/>
    </row>
    <row r="15612" spans="3:5">
      <c r="C15612" s="17"/>
      <c r="D15612" s="17"/>
      <c r="E15612" s="7"/>
    </row>
    <row r="15613" spans="3:5">
      <c r="C15613" s="17"/>
      <c r="D15613" s="17"/>
      <c r="E15613" s="7"/>
    </row>
    <row r="15614" spans="3:5">
      <c r="C15614" s="17"/>
      <c r="D15614" s="17"/>
      <c r="E15614" s="7"/>
    </row>
    <row r="15615" spans="3:5">
      <c r="C15615" s="17"/>
      <c r="D15615" s="17"/>
      <c r="E15615" s="7"/>
    </row>
    <row r="15616" spans="3:5">
      <c r="C15616" s="17"/>
      <c r="D15616" s="17"/>
      <c r="E15616" s="7"/>
    </row>
    <row r="15617" spans="3:5">
      <c r="C15617" s="17"/>
      <c r="D15617" s="17"/>
      <c r="E15617" s="7"/>
    </row>
    <row r="15618" spans="3:5">
      <c r="C15618" s="17"/>
      <c r="D15618" s="17"/>
      <c r="E15618" s="7"/>
    </row>
    <row r="15619" spans="3:5">
      <c r="C15619" s="17"/>
      <c r="D15619" s="17"/>
      <c r="E15619" s="7"/>
    </row>
    <row r="15620" spans="3:5">
      <c r="C15620" s="17"/>
      <c r="D15620" s="17"/>
      <c r="E15620" s="7"/>
    </row>
    <row r="15621" spans="3:5">
      <c r="C15621" s="17"/>
      <c r="D15621" s="17"/>
      <c r="E15621" s="7"/>
    </row>
    <row r="15622" spans="3:5">
      <c r="C15622" s="17"/>
      <c r="D15622" s="17"/>
      <c r="E15622" s="7"/>
    </row>
    <row r="15623" spans="3:5">
      <c r="C15623" s="17"/>
      <c r="D15623" s="17"/>
      <c r="E15623" s="7"/>
    </row>
    <row r="15624" spans="3:5">
      <c r="C15624" s="17"/>
      <c r="D15624" s="17"/>
      <c r="E15624" s="7"/>
    </row>
    <row r="15625" spans="3:5">
      <c r="C15625" s="17"/>
      <c r="D15625" s="17"/>
      <c r="E15625" s="7"/>
    </row>
    <row r="15626" spans="3:5">
      <c r="C15626" s="17"/>
      <c r="D15626" s="17"/>
      <c r="E15626" s="7"/>
    </row>
    <row r="15627" spans="3:5">
      <c r="C15627" s="17"/>
      <c r="D15627" s="17"/>
      <c r="E15627" s="7"/>
    </row>
    <row r="15628" spans="3:5">
      <c r="C15628" s="17"/>
      <c r="D15628" s="17"/>
      <c r="E15628" s="7"/>
    </row>
    <row r="15629" spans="3:5">
      <c r="C15629" s="17"/>
      <c r="D15629" s="17"/>
      <c r="E15629" s="7"/>
    </row>
    <row r="15630" spans="3:5">
      <c r="C15630" s="17"/>
      <c r="D15630" s="17"/>
      <c r="E15630" s="7"/>
    </row>
    <row r="15631" spans="3:5">
      <c r="C15631" s="17"/>
      <c r="D15631" s="17"/>
      <c r="E15631" s="7"/>
    </row>
    <row r="15632" spans="3:5">
      <c r="C15632" s="17"/>
      <c r="D15632" s="17"/>
      <c r="E15632" s="7"/>
    </row>
    <row r="15633" spans="3:5">
      <c r="C15633" s="17"/>
      <c r="D15633" s="17"/>
      <c r="E15633" s="7"/>
    </row>
    <row r="15634" spans="3:5">
      <c r="C15634" s="17"/>
      <c r="D15634" s="17"/>
      <c r="E15634" s="7"/>
    </row>
    <row r="15635" spans="3:5">
      <c r="C15635" s="17"/>
      <c r="D15635" s="17"/>
      <c r="E15635" s="7"/>
    </row>
    <row r="15636" spans="3:5">
      <c r="C15636" s="17"/>
      <c r="D15636" s="17"/>
      <c r="E15636" s="7"/>
    </row>
    <row r="15637" spans="3:5">
      <c r="C15637" s="17"/>
      <c r="D15637" s="17"/>
      <c r="E15637" s="7"/>
    </row>
    <row r="15638" spans="3:5">
      <c r="C15638" s="17"/>
      <c r="D15638" s="17"/>
      <c r="E15638" s="7"/>
    </row>
    <row r="15639" spans="3:5">
      <c r="C15639" s="17"/>
      <c r="D15639" s="17"/>
      <c r="E15639" s="7"/>
    </row>
    <row r="15640" spans="3:5">
      <c r="C15640" s="17"/>
      <c r="D15640" s="17"/>
      <c r="E15640" s="7"/>
    </row>
    <row r="15641" spans="3:5">
      <c r="C15641" s="17"/>
      <c r="D15641" s="17"/>
      <c r="E15641" s="7"/>
    </row>
    <row r="15642" spans="3:5">
      <c r="C15642" s="17"/>
      <c r="D15642" s="17"/>
      <c r="E15642" s="7"/>
    </row>
    <row r="15643" spans="3:5">
      <c r="C15643" s="17"/>
      <c r="D15643" s="17"/>
      <c r="E15643" s="7"/>
    </row>
    <row r="15644" spans="3:5">
      <c r="C15644" s="17"/>
      <c r="D15644" s="17"/>
      <c r="E15644" s="7"/>
    </row>
    <row r="15645" spans="3:5">
      <c r="C15645" s="17"/>
      <c r="D15645" s="17"/>
      <c r="E15645" s="7"/>
    </row>
    <row r="15646" spans="3:5">
      <c r="C15646" s="17"/>
      <c r="D15646" s="17"/>
      <c r="E15646" s="7"/>
    </row>
    <row r="15647" spans="3:5">
      <c r="C15647" s="17"/>
      <c r="D15647" s="17"/>
      <c r="E15647" s="7"/>
    </row>
    <row r="15648" spans="3:5">
      <c r="C15648" s="17"/>
      <c r="D15648" s="17"/>
      <c r="E15648" s="7"/>
    </row>
    <row r="15649" spans="3:5">
      <c r="C15649" s="17"/>
      <c r="D15649" s="17"/>
      <c r="E15649" s="7"/>
    </row>
    <row r="15650" spans="3:5">
      <c r="C15650" s="17"/>
      <c r="D15650" s="17"/>
      <c r="E15650" s="7"/>
    </row>
    <row r="15651" spans="3:5">
      <c r="C15651" s="17"/>
      <c r="D15651" s="17"/>
      <c r="E15651" s="7"/>
    </row>
    <row r="15652" spans="3:5">
      <c r="C15652" s="17"/>
      <c r="D15652" s="17"/>
      <c r="E15652" s="7"/>
    </row>
    <row r="15653" spans="3:5">
      <c r="C15653" s="17"/>
      <c r="D15653" s="17"/>
      <c r="E15653" s="7"/>
    </row>
    <row r="15654" spans="3:5">
      <c r="C15654" s="17"/>
      <c r="D15654" s="17"/>
      <c r="E15654" s="7"/>
    </row>
    <row r="15655" spans="3:5">
      <c r="C15655" s="17"/>
      <c r="D15655" s="17"/>
      <c r="E15655" s="7"/>
    </row>
    <row r="15656" spans="3:5">
      <c r="C15656" s="17"/>
      <c r="D15656" s="17"/>
      <c r="E15656" s="7"/>
    </row>
    <row r="15657" spans="3:5">
      <c r="C15657" s="17"/>
      <c r="D15657" s="17"/>
      <c r="E15657" s="7"/>
    </row>
    <row r="15658" spans="3:5">
      <c r="C15658" s="17"/>
      <c r="D15658" s="17"/>
      <c r="E15658" s="7"/>
    </row>
    <row r="15659" spans="3:5">
      <c r="C15659" s="17"/>
      <c r="D15659" s="17"/>
      <c r="E15659" s="7"/>
    </row>
    <row r="15660" spans="3:5">
      <c r="C15660" s="17"/>
      <c r="D15660" s="17"/>
      <c r="E15660" s="7"/>
    </row>
    <row r="15661" spans="3:5">
      <c r="C15661" s="17"/>
      <c r="D15661" s="17"/>
      <c r="E15661" s="7"/>
    </row>
    <row r="15662" spans="3:5">
      <c r="C15662" s="17"/>
      <c r="D15662" s="17"/>
      <c r="E15662" s="7"/>
    </row>
    <row r="15663" spans="3:5">
      <c r="C15663" s="17"/>
      <c r="D15663" s="17"/>
      <c r="E15663" s="7"/>
    </row>
    <row r="15664" spans="3:5">
      <c r="C15664" s="17"/>
      <c r="D15664" s="17"/>
      <c r="E15664" s="7"/>
    </row>
    <row r="15665" spans="3:5">
      <c r="C15665" s="17"/>
      <c r="D15665" s="17"/>
      <c r="E15665" s="7"/>
    </row>
    <row r="15666" spans="3:5">
      <c r="C15666" s="17"/>
      <c r="D15666" s="17"/>
      <c r="E15666" s="7"/>
    </row>
    <row r="15667" spans="3:5">
      <c r="C15667" s="17"/>
      <c r="D15667" s="17"/>
      <c r="E15667" s="7"/>
    </row>
    <row r="15668" spans="3:5">
      <c r="C15668" s="17"/>
      <c r="D15668" s="17"/>
      <c r="E15668" s="7"/>
    </row>
    <row r="15669" spans="3:5">
      <c r="C15669" s="17"/>
      <c r="D15669" s="17"/>
      <c r="E15669" s="7"/>
    </row>
    <row r="15670" spans="3:5">
      <c r="C15670" s="17"/>
      <c r="D15670" s="17"/>
      <c r="E15670" s="7"/>
    </row>
    <row r="15671" spans="3:5">
      <c r="C15671" s="17"/>
      <c r="D15671" s="17"/>
      <c r="E15671" s="7"/>
    </row>
    <row r="15672" spans="3:5">
      <c r="C15672" s="17"/>
      <c r="D15672" s="17"/>
      <c r="E15672" s="7"/>
    </row>
    <row r="15673" spans="3:5">
      <c r="C15673" s="17"/>
      <c r="D15673" s="17"/>
      <c r="E15673" s="7"/>
    </row>
    <row r="15674" spans="3:5">
      <c r="C15674" s="17"/>
      <c r="D15674" s="17"/>
      <c r="E15674" s="7"/>
    </row>
    <row r="15675" spans="3:5">
      <c r="C15675" s="17"/>
      <c r="D15675" s="17"/>
      <c r="E15675" s="7"/>
    </row>
    <row r="15676" spans="3:5">
      <c r="C15676" s="17"/>
      <c r="D15676" s="17"/>
      <c r="E15676" s="7"/>
    </row>
    <row r="15677" spans="3:5">
      <c r="C15677" s="17"/>
      <c r="D15677" s="17"/>
      <c r="E15677" s="7"/>
    </row>
    <row r="15678" spans="3:5">
      <c r="C15678" s="17"/>
      <c r="D15678" s="17"/>
      <c r="E15678" s="7"/>
    </row>
    <row r="15679" spans="3:5">
      <c r="C15679" s="17"/>
      <c r="D15679" s="17"/>
      <c r="E15679" s="7"/>
    </row>
    <row r="15680" spans="3:5">
      <c r="C15680" s="17"/>
      <c r="D15680" s="17"/>
      <c r="E15680" s="7"/>
    </row>
    <row r="15681" spans="3:5">
      <c r="C15681" s="17"/>
      <c r="D15681" s="17"/>
      <c r="E15681" s="7"/>
    </row>
    <row r="15682" spans="3:5">
      <c r="C15682" s="17"/>
      <c r="D15682" s="17"/>
      <c r="E15682" s="7"/>
    </row>
    <row r="15683" spans="3:5">
      <c r="C15683" s="17"/>
      <c r="D15683" s="17"/>
      <c r="E15683" s="7"/>
    </row>
    <row r="15684" spans="3:5">
      <c r="C15684" s="17"/>
      <c r="D15684" s="17"/>
      <c r="E15684" s="7"/>
    </row>
    <row r="15685" spans="3:5">
      <c r="C15685" s="17"/>
      <c r="D15685" s="17"/>
      <c r="E15685" s="7"/>
    </row>
    <row r="15686" spans="3:5">
      <c r="C15686" s="17"/>
      <c r="D15686" s="17"/>
      <c r="E15686" s="7"/>
    </row>
    <row r="15687" spans="3:5">
      <c r="C15687" s="17"/>
      <c r="D15687" s="17"/>
      <c r="E15687" s="7"/>
    </row>
    <row r="15688" spans="3:5">
      <c r="C15688" s="17"/>
      <c r="D15688" s="17"/>
      <c r="E15688" s="7"/>
    </row>
    <row r="15689" spans="3:5">
      <c r="C15689" s="17"/>
      <c r="D15689" s="17"/>
      <c r="E15689" s="7"/>
    </row>
    <row r="15690" spans="3:5">
      <c r="C15690" s="17"/>
      <c r="D15690" s="17"/>
      <c r="E15690" s="7"/>
    </row>
    <row r="15691" spans="3:5">
      <c r="C15691" s="17"/>
      <c r="D15691" s="17"/>
      <c r="E15691" s="7"/>
    </row>
    <row r="15692" spans="3:5">
      <c r="C15692" s="17"/>
      <c r="D15692" s="17"/>
      <c r="E15692" s="7"/>
    </row>
    <row r="15693" spans="3:5">
      <c r="C15693" s="17"/>
      <c r="D15693" s="17"/>
      <c r="E15693" s="7"/>
    </row>
    <row r="15694" spans="3:5">
      <c r="C15694" s="17"/>
      <c r="D15694" s="17"/>
      <c r="E15694" s="7"/>
    </row>
    <row r="15695" spans="3:5">
      <c r="C15695" s="17"/>
      <c r="D15695" s="17"/>
      <c r="E15695" s="7"/>
    </row>
    <row r="15696" spans="3:5">
      <c r="C15696" s="17"/>
      <c r="D15696" s="17"/>
      <c r="E15696" s="7"/>
    </row>
    <row r="15697" spans="3:5">
      <c r="C15697" s="17"/>
      <c r="D15697" s="17"/>
      <c r="E15697" s="7"/>
    </row>
    <row r="15698" spans="3:5">
      <c r="C15698" s="17"/>
      <c r="D15698" s="17"/>
      <c r="E15698" s="7"/>
    </row>
    <row r="15699" spans="3:5">
      <c r="C15699" s="17"/>
      <c r="D15699" s="17"/>
      <c r="E15699" s="7"/>
    </row>
    <row r="15700" spans="3:5">
      <c r="C15700" s="17"/>
      <c r="D15700" s="17"/>
      <c r="E15700" s="7"/>
    </row>
    <row r="15701" spans="3:5">
      <c r="C15701" s="17"/>
      <c r="D15701" s="17"/>
      <c r="E15701" s="7"/>
    </row>
    <row r="15702" spans="3:5">
      <c r="C15702" s="17"/>
      <c r="D15702" s="17"/>
      <c r="E15702" s="7"/>
    </row>
    <row r="15703" spans="3:5">
      <c r="C15703" s="17"/>
      <c r="D15703" s="17"/>
      <c r="E15703" s="7"/>
    </row>
    <row r="15704" spans="3:5">
      <c r="C15704" s="17"/>
      <c r="D15704" s="17"/>
      <c r="E15704" s="7"/>
    </row>
    <row r="15705" spans="3:5">
      <c r="C15705" s="17"/>
      <c r="D15705" s="17"/>
      <c r="E15705" s="7"/>
    </row>
    <row r="15706" spans="3:5">
      <c r="C15706" s="17"/>
      <c r="D15706" s="17"/>
      <c r="E15706" s="7"/>
    </row>
    <row r="15707" spans="3:5">
      <c r="C15707" s="17"/>
      <c r="D15707" s="17"/>
      <c r="E15707" s="7"/>
    </row>
    <row r="15708" spans="3:5">
      <c r="C15708" s="17"/>
      <c r="D15708" s="17"/>
      <c r="E15708" s="7"/>
    </row>
    <row r="15709" spans="3:5">
      <c r="C15709" s="17"/>
      <c r="D15709" s="17"/>
      <c r="E15709" s="7"/>
    </row>
    <row r="15710" spans="3:5">
      <c r="C15710" s="17"/>
      <c r="D15710" s="17"/>
      <c r="E15710" s="7"/>
    </row>
    <row r="15711" spans="3:5">
      <c r="C15711" s="17"/>
      <c r="D15711" s="17"/>
      <c r="E15711" s="7"/>
    </row>
    <row r="15712" spans="3:5">
      <c r="C15712" s="17"/>
      <c r="D15712" s="17"/>
      <c r="E15712" s="7"/>
    </row>
    <row r="15713" spans="3:5">
      <c r="C15713" s="17"/>
      <c r="D15713" s="17"/>
      <c r="E15713" s="7"/>
    </row>
    <row r="15714" spans="3:5">
      <c r="C15714" s="17"/>
      <c r="D15714" s="17"/>
      <c r="E15714" s="7"/>
    </row>
    <row r="15715" spans="3:5">
      <c r="C15715" s="17"/>
      <c r="D15715" s="17"/>
      <c r="E15715" s="7"/>
    </row>
    <row r="15716" spans="3:5">
      <c r="C15716" s="17"/>
      <c r="D15716" s="17"/>
      <c r="E15716" s="7"/>
    </row>
    <row r="15717" spans="3:5">
      <c r="C15717" s="17"/>
      <c r="D15717" s="17"/>
      <c r="E15717" s="7"/>
    </row>
    <row r="15718" spans="3:5">
      <c r="C15718" s="17"/>
      <c r="D15718" s="17"/>
      <c r="E15718" s="7"/>
    </row>
    <row r="15719" spans="3:5">
      <c r="C15719" s="17"/>
      <c r="D15719" s="17"/>
      <c r="E15719" s="7"/>
    </row>
    <row r="15720" spans="3:5">
      <c r="C15720" s="17"/>
      <c r="D15720" s="17"/>
      <c r="E15720" s="7"/>
    </row>
    <row r="15721" spans="3:5">
      <c r="C15721" s="17"/>
      <c r="D15721" s="17"/>
      <c r="E15721" s="7"/>
    </row>
    <row r="15722" spans="3:5">
      <c r="C15722" s="17"/>
      <c r="D15722" s="17"/>
      <c r="E15722" s="7"/>
    </row>
    <row r="15723" spans="3:5">
      <c r="C15723" s="17"/>
      <c r="D15723" s="17"/>
      <c r="E15723" s="7"/>
    </row>
    <row r="15724" spans="3:5">
      <c r="C15724" s="17"/>
      <c r="D15724" s="17"/>
      <c r="E15724" s="7"/>
    </row>
    <row r="15725" spans="3:5">
      <c r="C15725" s="17"/>
      <c r="D15725" s="17"/>
      <c r="E15725" s="7"/>
    </row>
    <row r="15726" spans="3:5">
      <c r="C15726" s="17"/>
      <c r="D15726" s="17"/>
      <c r="E15726" s="7"/>
    </row>
    <row r="15727" spans="3:5">
      <c r="C15727" s="17"/>
      <c r="D15727" s="17"/>
      <c r="E15727" s="7"/>
    </row>
    <row r="15728" spans="3:5">
      <c r="C15728" s="17"/>
      <c r="D15728" s="17"/>
      <c r="E15728" s="7"/>
    </row>
    <row r="15729" spans="3:5">
      <c r="C15729" s="17"/>
      <c r="D15729" s="17"/>
      <c r="E15729" s="7"/>
    </row>
    <row r="15730" spans="3:5">
      <c r="C15730" s="17"/>
      <c r="D15730" s="17"/>
      <c r="E15730" s="7"/>
    </row>
    <row r="15731" spans="3:5">
      <c r="C15731" s="17"/>
      <c r="D15731" s="17"/>
      <c r="E15731" s="7"/>
    </row>
    <row r="15732" spans="3:5">
      <c r="C15732" s="17"/>
      <c r="D15732" s="17"/>
      <c r="E15732" s="7"/>
    </row>
    <row r="15733" spans="3:5">
      <c r="C15733" s="17"/>
      <c r="D15733" s="17"/>
      <c r="E15733" s="7"/>
    </row>
    <row r="15734" spans="3:5">
      <c r="C15734" s="17"/>
      <c r="D15734" s="17"/>
      <c r="E15734" s="7"/>
    </row>
    <row r="15735" spans="3:5">
      <c r="C15735" s="17"/>
      <c r="D15735" s="17"/>
      <c r="E15735" s="7"/>
    </row>
    <row r="15736" spans="3:5">
      <c r="C15736" s="17"/>
      <c r="D15736" s="17"/>
      <c r="E15736" s="7"/>
    </row>
    <row r="15737" spans="3:5">
      <c r="C15737" s="17"/>
      <c r="D15737" s="17"/>
      <c r="E15737" s="7"/>
    </row>
    <row r="15738" spans="3:5">
      <c r="C15738" s="17"/>
      <c r="D15738" s="17"/>
      <c r="E15738" s="7"/>
    </row>
    <row r="15739" spans="3:5">
      <c r="C15739" s="17"/>
      <c r="D15739" s="17"/>
      <c r="E15739" s="7"/>
    </row>
    <row r="15740" spans="3:5">
      <c r="C15740" s="17"/>
      <c r="D15740" s="17"/>
      <c r="E15740" s="7"/>
    </row>
    <row r="15741" spans="3:5">
      <c r="C15741" s="17"/>
      <c r="D15741" s="17"/>
      <c r="E15741" s="7"/>
    </row>
    <row r="15742" spans="3:5">
      <c r="C15742" s="17"/>
      <c r="D15742" s="17"/>
      <c r="E15742" s="7"/>
    </row>
    <row r="15743" spans="3:5">
      <c r="C15743" s="17"/>
      <c r="D15743" s="17"/>
      <c r="E15743" s="7"/>
    </row>
    <row r="15744" spans="3:5">
      <c r="C15744" s="17"/>
      <c r="D15744" s="17"/>
      <c r="E15744" s="7"/>
    </row>
    <row r="15745" spans="3:5">
      <c r="C15745" s="17"/>
      <c r="D15745" s="17"/>
      <c r="E15745" s="7"/>
    </row>
    <row r="15746" spans="3:5">
      <c r="C15746" s="17"/>
      <c r="D15746" s="17"/>
      <c r="E15746" s="7"/>
    </row>
    <row r="15747" spans="3:5">
      <c r="C15747" s="17"/>
      <c r="D15747" s="17"/>
      <c r="E15747" s="7"/>
    </row>
    <row r="15748" spans="3:5">
      <c r="C15748" s="17"/>
      <c r="D15748" s="17"/>
      <c r="E15748" s="7"/>
    </row>
    <row r="15749" spans="3:5">
      <c r="C15749" s="17"/>
      <c r="D15749" s="17"/>
      <c r="E15749" s="7"/>
    </row>
    <row r="15750" spans="3:5">
      <c r="C15750" s="17"/>
      <c r="D15750" s="17"/>
      <c r="E15750" s="7"/>
    </row>
    <row r="15751" spans="3:5">
      <c r="C15751" s="17"/>
      <c r="D15751" s="17"/>
      <c r="E15751" s="7"/>
    </row>
    <row r="15752" spans="3:5">
      <c r="C15752" s="17"/>
      <c r="D15752" s="17"/>
      <c r="E15752" s="7"/>
    </row>
    <row r="15753" spans="3:5">
      <c r="C15753" s="17"/>
      <c r="D15753" s="17"/>
      <c r="E15753" s="7"/>
    </row>
    <row r="15754" spans="3:5">
      <c r="C15754" s="17"/>
      <c r="D15754" s="17"/>
      <c r="E15754" s="7"/>
    </row>
    <row r="15755" spans="3:5">
      <c r="C15755" s="17"/>
      <c r="D15755" s="17"/>
      <c r="E15755" s="7"/>
    </row>
    <row r="15756" spans="3:5">
      <c r="C15756" s="17"/>
      <c r="D15756" s="17"/>
      <c r="E15756" s="7"/>
    </row>
    <row r="15757" spans="3:5">
      <c r="C15757" s="17"/>
      <c r="D15757" s="17"/>
      <c r="E15757" s="7"/>
    </row>
    <row r="15758" spans="3:5">
      <c r="C15758" s="17"/>
      <c r="D15758" s="17"/>
      <c r="E15758" s="7"/>
    </row>
    <row r="15759" spans="3:5">
      <c r="C15759" s="17"/>
      <c r="D15759" s="17"/>
      <c r="E15759" s="7"/>
    </row>
    <row r="15760" spans="3:5">
      <c r="C15760" s="17"/>
      <c r="D15760" s="17"/>
      <c r="E15760" s="7"/>
    </row>
    <row r="15761" spans="3:5">
      <c r="C15761" s="17"/>
      <c r="D15761" s="17"/>
      <c r="E15761" s="7"/>
    </row>
    <row r="15762" spans="3:5">
      <c r="C15762" s="17"/>
      <c r="D15762" s="17"/>
      <c r="E15762" s="7"/>
    </row>
    <row r="15763" spans="3:5">
      <c r="C15763" s="17"/>
      <c r="D15763" s="17"/>
      <c r="E15763" s="7"/>
    </row>
    <row r="15764" spans="3:5">
      <c r="C15764" s="17"/>
      <c r="D15764" s="17"/>
      <c r="E15764" s="7"/>
    </row>
    <row r="15765" spans="3:5">
      <c r="C15765" s="17"/>
      <c r="D15765" s="17"/>
      <c r="E15765" s="7"/>
    </row>
    <row r="15766" spans="3:5">
      <c r="C15766" s="17"/>
      <c r="D15766" s="17"/>
      <c r="E15766" s="7"/>
    </row>
    <row r="15767" spans="3:5">
      <c r="C15767" s="17"/>
      <c r="D15767" s="17"/>
      <c r="E15767" s="7"/>
    </row>
    <row r="15768" spans="3:5">
      <c r="C15768" s="17"/>
      <c r="D15768" s="17"/>
      <c r="E15768" s="7"/>
    </row>
    <row r="15769" spans="3:5">
      <c r="C15769" s="17"/>
      <c r="D15769" s="17"/>
      <c r="E15769" s="7"/>
    </row>
    <row r="15770" spans="3:5">
      <c r="C15770" s="17"/>
      <c r="D15770" s="17"/>
      <c r="E15770" s="7"/>
    </row>
    <row r="15771" spans="3:5">
      <c r="C15771" s="17"/>
      <c r="D15771" s="17"/>
      <c r="E15771" s="7"/>
    </row>
    <row r="15772" spans="3:5">
      <c r="C15772" s="17"/>
      <c r="D15772" s="17"/>
      <c r="E15772" s="7"/>
    </row>
    <row r="15773" spans="3:5">
      <c r="C15773" s="17"/>
      <c r="D15773" s="17"/>
      <c r="E15773" s="7"/>
    </row>
    <row r="15774" spans="3:5">
      <c r="C15774" s="17"/>
      <c r="D15774" s="17"/>
      <c r="E15774" s="7"/>
    </row>
    <row r="15775" spans="3:5">
      <c r="C15775" s="17"/>
      <c r="D15775" s="17"/>
      <c r="E15775" s="7"/>
    </row>
    <row r="15776" spans="3:5">
      <c r="C15776" s="17"/>
      <c r="D15776" s="17"/>
      <c r="E15776" s="7"/>
    </row>
    <row r="15777" spans="3:5">
      <c r="C15777" s="17"/>
      <c r="D15777" s="17"/>
      <c r="E15777" s="7"/>
    </row>
    <row r="15778" spans="3:5">
      <c r="C15778" s="17"/>
      <c r="D15778" s="17"/>
      <c r="E15778" s="7"/>
    </row>
    <row r="15779" spans="3:5">
      <c r="C15779" s="17"/>
      <c r="D15779" s="17"/>
      <c r="E15779" s="7"/>
    </row>
    <row r="15780" spans="3:5">
      <c r="C15780" s="17"/>
      <c r="D15780" s="17"/>
      <c r="E15780" s="7"/>
    </row>
    <row r="15781" spans="3:5">
      <c r="C15781" s="17"/>
      <c r="D15781" s="17"/>
      <c r="E15781" s="7"/>
    </row>
    <row r="15782" spans="3:5">
      <c r="C15782" s="17"/>
      <c r="D15782" s="17"/>
      <c r="E15782" s="7"/>
    </row>
    <row r="15783" spans="3:5">
      <c r="C15783" s="17"/>
      <c r="D15783" s="17"/>
      <c r="E15783" s="7"/>
    </row>
    <row r="15784" spans="3:5">
      <c r="C15784" s="17"/>
      <c r="D15784" s="17"/>
      <c r="E15784" s="7"/>
    </row>
    <row r="15785" spans="3:5">
      <c r="C15785" s="17"/>
      <c r="D15785" s="17"/>
      <c r="E15785" s="7"/>
    </row>
    <row r="15786" spans="3:5">
      <c r="C15786" s="17"/>
      <c r="D15786" s="17"/>
      <c r="E15786" s="7"/>
    </row>
    <row r="15787" spans="3:5">
      <c r="C15787" s="17"/>
      <c r="D15787" s="17"/>
      <c r="E15787" s="7"/>
    </row>
    <row r="15788" spans="3:5">
      <c r="C15788" s="17"/>
      <c r="D15788" s="17"/>
      <c r="E15788" s="7"/>
    </row>
    <row r="15789" spans="3:5">
      <c r="C15789" s="17"/>
      <c r="D15789" s="17"/>
      <c r="E15789" s="7"/>
    </row>
    <row r="15790" spans="3:5">
      <c r="C15790" s="17"/>
      <c r="D15790" s="17"/>
      <c r="E15790" s="7"/>
    </row>
    <row r="15791" spans="3:5">
      <c r="C15791" s="17"/>
      <c r="D15791" s="17"/>
      <c r="E15791" s="7"/>
    </row>
    <row r="15792" spans="3:5">
      <c r="C15792" s="17"/>
      <c r="D15792" s="17"/>
      <c r="E15792" s="7"/>
    </row>
    <row r="15793" spans="3:5">
      <c r="C15793" s="17"/>
      <c r="D15793" s="17"/>
      <c r="E15793" s="7"/>
    </row>
    <row r="15794" spans="3:5">
      <c r="C15794" s="17"/>
      <c r="D15794" s="17"/>
      <c r="E15794" s="7"/>
    </row>
    <row r="15795" spans="3:5">
      <c r="C15795" s="17"/>
      <c r="D15795" s="17"/>
      <c r="E15795" s="7"/>
    </row>
    <row r="15796" spans="3:5">
      <c r="C15796" s="17"/>
      <c r="D15796" s="17"/>
      <c r="E15796" s="7"/>
    </row>
    <row r="15797" spans="3:5">
      <c r="C15797" s="17"/>
      <c r="D15797" s="17"/>
      <c r="E15797" s="7"/>
    </row>
    <row r="15798" spans="3:5">
      <c r="C15798" s="17"/>
      <c r="D15798" s="17"/>
      <c r="E15798" s="7"/>
    </row>
    <row r="15799" spans="3:5">
      <c r="C15799" s="17"/>
      <c r="D15799" s="17"/>
      <c r="E15799" s="7"/>
    </row>
    <row r="15800" spans="3:5">
      <c r="C15800" s="17"/>
      <c r="D15800" s="17"/>
      <c r="E15800" s="7"/>
    </row>
    <row r="15801" spans="3:5">
      <c r="C15801" s="17"/>
      <c r="D15801" s="17"/>
      <c r="E15801" s="7"/>
    </row>
    <row r="15802" spans="3:5">
      <c r="C15802" s="17"/>
      <c r="D15802" s="17"/>
      <c r="E15802" s="7"/>
    </row>
    <row r="15803" spans="3:5">
      <c r="C15803" s="17"/>
      <c r="D15803" s="17"/>
      <c r="E15803" s="7"/>
    </row>
    <row r="15804" spans="3:5">
      <c r="C15804" s="17"/>
      <c r="D15804" s="17"/>
      <c r="E15804" s="7"/>
    </row>
    <row r="15805" spans="3:5">
      <c r="C15805" s="17"/>
      <c r="D15805" s="17"/>
      <c r="E15805" s="7"/>
    </row>
    <row r="15806" spans="3:5">
      <c r="C15806" s="17"/>
      <c r="D15806" s="17"/>
      <c r="E15806" s="7"/>
    </row>
    <row r="15807" spans="3:5">
      <c r="C15807" s="17"/>
      <c r="D15807" s="17"/>
      <c r="E15807" s="7"/>
    </row>
    <row r="15808" spans="3:5">
      <c r="C15808" s="17"/>
      <c r="D15808" s="17"/>
      <c r="E15808" s="7"/>
    </row>
    <row r="15809" spans="3:5">
      <c r="C15809" s="17"/>
      <c r="D15809" s="17"/>
      <c r="E15809" s="7"/>
    </row>
    <row r="15810" spans="3:5">
      <c r="C15810" s="17"/>
      <c r="D15810" s="17"/>
      <c r="E15810" s="7"/>
    </row>
    <row r="15811" spans="3:5">
      <c r="C15811" s="17"/>
      <c r="D15811" s="17"/>
      <c r="E15811" s="7"/>
    </row>
    <row r="15812" spans="3:5">
      <c r="C15812" s="17"/>
      <c r="D15812" s="17"/>
      <c r="E15812" s="7"/>
    </row>
    <row r="15813" spans="3:5">
      <c r="C15813" s="17"/>
      <c r="D15813" s="17"/>
      <c r="E15813" s="7"/>
    </row>
    <row r="15814" spans="3:5">
      <c r="C15814" s="17"/>
      <c r="D15814" s="17"/>
      <c r="E15814" s="7"/>
    </row>
    <row r="15815" spans="3:5">
      <c r="C15815" s="17"/>
      <c r="D15815" s="17"/>
      <c r="E15815" s="7"/>
    </row>
    <row r="15816" spans="3:5">
      <c r="C15816" s="17"/>
      <c r="D15816" s="17"/>
      <c r="E15816" s="7"/>
    </row>
    <row r="15817" spans="3:5">
      <c r="C15817" s="17"/>
      <c r="D15817" s="17"/>
      <c r="E15817" s="7"/>
    </row>
    <row r="15818" spans="3:5">
      <c r="C15818" s="17"/>
      <c r="D15818" s="17"/>
      <c r="E15818" s="7"/>
    </row>
    <row r="15819" spans="3:5">
      <c r="C15819" s="17"/>
      <c r="D15819" s="17"/>
      <c r="E15819" s="7"/>
    </row>
    <row r="15820" spans="3:5">
      <c r="C15820" s="17"/>
      <c r="D15820" s="17"/>
      <c r="E15820" s="7"/>
    </row>
    <row r="15821" spans="3:5">
      <c r="C15821" s="17"/>
      <c r="D15821" s="17"/>
      <c r="E15821" s="7"/>
    </row>
    <row r="15822" spans="3:5">
      <c r="C15822" s="17"/>
      <c r="D15822" s="17"/>
      <c r="E15822" s="7"/>
    </row>
    <row r="15823" spans="3:5">
      <c r="C15823" s="17"/>
      <c r="D15823" s="17"/>
      <c r="E15823" s="7"/>
    </row>
    <row r="15824" spans="3:5">
      <c r="C15824" s="17"/>
      <c r="D15824" s="17"/>
      <c r="E15824" s="7"/>
    </row>
    <row r="15825" spans="3:5">
      <c r="C15825" s="17"/>
      <c r="D15825" s="17"/>
      <c r="E15825" s="7"/>
    </row>
    <row r="15826" spans="3:5">
      <c r="C15826" s="17"/>
      <c r="D15826" s="17"/>
      <c r="E15826" s="7"/>
    </row>
    <row r="15827" spans="3:5">
      <c r="C15827" s="17"/>
      <c r="D15827" s="17"/>
      <c r="E15827" s="7"/>
    </row>
    <row r="15828" spans="3:5">
      <c r="C15828" s="17"/>
      <c r="D15828" s="17"/>
      <c r="E15828" s="7"/>
    </row>
    <row r="15829" spans="3:5">
      <c r="C15829" s="17"/>
      <c r="D15829" s="17"/>
      <c r="E15829" s="7"/>
    </row>
    <row r="15830" spans="3:5">
      <c r="C15830" s="17"/>
      <c r="D15830" s="17"/>
      <c r="E15830" s="7"/>
    </row>
    <row r="15831" spans="3:5">
      <c r="C15831" s="17"/>
      <c r="D15831" s="17"/>
      <c r="E15831" s="7"/>
    </row>
    <row r="15832" spans="3:5">
      <c r="C15832" s="17"/>
      <c r="D15832" s="17"/>
      <c r="E15832" s="7"/>
    </row>
    <row r="15833" spans="3:5">
      <c r="C15833" s="17"/>
      <c r="D15833" s="17"/>
      <c r="E15833" s="7"/>
    </row>
    <row r="15834" spans="3:5">
      <c r="C15834" s="17"/>
      <c r="D15834" s="17"/>
      <c r="E15834" s="7"/>
    </row>
    <row r="15835" spans="3:5">
      <c r="C15835" s="17"/>
      <c r="D15835" s="17"/>
      <c r="E15835" s="7"/>
    </row>
    <row r="15836" spans="3:5">
      <c r="C15836" s="17"/>
      <c r="D15836" s="17"/>
      <c r="E15836" s="7"/>
    </row>
    <row r="15837" spans="3:5">
      <c r="C15837" s="17"/>
      <c r="D15837" s="17"/>
      <c r="E15837" s="7"/>
    </row>
    <row r="15838" spans="3:5">
      <c r="C15838" s="17"/>
      <c r="D15838" s="17"/>
      <c r="E15838" s="7"/>
    </row>
    <row r="15839" spans="3:5">
      <c r="C15839" s="17"/>
      <c r="D15839" s="17"/>
      <c r="E15839" s="7"/>
    </row>
    <row r="15840" spans="3:5">
      <c r="C15840" s="17"/>
      <c r="D15840" s="17"/>
      <c r="E15840" s="7"/>
    </row>
    <row r="15841" spans="3:5">
      <c r="C15841" s="17"/>
      <c r="D15841" s="17"/>
      <c r="E15841" s="7"/>
    </row>
    <row r="15842" spans="3:5">
      <c r="C15842" s="17"/>
      <c r="D15842" s="17"/>
      <c r="E15842" s="7"/>
    </row>
    <row r="15843" spans="3:5">
      <c r="C15843" s="17"/>
      <c r="D15843" s="17"/>
      <c r="E15843" s="7"/>
    </row>
    <row r="15844" spans="3:5">
      <c r="C15844" s="17"/>
      <c r="D15844" s="17"/>
      <c r="E15844" s="7"/>
    </row>
    <row r="15845" spans="3:5">
      <c r="C15845" s="17"/>
      <c r="D15845" s="17"/>
      <c r="E15845" s="7"/>
    </row>
    <row r="15846" spans="3:5">
      <c r="C15846" s="17"/>
      <c r="D15846" s="17"/>
      <c r="E15846" s="7"/>
    </row>
    <row r="15847" spans="3:5">
      <c r="C15847" s="17"/>
      <c r="D15847" s="17"/>
      <c r="E15847" s="7"/>
    </row>
    <row r="15848" spans="3:5">
      <c r="C15848" s="17"/>
      <c r="D15848" s="17"/>
      <c r="E15848" s="7"/>
    </row>
    <row r="15849" spans="3:5">
      <c r="C15849" s="17"/>
      <c r="D15849" s="17"/>
      <c r="E15849" s="7"/>
    </row>
    <row r="15850" spans="3:5">
      <c r="C15850" s="17"/>
      <c r="D15850" s="17"/>
      <c r="E15850" s="7"/>
    </row>
    <row r="15851" spans="3:5">
      <c r="C15851" s="17"/>
      <c r="D15851" s="17"/>
      <c r="E15851" s="7"/>
    </row>
    <row r="15852" spans="3:5">
      <c r="C15852" s="17"/>
      <c r="D15852" s="17"/>
      <c r="E15852" s="7"/>
    </row>
    <row r="15853" spans="3:5">
      <c r="C15853" s="17"/>
      <c r="D15853" s="17"/>
      <c r="E15853" s="7"/>
    </row>
    <row r="15854" spans="3:5">
      <c r="C15854" s="17"/>
      <c r="D15854" s="17"/>
      <c r="E15854" s="7"/>
    </row>
    <row r="15855" spans="3:5">
      <c r="C15855" s="17"/>
      <c r="D15855" s="17"/>
      <c r="E15855" s="7"/>
    </row>
    <row r="15856" spans="3:5">
      <c r="C15856" s="17"/>
      <c r="D15856" s="17"/>
      <c r="E15856" s="7"/>
    </row>
    <row r="15857" spans="3:5">
      <c r="C15857" s="17"/>
      <c r="D15857" s="17"/>
      <c r="E15857" s="7"/>
    </row>
    <row r="15858" spans="3:5">
      <c r="C15858" s="17"/>
      <c r="D15858" s="17"/>
      <c r="E15858" s="7"/>
    </row>
    <row r="15859" spans="3:5">
      <c r="C15859" s="17"/>
      <c r="D15859" s="17"/>
      <c r="E15859" s="7"/>
    </row>
    <row r="15860" spans="3:5">
      <c r="C15860" s="17"/>
      <c r="D15860" s="17"/>
      <c r="E15860" s="7"/>
    </row>
    <row r="15861" spans="3:5">
      <c r="C15861" s="17"/>
      <c r="D15861" s="17"/>
      <c r="E15861" s="7"/>
    </row>
    <row r="15862" spans="3:5">
      <c r="C15862" s="17"/>
      <c r="D15862" s="17"/>
      <c r="E15862" s="7"/>
    </row>
    <row r="15863" spans="3:5">
      <c r="C15863" s="17"/>
      <c r="D15863" s="17"/>
      <c r="E15863" s="7"/>
    </row>
    <row r="15864" spans="3:5">
      <c r="C15864" s="17"/>
      <c r="D15864" s="17"/>
      <c r="E15864" s="7"/>
    </row>
    <row r="15865" spans="3:5">
      <c r="C15865" s="17"/>
      <c r="D15865" s="17"/>
      <c r="E15865" s="7"/>
    </row>
    <row r="15866" spans="3:5">
      <c r="C15866" s="17"/>
      <c r="D15866" s="17"/>
      <c r="E15866" s="7"/>
    </row>
    <row r="15867" spans="3:5">
      <c r="C15867" s="17"/>
      <c r="D15867" s="17"/>
      <c r="E15867" s="7"/>
    </row>
    <row r="15868" spans="3:5">
      <c r="C15868" s="17"/>
      <c r="D15868" s="17"/>
      <c r="E15868" s="7"/>
    </row>
    <row r="15869" spans="3:5">
      <c r="C15869" s="17"/>
      <c r="D15869" s="17"/>
      <c r="E15869" s="7"/>
    </row>
    <row r="15870" spans="3:5">
      <c r="C15870" s="17"/>
      <c r="D15870" s="17"/>
      <c r="E15870" s="7"/>
    </row>
    <row r="15871" spans="3:5">
      <c r="C15871" s="17"/>
      <c r="D15871" s="17"/>
      <c r="E15871" s="7"/>
    </row>
    <row r="15872" spans="3:5">
      <c r="C15872" s="17"/>
      <c r="D15872" s="17"/>
      <c r="E15872" s="7"/>
    </row>
    <row r="15873" spans="3:5">
      <c r="C15873" s="17"/>
      <c r="D15873" s="17"/>
      <c r="E15873" s="7"/>
    </row>
    <row r="15874" spans="3:5">
      <c r="C15874" s="17"/>
      <c r="D15874" s="17"/>
      <c r="E15874" s="7"/>
    </row>
    <row r="15875" spans="3:5">
      <c r="C15875" s="17"/>
      <c r="D15875" s="17"/>
      <c r="E15875" s="7"/>
    </row>
    <row r="15876" spans="3:5">
      <c r="C15876" s="17"/>
      <c r="D15876" s="17"/>
      <c r="E15876" s="7"/>
    </row>
    <row r="15877" spans="3:5">
      <c r="C15877" s="17"/>
      <c r="D15877" s="17"/>
      <c r="E15877" s="7"/>
    </row>
    <row r="15878" spans="3:5">
      <c r="C15878" s="17"/>
      <c r="D15878" s="17"/>
      <c r="E15878" s="7"/>
    </row>
    <row r="15879" spans="3:5">
      <c r="C15879" s="17"/>
      <c r="D15879" s="17"/>
      <c r="E15879" s="7"/>
    </row>
    <row r="15880" spans="3:5">
      <c r="C15880" s="17"/>
      <c r="D15880" s="17"/>
      <c r="E15880" s="7"/>
    </row>
    <row r="15881" spans="3:5">
      <c r="C15881" s="17"/>
      <c r="D15881" s="17"/>
      <c r="E15881" s="7"/>
    </row>
    <row r="15882" spans="3:5">
      <c r="C15882" s="17"/>
      <c r="D15882" s="17"/>
      <c r="E15882" s="7"/>
    </row>
    <row r="15883" spans="3:5">
      <c r="C15883" s="17"/>
      <c r="D15883" s="17"/>
      <c r="E15883" s="7"/>
    </row>
    <row r="15884" spans="3:5">
      <c r="C15884" s="17"/>
      <c r="D15884" s="17"/>
      <c r="E15884" s="7"/>
    </row>
    <row r="15885" spans="3:5">
      <c r="C15885" s="17"/>
      <c r="D15885" s="17"/>
      <c r="E15885" s="7"/>
    </row>
    <row r="15886" spans="3:5">
      <c r="C15886" s="17"/>
      <c r="D15886" s="17"/>
      <c r="E15886" s="7"/>
    </row>
    <row r="15887" spans="3:5">
      <c r="C15887" s="17"/>
      <c r="D15887" s="17"/>
      <c r="E15887" s="7"/>
    </row>
    <row r="15888" spans="3:5">
      <c r="C15888" s="17"/>
      <c r="D15888" s="17"/>
      <c r="E15888" s="7"/>
    </row>
    <row r="15889" spans="3:5">
      <c r="C15889" s="17"/>
      <c r="D15889" s="17"/>
      <c r="E15889" s="7"/>
    </row>
    <row r="15890" spans="3:5">
      <c r="C15890" s="17"/>
      <c r="D15890" s="17"/>
      <c r="E15890" s="7"/>
    </row>
    <row r="15891" spans="3:5">
      <c r="C15891" s="17"/>
      <c r="D15891" s="17"/>
      <c r="E15891" s="7"/>
    </row>
    <row r="15892" spans="3:5">
      <c r="C15892" s="17"/>
      <c r="D15892" s="17"/>
      <c r="E15892" s="7"/>
    </row>
    <row r="15893" spans="3:5">
      <c r="C15893" s="17"/>
      <c r="D15893" s="17"/>
      <c r="E15893" s="7"/>
    </row>
    <row r="15894" spans="3:5">
      <c r="C15894" s="17"/>
      <c r="D15894" s="17"/>
      <c r="E15894" s="7"/>
    </row>
    <row r="15895" spans="3:5">
      <c r="C15895" s="17"/>
      <c r="D15895" s="17"/>
      <c r="E15895" s="7"/>
    </row>
    <row r="15896" spans="3:5">
      <c r="C15896" s="17"/>
      <c r="D15896" s="17"/>
      <c r="E15896" s="7"/>
    </row>
    <row r="15897" spans="3:5">
      <c r="C15897" s="17"/>
      <c r="D15897" s="17"/>
      <c r="E15897" s="7"/>
    </row>
    <row r="15898" spans="3:5">
      <c r="C15898" s="17"/>
      <c r="D15898" s="17"/>
      <c r="E15898" s="7"/>
    </row>
    <row r="15899" spans="3:5">
      <c r="C15899" s="17"/>
      <c r="D15899" s="17"/>
      <c r="E15899" s="7"/>
    </row>
    <row r="15900" spans="3:5">
      <c r="C15900" s="17"/>
      <c r="D15900" s="17"/>
      <c r="E15900" s="7"/>
    </row>
    <row r="15901" spans="3:5">
      <c r="C15901" s="17"/>
      <c r="D15901" s="17"/>
      <c r="E15901" s="7"/>
    </row>
    <row r="15902" spans="3:5">
      <c r="C15902" s="17"/>
      <c r="D15902" s="17"/>
      <c r="E15902" s="7"/>
    </row>
    <row r="15903" spans="3:5">
      <c r="C15903" s="17"/>
      <c r="D15903" s="17"/>
      <c r="E15903" s="7"/>
    </row>
    <row r="15904" spans="3:5">
      <c r="C15904" s="17"/>
      <c r="D15904" s="17"/>
      <c r="E15904" s="7"/>
    </row>
    <row r="15905" spans="3:5">
      <c r="C15905" s="17"/>
      <c r="D15905" s="17"/>
      <c r="E15905" s="7"/>
    </row>
    <row r="15906" spans="3:5">
      <c r="C15906" s="17"/>
      <c r="D15906" s="17"/>
      <c r="E15906" s="7"/>
    </row>
    <row r="15907" spans="3:5">
      <c r="C15907" s="17"/>
      <c r="D15907" s="17"/>
      <c r="E15907" s="7"/>
    </row>
    <row r="15908" spans="3:5">
      <c r="C15908" s="17"/>
      <c r="D15908" s="17"/>
      <c r="E15908" s="7"/>
    </row>
    <row r="15909" spans="3:5">
      <c r="C15909" s="17"/>
      <c r="D15909" s="17"/>
      <c r="E15909" s="7"/>
    </row>
    <row r="15910" spans="3:5">
      <c r="C15910" s="17"/>
      <c r="D15910" s="17"/>
      <c r="E15910" s="7"/>
    </row>
    <row r="15911" spans="3:5">
      <c r="C15911" s="17"/>
      <c r="D15911" s="17"/>
      <c r="E15911" s="7"/>
    </row>
    <row r="15912" spans="3:5">
      <c r="C15912" s="17"/>
      <c r="D15912" s="17"/>
      <c r="E15912" s="7"/>
    </row>
    <row r="15913" spans="3:5">
      <c r="C15913" s="17"/>
      <c r="D15913" s="17"/>
      <c r="E15913" s="7"/>
    </row>
    <row r="15914" spans="3:5">
      <c r="C15914" s="17"/>
      <c r="D15914" s="17"/>
      <c r="E15914" s="7"/>
    </row>
    <row r="15915" spans="3:5">
      <c r="C15915" s="17"/>
      <c r="D15915" s="17"/>
      <c r="E15915" s="7"/>
    </row>
    <row r="15916" spans="3:5">
      <c r="C15916" s="17"/>
      <c r="D15916" s="17"/>
      <c r="E15916" s="7"/>
    </row>
    <row r="15917" spans="3:5">
      <c r="C15917" s="17"/>
      <c r="D15917" s="17"/>
      <c r="E15917" s="7"/>
    </row>
    <row r="15918" spans="3:5">
      <c r="C15918" s="17"/>
      <c r="D15918" s="17"/>
      <c r="E15918" s="7"/>
    </row>
    <row r="15919" spans="3:5">
      <c r="C15919" s="17"/>
      <c r="D15919" s="17"/>
      <c r="E15919" s="7"/>
    </row>
    <row r="15920" spans="3:5">
      <c r="C15920" s="17"/>
      <c r="D15920" s="17"/>
      <c r="E15920" s="7"/>
    </row>
    <row r="15921" spans="3:5">
      <c r="C15921" s="17"/>
      <c r="D15921" s="17"/>
      <c r="E15921" s="7"/>
    </row>
    <row r="15922" spans="3:5">
      <c r="C15922" s="17"/>
      <c r="D15922" s="17"/>
      <c r="E15922" s="7"/>
    </row>
    <row r="15923" spans="3:5">
      <c r="C15923" s="17"/>
      <c r="D15923" s="17"/>
      <c r="E15923" s="7"/>
    </row>
    <row r="15924" spans="3:5">
      <c r="C15924" s="17"/>
      <c r="D15924" s="17"/>
      <c r="E15924" s="7"/>
    </row>
    <row r="15925" spans="3:5">
      <c r="C15925" s="17"/>
      <c r="D15925" s="17"/>
      <c r="E15925" s="7"/>
    </row>
    <row r="15926" spans="3:5">
      <c r="C15926" s="17"/>
      <c r="D15926" s="17"/>
      <c r="E15926" s="7"/>
    </row>
    <row r="15927" spans="3:5">
      <c r="C15927" s="17"/>
      <c r="D15927" s="17"/>
      <c r="E15927" s="7"/>
    </row>
    <row r="15928" spans="3:5">
      <c r="C15928" s="17"/>
      <c r="D15928" s="17"/>
      <c r="E15928" s="7"/>
    </row>
    <row r="15929" spans="3:5">
      <c r="C15929" s="17"/>
      <c r="D15929" s="17"/>
      <c r="E15929" s="7"/>
    </row>
    <row r="15930" spans="3:5">
      <c r="C15930" s="17"/>
      <c r="D15930" s="17"/>
      <c r="E15930" s="7"/>
    </row>
    <row r="15931" spans="3:5">
      <c r="C15931" s="17"/>
      <c r="D15931" s="17"/>
      <c r="E15931" s="7"/>
    </row>
    <row r="15932" spans="3:5">
      <c r="C15932" s="17"/>
      <c r="D15932" s="17"/>
      <c r="E15932" s="7"/>
    </row>
    <row r="15933" spans="3:5">
      <c r="C15933" s="17"/>
      <c r="D15933" s="17"/>
      <c r="E15933" s="7"/>
    </row>
    <row r="15934" spans="3:5">
      <c r="C15934" s="17"/>
      <c r="D15934" s="17"/>
      <c r="E15934" s="7"/>
    </row>
    <row r="15935" spans="3:5">
      <c r="C15935" s="17"/>
      <c r="D15935" s="17"/>
      <c r="E15935" s="7"/>
    </row>
    <row r="15936" spans="3:5">
      <c r="C15936" s="17"/>
      <c r="D15936" s="17"/>
      <c r="E15936" s="7"/>
    </row>
    <row r="15937" spans="3:5">
      <c r="C15937" s="17"/>
      <c r="D15937" s="17"/>
      <c r="E15937" s="7"/>
    </row>
    <row r="15938" spans="3:5">
      <c r="C15938" s="17"/>
      <c r="D15938" s="17"/>
      <c r="E15938" s="7"/>
    </row>
    <row r="15939" spans="3:5">
      <c r="C15939" s="17"/>
      <c r="D15939" s="17"/>
      <c r="E15939" s="7"/>
    </row>
    <row r="15940" spans="3:5">
      <c r="C15940" s="17"/>
      <c r="D15940" s="17"/>
      <c r="E15940" s="7"/>
    </row>
    <row r="15941" spans="3:5">
      <c r="C15941" s="17"/>
      <c r="D15941" s="17"/>
      <c r="E15941" s="7"/>
    </row>
    <row r="15942" spans="3:5">
      <c r="C15942" s="17"/>
      <c r="D15942" s="17"/>
      <c r="E15942" s="7"/>
    </row>
    <row r="15943" spans="3:5">
      <c r="C15943" s="17"/>
      <c r="D15943" s="17"/>
      <c r="E15943" s="7"/>
    </row>
    <row r="15944" spans="3:5">
      <c r="C15944" s="17"/>
      <c r="D15944" s="17"/>
      <c r="E15944" s="7"/>
    </row>
    <row r="15945" spans="3:5">
      <c r="C15945" s="17"/>
      <c r="D15945" s="17"/>
      <c r="E15945" s="7"/>
    </row>
    <row r="15946" spans="3:5">
      <c r="C15946" s="17"/>
      <c r="D15946" s="17"/>
      <c r="E15946" s="7"/>
    </row>
    <row r="15947" spans="3:5">
      <c r="C15947" s="17"/>
      <c r="D15947" s="17"/>
      <c r="E15947" s="7"/>
    </row>
    <row r="15948" spans="3:5">
      <c r="C15948" s="17"/>
      <c r="D15948" s="17"/>
      <c r="E15948" s="7"/>
    </row>
    <row r="15949" spans="3:5">
      <c r="C15949" s="17"/>
      <c r="D15949" s="17"/>
      <c r="E15949" s="7"/>
    </row>
    <row r="15950" spans="3:5">
      <c r="C15950" s="17"/>
      <c r="D15950" s="17"/>
      <c r="E15950" s="7"/>
    </row>
    <row r="15951" spans="3:5">
      <c r="C15951" s="17"/>
      <c r="D15951" s="17"/>
      <c r="E15951" s="7"/>
    </row>
    <row r="15952" spans="3:5">
      <c r="C15952" s="17"/>
      <c r="D15952" s="17"/>
      <c r="E15952" s="7"/>
    </row>
    <row r="15953" spans="3:5">
      <c r="C15953" s="17"/>
      <c r="D15953" s="17"/>
      <c r="E15953" s="7"/>
    </row>
    <row r="15954" spans="3:5">
      <c r="C15954" s="17"/>
      <c r="D15954" s="17"/>
      <c r="E15954" s="7"/>
    </row>
    <row r="15955" spans="3:5">
      <c r="C15955" s="17"/>
      <c r="D15955" s="17"/>
      <c r="E15955" s="7"/>
    </row>
    <row r="15956" spans="3:5">
      <c r="C15956" s="17"/>
      <c r="D15956" s="17"/>
      <c r="E15956" s="7"/>
    </row>
    <row r="15957" spans="3:5">
      <c r="C15957" s="17"/>
      <c r="D15957" s="17"/>
      <c r="E15957" s="7"/>
    </row>
    <row r="15958" spans="3:5">
      <c r="C15958" s="17"/>
      <c r="D15958" s="17"/>
      <c r="E15958" s="7"/>
    </row>
    <row r="15959" spans="3:5">
      <c r="C15959" s="17"/>
      <c r="D15959" s="17"/>
      <c r="E15959" s="7"/>
    </row>
    <row r="15960" spans="3:5">
      <c r="C15960" s="17"/>
      <c r="D15960" s="17"/>
      <c r="E15960" s="7"/>
    </row>
    <row r="15961" spans="3:5">
      <c r="C15961" s="17"/>
      <c r="D15961" s="17"/>
      <c r="E15961" s="7"/>
    </row>
    <row r="15962" spans="3:5">
      <c r="C15962" s="17"/>
      <c r="D15962" s="17"/>
      <c r="E15962" s="7"/>
    </row>
    <row r="15963" spans="3:5">
      <c r="C15963" s="17"/>
      <c r="D15963" s="17"/>
      <c r="E15963" s="7"/>
    </row>
    <row r="15964" spans="3:5">
      <c r="C15964" s="17"/>
      <c r="D15964" s="17"/>
      <c r="E15964" s="7"/>
    </row>
    <row r="15965" spans="3:5">
      <c r="C15965" s="17"/>
      <c r="D15965" s="17"/>
      <c r="E15965" s="7"/>
    </row>
    <row r="15966" spans="3:5">
      <c r="C15966" s="17"/>
      <c r="D15966" s="17"/>
      <c r="E15966" s="7"/>
    </row>
    <row r="15967" spans="3:5">
      <c r="C15967" s="17"/>
      <c r="D15967" s="17"/>
      <c r="E15967" s="7"/>
    </row>
    <row r="15968" spans="3:5">
      <c r="C15968" s="17"/>
      <c r="D15968" s="17"/>
      <c r="E15968" s="7"/>
    </row>
    <row r="15969" spans="3:5">
      <c r="C15969" s="17"/>
      <c r="D15969" s="17"/>
      <c r="E15969" s="7"/>
    </row>
    <row r="15970" spans="3:5">
      <c r="C15970" s="17"/>
      <c r="D15970" s="17"/>
      <c r="E15970" s="7"/>
    </row>
    <row r="15971" spans="3:5">
      <c r="C15971" s="17"/>
      <c r="D15971" s="17"/>
      <c r="E15971" s="7"/>
    </row>
    <row r="15972" spans="3:5">
      <c r="C15972" s="17"/>
      <c r="D15972" s="17"/>
      <c r="E15972" s="7"/>
    </row>
    <row r="15973" spans="3:5">
      <c r="C15973" s="17"/>
      <c r="D15973" s="17"/>
      <c r="E15973" s="7"/>
    </row>
    <row r="15974" spans="3:5">
      <c r="C15974" s="17"/>
      <c r="D15974" s="17"/>
      <c r="E15974" s="7"/>
    </row>
    <row r="15975" spans="3:5">
      <c r="C15975" s="17"/>
      <c r="D15975" s="17"/>
      <c r="E15975" s="7"/>
    </row>
    <row r="15976" spans="3:5">
      <c r="C15976" s="17"/>
      <c r="D15976" s="17"/>
      <c r="E15976" s="7"/>
    </row>
    <row r="15977" spans="3:5">
      <c r="C15977" s="17"/>
      <c r="D15977" s="17"/>
      <c r="E15977" s="7"/>
    </row>
    <row r="15978" spans="3:5">
      <c r="C15978" s="17"/>
      <c r="D15978" s="17"/>
      <c r="E15978" s="7"/>
    </row>
    <row r="15979" spans="3:5">
      <c r="C15979" s="17"/>
      <c r="D15979" s="17"/>
      <c r="E15979" s="7"/>
    </row>
    <row r="15980" spans="3:5">
      <c r="C15980" s="17"/>
      <c r="D15980" s="17"/>
      <c r="E15980" s="7"/>
    </row>
    <row r="15981" spans="3:5">
      <c r="C15981" s="17"/>
      <c r="D15981" s="17"/>
      <c r="E15981" s="7"/>
    </row>
    <row r="15982" spans="3:5">
      <c r="C15982" s="17"/>
      <c r="D15982" s="17"/>
      <c r="E15982" s="7"/>
    </row>
    <row r="15983" spans="3:5">
      <c r="C15983" s="17"/>
      <c r="D15983" s="17"/>
      <c r="E15983" s="7"/>
    </row>
    <row r="15984" spans="3:5">
      <c r="C15984" s="17"/>
      <c r="D15984" s="17"/>
      <c r="E15984" s="7"/>
    </row>
    <row r="15985" spans="3:5">
      <c r="C15985" s="17"/>
      <c r="D15985" s="17"/>
      <c r="E15985" s="7"/>
    </row>
    <row r="15986" spans="3:5">
      <c r="C15986" s="17"/>
      <c r="D15986" s="17"/>
      <c r="E15986" s="7"/>
    </row>
    <row r="15987" spans="3:5">
      <c r="C15987" s="17"/>
      <c r="D15987" s="17"/>
      <c r="E15987" s="7"/>
    </row>
    <row r="15988" spans="3:5">
      <c r="C15988" s="17"/>
      <c r="D15988" s="17"/>
      <c r="E15988" s="7"/>
    </row>
    <row r="15989" spans="3:5">
      <c r="C15989" s="17"/>
      <c r="D15989" s="17"/>
      <c r="E15989" s="7"/>
    </row>
    <row r="15990" spans="3:5">
      <c r="C15990" s="17"/>
      <c r="D15990" s="17"/>
      <c r="E15990" s="7"/>
    </row>
    <row r="15991" spans="3:5">
      <c r="C15991" s="17"/>
      <c r="D15991" s="17"/>
      <c r="E15991" s="7"/>
    </row>
    <row r="15992" spans="3:5">
      <c r="C15992" s="17"/>
      <c r="D15992" s="17"/>
      <c r="E15992" s="7"/>
    </row>
    <row r="15993" spans="3:5">
      <c r="C15993" s="17"/>
      <c r="D15993" s="17"/>
      <c r="E15993" s="7"/>
    </row>
    <row r="15994" spans="3:5">
      <c r="C15994" s="17"/>
      <c r="D15994" s="17"/>
      <c r="E15994" s="7"/>
    </row>
    <row r="15995" spans="3:5">
      <c r="C15995" s="17"/>
      <c r="D15995" s="17"/>
      <c r="E15995" s="7"/>
    </row>
    <row r="15996" spans="3:5">
      <c r="C15996" s="17"/>
      <c r="D15996" s="17"/>
      <c r="E15996" s="7"/>
    </row>
    <row r="15997" spans="3:5">
      <c r="C15997" s="17"/>
      <c r="D15997" s="17"/>
      <c r="E15997" s="7"/>
    </row>
    <row r="15998" spans="3:5">
      <c r="C15998" s="17"/>
      <c r="D15998" s="17"/>
      <c r="E15998" s="7"/>
    </row>
    <row r="15999" spans="3:5">
      <c r="C15999" s="17"/>
      <c r="D15999" s="17"/>
      <c r="E15999" s="7"/>
    </row>
    <row r="16000" spans="3:5">
      <c r="C16000" s="17"/>
      <c r="D16000" s="17"/>
      <c r="E16000" s="7"/>
    </row>
    <row r="16001" spans="3:5">
      <c r="C16001" s="17"/>
      <c r="D16001" s="17"/>
      <c r="E16001" s="7"/>
    </row>
    <row r="16002" spans="3:5">
      <c r="C16002" s="17"/>
      <c r="D16002" s="17"/>
      <c r="E16002" s="7"/>
    </row>
    <row r="16003" spans="3:5">
      <c r="C16003" s="17"/>
      <c r="D16003" s="17"/>
      <c r="E16003" s="7"/>
    </row>
    <row r="16004" spans="3:5">
      <c r="C16004" s="17"/>
      <c r="D16004" s="17"/>
      <c r="E16004" s="7"/>
    </row>
    <row r="16005" spans="3:5">
      <c r="C16005" s="17"/>
      <c r="D16005" s="17"/>
      <c r="E16005" s="7"/>
    </row>
    <row r="16006" spans="3:5">
      <c r="C16006" s="17"/>
      <c r="D16006" s="17"/>
      <c r="E16006" s="7"/>
    </row>
    <row r="16007" spans="3:5">
      <c r="C16007" s="17"/>
      <c r="D16007" s="17"/>
      <c r="E16007" s="7"/>
    </row>
    <row r="16008" spans="3:5">
      <c r="C16008" s="17"/>
      <c r="D16008" s="17"/>
      <c r="E16008" s="7"/>
    </row>
    <row r="16009" spans="3:5">
      <c r="C16009" s="17"/>
      <c r="D16009" s="17"/>
      <c r="E16009" s="7"/>
    </row>
    <row r="16010" spans="3:5">
      <c r="C16010" s="17"/>
      <c r="D16010" s="17"/>
      <c r="E16010" s="7"/>
    </row>
    <row r="16011" spans="3:5">
      <c r="C16011" s="17"/>
      <c r="D16011" s="17"/>
      <c r="E16011" s="7"/>
    </row>
    <row r="16012" spans="3:5">
      <c r="C16012" s="17"/>
      <c r="D16012" s="17"/>
      <c r="E16012" s="7"/>
    </row>
    <row r="16013" spans="3:5">
      <c r="C16013" s="17"/>
      <c r="D16013" s="17"/>
      <c r="E16013" s="7"/>
    </row>
    <row r="16014" spans="3:5">
      <c r="C16014" s="17"/>
      <c r="D16014" s="17"/>
      <c r="E16014" s="7"/>
    </row>
    <row r="16015" spans="3:5">
      <c r="C16015" s="17"/>
      <c r="D16015" s="17"/>
      <c r="E16015" s="7"/>
    </row>
    <row r="16016" spans="3:5">
      <c r="C16016" s="17"/>
      <c r="D16016" s="17"/>
      <c r="E16016" s="7"/>
    </row>
    <row r="16017" spans="3:5">
      <c r="C16017" s="17"/>
      <c r="D16017" s="17"/>
      <c r="E16017" s="7"/>
    </row>
    <row r="16018" spans="3:5">
      <c r="C16018" s="17"/>
      <c r="D16018" s="17"/>
      <c r="E16018" s="7"/>
    </row>
    <row r="16019" spans="3:5">
      <c r="C16019" s="17"/>
      <c r="D16019" s="17"/>
      <c r="E16019" s="7"/>
    </row>
    <row r="16020" spans="3:5">
      <c r="C16020" s="17"/>
      <c r="D16020" s="17"/>
      <c r="E16020" s="7"/>
    </row>
    <row r="16021" spans="3:5">
      <c r="C16021" s="17"/>
      <c r="D16021" s="17"/>
      <c r="E16021" s="7"/>
    </row>
    <row r="16022" spans="3:5">
      <c r="C16022" s="17"/>
      <c r="D16022" s="17"/>
      <c r="E16022" s="7"/>
    </row>
    <row r="16023" spans="3:5">
      <c r="C16023" s="17"/>
      <c r="D16023" s="17"/>
      <c r="E16023" s="7"/>
    </row>
    <row r="16024" spans="3:5">
      <c r="C16024" s="17"/>
      <c r="D16024" s="17"/>
      <c r="E16024" s="7"/>
    </row>
    <row r="16025" spans="3:5">
      <c r="C16025" s="17"/>
      <c r="D16025" s="17"/>
      <c r="E16025" s="7"/>
    </row>
    <row r="16026" spans="3:5">
      <c r="C16026" s="17"/>
      <c r="D16026" s="17"/>
      <c r="E16026" s="7"/>
    </row>
    <row r="16027" spans="3:5">
      <c r="C16027" s="17"/>
      <c r="D16027" s="17"/>
      <c r="E16027" s="7"/>
    </row>
    <row r="16028" spans="3:5">
      <c r="C16028" s="17"/>
      <c r="D16028" s="17"/>
      <c r="E16028" s="7"/>
    </row>
    <row r="16029" spans="3:5">
      <c r="C16029" s="17"/>
      <c r="D16029" s="17"/>
      <c r="E16029" s="7"/>
    </row>
    <row r="16030" spans="3:5">
      <c r="C16030" s="17"/>
      <c r="D16030" s="17"/>
      <c r="E16030" s="7"/>
    </row>
    <row r="16031" spans="3:5">
      <c r="C16031" s="17"/>
      <c r="D16031" s="17"/>
      <c r="E16031" s="7"/>
    </row>
    <row r="16032" spans="3:5">
      <c r="C16032" s="17"/>
      <c r="D16032" s="17"/>
      <c r="E16032" s="7"/>
    </row>
    <row r="16033" spans="3:5">
      <c r="C16033" s="17"/>
      <c r="D16033" s="17"/>
      <c r="E16033" s="7"/>
    </row>
    <row r="16034" spans="3:5">
      <c r="C16034" s="17"/>
      <c r="D16034" s="17"/>
      <c r="E16034" s="7"/>
    </row>
    <row r="16035" spans="3:5">
      <c r="C16035" s="17"/>
      <c r="D16035" s="17"/>
      <c r="E16035" s="7"/>
    </row>
    <row r="16036" spans="3:5">
      <c r="C16036" s="17"/>
      <c r="D16036" s="17"/>
      <c r="E16036" s="7"/>
    </row>
    <row r="16037" spans="3:5">
      <c r="C16037" s="17"/>
      <c r="D16037" s="17"/>
      <c r="E16037" s="7"/>
    </row>
    <row r="16038" spans="3:5">
      <c r="C16038" s="17"/>
      <c r="D16038" s="17"/>
      <c r="E16038" s="7"/>
    </row>
    <row r="16039" spans="3:5">
      <c r="C16039" s="17"/>
      <c r="D16039" s="17"/>
      <c r="E16039" s="7"/>
    </row>
    <row r="16040" spans="3:5">
      <c r="C16040" s="17"/>
      <c r="D16040" s="17"/>
      <c r="E16040" s="7"/>
    </row>
    <row r="16041" spans="3:5">
      <c r="C16041" s="17"/>
      <c r="D16041" s="17"/>
      <c r="E16041" s="7"/>
    </row>
    <row r="16042" spans="3:5">
      <c r="C16042" s="17"/>
      <c r="D16042" s="17"/>
      <c r="E16042" s="7"/>
    </row>
    <row r="16043" spans="3:5">
      <c r="C16043" s="17"/>
      <c r="D16043" s="17"/>
      <c r="E16043" s="7"/>
    </row>
    <row r="16044" spans="3:5">
      <c r="C16044" s="17"/>
      <c r="D16044" s="17"/>
      <c r="E16044" s="7"/>
    </row>
    <row r="16045" spans="3:5">
      <c r="C16045" s="17"/>
      <c r="D16045" s="17"/>
      <c r="E16045" s="7"/>
    </row>
    <row r="16046" spans="3:5">
      <c r="C16046" s="17"/>
      <c r="D16046" s="17"/>
      <c r="E16046" s="7"/>
    </row>
    <row r="16047" spans="3:5">
      <c r="C16047" s="17"/>
      <c r="D16047" s="17"/>
      <c r="E16047" s="7"/>
    </row>
    <row r="16048" spans="3:5">
      <c r="C16048" s="17"/>
      <c r="D16048" s="17"/>
      <c r="E16048" s="7"/>
    </row>
    <row r="16049" spans="3:5">
      <c r="C16049" s="17"/>
      <c r="D16049" s="17"/>
      <c r="E16049" s="7"/>
    </row>
    <row r="16050" spans="3:5">
      <c r="C16050" s="17"/>
      <c r="D16050" s="17"/>
      <c r="E16050" s="7"/>
    </row>
    <row r="16051" spans="3:5">
      <c r="C16051" s="17"/>
      <c r="D16051" s="17"/>
      <c r="E16051" s="7"/>
    </row>
    <row r="16052" spans="3:5">
      <c r="C16052" s="17"/>
      <c r="D16052" s="17"/>
      <c r="E16052" s="7"/>
    </row>
    <row r="16053" spans="3:5">
      <c r="C16053" s="17"/>
      <c r="D16053" s="17"/>
      <c r="E16053" s="7"/>
    </row>
    <row r="16054" spans="3:5">
      <c r="C16054" s="17"/>
      <c r="D16054" s="17"/>
      <c r="E16054" s="7"/>
    </row>
    <row r="16055" spans="3:5">
      <c r="C16055" s="17"/>
      <c r="D16055" s="17"/>
      <c r="E16055" s="7"/>
    </row>
    <row r="16056" spans="3:5">
      <c r="C16056" s="17"/>
      <c r="D16056" s="17"/>
      <c r="E16056" s="7"/>
    </row>
    <row r="16057" spans="3:5">
      <c r="C16057" s="17"/>
      <c r="D16057" s="17"/>
      <c r="E16057" s="7"/>
    </row>
    <row r="16058" spans="3:5">
      <c r="C16058" s="17"/>
      <c r="D16058" s="17"/>
      <c r="E16058" s="7"/>
    </row>
    <row r="16059" spans="3:5">
      <c r="C16059" s="17"/>
      <c r="D16059" s="17"/>
      <c r="E16059" s="7"/>
    </row>
    <row r="16060" spans="3:5">
      <c r="C16060" s="17"/>
      <c r="D16060" s="17"/>
      <c r="E16060" s="7"/>
    </row>
    <row r="16061" spans="3:5">
      <c r="C16061" s="17"/>
      <c r="D16061" s="17"/>
      <c r="E16061" s="7"/>
    </row>
    <row r="16062" spans="3:5">
      <c r="C16062" s="17"/>
      <c r="D16062" s="17"/>
      <c r="E16062" s="7"/>
    </row>
    <row r="16063" spans="3:5">
      <c r="C16063" s="17"/>
      <c r="D16063" s="17"/>
      <c r="E16063" s="7"/>
    </row>
    <row r="16064" spans="3:5">
      <c r="C16064" s="17"/>
      <c r="D16064" s="17"/>
      <c r="E16064" s="7"/>
    </row>
    <row r="16065" spans="3:5">
      <c r="C16065" s="17"/>
      <c r="D16065" s="17"/>
      <c r="E16065" s="7"/>
    </row>
    <row r="16066" spans="3:5">
      <c r="C16066" s="17"/>
      <c r="D16066" s="17"/>
      <c r="E16066" s="7"/>
    </row>
    <row r="16067" spans="3:5">
      <c r="C16067" s="17"/>
      <c r="D16067" s="17"/>
      <c r="E16067" s="7"/>
    </row>
    <row r="16068" spans="3:5">
      <c r="C16068" s="17"/>
      <c r="D16068" s="17"/>
      <c r="E16068" s="7"/>
    </row>
    <row r="16069" spans="3:5">
      <c r="C16069" s="17"/>
      <c r="D16069" s="17"/>
      <c r="E16069" s="7"/>
    </row>
    <row r="16070" spans="3:5">
      <c r="C16070" s="17"/>
      <c r="D16070" s="17"/>
      <c r="E16070" s="7"/>
    </row>
    <row r="16071" spans="3:5">
      <c r="C16071" s="17"/>
      <c r="D16071" s="17"/>
      <c r="E16071" s="7"/>
    </row>
    <row r="16072" spans="3:5">
      <c r="C16072" s="17"/>
      <c r="D16072" s="17"/>
      <c r="E16072" s="7"/>
    </row>
    <row r="16073" spans="3:5">
      <c r="C16073" s="17"/>
      <c r="D16073" s="17"/>
      <c r="E16073" s="7"/>
    </row>
    <row r="16074" spans="3:5">
      <c r="C16074" s="17"/>
      <c r="D16074" s="17"/>
      <c r="E16074" s="7"/>
    </row>
    <row r="16075" spans="3:5">
      <c r="C16075" s="17"/>
      <c r="D16075" s="17"/>
      <c r="E16075" s="7"/>
    </row>
    <row r="16076" spans="3:5">
      <c r="C16076" s="17"/>
      <c r="D16076" s="17"/>
      <c r="E16076" s="7"/>
    </row>
    <row r="16077" spans="3:5">
      <c r="C16077" s="17"/>
      <c r="D16077" s="17"/>
      <c r="E16077" s="7"/>
    </row>
    <row r="16078" spans="3:5">
      <c r="C16078" s="17"/>
      <c r="D16078" s="17"/>
      <c r="E16078" s="7"/>
    </row>
    <row r="16079" spans="3:5">
      <c r="C16079" s="17"/>
      <c r="D16079" s="17"/>
      <c r="E16079" s="7"/>
    </row>
    <row r="16080" spans="3:5">
      <c r="C16080" s="17"/>
      <c r="D16080" s="17"/>
      <c r="E16080" s="7"/>
    </row>
    <row r="16081" spans="3:5">
      <c r="C16081" s="17"/>
      <c r="D16081" s="17"/>
      <c r="E16081" s="7"/>
    </row>
    <row r="16082" spans="3:5">
      <c r="C16082" s="17"/>
      <c r="D16082" s="17"/>
      <c r="E16082" s="7"/>
    </row>
    <row r="16083" spans="3:5">
      <c r="C16083" s="17"/>
      <c r="D16083" s="17"/>
      <c r="E16083" s="7"/>
    </row>
    <row r="16084" spans="3:5">
      <c r="C16084" s="17"/>
      <c r="D16084" s="17"/>
      <c r="E16084" s="7"/>
    </row>
    <row r="16085" spans="3:5">
      <c r="C16085" s="17"/>
      <c r="D16085" s="17"/>
      <c r="E16085" s="7"/>
    </row>
    <row r="16086" spans="3:5">
      <c r="C16086" s="17"/>
      <c r="D16086" s="17"/>
      <c r="E16086" s="7"/>
    </row>
    <row r="16087" spans="3:5">
      <c r="C16087" s="17"/>
      <c r="D16087" s="17"/>
      <c r="E16087" s="7"/>
    </row>
    <row r="16088" spans="3:5">
      <c r="C16088" s="17"/>
      <c r="D16088" s="17"/>
      <c r="E16088" s="7"/>
    </row>
    <row r="16089" spans="3:5">
      <c r="C16089" s="17"/>
      <c r="D16089" s="17"/>
      <c r="E16089" s="7"/>
    </row>
    <row r="16090" spans="3:5">
      <c r="C16090" s="17"/>
      <c r="D16090" s="17"/>
      <c r="E16090" s="7"/>
    </row>
    <row r="16091" spans="3:5">
      <c r="C16091" s="17"/>
      <c r="D16091" s="17"/>
      <c r="E16091" s="7"/>
    </row>
    <row r="16092" spans="3:5">
      <c r="C16092" s="17"/>
      <c r="D16092" s="17"/>
      <c r="E16092" s="7"/>
    </row>
    <row r="16093" spans="3:5">
      <c r="C16093" s="17"/>
      <c r="D16093" s="17"/>
      <c r="E16093" s="7"/>
    </row>
    <row r="16094" spans="3:5">
      <c r="C16094" s="17"/>
      <c r="D16094" s="17"/>
      <c r="E16094" s="7"/>
    </row>
    <row r="16095" spans="3:5">
      <c r="C16095" s="17"/>
      <c r="D16095" s="17"/>
      <c r="E16095" s="7"/>
    </row>
    <row r="16096" spans="3:5">
      <c r="C16096" s="17"/>
      <c r="D16096" s="17"/>
      <c r="E16096" s="7"/>
    </row>
    <row r="16097" spans="3:5">
      <c r="C16097" s="17"/>
      <c r="D16097" s="17"/>
      <c r="E16097" s="7"/>
    </row>
    <row r="16098" spans="3:5">
      <c r="C16098" s="17"/>
      <c r="D16098" s="17"/>
      <c r="E16098" s="7"/>
    </row>
    <row r="16099" spans="3:5">
      <c r="C16099" s="17"/>
      <c r="D16099" s="17"/>
      <c r="E16099" s="7"/>
    </row>
    <row r="16100" spans="3:5">
      <c r="C16100" s="17"/>
      <c r="D16100" s="17"/>
      <c r="E16100" s="7"/>
    </row>
    <row r="16101" spans="3:5">
      <c r="C16101" s="17"/>
      <c r="D16101" s="17"/>
      <c r="E16101" s="7"/>
    </row>
    <row r="16102" spans="3:5">
      <c r="C16102" s="17"/>
      <c r="D16102" s="17"/>
      <c r="E16102" s="7"/>
    </row>
    <row r="16103" spans="3:5">
      <c r="C16103" s="17"/>
      <c r="D16103" s="17"/>
      <c r="E16103" s="7"/>
    </row>
    <row r="16104" spans="3:5">
      <c r="C16104" s="17"/>
      <c r="D16104" s="17"/>
      <c r="E16104" s="7"/>
    </row>
    <row r="16105" spans="3:5">
      <c r="C16105" s="17"/>
      <c r="D16105" s="17"/>
      <c r="E16105" s="7"/>
    </row>
    <row r="16106" spans="3:5">
      <c r="C16106" s="17"/>
      <c r="D16106" s="17"/>
      <c r="E16106" s="7"/>
    </row>
    <row r="16107" spans="3:5">
      <c r="C16107" s="17"/>
      <c r="D16107" s="17"/>
      <c r="E16107" s="7"/>
    </row>
    <row r="16108" spans="3:5">
      <c r="C16108" s="17"/>
      <c r="D16108" s="17"/>
      <c r="E16108" s="7"/>
    </row>
    <row r="16109" spans="3:5">
      <c r="C16109" s="17"/>
      <c r="D16109" s="17"/>
      <c r="E16109" s="7"/>
    </row>
    <row r="16110" spans="3:5">
      <c r="C16110" s="17"/>
      <c r="D16110" s="17"/>
      <c r="E16110" s="7"/>
    </row>
    <row r="16111" spans="3:5">
      <c r="C16111" s="17"/>
      <c r="D16111" s="17"/>
      <c r="E16111" s="7"/>
    </row>
    <row r="16112" spans="3:5">
      <c r="C16112" s="17"/>
      <c r="D16112" s="17"/>
      <c r="E16112" s="7"/>
    </row>
    <row r="16113" spans="3:5">
      <c r="C16113" s="17"/>
      <c r="D16113" s="17"/>
      <c r="E16113" s="7"/>
    </row>
    <row r="16114" spans="3:5">
      <c r="C16114" s="17"/>
      <c r="D16114" s="17"/>
      <c r="E16114" s="7"/>
    </row>
    <row r="16115" spans="3:5">
      <c r="C16115" s="17"/>
      <c r="D16115" s="17"/>
      <c r="E16115" s="7"/>
    </row>
    <row r="16116" spans="3:5">
      <c r="C16116" s="17"/>
      <c r="D16116" s="17"/>
      <c r="E16116" s="7"/>
    </row>
    <row r="16117" spans="3:5">
      <c r="C16117" s="17"/>
      <c r="D16117" s="17"/>
      <c r="E16117" s="7"/>
    </row>
    <row r="16118" spans="3:5">
      <c r="C16118" s="17"/>
      <c r="D16118" s="17"/>
      <c r="E16118" s="7"/>
    </row>
    <row r="16119" spans="3:5">
      <c r="C16119" s="17"/>
      <c r="D16119" s="17"/>
      <c r="E16119" s="7"/>
    </row>
    <row r="16120" spans="3:5">
      <c r="C16120" s="17"/>
      <c r="D16120" s="17"/>
      <c r="E16120" s="7"/>
    </row>
    <row r="16121" spans="3:5">
      <c r="C16121" s="17"/>
      <c r="D16121" s="17"/>
      <c r="E16121" s="7"/>
    </row>
    <row r="16122" spans="3:5">
      <c r="C16122" s="17"/>
      <c r="D16122" s="17"/>
      <c r="E16122" s="7"/>
    </row>
    <row r="16123" spans="3:5">
      <c r="C16123" s="17"/>
      <c r="D16123" s="17"/>
      <c r="E16123" s="7"/>
    </row>
    <row r="16124" spans="3:5">
      <c r="C16124" s="17"/>
      <c r="D16124" s="17"/>
      <c r="E16124" s="7"/>
    </row>
    <row r="16125" spans="3:5">
      <c r="C16125" s="17"/>
      <c r="D16125" s="17"/>
      <c r="E16125" s="7"/>
    </row>
    <row r="16126" spans="3:5">
      <c r="C16126" s="17"/>
      <c r="D16126" s="17"/>
      <c r="E16126" s="7"/>
    </row>
    <row r="16127" spans="3:5">
      <c r="C16127" s="17"/>
      <c r="D16127" s="17"/>
      <c r="E16127" s="7"/>
    </row>
    <row r="16128" spans="3:5">
      <c r="C16128" s="17"/>
      <c r="D16128" s="17"/>
      <c r="E16128" s="7"/>
    </row>
    <row r="16129" spans="3:5">
      <c r="C16129" s="17"/>
      <c r="D16129" s="17"/>
      <c r="E16129" s="7"/>
    </row>
    <row r="16130" spans="3:5">
      <c r="C16130" s="17"/>
      <c r="D16130" s="17"/>
      <c r="E16130" s="7"/>
    </row>
    <row r="16131" spans="3:5">
      <c r="C16131" s="17"/>
      <c r="D16131" s="17"/>
      <c r="E16131" s="7"/>
    </row>
    <row r="16132" spans="3:5">
      <c r="C16132" s="17"/>
      <c r="D16132" s="17"/>
      <c r="E16132" s="7"/>
    </row>
    <row r="16133" spans="3:5">
      <c r="C16133" s="17"/>
      <c r="D16133" s="17"/>
      <c r="E16133" s="7"/>
    </row>
    <row r="16134" spans="3:5">
      <c r="C16134" s="17"/>
      <c r="D16134" s="17"/>
      <c r="E16134" s="7"/>
    </row>
    <row r="16135" spans="3:5">
      <c r="C16135" s="17"/>
      <c r="D16135" s="17"/>
      <c r="E16135" s="7"/>
    </row>
    <row r="16136" spans="3:5">
      <c r="C16136" s="17"/>
      <c r="D16136" s="17"/>
      <c r="E16136" s="7"/>
    </row>
    <row r="16137" spans="3:5">
      <c r="C16137" s="17"/>
      <c r="D16137" s="17"/>
      <c r="E16137" s="7"/>
    </row>
    <row r="16138" spans="3:5">
      <c r="C16138" s="17"/>
      <c r="D16138" s="17"/>
      <c r="E16138" s="7"/>
    </row>
    <row r="16139" spans="3:5">
      <c r="C16139" s="17"/>
      <c r="D16139" s="17"/>
      <c r="E16139" s="7"/>
    </row>
    <row r="16140" spans="3:5">
      <c r="C16140" s="17"/>
      <c r="D16140" s="17"/>
      <c r="E16140" s="7"/>
    </row>
    <row r="16141" spans="3:5">
      <c r="C16141" s="17"/>
      <c r="D16141" s="17"/>
      <c r="E16141" s="7"/>
    </row>
    <row r="16142" spans="3:5">
      <c r="C16142" s="17"/>
      <c r="D16142" s="17"/>
      <c r="E16142" s="7"/>
    </row>
    <row r="16143" spans="3:5">
      <c r="C16143" s="17"/>
      <c r="D16143" s="17"/>
      <c r="E16143" s="7"/>
    </row>
    <row r="16144" spans="3:5">
      <c r="C16144" s="17"/>
      <c r="D16144" s="17"/>
      <c r="E16144" s="7"/>
    </row>
    <row r="16145" spans="3:5">
      <c r="C16145" s="17"/>
      <c r="D16145" s="17"/>
      <c r="E16145" s="7"/>
    </row>
    <row r="16146" spans="3:5">
      <c r="C16146" s="17"/>
      <c r="D16146" s="17"/>
      <c r="E16146" s="7"/>
    </row>
    <row r="16147" spans="3:5">
      <c r="C16147" s="17"/>
      <c r="D16147" s="17"/>
      <c r="E16147" s="7"/>
    </row>
    <row r="16148" spans="3:5">
      <c r="C16148" s="17"/>
      <c r="D16148" s="17"/>
      <c r="E16148" s="7"/>
    </row>
    <row r="16149" spans="3:5">
      <c r="C16149" s="17"/>
      <c r="D16149" s="17"/>
      <c r="E16149" s="7"/>
    </row>
    <row r="16150" spans="3:5">
      <c r="C16150" s="17"/>
      <c r="D16150" s="17"/>
      <c r="E16150" s="7"/>
    </row>
    <row r="16151" spans="3:5">
      <c r="C16151" s="17"/>
      <c r="D16151" s="17"/>
      <c r="E16151" s="7"/>
    </row>
    <row r="16152" spans="3:5">
      <c r="C16152" s="17"/>
      <c r="D16152" s="17"/>
      <c r="E16152" s="7"/>
    </row>
    <row r="16153" spans="3:5">
      <c r="C16153" s="17"/>
      <c r="D16153" s="17"/>
      <c r="E16153" s="7"/>
    </row>
    <row r="16154" spans="3:5">
      <c r="C16154" s="17"/>
      <c r="D16154" s="17"/>
      <c r="E16154" s="7"/>
    </row>
    <row r="16155" spans="3:5">
      <c r="C16155" s="17"/>
      <c r="D16155" s="17"/>
      <c r="E16155" s="7"/>
    </row>
    <row r="16156" spans="3:5">
      <c r="C16156" s="17"/>
      <c r="D16156" s="17"/>
      <c r="E16156" s="7"/>
    </row>
    <row r="16157" spans="3:5">
      <c r="C16157" s="17"/>
      <c r="D16157" s="17"/>
      <c r="E16157" s="7"/>
    </row>
    <row r="16158" spans="3:5">
      <c r="C16158" s="17"/>
      <c r="D16158" s="17"/>
      <c r="E16158" s="7"/>
    </row>
    <row r="16159" spans="3:5">
      <c r="C16159" s="17"/>
      <c r="D16159" s="17"/>
      <c r="E16159" s="7"/>
    </row>
    <row r="16160" spans="3:5">
      <c r="C16160" s="17"/>
      <c r="D16160" s="17"/>
      <c r="E16160" s="7"/>
    </row>
    <row r="16161" spans="3:5">
      <c r="C16161" s="17"/>
      <c r="D16161" s="17"/>
      <c r="E16161" s="7"/>
    </row>
    <row r="16162" spans="3:5">
      <c r="C16162" s="17"/>
      <c r="D16162" s="17"/>
      <c r="E16162" s="7"/>
    </row>
    <row r="16163" spans="3:5">
      <c r="C16163" s="17"/>
      <c r="D16163" s="17"/>
      <c r="E16163" s="7"/>
    </row>
    <row r="16164" spans="3:5">
      <c r="C16164" s="17"/>
      <c r="D16164" s="17"/>
      <c r="E16164" s="7"/>
    </row>
    <row r="16165" spans="3:5">
      <c r="C16165" s="17"/>
      <c r="D16165" s="17"/>
      <c r="E16165" s="7"/>
    </row>
    <row r="16166" spans="3:5">
      <c r="C16166" s="17"/>
      <c r="D16166" s="17"/>
      <c r="E16166" s="7"/>
    </row>
    <row r="16167" spans="3:5">
      <c r="C16167" s="17"/>
      <c r="D16167" s="17"/>
      <c r="E16167" s="7"/>
    </row>
    <row r="16168" spans="3:5">
      <c r="C16168" s="17"/>
      <c r="D16168" s="17"/>
      <c r="E16168" s="7"/>
    </row>
    <row r="16169" spans="3:5">
      <c r="C16169" s="17"/>
      <c r="D16169" s="17"/>
      <c r="E16169" s="7"/>
    </row>
    <row r="16170" spans="3:5">
      <c r="C16170" s="17"/>
      <c r="D16170" s="17"/>
      <c r="E16170" s="7"/>
    </row>
    <row r="16171" spans="3:5">
      <c r="C16171" s="17"/>
      <c r="D16171" s="17"/>
      <c r="E16171" s="7"/>
    </row>
    <row r="16172" spans="3:5">
      <c r="C16172" s="17"/>
      <c r="D16172" s="17"/>
      <c r="E16172" s="7"/>
    </row>
    <row r="16173" spans="3:5">
      <c r="C16173" s="17"/>
      <c r="D16173" s="17"/>
      <c r="E16173" s="7"/>
    </row>
    <row r="16174" spans="3:5">
      <c r="C16174" s="17"/>
      <c r="D16174" s="17"/>
      <c r="E16174" s="7"/>
    </row>
    <row r="16175" spans="3:5">
      <c r="C16175" s="17"/>
      <c r="D16175" s="17"/>
      <c r="E16175" s="7"/>
    </row>
    <row r="16176" spans="3:5">
      <c r="C16176" s="17"/>
      <c r="D16176" s="17"/>
      <c r="E16176" s="7"/>
    </row>
    <row r="16177" spans="3:5">
      <c r="C16177" s="17"/>
      <c r="D16177" s="17"/>
      <c r="E16177" s="7"/>
    </row>
    <row r="16178" spans="3:5">
      <c r="C16178" s="17"/>
      <c r="D16178" s="17"/>
      <c r="E16178" s="7"/>
    </row>
    <row r="16179" spans="3:5">
      <c r="C16179" s="17"/>
      <c r="D16179" s="17"/>
      <c r="E16179" s="7"/>
    </row>
    <row r="16180" spans="3:5">
      <c r="C16180" s="17"/>
      <c r="D16180" s="17"/>
      <c r="E16180" s="7"/>
    </row>
    <row r="16181" spans="3:5">
      <c r="C16181" s="17"/>
      <c r="D16181" s="17"/>
      <c r="E16181" s="7"/>
    </row>
    <row r="16182" spans="3:5">
      <c r="C16182" s="17"/>
      <c r="D16182" s="17"/>
      <c r="E16182" s="7"/>
    </row>
    <row r="16183" spans="3:5">
      <c r="C16183" s="17"/>
      <c r="D16183" s="17"/>
      <c r="E16183" s="7"/>
    </row>
    <row r="16184" spans="3:5">
      <c r="C16184" s="17"/>
      <c r="D16184" s="17"/>
      <c r="E16184" s="7"/>
    </row>
    <row r="16185" spans="3:5">
      <c r="C16185" s="17"/>
      <c r="D16185" s="17"/>
      <c r="E16185" s="7"/>
    </row>
    <row r="16186" spans="3:5">
      <c r="C16186" s="17"/>
      <c r="D16186" s="17"/>
      <c r="E16186" s="7"/>
    </row>
    <row r="16187" spans="3:5">
      <c r="C16187" s="17"/>
      <c r="D16187" s="17"/>
      <c r="E16187" s="7"/>
    </row>
    <row r="16188" spans="3:5">
      <c r="C16188" s="17"/>
      <c r="D16188" s="17"/>
      <c r="E16188" s="7"/>
    </row>
    <row r="16189" spans="3:5">
      <c r="C16189" s="17"/>
      <c r="D16189" s="17"/>
      <c r="E16189" s="7"/>
    </row>
    <row r="16190" spans="3:5">
      <c r="C16190" s="17"/>
      <c r="D16190" s="17"/>
      <c r="E16190" s="7"/>
    </row>
    <row r="16191" spans="3:5">
      <c r="C16191" s="17"/>
      <c r="D16191" s="17"/>
      <c r="E16191" s="7"/>
    </row>
    <row r="16192" spans="3:5">
      <c r="C16192" s="17"/>
      <c r="D16192" s="17"/>
      <c r="E16192" s="7"/>
    </row>
    <row r="16193" spans="3:5">
      <c r="C16193" s="17"/>
      <c r="D16193" s="17"/>
      <c r="E16193" s="7"/>
    </row>
    <row r="16194" spans="3:5">
      <c r="C16194" s="17"/>
      <c r="D16194" s="17"/>
      <c r="E16194" s="7"/>
    </row>
    <row r="16195" spans="3:5">
      <c r="C16195" s="17"/>
      <c r="D16195" s="17"/>
      <c r="E16195" s="7"/>
    </row>
    <row r="16196" spans="3:5">
      <c r="C16196" s="17"/>
      <c r="D16196" s="17"/>
      <c r="E16196" s="7"/>
    </row>
    <row r="16197" spans="3:5">
      <c r="C16197" s="17"/>
      <c r="D16197" s="17"/>
      <c r="E16197" s="7"/>
    </row>
    <row r="16198" spans="3:5">
      <c r="C16198" s="17"/>
      <c r="D16198" s="17"/>
      <c r="E16198" s="7"/>
    </row>
    <row r="16199" spans="3:5">
      <c r="C16199" s="17"/>
      <c r="D16199" s="17"/>
      <c r="E16199" s="7"/>
    </row>
    <row r="16200" spans="3:5">
      <c r="C16200" s="17"/>
      <c r="D16200" s="17"/>
      <c r="E16200" s="7"/>
    </row>
    <row r="16201" spans="3:5">
      <c r="C16201" s="17"/>
      <c r="D16201" s="17"/>
      <c r="E16201" s="7"/>
    </row>
    <row r="16202" spans="3:5">
      <c r="C16202" s="17"/>
      <c r="D16202" s="17"/>
      <c r="E16202" s="7"/>
    </row>
    <row r="16203" spans="3:5">
      <c r="C16203" s="17"/>
      <c r="D16203" s="17"/>
      <c r="E16203" s="7"/>
    </row>
    <row r="16204" spans="3:5">
      <c r="C16204" s="17"/>
      <c r="D16204" s="17"/>
      <c r="E16204" s="7"/>
    </row>
    <row r="16205" spans="3:5">
      <c r="C16205" s="17"/>
      <c r="D16205" s="17"/>
      <c r="E16205" s="7"/>
    </row>
    <row r="16206" spans="3:5">
      <c r="C16206" s="17"/>
      <c r="D16206" s="17"/>
      <c r="E16206" s="7"/>
    </row>
    <row r="16207" spans="3:5">
      <c r="C16207" s="17"/>
      <c r="D16207" s="17"/>
      <c r="E16207" s="7"/>
    </row>
    <row r="16208" spans="3:5">
      <c r="C16208" s="17"/>
      <c r="D16208" s="17"/>
      <c r="E16208" s="7"/>
    </row>
    <row r="16209" spans="3:5">
      <c r="C16209" s="17"/>
      <c r="D16209" s="17"/>
      <c r="E16209" s="7"/>
    </row>
    <row r="16210" spans="3:5">
      <c r="C16210" s="17"/>
      <c r="D16210" s="17"/>
      <c r="E16210" s="7"/>
    </row>
    <row r="16211" spans="3:5">
      <c r="C16211" s="17"/>
      <c r="D16211" s="17"/>
      <c r="E16211" s="7"/>
    </row>
    <row r="16212" spans="3:5">
      <c r="C16212" s="17"/>
      <c r="D16212" s="17"/>
      <c r="E16212" s="7"/>
    </row>
    <row r="16213" spans="3:5">
      <c r="C16213" s="17"/>
      <c r="D16213" s="17"/>
      <c r="E16213" s="7"/>
    </row>
    <row r="16214" spans="3:5">
      <c r="C16214" s="17"/>
      <c r="D16214" s="17"/>
      <c r="E16214" s="7"/>
    </row>
    <row r="16215" spans="3:5">
      <c r="C16215" s="17"/>
      <c r="D16215" s="17"/>
      <c r="E16215" s="7"/>
    </row>
    <row r="16216" spans="3:5">
      <c r="C16216" s="17"/>
      <c r="D16216" s="17"/>
      <c r="E16216" s="7"/>
    </row>
    <row r="16217" spans="3:5">
      <c r="C16217" s="17"/>
      <c r="D16217" s="17"/>
      <c r="E16217" s="7"/>
    </row>
    <row r="16218" spans="3:5">
      <c r="C16218" s="17"/>
      <c r="D16218" s="17"/>
      <c r="E16218" s="7"/>
    </row>
    <row r="16219" spans="3:5">
      <c r="C16219" s="17"/>
      <c r="D16219" s="17"/>
      <c r="E16219" s="7"/>
    </row>
    <row r="16220" spans="3:5">
      <c r="C16220" s="17"/>
      <c r="D16220" s="17"/>
      <c r="E16220" s="7"/>
    </row>
    <row r="16221" spans="3:5">
      <c r="C16221" s="17"/>
      <c r="D16221" s="17"/>
      <c r="E16221" s="7"/>
    </row>
    <row r="16222" spans="3:5">
      <c r="C16222" s="17"/>
      <c r="D16222" s="17"/>
      <c r="E16222" s="7"/>
    </row>
    <row r="16223" spans="3:5">
      <c r="C16223" s="17"/>
      <c r="D16223" s="17"/>
      <c r="E16223" s="7"/>
    </row>
    <row r="16224" spans="3:5">
      <c r="C16224" s="17"/>
      <c r="D16224" s="17"/>
      <c r="E16224" s="7"/>
    </row>
    <row r="16225" spans="3:5">
      <c r="C16225" s="17"/>
      <c r="D16225" s="17"/>
      <c r="E16225" s="7"/>
    </row>
    <row r="16226" spans="3:5">
      <c r="C16226" s="17"/>
      <c r="D16226" s="17"/>
      <c r="E16226" s="7"/>
    </row>
    <row r="16227" spans="3:5">
      <c r="C16227" s="17"/>
      <c r="D16227" s="17"/>
      <c r="E16227" s="7"/>
    </row>
    <row r="16228" spans="3:5">
      <c r="C16228" s="17"/>
      <c r="D16228" s="17"/>
      <c r="E16228" s="7"/>
    </row>
    <row r="16229" spans="3:5">
      <c r="C16229" s="17"/>
      <c r="D16229" s="17"/>
      <c r="E16229" s="7"/>
    </row>
    <row r="16230" spans="3:5">
      <c r="C16230" s="17"/>
      <c r="D16230" s="17"/>
      <c r="E16230" s="7"/>
    </row>
    <row r="16231" spans="3:5">
      <c r="C16231" s="17"/>
      <c r="D16231" s="17"/>
      <c r="E16231" s="7"/>
    </row>
    <row r="16232" spans="3:5">
      <c r="C16232" s="17"/>
      <c r="D16232" s="17"/>
      <c r="E16232" s="7"/>
    </row>
    <row r="16233" spans="3:5">
      <c r="C16233" s="17"/>
      <c r="D16233" s="17"/>
      <c r="E16233" s="7"/>
    </row>
    <row r="16234" spans="3:5">
      <c r="C16234" s="17"/>
      <c r="D16234" s="17"/>
      <c r="E16234" s="7"/>
    </row>
    <row r="16235" spans="3:5">
      <c r="C16235" s="17"/>
      <c r="D16235" s="17"/>
      <c r="E16235" s="7"/>
    </row>
    <row r="16236" spans="3:5">
      <c r="C16236" s="17"/>
      <c r="D16236" s="17"/>
      <c r="E16236" s="7"/>
    </row>
    <row r="16237" spans="3:5">
      <c r="C16237" s="17"/>
      <c r="D16237" s="17"/>
      <c r="E16237" s="7"/>
    </row>
    <row r="16238" spans="3:5">
      <c r="C16238" s="17"/>
      <c r="D16238" s="17"/>
      <c r="E16238" s="7"/>
    </row>
    <row r="16239" spans="3:5">
      <c r="C16239" s="17"/>
      <c r="D16239" s="17"/>
      <c r="E16239" s="7"/>
    </row>
    <row r="16240" spans="3:5">
      <c r="C16240" s="17"/>
      <c r="D16240" s="17"/>
      <c r="E16240" s="7"/>
    </row>
    <row r="16241" spans="3:5">
      <c r="C16241" s="17"/>
      <c r="D16241" s="17"/>
      <c r="E16241" s="7"/>
    </row>
    <row r="16242" spans="3:5">
      <c r="C16242" s="17"/>
      <c r="D16242" s="17"/>
      <c r="E16242" s="7"/>
    </row>
    <row r="16243" spans="3:5">
      <c r="C16243" s="17"/>
      <c r="D16243" s="17"/>
      <c r="E16243" s="7"/>
    </row>
    <row r="16244" spans="3:5">
      <c r="C16244" s="17"/>
      <c r="D16244" s="17"/>
      <c r="E16244" s="7"/>
    </row>
    <row r="16245" spans="3:5">
      <c r="C16245" s="17"/>
      <c r="D16245" s="17"/>
      <c r="E16245" s="7"/>
    </row>
    <row r="16246" spans="3:5">
      <c r="C16246" s="17"/>
      <c r="D16246" s="17"/>
      <c r="E16246" s="7"/>
    </row>
    <row r="16247" spans="3:5">
      <c r="C16247" s="17"/>
      <c r="D16247" s="17"/>
      <c r="E16247" s="7"/>
    </row>
    <row r="16248" spans="3:5">
      <c r="C16248" s="17"/>
      <c r="D16248" s="17"/>
      <c r="E16248" s="7"/>
    </row>
    <row r="16249" spans="3:5">
      <c r="C16249" s="17"/>
      <c r="D16249" s="17"/>
      <c r="E16249" s="7"/>
    </row>
    <row r="16250" spans="3:5">
      <c r="C16250" s="17"/>
      <c r="D16250" s="17"/>
      <c r="E16250" s="7"/>
    </row>
    <row r="16251" spans="3:5">
      <c r="C16251" s="17"/>
      <c r="D16251" s="17"/>
      <c r="E16251" s="7"/>
    </row>
    <row r="16252" spans="3:5">
      <c r="C16252" s="17"/>
      <c r="D16252" s="17"/>
      <c r="E16252" s="7"/>
    </row>
    <row r="16253" spans="3:5">
      <c r="C16253" s="17"/>
      <c r="D16253" s="17"/>
      <c r="E16253" s="7"/>
    </row>
    <row r="16254" spans="3:5">
      <c r="C16254" s="17"/>
      <c r="D16254" s="17"/>
      <c r="E16254" s="7"/>
    </row>
    <row r="16255" spans="3:5">
      <c r="C16255" s="17"/>
      <c r="D16255" s="17"/>
      <c r="E16255" s="7"/>
    </row>
    <row r="16256" spans="3:5">
      <c r="C16256" s="17"/>
      <c r="D16256" s="17"/>
      <c r="E16256" s="7"/>
    </row>
    <row r="16257" spans="3:5">
      <c r="C16257" s="17"/>
      <c r="D16257" s="17"/>
      <c r="E16257" s="7"/>
    </row>
    <row r="16258" spans="3:5">
      <c r="C16258" s="17"/>
      <c r="D16258" s="17"/>
      <c r="E16258" s="7"/>
    </row>
    <row r="16259" spans="3:5">
      <c r="C16259" s="17"/>
      <c r="D16259" s="17"/>
      <c r="E16259" s="7"/>
    </row>
    <row r="16260" spans="3:5">
      <c r="C16260" s="17"/>
      <c r="D16260" s="17"/>
      <c r="E16260" s="7"/>
    </row>
    <row r="16261" spans="3:5">
      <c r="C16261" s="17"/>
      <c r="D16261" s="17"/>
      <c r="E16261" s="7"/>
    </row>
    <row r="16262" spans="3:5">
      <c r="C16262" s="17"/>
      <c r="D16262" s="17"/>
      <c r="E16262" s="7"/>
    </row>
    <row r="16263" spans="3:5">
      <c r="C16263" s="17"/>
      <c r="D16263" s="17"/>
      <c r="E16263" s="7"/>
    </row>
    <row r="16264" spans="3:5">
      <c r="C16264" s="17"/>
      <c r="D16264" s="17"/>
      <c r="E16264" s="7"/>
    </row>
    <row r="16265" spans="3:5">
      <c r="C16265" s="17"/>
      <c r="D16265" s="17"/>
      <c r="E16265" s="7"/>
    </row>
    <row r="16266" spans="3:5">
      <c r="C16266" s="17"/>
      <c r="D16266" s="17"/>
      <c r="E16266" s="7"/>
    </row>
    <row r="16267" spans="3:5">
      <c r="C16267" s="17"/>
      <c r="D16267" s="17"/>
      <c r="E16267" s="7"/>
    </row>
    <row r="16268" spans="3:5">
      <c r="C16268" s="17"/>
      <c r="D16268" s="17"/>
      <c r="E16268" s="7"/>
    </row>
    <row r="16269" spans="3:5">
      <c r="C16269" s="17"/>
      <c r="D16269" s="17"/>
      <c r="E16269" s="7"/>
    </row>
    <row r="16270" spans="3:5">
      <c r="C16270" s="17"/>
      <c r="D16270" s="17"/>
      <c r="E16270" s="7"/>
    </row>
    <row r="16271" spans="3:5">
      <c r="C16271" s="17"/>
      <c r="D16271" s="17"/>
      <c r="E16271" s="7"/>
    </row>
    <row r="16272" spans="3:5">
      <c r="C16272" s="17"/>
      <c r="D16272" s="17"/>
      <c r="E16272" s="7"/>
    </row>
    <row r="16273" spans="3:5">
      <c r="C16273" s="17"/>
      <c r="D16273" s="17"/>
      <c r="E16273" s="7"/>
    </row>
    <row r="16274" spans="3:5">
      <c r="C16274" s="17"/>
      <c r="D16274" s="17"/>
      <c r="E16274" s="7"/>
    </row>
    <row r="16275" spans="3:5">
      <c r="C16275" s="17"/>
      <c r="D16275" s="17"/>
      <c r="E16275" s="7"/>
    </row>
    <row r="16276" spans="3:5">
      <c r="C16276" s="17"/>
      <c r="D16276" s="17"/>
      <c r="E16276" s="7"/>
    </row>
    <row r="16277" spans="3:5">
      <c r="C16277" s="17"/>
      <c r="D16277" s="17"/>
      <c r="E16277" s="7"/>
    </row>
    <row r="16278" spans="3:5">
      <c r="C16278" s="17"/>
      <c r="D16278" s="17"/>
      <c r="E16278" s="7"/>
    </row>
    <row r="16279" spans="3:5">
      <c r="C16279" s="17"/>
      <c r="D16279" s="17"/>
      <c r="E16279" s="7"/>
    </row>
    <row r="16280" spans="3:5">
      <c r="C16280" s="17"/>
      <c r="D16280" s="17"/>
      <c r="E16280" s="7"/>
    </row>
    <row r="16281" spans="3:5">
      <c r="C16281" s="17"/>
      <c r="D16281" s="17"/>
      <c r="E16281" s="7"/>
    </row>
    <row r="16282" spans="3:5">
      <c r="C16282" s="17"/>
      <c r="D16282" s="17"/>
      <c r="E16282" s="7"/>
    </row>
    <row r="16283" spans="3:5">
      <c r="C16283" s="17"/>
      <c r="D16283" s="17"/>
      <c r="E16283" s="7"/>
    </row>
    <row r="16284" spans="3:5">
      <c r="C16284" s="17"/>
      <c r="D16284" s="17"/>
      <c r="E16284" s="7"/>
    </row>
    <row r="16285" spans="3:5">
      <c r="C16285" s="17"/>
      <c r="D16285" s="17"/>
      <c r="E16285" s="7"/>
    </row>
    <row r="16286" spans="3:5">
      <c r="C16286" s="17"/>
      <c r="D16286" s="17"/>
      <c r="E16286" s="7"/>
    </row>
    <row r="16287" spans="3:5">
      <c r="C16287" s="17"/>
      <c r="D16287" s="17"/>
      <c r="E16287" s="7"/>
    </row>
    <row r="16288" spans="3:5">
      <c r="C16288" s="17"/>
      <c r="D16288" s="17"/>
      <c r="E16288" s="7"/>
    </row>
    <row r="16289" spans="3:5">
      <c r="C16289" s="17"/>
      <c r="D16289" s="17"/>
      <c r="E16289" s="7"/>
    </row>
    <row r="16290" spans="3:5">
      <c r="C16290" s="17"/>
      <c r="D16290" s="17"/>
      <c r="E16290" s="7"/>
    </row>
    <row r="16291" spans="3:5">
      <c r="C16291" s="17"/>
      <c r="D16291" s="17"/>
      <c r="E16291" s="7"/>
    </row>
    <row r="16292" spans="3:5">
      <c r="C16292" s="17"/>
      <c r="D16292" s="17"/>
      <c r="E16292" s="7"/>
    </row>
    <row r="16293" spans="3:5">
      <c r="C16293" s="17"/>
      <c r="D16293" s="17"/>
      <c r="E16293" s="7"/>
    </row>
    <row r="16294" spans="3:5">
      <c r="C16294" s="17"/>
      <c r="D16294" s="17"/>
      <c r="E16294" s="7"/>
    </row>
    <row r="16295" spans="3:5">
      <c r="C16295" s="17"/>
      <c r="D16295" s="17"/>
      <c r="E16295" s="7"/>
    </row>
    <row r="16296" spans="3:5">
      <c r="C16296" s="17"/>
      <c r="D16296" s="17"/>
      <c r="E16296" s="7"/>
    </row>
    <row r="16297" spans="3:5">
      <c r="C16297" s="17"/>
      <c r="D16297" s="17"/>
      <c r="E16297" s="7"/>
    </row>
    <row r="16298" spans="3:5">
      <c r="C16298" s="17"/>
      <c r="D16298" s="17"/>
      <c r="E16298" s="7"/>
    </row>
    <row r="16299" spans="3:5">
      <c r="C16299" s="17"/>
      <c r="D16299" s="17"/>
      <c r="E16299" s="7"/>
    </row>
    <row r="16300" spans="3:5">
      <c r="C16300" s="17"/>
      <c r="D16300" s="17"/>
      <c r="E16300" s="7"/>
    </row>
    <row r="16301" spans="3:5">
      <c r="C16301" s="17"/>
      <c r="D16301" s="17"/>
      <c r="E16301" s="7"/>
    </row>
    <row r="16302" spans="3:5">
      <c r="C16302" s="17"/>
      <c r="D16302" s="17"/>
      <c r="E16302" s="7"/>
    </row>
    <row r="16303" spans="3:5">
      <c r="C16303" s="17"/>
      <c r="D16303" s="17"/>
      <c r="E16303" s="7"/>
    </row>
    <row r="16304" spans="3:5">
      <c r="C16304" s="17"/>
      <c r="D16304" s="17"/>
      <c r="E16304" s="7"/>
    </row>
    <row r="16305" spans="3:5">
      <c r="C16305" s="17"/>
      <c r="D16305" s="17"/>
      <c r="E16305" s="7"/>
    </row>
    <row r="16306" spans="3:5">
      <c r="C16306" s="17"/>
      <c r="D16306" s="17"/>
      <c r="E16306" s="7"/>
    </row>
    <row r="16307" spans="3:5">
      <c r="C16307" s="17"/>
      <c r="D16307" s="17"/>
      <c r="E16307" s="7"/>
    </row>
    <row r="16308" spans="3:5">
      <c r="C16308" s="17"/>
      <c r="D16308" s="17"/>
      <c r="E16308" s="7"/>
    </row>
    <row r="16309" spans="3:5">
      <c r="C16309" s="17"/>
      <c r="D16309" s="17"/>
      <c r="E16309" s="7"/>
    </row>
    <row r="16310" spans="3:5">
      <c r="C16310" s="17"/>
      <c r="D16310" s="17"/>
      <c r="E16310" s="7"/>
    </row>
    <row r="16311" spans="3:5">
      <c r="C16311" s="17"/>
      <c r="D16311" s="17"/>
      <c r="E16311" s="7"/>
    </row>
    <row r="16312" spans="3:5">
      <c r="C16312" s="17"/>
      <c r="D16312" s="17"/>
      <c r="E16312" s="7"/>
    </row>
    <row r="16313" spans="3:5">
      <c r="C16313" s="17"/>
      <c r="D16313" s="17"/>
      <c r="E16313" s="7"/>
    </row>
    <row r="16314" spans="3:5">
      <c r="C16314" s="17"/>
      <c r="D16314" s="17"/>
      <c r="E16314" s="7"/>
    </row>
    <row r="16315" spans="3:5">
      <c r="C16315" s="17"/>
      <c r="D16315" s="17"/>
      <c r="E16315" s="7"/>
    </row>
    <row r="16316" spans="3:5">
      <c r="C16316" s="17"/>
      <c r="D16316" s="17"/>
      <c r="E16316" s="7"/>
    </row>
    <row r="16317" spans="3:5">
      <c r="C16317" s="17"/>
      <c r="D16317" s="17"/>
      <c r="E16317" s="7"/>
    </row>
    <row r="16318" spans="3:5">
      <c r="C16318" s="17"/>
      <c r="D16318" s="17"/>
      <c r="E16318" s="7"/>
    </row>
    <row r="16319" spans="3:5">
      <c r="C16319" s="17"/>
      <c r="D16319" s="17"/>
      <c r="E16319" s="7"/>
    </row>
    <row r="16320" spans="3:5">
      <c r="C16320" s="17"/>
      <c r="D16320" s="17"/>
      <c r="E16320" s="7"/>
    </row>
    <row r="16321" spans="3:5">
      <c r="C16321" s="17"/>
      <c r="D16321" s="17"/>
      <c r="E16321" s="7"/>
    </row>
    <row r="16322" spans="3:5">
      <c r="C16322" s="17"/>
      <c r="D16322" s="17"/>
      <c r="E16322" s="7"/>
    </row>
    <row r="16323" spans="3:5">
      <c r="C16323" s="17"/>
      <c r="D16323" s="17"/>
      <c r="E16323" s="7"/>
    </row>
    <row r="16324" spans="3:5">
      <c r="C16324" s="17"/>
      <c r="D16324" s="17"/>
      <c r="E16324" s="7"/>
    </row>
    <row r="16325" spans="3:5">
      <c r="C16325" s="17"/>
      <c r="D16325" s="17"/>
      <c r="E16325" s="7"/>
    </row>
    <row r="16326" spans="3:5">
      <c r="C16326" s="17"/>
      <c r="D16326" s="17"/>
      <c r="E16326" s="7"/>
    </row>
    <row r="16327" spans="3:5">
      <c r="C16327" s="17"/>
      <c r="D16327" s="17"/>
      <c r="E16327" s="7"/>
    </row>
    <row r="16328" spans="3:5">
      <c r="C16328" s="17"/>
      <c r="D16328" s="17"/>
      <c r="E16328" s="7"/>
    </row>
    <row r="16329" spans="3:5">
      <c r="C16329" s="17"/>
      <c r="D16329" s="17"/>
      <c r="E16329" s="7"/>
    </row>
    <row r="16330" spans="3:5">
      <c r="C16330" s="17"/>
      <c r="D16330" s="17"/>
      <c r="E16330" s="7"/>
    </row>
    <row r="16331" spans="3:5">
      <c r="C16331" s="17"/>
      <c r="D16331" s="17"/>
      <c r="E16331" s="7"/>
    </row>
    <row r="16332" spans="3:5">
      <c r="C16332" s="17"/>
      <c r="D16332" s="17"/>
      <c r="E16332" s="7"/>
    </row>
    <row r="16333" spans="3:5">
      <c r="C16333" s="17"/>
      <c r="D16333" s="17"/>
      <c r="E16333" s="7"/>
    </row>
    <row r="16334" spans="3:5">
      <c r="C16334" s="17"/>
      <c r="D16334" s="17"/>
      <c r="E16334" s="7"/>
    </row>
    <row r="16335" spans="3:5">
      <c r="C16335" s="17"/>
      <c r="D16335" s="17"/>
      <c r="E16335" s="7"/>
    </row>
    <row r="16336" spans="3:5">
      <c r="C16336" s="17"/>
      <c r="D16336" s="17"/>
      <c r="E16336" s="7"/>
    </row>
    <row r="16337" spans="3:5">
      <c r="C16337" s="17"/>
      <c r="D16337" s="17"/>
      <c r="E16337" s="7"/>
    </row>
    <row r="16338" spans="3:5">
      <c r="C16338" s="17"/>
      <c r="D16338" s="17"/>
      <c r="E16338" s="7"/>
    </row>
    <row r="16339" spans="3:5">
      <c r="C16339" s="17"/>
      <c r="D16339" s="17"/>
      <c r="E16339" s="7"/>
    </row>
    <row r="16340" spans="3:5">
      <c r="C16340" s="17"/>
      <c r="D16340" s="17"/>
      <c r="E16340" s="7"/>
    </row>
    <row r="16341" spans="3:5">
      <c r="C16341" s="17"/>
      <c r="D16341" s="17"/>
      <c r="E16341" s="7"/>
    </row>
    <row r="16342" spans="3:5">
      <c r="C16342" s="17"/>
      <c r="D16342" s="17"/>
      <c r="E16342" s="7"/>
    </row>
    <row r="16343" spans="3:5">
      <c r="C16343" s="17"/>
      <c r="D16343" s="17"/>
      <c r="E16343" s="7"/>
    </row>
    <row r="16344" spans="3:5">
      <c r="C16344" s="17"/>
      <c r="D16344" s="17"/>
      <c r="E16344" s="7"/>
    </row>
    <row r="16345" spans="3:5">
      <c r="C16345" s="17"/>
      <c r="D16345" s="17"/>
      <c r="E16345" s="7"/>
    </row>
    <row r="16346" spans="3:5">
      <c r="C16346" s="17"/>
      <c r="D16346" s="17"/>
      <c r="E16346" s="7"/>
    </row>
    <row r="16347" spans="3:5">
      <c r="C16347" s="17"/>
      <c r="D16347" s="17"/>
      <c r="E16347" s="7"/>
    </row>
    <row r="16348" spans="3:5">
      <c r="C16348" s="17"/>
      <c r="D16348" s="17"/>
      <c r="E16348" s="7"/>
    </row>
    <row r="16349" spans="3:5">
      <c r="C16349" s="17"/>
      <c r="D16349" s="17"/>
      <c r="E16349" s="7"/>
    </row>
    <row r="16350" spans="3:5">
      <c r="C16350" s="17"/>
      <c r="D16350" s="17"/>
      <c r="E16350" s="7"/>
    </row>
    <row r="16351" spans="3:5">
      <c r="C16351" s="17"/>
      <c r="D16351" s="17"/>
      <c r="E16351" s="7"/>
    </row>
    <row r="16352" spans="3:5">
      <c r="C16352" s="17"/>
      <c r="D16352" s="17"/>
      <c r="E16352" s="7"/>
    </row>
    <row r="16353" spans="3:5">
      <c r="C16353" s="17"/>
      <c r="D16353" s="17"/>
      <c r="E16353" s="7"/>
    </row>
    <row r="16354" spans="3:5">
      <c r="C16354" s="17"/>
      <c r="D16354" s="17"/>
      <c r="E16354" s="7"/>
    </row>
    <row r="16355" spans="3:5">
      <c r="C16355" s="17"/>
      <c r="D16355" s="17"/>
      <c r="E16355" s="7"/>
    </row>
    <row r="16356" spans="3:5">
      <c r="C16356" s="17"/>
      <c r="D16356" s="17"/>
      <c r="E16356" s="7"/>
    </row>
    <row r="16357" spans="3:5">
      <c r="C16357" s="17"/>
      <c r="D16357" s="17"/>
      <c r="E16357" s="7"/>
    </row>
    <row r="16358" spans="3:5">
      <c r="C16358" s="17"/>
      <c r="D16358" s="17"/>
      <c r="E16358" s="7"/>
    </row>
    <row r="16359" spans="3:5">
      <c r="C16359" s="17"/>
      <c r="D16359" s="17"/>
      <c r="E16359" s="7"/>
    </row>
    <row r="16360" spans="3:5">
      <c r="C16360" s="17"/>
      <c r="D16360" s="17"/>
      <c r="E16360" s="7"/>
    </row>
    <row r="16361" spans="3:5">
      <c r="C16361" s="17"/>
      <c r="D16361" s="17"/>
      <c r="E16361" s="7"/>
    </row>
    <row r="16362" spans="3:5">
      <c r="C16362" s="17"/>
      <c r="D16362" s="17"/>
      <c r="E16362" s="7"/>
    </row>
    <row r="16363" spans="3:5">
      <c r="C16363" s="17"/>
      <c r="D16363" s="17"/>
      <c r="E16363" s="7"/>
    </row>
    <row r="16364" spans="3:5">
      <c r="C16364" s="17"/>
      <c r="D16364" s="17"/>
      <c r="E16364" s="7"/>
    </row>
    <row r="16365" spans="3:5">
      <c r="C16365" s="17"/>
      <c r="D16365" s="17"/>
      <c r="E16365" s="7"/>
    </row>
    <row r="16366" spans="3:5">
      <c r="C16366" s="17"/>
      <c r="D16366" s="17"/>
      <c r="E16366" s="7"/>
    </row>
    <row r="16367" spans="3:5">
      <c r="C16367" s="17"/>
      <c r="D16367" s="17"/>
      <c r="E16367" s="7"/>
    </row>
    <row r="16368" spans="3:5">
      <c r="C16368" s="17"/>
      <c r="D16368" s="17"/>
      <c r="E16368" s="7"/>
    </row>
    <row r="16369" spans="3:5">
      <c r="C16369" s="17"/>
      <c r="D16369" s="17"/>
      <c r="E16369" s="7"/>
    </row>
    <row r="16370" spans="3:5">
      <c r="C16370" s="17"/>
      <c r="D16370" s="17"/>
      <c r="E16370" s="7"/>
    </row>
    <row r="16371" spans="3:5">
      <c r="C16371" s="17"/>
      <c r="D16371" s="17"/>
      <c r="E16371" s="7"/>
    </row>
    <row r="16372" spans="3:5">
      <c r="C16372" s="17"/>
      <c r="D16372" s="17"/>
      <c r="E16372" s="7"/>
    </row>
    <row r="16373" spans="3:5">
      <c r="C16373" s="17"/>
      <c r="D16373" s="17"/>
      <c r="E16373" s="7"/>
    </row>
    <row r="16374" spans="3:5">
      <c r="C16374" s="17"/>
      <c r="D16374" s="17"/>
      <c r="E16374" s="7"/>
    </row>
    <row r="16375" spans="3:5">
      <c r="C16375" s="17"/>
      <c r="D16375" s="17"/>
      <c r="E16375" s="7"/>
    </row>
    <row r="16376" spans="3:5">
      <c r="C16376" s="17"/>
      <c r="D16376" s="17"/>
      <c r="E16376" s="7"/>
    </row>
    <row r="16377" spans="3:5">
      <c r="C16377" s="17"/>
      <c r="D16377" s="17"/>
      <c r="E16377" s="7"/>
    </row>
    <row r="16378" spans="3:5">
      <c r="C16378" s="17"/>
      <c r="D16378" s="17"/>
      <c r="E16378" s="7"/>
    </row>
    <row r="16379" spans="3:5">
      <c r="C16379" s="17"/>
      <c r="D16379" s="17"/>
      <c r="E16379" s="7"/>
    </row>
    <row r="16380" spans="3:5">
      <c r="C16380" s="17"/>
      <c r="D16380" s="17"/>
      <c r="E16380" s="7"/>
    </row>
    <row r="16381" spans="3:5">
      <c r="C16381" s="17"/>
      <c r="D16381" s="17"/>
      <c r="E16381" s="7"/>
    </row>
    <row r="16382" spans="3:5">
      <c r="C16382" s="17"/>
      <c r="D16382" s="17"/>
      <c r="E16382" s="7"/>
    </row>
    <row r="16383" spans="3:5">
      <c r="C16383" s="17"/>
      <c r="D16383" s="17"/>
      <c r="E16383" s="7"/>
    </row>
    <row r="16384" spans="3:5">
      <c r="C16384" s="17"/>
      <c r="D16384" s="17"/>
      <c r="E16384" s="7"/>
    </row>
    <row r="16385" spans="3:5">
      <c r="C16385" s="17"/>
      <c r="D16385" s="17"/>
      <c r="E16385" s="7"/>
    </row>
    <row r="16386" spans="3:5">
      <c r="C16386" s="17"/>
      <c r="D16386" s="17"/>
      <c r="E16386" s="7"/>
    </row>
    <row r="16387" spans="3:5">
      <c r="C16387" s="17"/>
      <c r="D16387" s="17"/>
      <c r="E16387" s="7"/>
    </row>
    <row r="16388" spans="3:5">
      <c r="C16388" s="17"/>
      <c r="D16388" s="17"/>
      <c r="E16388" s="7"/>
    </row>
    <row r="16389" spans="3:5">
      <c r="C16389" s="17"/>
      <c r="D16389" s="17"/>
      <c r="E16389" s="7"/>
    </row>
    <row r="16390" spans="3:5">
      <c r="C16390" s="17"/>
      <c r="D16390" s="17"/>
      <c r="E16390" s="7"/>
    </row>
    <row r="16391" spans="3:5">
      <c r="C16391" s="17"/>
      <c r="D16391" s="17"/>
      <c r="E16391" s="7"/>
    </row>
    <row r="16392" spans="3:5">
      <c r="C16392" s="17"/>
      <c r="D16392" s="17"/>
      <c r="E16392" s="7"/>
    </row>
    <row r="16393" spans="3:5">
      <c r="C16393" s="17"/>
      <c r="D16393" s="17"/>
      <c r="E16393" s="7"/>
    </row>
    <row r="16394" spans="3:5">
      <c r="C16394" s="17"/>
      <c r="D16394" s="17"/>
      <c r="E16394" s="7"/>
    </row>
    <row r="16395" spans="3:5">
      <c r="C16395" s="17"/>
      <c r="D16395" s="17"/>
      <c r="E16395" s="7"/>
    </row>
    <row r="16396" spans="3:5">
      <c r="C16396" s="17"/>
      <c r="D16396" s="17"/>
      <c r="E16396" s="7"/>
    </row>
    <row r="16397" spans="3:5">
      <c r="C16397" s="17"/>
      <c r="D16397" s="17"/>
      <c r="E16397" s="7"/>
    </row>
    <row r="16398" spans="3:5">
      <c r="C16398" s="17"/>
      <c r="D16398" s="17"/>
      <c r="E16398" s="7"/>
    </row>
    <row r="16399" spans="3:5">
      <c r="C16399" s="17"/>
      <c r="D16399" s="17"/>
      <c r="E16399" s="7"/>
    </row>
    <row r="16400" spans="3:5">
      <c r="C16400" s="17"/>
      <c r="D16400" s="17"/>
      <c r="E16400" s="7"/>
    </row>
    <row r="16401" spans="3:5">
      <c r="C16401" s="17"/>
      <c r="D16401" s="17"/>
      <c r="E16401" s="7"/>
    </row>
    <row r="16402" spans="3:5">
      <c r="C16402" s="17"/>
      <c r="D16402" s="17"/>
      <c r="E16402" s="7"/>
    </row>
    <row r="16403" spans="3:5">
      <c r="C16403" s="17"/>
      <c r="D16403" s="17"/>
      <c r="E16403" s="7"/>
    </row>
    <row r="16404" spans="3:5">
      <c r="C16404" s="17"/>
      <c r="D16404" s="17"/>
      <c r="E16404" s="7"/>
    </row>
    <row r="16405" spans="3:5">
      <c r="C16405" s="17"/>
      <c r="D16405" s="17"/>
      <c r="E16405" s="7"/>
    </row>
    <row r="16406" spans="3:5">
      <c r="C16406" s="17"/>
      <c r="D16406" s="17"/>
      <c r="E16406" s="7"/>
    </row>
    <row r="16407" spans="3:5">
      <c r="C16407" s="17"/>
      <c r="D16407" s="17"/>
      <c r="E16407" s="7"/>
    </row>
    <row r="16408" spans="3:5">
      <c r="C16408" s="17"/>
      <c r="D16408" s="17"/>
      <c r="E16408" s="7"/>
    </row>
    <row r="16409" spans="3:5">
      <c r="C16409" s="17"/>
      <c r="D16409" s="17"/>
      <c r="E16409" s="7"/>
    </row>
    <row r="16410" spans="3:5">
      <c r="C16410" s="17"/>
      <c r="D16410" s="17"/>
      <c r="E16410" s="7"/>
    </row>
    <row r="16411" spans="3:5">
      <c r="C16411" s="17"/>
      <c r="D16411" s="17"/>
      <c r="E16411" s="7"/>
    </row>
    <row r="16412" spans="3:5">
      <c r="C16412" s="17"/>
      <c r="D16412" s="17"/>
      <c r="E16412" s="7"/>
    </row>
    <row r="16413" spans="3:5">
      <c r="C16413" s="17"/>
      <c r="D16413" s="17"/>
      <c r="E16413" s="7"/>
    </row>
    <row r="16414" spans="3:5">
      <c r="C16414" s="17"/>
      <c r="D16414" s="17"/>
      <c r="E16414" s="7"/>
    </row>
    <row r="16415" spans="3:5">
      <c r="C16415" s="17"/>
      <c r="D16415" s="17"/>
      <c r="E16415" s="7"/>
    </row>
    <row r="16416" spans="3:5">
      <c r="C16416" s="17"/>
      <c r="D16416" s="17"/>
      <c r="E16416" s="7"/>
    </row>
    <row r="16417" spans="3:5">
      <c r="C16417" s="17"/>
      <c r="D16417" s="17"/>
      <c r="E16417" s="7"/>
    </row>
    <row r="16418" spans="3:5">
      <c r="C16418" s="17"/>
      <c r="D16418" s="17"/>
      <c r="E16418" s="7"/>
    </row>
    <row r="16419" spans="3:5">
      <c r="C16419" s="17"/>
      <c r="D16419" s="17"/>
      <c r="E16419" s="7"/>
    </row>
    <row r="16420" spans="3:5">
      <c r="C16420" s="17"/>
      <c r="D16420" s="17"/>
      <c r="E16420" s="7"/>
    </row>
    <row r="16421" spans="3:5">
      <c r="C16421" s="17"/>
      <c r="D16421" s="17"/>
      <c r="E16421" s="7"/>
    </row>
    <row r="16422" spans="3:5">
      <c r="C16422" s="17"/>
      <c r="D16422" s="17"/>
      <c r="E16422" s="7"/>
    </row>
    <row r="16423" spans="3:5">
      <c r="C16423" s="17"/>
      <c r="D16423" s="17"/>
      <c r="E16423" s="7"/>
    </row>
    <row r="16424" spans="3:5">
      <c r="C16424" s="17"/>
      <c r="D16424" s="17"/>
      <c r="E16424" s="7"/>
    </row>
    <row r="16425" spans="3:5">
      <c r="C16425" s="17"/>
      <c r="D16425" s="17"/>
      <c r="E16425" s="7"/>
    </row>
    <row r="16426" spans="3:5">
      <c r="C16426" s="17"/>
      <c r="D16426" s="17"/>
      <c r="E16426" s="7"/>
    </row>
    <row r="16427" spans="3:5">
      <c r="C16427" s="17"/>
      <c r="D16427" s="17"/>
      <c r="E16427" s="7"/>
    </row>
    <row r="16428" spans="3:5">
      <c r="C16428" s="17"/>
      <c r="D16428" s="17"/>
      <c r="E16428" s="7"/>
    </row>
    <row r="16429" spans="3:5">
      <c r="C16429" s="17"/>
      <c r="D16429" s="17"/>
      <c r="E16429" s="7"/>
    </row>
    <row r="16430" spans="3:5">
      <c r="C16430" s="17"/>
      <c r="D16430" s="17"/>
      <c r="E16430" s="7"/>
    </row>
    <row r="16431" spans="3:5">
      <c r="C16431" s="17"/>
      <c r="D16431" s="17"/>
      <c r="E16431" s="7"/>
    </row>
    <row r="16432" spans="3:5">
      <c r="C16432" s="17"/>
      <c r="D16432" s="17"/>
      <c r="E16432" s="7"/>
    </row>
    <row r="16433" spans="3:5">
      <c r="C16433" s="17"/>
      <c r="D16433" s="17"/>
      <c r="E16433" s="7"/>
    </row>
    <row r="16434" spans="3:5">
      <c r="C16434" s="17"/>
      <c r="D16434" s="17"/>
      <c r="E16434" s="7"/>
    </row>
    <row r="16435" spans="3:5">
      <c r="C16435" s="17"/>
      <c r="D16435" s="17"/>
      <c r="E16435" s="7"/>
    </row>
    <row r="16436" spans="3:5">
      <c r="C16436" s="17"/>
      <c r="D16436" s="17"/>
      <c r="E16436" s="7"/>
    </row>
    <row r="16437" spans="3:5">
      <c r="C16437" s="17"/>
      <c r="D16437" s="17"/>
      <c r="E16437" s="7"/>
    </row>
    <row r="16438" spans="3:5">
      <c r="C16438" s="17"/>
      <c r="D16438" s="17"/>
      <c r="E16438" s="7"/>
    </row>
    <row r="16439" spans="3:5">
      <c r="C16439" s="17"/>
      <c r="D16439" s="17"/>
      <c r="E16439" s="7"/>
    </row>
    <row r="16440" spans="3:5">
      <c r="C16440" s="17"/>
      <c r="D16440" s="17"/>
      <c r="E16440" s="7"/>
    </row>
    <row r="16441" spans="3:5">
      <c r="C16441" s="17"/>
      <c r="D16441" s="17"/>
      <c r="E16441" s="7"/>
    </row>
    <row r="16442" spans="3:5">
      <c r="C16442" s="17"/>
      <c r="D16442" s="17"/>
      <c r="E16442" s="7"/>
    </row>
    <row r="16443" spans="3:5">
      <c r="C16443" s="17"/>
      <c r="D16443" s="17"/>
      <c r="E16443" s="7"/>
    </row>
    <row r="16444" spans="3:5">
      <c r="C16444" s="17"/>
      <c r="D16444" s="17"/>
      <c r="E16444" s="7"/>
    </row>
    <row r="16445" spans="3:5">
      <c r="C16445" s="17"/>
      <c r="D16445" s="17"/>
      <c r="E16445" s="7"/>
    </row>
    <row r="16446" spans="3:5">
      <c r="C16446" s="17"/>
      <c r="D16446" s="17"/>
      <c r="E16446" s="7"/>
    </row>
    <row r="16447" spans="3:5">
      <c r="C16447" s="17"/>
      <c r="D16447" s="17"/>
      <c r="E16447" s="7"/>
    </row>
    <row r="16448" spans="3:5">
      <c r="C16448" s="17"/>
      <c r="D16448" s="17"/>
      <c r="E16448" s="7"/>
    </row>
    <row r="16449" spans="3:5">
      <c r="C16449" s="17"/>
      <c r="D16449" s="17"/>
      <c r="E16449" s="7"/>
    </row>
    <row r="16450" spans="3:5">
      <c r="C16450" s="17"/>
      <c r="D16450" s="17"/>
      <c r="E16450" s="7"/>
    </row>
    <row r="16451" spans="3:5">
      <c r="C16451" s="17"/>
      <c r="D16451" s="17"/>
      <c r="E16451" s="7"/>
    </row>
    <row r="16452" spans="3:5">
      <c r="C16452" s="17"/>
      <c r="D16452" s="17"/>
      <c r="E16452" s="7"/>
    </row>
    <row r="16453" spans="3:5">
      <c r="C16453" s="17"/>
      <c r="D16453" s="17"/>
      <c r="E16453" s="7"/>
    </row>
    <row r="16454" spans="3:5">
      <c r="C16454" s="17"/>
      <c r="D16454" s="17"/>
      <c r="E16454" s="7"/>
    </row>
    <row r="16455" spans="3:5">
      <c r="C16455" s="17"/>
      <c r="D16455" s="17"/>
      <c r="E16455" s="7"/>
    </row>
    <row r="16456" spans="3:5">
      <c r="C16456" s="17"/>
      <c r="D16456" s="17"/>
      <c r="E16456" s="7"/>
    </row>
    <row r="16457" spans="3:5">
      <c r="C16457" s="17"/>
      <c r="D16457" s="17"/>
      <c r="E16457" s="7"/>
    </row>
    <row r="16458" spans="3:5">
      <c r="C16458" s="17"/>
      <c r="D16458" s="17"/>
      <c r="E16458" s="7"/>
    </row>
    <row r="16459" spans="3:5">
      <c r="C16459" s="17"/>
      <c r="D16459" s="17"/>
      <c r="E16459" s="7"/>
    </row>
    <row r="16460" spans="3:5">
      <c r="C16460" s="17"/>
      <c r="D16460" s="17"/>
      <c r="E16460" s="7"/>
    </row>
    <row r="16461" spans="3:5">
      <c r="C16461" s="17"/>
      <c r="D16461" s="17"/>
      <c r="E16461" s="7"/>
    </row>
    <row r="16462" spans="3:5">
      <c r="C16462" s="17"/>
      <c r="D16462" s="17"/>
      <c r="E16462" s="7"/>
    </row>
    <row r="16463" spans="3:5">
      <c r="C16463" s="17"/>
      <c r="D16463" s="17"/>
      <c r="E16463" s="7"/>
    </row>
    <row r="16464" spans="3:5">
      <c r="C16464" s="17"/>
      <c r="D16464" s="17"/>
      <c r="E16464" s="7"/>
    </row>
    <row r="16465" spans="3:5">
      <c r="C16465" s="17"/>
      <c r="D16465" s="17"/>
      <c r="E16465" s="7"/>
    </row>
    <row r="16466" spans="3:5">
      <c r="C16466" s="17"/>
      <c r="D16466" s="17"/>
      <c r="E16466" s="7"/>
    </row>
    <row r="16467" spans="3:5">
      <c r="C16467" s="17"/>
      <c r="D16467" s="17"/>
      <c r="E16467" s="7"/>
    </row>
    <row r="16468" spans="3:5">
      <c r="C16468" s="17"/>
      <c r="D16468" s="17"/>
      <c r="E16468" s="7"/>
    </row>
    <row r="16469" spans="3:5">
      <c r="C16469" s="17"/>
      <c r="D16469" s="17"/>
      <c r="E16469" s="7"/>
    </row>
    <row r="16470" spans="3:5">
      <c r="C16470" s="17"/>
      <c r="D16470" s="17"/>
      <c r="E16470" s="7"/>
    </row>
    <row r="16471" spans="3:5">
      <c r="C16471" s="17"/>
      <c r="D16471" s="17"/>
      <c r="E16471" s="7"/>
    </row>
    <row r="16472" spans="3:5">
      <c r="C16472" s="17"/>
      <c r="D16472" s="17"/>
      <c r="E16472" s="7"/>
    </row>
    <row r="16473" spans="3:5">
      <c r="C16473" s="17"/>
      <c r="D16473" s="17"/>
      <c r="E16473" s="7"/>
    </row>
    <row r="16474" spans="3:5">
      <c r="C16474" s="17"/>
      <c r="D16474" s="17"/>
      <c r="E16474" s="7"/>
    </row>
    <row r="16475" spans="3:5">
      <c r="C16475" s="17"/>
      <c r="D16475" s="17"/>
      <c r="E16475" s="7"/>
    </row>
    <row r="16476" spans="3:5">
      <c r="C16476" s="17"/>
      <c r="D16476" s="17"/>
      <c r="E16476" s="7"/>
    </row>
    <row r="16477" spans="3:5">
      <c r="C16477" s="17"/>
      <c r="D16477" s="17"/>
      <c r="E16477" s="7"/>
    </row>
    <row r="16478" spans="3:5">
      <c r="C16478" s="17"/>
      <c r="D16478" s="17"/>
      <c r="E16478" s="7"/>
    </row>
    <row r="16479" spans="3:5">
      <c r="C16479" s="17"/>
      <c r="D16479" s="17"/>
      <c r="E16479" s="7"/>
    </row>
    <row r="16480" spans="3:5">
      <c r="C16480" s="17"/>
      <c r="D16480" s="17"/>
      <c r="E16480" s="7"/>
    </row>
    <row r="16481" spans="3:5">
      <c r="C16481" s="17"/>
      <c r="D16481" s="17"/>
      <c r="E16481" s="7"/>
    </row>
    <row r="16482" spans="3:5">
      <c r="C16482" s="17"/>
      <c r="D16482" s="17"/>
      <c r="E16482" s="7"/>
    </row>
    <row r="16483" spans="3:5">
      <c r="C16483" s="17"/>
      <c r="D16483" s="17"/>
      <c r="E16483" s="7"/>
    </row>
    <row r="16484" spans="3:5">
      <c r="C16484" s="17"/>
      <c r="D16484" s="17"/>
      <c r="E16484" s="7"/>
    </row>
    <row r="16485" spans="3:5">
      <c r="C16485" s="17"/>
      <c r="D16485" s="17"/>
      <c r="E16485" s="7"/>
    </row>
    <row r="16486" spans="3:5">
      <c r="C16486" s="17"/>
      <c r="D16486" s="17"/>
      <c r="E16486" s="7"/>
    </row>
    <row r="16487" spans="3:5">
      <c r="C16487" s="17"/>
      <c r="D16487" s="17"/>
      <c r="E16487" s="7"/>
    </row>
    <row r="16488" spans="3:5">
      <c r="C16488" s="17"/>
      <c r="D16488" s="17"/>
      <c r="E16488" s="7"/>
    </row>
    <row r="16489" spans="3:5">
      <c r="C16489" s="17"/>
      <c r="D16489" s="17"/>
      <c r="E16489" s="7"/>
    </row>
    <row r="16490" spans="3:5">
      <c r="C16490" s="17"/>
      <c r="D16490" s="17"/>
      <c r="E16490" s="7"/>
    </row>
    <row r="16491" spans="3:5">
      <c r="C16491" s="17"/>
      <c r="D16491" s="17"/>
      <c r="E16491" s="7"/>
    </row>
    <row r="16492" spans="3:5">
      <c r="C16492" s="17"/>
      <c r="D16492" s="17"/>
      <c r="E16492" s="7"/>
    </row>
    <row r="16493" spans="3:5">
      <c r="C16493" s="17"/>
      <c r="D16493" s="17"/>
      <c r="E16493" s="7"/>
    </row>
    <row r="16494" spans="3:5">
      <c r="C16494" s="17"/>
      <c r="D16494" s="17"/>
      <c r="E16494" s="7"/>
    </row>
    <row r="16495" spans="3:5">
      <c r="C16495" s="17"/>
      <c r="D16495" s="17"/>
      <c r="E16495" s="7"/>
    </row>
    <row r="16496" spans="3:5">
      <c r="C16496" s="17"/>
      <c r="D16496" s="17"/>
      <c r="E16496" s="7"/>
    </row>
    <row r="16497" spans="3:5">
      <c r="C16497" s="17"/>
      <c r="D16497" s="17"/>
      <c r="E16497" s="7"/>
    </row>
    <row r="16498" spans="3:5">
      <c r="C16498" s="17"/>
      <c r="D16498" s="17"/>
      <c r="E16498" s="7"/>
    </row>
    <row r="16499" spans="3:5">
      <c r="C16499" s="17"/>
      <c r="D16499" s="17"/>
      <c r="E16499" s="7"/>
    </row>
    <row r="16500" spans="3:5">
      <c r="C16500" s="17"/>
      <c r="D16500" s="17"/>
      <c r="E16500" s="7"/>
    </row>
    <row r="16501" spans="3:5">
      <c r="C16501" s="17"/>
      <c r="D16501" s="17"/>
      <c r="E16501" s="7"/>
    </row>
    <row r="16502" spans="3:5">
      <c r="C16502" s="17"/>
      <c r="D16502" s="17"/>
      <c r="E16502" s="7"/>
    </row>
    <row r="16503" spans="3:5">
      <c r="C16503" s="17"/>
      <c r="D16503" s="17"/>
      <c r="E16503" s="7"/>
    </row>
    <row r="16504" spans="3:5">
      <c r="C16504" s="17"/>
      <c r="D16504" s="17"/>
      <c r="E16504" s="7"/>
    </row>
    <row r="16505" spans="3:5">
      <c r="C16505" s="17"/>
      <c r="D16505" s="17"/>
      <c r="E16505" s="7"/>
    </row>
    <row r="16506" spans="3:5">
      <c r="C16506" s="17"/>
      <c r="D16506" s="17"/>
      <c r="E16506" s="7"/>
    </row>
    <row r="16507" spans="3:5">
      <c r="C16507" s="17"/>
      <c r="D16507" s="17"/>
      <c r="E16507" s="7"/>
    </row>
    <row r="16508" spans="3:5">
      <c r="C16508" s="17"/>
      <c r="D16508" s="17"/>
      <c r="E16508" s="7"/>
    </row>
    <row r="16509" spans="3:5">
      <c r="C16509" s="17"/>
      <c r="D16509" s="17"/>
      <c r="E16509" s="7"/>
    </row>
    <row r="16510" spans="3:5">
      <c r="C16510" s="17"/>
      <c r="D16510" s="17"/>
      <c r="E16510" s="7"/>
    </row>
    <row r="16511" spans="3:5">
      <c r="C16511" s="17"/>
      <c r="D16511" s="17"/>
      <c r="E16511" s="7"/>
    </row>
    <row r="16512" spans="3:5">
      <c r="C16512" s="17"/>
      <c r="D16512" s="17"/>
      <c r="E16512" s="7"/>
    </row>
    <row r="16513" spans="3:5">
      <c r="C16513" s="17"/>
      <c r="D16513" s="17"/>
      <c r="E16513" s="7"/>
    </row>
    <row r="16514" spans="3:5">
      <c r="C16514" s="17"/>
      <c r="D16514" s="17"/>
      <c r="E16514" s="7"/>
    </row>
    <row r="16515" spans="3:5">
      <c r="C16515" s="17"/>
      <c r="D16515" s="17"/>
      <c r="E16515" s="7"/>
    </row>
    <row r="16516" spans="3:5">
      <c r="C16516" s="17"/>
      <c r="D16516" s="17"/>
      <c r="E16516" s="7"/>
    </row>
    <row r="16517" spans="3:5">
      <c r="C16517" s="17"/>
      <c r="D16517" s="17"/>
      <c r="E16517" s="7"/>
    </row>
    <row r="16518" spans="3:5">
      <c r="C16518" s="17"/>
      <c r="D16518" s="17"/>
      <c r="E16518" s="7"/>
    </row>
    <row r="16519" spans="3:5">
      <c r="C16519" s="17"/>
      <c r="D16519" s="17"/>
      <c r="E16519" s="7"/>
    </row>
    <row r="16520" spans="3:5">
      <c r="C16520" s="17"/>
      <c r="D16520" s="17"/>
      <c r="E16520" s="7"/>
    </row>
    <row r="16521" spans="3:5">
      <c r="C16521" s="17"/>
      <c r="D16521" s="17"/>
      <c r="E16521" s="7"/>
    </row>
    <row r="16522" spans="3:5">
      <c r="C16522" s="17"/>
      <c r="D16522" s="17"/>
      <c r="E16522" s="7"/>
    </row>
    <row r="16523" spans="3:5">
      <c r="C16523" s="17"/>
      <c r="D16523" s="17"/>
      <c r="E16523" s="7"/>
    </row>
    <row r="16524" spans="3:5">
      <c r="C16524" s="17"/>
      <c r="D16524" s="17"/>
      <c r="E16524" s="7"/>
    </row>
    <row r="16525" spans="3:5">
      <c r="C16525" s="17"/>
      <c r="D16525" s="17"/>
      <c r="E16525" s="7"/>
    </row>
    <row r="16526" spans="3:5">
      <c r="C16526" s="17"/>
      <c r="D16526" s="17"/>
      <c r="E16526" s="7"/>
    </row>
    <row r="16527" spans="3:5">
      <c r="C16527" s="17"/>
      <c r="D16527" s="17"/>
      <c r="E16527" s="7"/>
    </row>
    <row r="16528" spans="3:5">
      <c r="C16528" s="17"/>
      <c r="D16528" s="17"/>
      <c r="E16528" s="7"/>
    </row>
    <row r="16529" spans="3:5">
      <c r="C16529" s="17"/>
      <c r="D16529" s="17"/>
      <c r="E16529" s="7"/>
    </row>
    <row r="16530" spans="3:5">
      <c r="C16530" s="17"/>
      <c r="D16530" s="17"/>
      <c r="E16530" s="7"/>
    </row>
    <row r="16531" spans="3:5">
      <c r="C16531" s="17"/>
      <c r="D16531" s="17"/>
      <c r="E16531" s="7"/>
    </row>
    <row r="16532" spans="3:5">
      <c r="C16532" s="17"/>
      <c r="D16532" s="17"/>
      <c r="E16532" s="7"/>
    </row>
    <row r="16533" spans="3:5">
      <c r="C16533" s="17"/>
      <c r="D16533" s="17"/>
      <c r="E16533" s="7"/>
    </row>
    <row r="16534" spans="3:5">
      <c r="C16534" s="17"/>
      <c r="D16534" s="17"/>
      <c r="E16534" s="7"/>
    </row>
    <row r="16535" spans="3:5">
      <c r="C16535" s="17"/>
      <c r="D16535" s="17"/>
      <c r="E16535" s="7"/>
    </row>
    <row r="16536" spans="3:5">
      <c r="C16536" s="17"/>
      <c r="D16536" s="17"/>
      <c r="E16536" s="7"/>
    </row>
    <row r="16537" spans="3:5">
      <c r="C16537" s="17"/>
      <c r="D16537" s="17"/>
      <c r="E16537" s="7"/>
    </row>
    <row r="16538" spans="3:5">
      <c r="C16538" s="17"/>
      <c r="D16538" s="17"/>
      <c r="E16538" s="7"/>
    </row>
    <row r="16539" spans="3:5">
      <c r="C16539" s="17"/>
      <c r="D16539" s="17"/>
      <c r="E16539" s="7"/>
    </row>
    <row r="16540" spans="3:5">
      <c r="C16540" s="17"/>
      <c r="D16540" s="17"/>
      <c r="E16540" s="7"/>
    </row>
    <row r="16541" spans="3:5">
      <c r="C16541" s="17"/>
      <c r="D16541" s="17"/>
      <c r="E16541" s="7"/>
    </row>
    <row r="16542" spans="3:5">
      <c r="C16542" s="17"/>
      <c r="D16542" s="17"/>
      <c r="E16542" s="7"/>
    </row>
    <row r="16543" spans="3:5">
      <c r="C16543" s="17"/>
      <c r="D16543" s="17"/>
      <c r="E16543" s="7"/>
    </row>
    <row r="16544" spans="3:5">
      <c r="C16544" s="17"/>
      <c r="D16544" s="17"/>
      <c r="E16544" s="7"/>
    </row>
    <row r="16545" spans="3:5">
      <c r="C16545" s="17"/>
      <c r="D16545" s="17"/>
      <c r="E16545" s="7"/>
    </row>
    <row r="16546" spans="3:5">
      <c r="C16546" s="17"/>
      <c r="D16546" s="17"/>
      <c r="E16546" s="7"/>
    </row>
    <row r="16547" spans="3:5">
      <c r="C16547" s="17"/>
      <c r="D16547" s="17"/>
      <c r="E16547" s="7"/>
    </row>
    <row r="16548" spans="3:5">
      <c r="C16548" s="17"/>
      <c r="D16548" s="17"/>
      <c r="E16548" s="7"/>
    </row>
    <row r="16549" spans="3:5">
      <c r="C16549" s="17"/>
      <c r="D16549" s="17"/>
      <c r="E16549" s="7"/>
    </row>
    <row r="16550" spans="3:5">
      <c r="C16550" s="17"/>
      <c r="D16550" s="17"/>
      <c r="E16550" s="7"/>
    </row>
    <row r="16551" spans="3:5">
      <c r="C16551" s="17"/>
      <c r="D16551" s="17"/>
      <c r="E16551" s="7"/>
    </row>
    <row r="16552" spans="3:5">
      <c r="C16552" s="17"/>
      <c r="D16552" s="17"/>
      <c r="E16552" s="7"/>
    </row>
    <row r="16553" spans="3:5">
      <c r="C16553" s="17"/>
      <c r="D16553" s="17"/>
      <c r="E16553" s="7"/>
    </row>
    <row r="16554" spans="3:5">
      <c r="C16554" s="17"/>
      <c r="D16554" s="17"/>
      <c r="E16554" s="7"/>
    </row>
    <row r="16555" spans="3:5">
      <c r="C16555" s="17"/>
      <c r="D16555" s="17"/>
      <c r="E16555" s="7"/>
    </row>
    <row r="16556" spans="3:5">
      <c r="C16556" s="17"/>
      <c r="D16556" s="17"/>
      <c r="E16556" s="7"/>
    </row>
    <row r="16557" spans="3:5">
      <c r="C16557" s="17"/>
      <c r="D16557" s="17"/>
      <c r="E16557" s="7"/>
    </row>
    <row r="16558" spans="3:5">
      <c r="C16558" s="17"/>
      <c r="D16558" s="17"/>
      <c r="E16558" s="7"/>
    </row>
    <row r="16559" spans="3:5">
      <c r="C16559" s="17"/>
      <c r="D16559" s="17"/>
      <c r="E16559" s="7"/>
    </row>
    <row r="16560" spans="3:5">
      <c r="C16560" s="17"/>
      <c r="D16560" s="17"/>
      <c r="E16560" s="7"/>
    </row>
    <row r="16561" spans="3:5">
      <c r="C16561" s="17"/>
      <c r="D16561" s="17"/>
      <c r="E16561" s="7"/>
    </row>
    <row r="16562" spans="3:5">
      <c r="C16562" s="17"/>
      <c r="D16562" s="17"/>
      <c r="E16562" s="7"/>
    </row>
    <row r="16563" spans="3:5">
      <c r="C16563" s="17"/>
      <c r="D16563" s="17"/>
      <c r="E16563" s="7"/>
    </row>
    <row r="16564" spans="3:5">
      <c r="C16564" s="17"/>
      <c r="D16564" s="17"/>
      <c r="E16564" s="7"/>
    </row>
    <row r="16565" spans="3:5">
      <c r="C16565" s="17"/>
      <c r="D16565" s="17"/>
      <c r="E16565" s="7"/>
    </row>
    <row r="16566" spans="3:5">
      <c r="C16566" s="17"/>
      <c r="D16566" s="17"/>
      <c r="E16566" s="7"/>
    </row>
    <row r="16567" spans="3:5">
      <c r="C16567" s="17"/>
      <c r="D16567" s="17"/>
      <c r="E16567" s="7"/>
    </row>
    <row r="16568" spans="3:5">
      <c r="C16568" s="17"/>
      <c r="D16568" s="17"/>
      <c r="E16568" s="7"/>
    </row>
    <row r="16569" spans="3:5">
      <c r="C16569" s="17"/>
      <c r="D16569" s="17"/>
      <c r="E16569" s="7"/>
    </row>
    <row r="16570" spans="3:5">
      <c r="C16570" s="17"/>
      <c r="D16570" s="17"/>
      <c r="E16570" s="7"/>
    </row>
    <row r="16571" spans="3:5">
      <c r="C16571" s="17"/>
      <c r="D16571" s="17"/>
      <c r="E16571" s="7"/>
    </row>
    <row r="16572" spans="3:5">
      <c r="C16572" s="17"/>
      <c r="D16572" s="17"/>
      <c r="E16572" s="7"/>
    </row>
    <row r="16573" spans="3:5">
      <c r="C16573" s="17"/>
      <c r="D16573" s="17"/>
      <c r="E16573" s="7"/>
    </row>
    <row r="16574" spans="3:5">
      <c r="C16574" s="17"/>
      <c r="D16574" s="17"/>
      <c r="E16574" s="7"/>
    </row>
    <row r="16575" spans="3:5">
      <c r="C16575" s="17"/>
      <c r="D16575" s="17"/>
      <c r="E16575" s="7"/>
    </row>
    <row r="16576" spans="3:5">
      <c r="C16576" s="17"/>
      <c r="D16576" s="17"/>
      <c r="E16576" s="7"/>
    </row>
    <row r="16577" spans="3:5">
      <c r="C16577" s="17"/>
      <c r="D16577" s="17"/>
      <c r="E16577" s="7"/>
    </row>
    <row r="16578" spans="3:5">
      <c r="C16578" s="17"/>
      <c r="D16578" s="17"/>
      <c r="E16578" s="7"/>
    </row>
    <row r="16579" spans="3:5">
      <c r="C16579" s="17"/>
      <c r="D16579" s="17"/>
      <c r="E16579" s="7"/>
    </row>
    <row r="16580" spans="3:5">
      <c r="C16580" s="17"/>
      <c r="D16580" s="17"/>
      <c r="E16580" s="7"/>
    </row>
    <row r="16581" spans="3:5">
      <c r="C16581" s="17"/>
      <c r="D16581" s="17"/>
      <c r="E16581" s="7"/>
    </row>
    <row r="16582" spans="3:5">
      <c r="C16582" s="17"/>
      <c r="D16582" s="17"/>
      <c r="E16582" s="7"/>
    </row>
    <row r="16583" spans="3:5">
      <c r="C16583" s="17"/>
      <c r="D16583" s="17"/>
      <c r="E16583" s="7"/>
    </row>
    <row r="16584" spans="3:5">
      <c r="C16584" s="17"/>
      <c r="D16584" s="17"/>
      <c r="E16584" s="7"/>
    </row>
    <row r="16585" spans="3:5">
      <c r="C16585" s="17"/>
      <c r="D16585" s="17"/>
      <c r="E16585" s="7"/>
    </row>
    <row r="16586" spans="3:5">
      <c r="C16586" s="17"/>
      <c r="D16586" s="17"/>
      <c r="E16586" s="7"/>
    </row>
    <row r="16587" spans="3:5">
      <c r="C16587" s="17"/>
      <c r="D16587" s="17"/>
      <c r="E16587" s="7"/>
    </row>
    <row r="16588" spans="3:5">
      <c r="C16588" s="17"/>
      <c r="D16588" s="17"/>
      <c r="E16588" s="7"/>
    </row>
    <row r="16589" spans="3:5">
      <c r="C16589" s="17"/>
      <c r="D16589" s="17"/>
      <c r="E16589" s="7"/>
    </row>
    <row r="16590" spans="3:5">
      <c r="C16590" s="17"/>
      <c r="D16590" s="17"/>
      <c r="E16590" s="7"/>
    </row>
    <row r="16591" spans="3:5">
      <c r="C16591" s="17"/>
      <c r="D16591" s="17"/>
      <c r="E16591" s="7"/>
    </row>
    <row r="16592" spans="3:5">
      <c r="C16592" s="17"/>
      <c r="D16592" s="17"/>
      <c r="E16592" s="7"/>
    </row>
    <row r="16593" spans="3:5">
      <c r="C16593" s="17"/>
      <c r="D16593" s="17"/>
      <c r="E16593" s="7"/>
    </row>
    <row r="16594" spans="3:5">
      <c r="C16594" s="17"/>
      <c r="D16594" s="17"/>
      <c r="E16594" s="7"/>
    </row>
    <row r="16595" spans="3:5">
      <c r="C16595" s="17"/>
      <c r="D16595" s="17"/>
      <c r="E16595" s="7"/>
    </row>
    <row r="16596" spans="3:5">
      <c r="C16596" s="17"/>
      <c r="D16596" s="17"/>
      <c r="E16596" s="7"/>
    </row>
    <row r="16597" spans="3:5">
      <c r="C16597" s="17"/>
      <c r="D16597" s="17"/>
      <c r="E16597" s="7"/>
    </row>
    <row r="16598" spans="3:5">
      <c r="C16598" s="17"/>
      <c r="D16598" s="17"/>
      <c r="E16598" s="7"/>
    </row>
    <row r="16599" spans="3:5">
      <c r="C16599" s="17"/>
      <c r="D16599" s="17"/>
      <c r="E16599" s="7"/>
    </row>
    <row r="16600" spans="3:5">
      <c r="C16600" s="17"/>
      <c r="D16600" s="17"/>
      <c r="E16600" s="7"/>
    </row>
    <row r="16601" spans="3:5">
      <c r="C16601" s="17"/>
      <c r="D16601" s="17"/>
      <c r="E16601" s="7"/>
    </row>
    <row r="16602" spans="3:5">
      <c r="C16602" s="17"/>
      <c r="D16602" s="17"/>
      <c r="E16602" s="7"/>
    </row>
    <row r="16603" spans="3:5">
      <c r="C16603" s="17"/>
      <c r="D16603" s="17"/>
      <c r="E16603" s="7"/>
    </row>
    <row r="16604" spans="3:5">
      <c r="C16604" s="17"/>
      <c r="D16604" s="17"/>
      <c r="E16604" s="7"/>
    </row>
    <row r="16605" spans="3:5">
      <c r="C16605" s="17"/>
      <c r="D16605" s="17"/>
      <c r="E16605" s="7"/>
    </row>
    <row r="16606" spans="3:5">
      <c r="C16606" s="17"/>
      <c r="D16606" s="17"/>
      <c r="E16606" s="7"/>
    </row>
    <row r="16607" spans="3:5">
      <c r="C16607" s="17"/>
      <c r="D16607" s="17"/>
      <c r="E16607" s="7"/>
    </row>
    <row r="16608" spans="3:5">
      <c r="C16608" s="17"/>
      <c r="D16608" s="17"/>
      <c r="E16608" s="7"/>
    </row>
    <row r="16609" spans="3:5">
      <c r="C16609" s="17"/>
      <c r="D16609" s="17"/>
      <c r="E16609" s="7"/>
    </row>
    <row r="16610" spans="3:5">
      <c r="C16610" s="17"/>
      <c r="D16610" s="17"/>
      <c r="E16610" s="7"/>
    </row>
    <row r="16611" spans="3:5">
      <c r="C16611" s="17"/>
      <c r="D16611" s="17"/>
      <c r="E16611" s="7"/>
    </row>
    <row r="16612" spans="3:5">
      <c r="C16612" s="17"/>
      <c r="D16612" s="17"/>
      <c r="E16612" s="7"/>
    </row>
    <row r="16613" spans="3:5">
      <c r="C16613" s="17"/>
      <c r="D16613" s="17"/>
      <c r="E16613" s="7"/>
    </row>
    <row r="16614" spans="3:5">
      <c r="C16614" s="17"/>
      <c r="D16614" s="17"/>
      <c r="E16614" s="7"/>
    </row>
    <row r="16615" spans="3:5">
      <c r="C16615" s="17"/>
      <c r="D16615" s="17"/>
      <c r="E16615" s="7"/>
    </row>
    <row r="16616" spans="3:5">
      <c r="C16616" s="17"/>
      <c r="D16616" s="17"/>
      <c r="E16616" s="7"/>
    </row>
    <row r="16617" spans="3:5">
      <c r="C16617" s="17"/>
      <c r="D16617" s="17"/>
      <c r="E16617" s="7"/>
    </row>
    <row r="16618" spans="3:5">
      <c r="C16618" s="17"/>
      <c r="D16618" s="17"/>
      <c r="E16618" s="7"/>
    </row>
    <row r="16619" spans="3:5">
      <c r="C16619" s="17"/>
      <c r="D16619" s="17"/>
      <c r="E16619" s="7"/>
    </row>
    <row r="16620" spans="3:5">
      <c r="C16620" s="17"/>
      <c r="D16620" s="17"/>
      <c r="E16620" s="7"/>
    </row>
    <row r="16621" spans="3:5">
      <c r="C16621" s="17"/>
      <c r="D16621" s="17"/>
      <c r="E16621" s="7"/>
    </row>
    <row r="16622" spans="3:5">
      <c r="C16622" s="17"/>
      <c r="D16622" s="17"/>
      <c r="E16622" s="7"/>
    </row>
    <row r="16623" spans="3:5">
      <c r="C16623" s="17"/>
      <c r="D16623" s="17"/>
      <c r="E16623" s="7"/>
    </row>
    <row r="16624" spans="3:5">
      <c r="C16624" s="17"/>
      <c r="D16624" s="17"/>
      <c r="E16624" s="7"/>
    </row>
    <row r="16625" spans="3:5">
      <c r="C16625" s="17"/>
      <c r="D16625" s="17"/>
      <c r="E16625" s="7"/>
    </row>
    <row r="16626" spans="3:5">
      <c r="C16626" s="17"/>
      <c r="D16626" s="17"/>
      <c r="E16626" s="7"/>
    </row>
    <row r="16627" spans="3:5">
      <c r="C16627" s="17"/>
      <c r="D16627" s="17"/>
      <c r="E16627" s="7"/>
    </row>
    <row r="16628" spans="3:5">
      <c r="C16628" s="17"/>
      <c r="D16628" s="17"/>
      <c r="E16628" s="7"/>
    </row>
    <row r="16629" spans="3:5">
      <c r="C16629" s="17"/>
      <c r="D16629" s="17"/>
      <c r="E16629" s="7"/>
    </row>
    <row r="16630" spans="3:5">
      <c r="C16630" s="17"/>
      <c r="D16630" s="17"/>
      <c r="E16630" s="7"/>
    </row>
    <row r="16631" spans="3:5">
      <c r="C16631" s="17"/>
      <c r="D16631" s="17"/>
      <c r="E16631" s="7"/>
    </row>
    <row r="16632" spans="3:5">
      <c r="C16632" s="17"/>
      <c r="D16632" s="17"/>
      <c r="E16632" s="7"/>
    </row>
    <row r="16633" spans="3:5">
      <c r="C16633" s="17"/>
      <c r="D16633" s="17"/>
      <c r="E16633" s="7"/>
    </row>
    <row r="16634" spans="3:5">
      <c r="C16634" s="17"/>
      <c r="D16634" s="17"/>
      <c r="E16634" s="7"/>
    </row>
    <row r="16635" spans="3:5">
      <c r="C16635" s="17"/>
      <c r="D16635" s="17"/>
      <c r="E16635" s="7"/>
    </row>
    <row r="16636" spans="3:5">
      <c r="C16636" s="17"/>
      <c r="D16636" s="17"/>
      <c r="E16636" s="7"/>
    </row>
    <row r="16637" spans="3:5">
      <c r="C16637" s="17"/>
      <c r="D16637" s="17"/>
      <c r="E16637" s="7"/>
    </row>
    <row r="16638" spans="3:5">
      <c r="C16638" s="17"/>
      <c r="D16638" s="17"/>
      <c r="E16638" s="7"/>
    </row>
    <row r="16639" spans="3:5">
      <c r="C16639" s="17"/>
      <c r="D16639" s="17"/>
      <c r="E16639" s="7"/>
    </row>
    <row r="16640" spans="3:5">
      <c r="C16640" s="17"/>
      <c r="D16640" s="17"/>
      <c r="E16640" s="7"/>
    </row>
    <row r="16641" spans="3:5">
      <c r="C16641" s="17"/>
      <c r="D16641" s="17"/>
      <c r="E16641" s="7"/>
    </row>
    <row r="16642" spans="3:5">
      <c r="C16642" s="17"/>
      <c r="D16642" s="17"/>
      <c r="E16642" s="7"/>
    </row>
    <row r="16643" spans="3:5">
      <c r="C16643" s="17"/>
      <c r="D16643" s="17"/>
      <c r="E16643" s="7"/>
    </row>
    <row r="16644" spans="3:5">
      <c r="C16644" s="17"/>
      <c r="D16644" s="17"/>
      <c r="E16644" s="7"/>
    </row>
    <row r="16645" spans="3:5">
      <c r="C16645" s="17"/>
      <c r="D16645" s="17"/>
      <c r="E16645" s="7"/>
    </row>
    <row r="16646" spans="3:5">
      <c r="C16646" s="17"/>
      <c r="D16646" s="17"/>
      <c r="E16646" s="7"/>
    </row>
    <row r="16647" spans="3:5">
      <c r="C16647" s="17"/>
      <c r="D16647" s="17"/>
      <c r="E16647" s="7"/>
    </row>
    <row r="16648" spans="3:5">
      <c r="C16648" s="17"/>
      <c r="D16648" s="17"/>
      <c r="E16648" s="7"/>
    </row>
    <row r="16649" spans="3:5">
      <c r="C16649" s="17"/>
      <c r="D16649" s="17"/>
      <c r="E16649" s="7"/>
    </row>
    <row r="16650" spans="3:5">
      <c r="C16650" s="17"/>
      <c r="D16650" s="17"/>
      <c r="E16650" s="7"/>
    </row>
    <row r="16651" spans="3:5">
      <c r="C16651" s="17"/>
      <c r="D16651" s="17"/>
      <c r="E16651" s="7"/>
    </row>
    <row r="16652" spans="3:5">
      <c r="C16652" s="17"/>
      <c r="D16652" s="17"/>
      <c r="E16652" s="7"/>
    </row>
    <row r="16653" spans="3:5">
      <c r="C16653" s="17"/>
      <c r="D16653" s="17"/>
      <c r="E16653" s="7"/>
    </row>
    <row r="16654" spans="3:5">
      <c r="C16654" s="17"/>
      <c r="D16654" s="17"/>
      <c r="E16654" s="7"/>
    </row>
    <row r="16655" spans="3:5">
      <c r="C16655" s="17"/>
      <c r="D16655" s="17"/>
      <c r="E16655" s="7"/>
    </row>
    <row r="16656" spans="3:5">
      <c r="C16656" s="17"/>
      <c r="D16656" s="17"/>
      <c r="E16656" s="7"/>
    </row>
    <row r="16657" spans="3:5">
      <c r="C16657" s="17"/>
      <c r="D16657" s="17"/>
      <c r="E16657" s="7"/>
    </row>
    <row r="16658" spans="3:5">
      <c r="C16658" s="17"/>
      <c r="D16658" s="17"/>
      <c r="E16658" s="7"/>
    </row>
    <row r="16659" spans="3:5">
      <c r="C16659" s="17"/>
      <c r="D16659" s="17"/>
      <c r="E16659" s="7"/>
    </row>
    <row r="16660" spans="3:5">
      <c r="C16660" s="17"/>
      <c r="D16660" s="17"/>
      <c r="E16660" s="7"/>
    </row>
    <row r="16661" spans="3:5">
      <c r="C16661" s="17"/>
      <c r="D16661" s="17"/>
      <c r="E16661" s="7"/>
    </row>
    <row r="16662" spans="3:5">
      <c r="C16662" s="17"/>
      <c r="D16662" s="17"/>
      <c r="E16662" s="7"/>
    </row>
    <row r="16663" spans="3:5">
      <c r="C16663" s="17"/>
      <c r="D16663" s="17"/>
      <c r="E16663" s="7"/>
    </row>
    <row r="16664" spans="3:5">
      <c r="C16664" s="17"/>
      <c r="D16664" s="17"/>
      <c r="E16664" s="7"/>
    </row>
    <row r="16665" spans="3:5">
      <c r="C16665" s="17"/>
      <c r="D16665" s="17"/>
      <c r="E16665" s="7"/>
    </row>
    <row r="16666" spans="3:5">
      <c r="C16666" s="17"/>
      <c r="D16666" s="17"/>
      <c r="E16666" s="7"/>
    </row>
    <row r="16667" spans="3:5">
      <c r="C16667" s="17"/>
      <c r="D16667" s="17"/>
      <c r="E16667" s="7"/>
    </row>
    <row r="16668" spans="3:5">
      <c r="C16668" s="17"/>
      <c r="D16668" s="17"/>
      <c r="E16668" s="7"/>
    </row>
    <row r="16669" spans="3:5">
      <c r="C16669" s="17"/>
      <c r="D16669" s="17"/>
      <c r="E16669" s="7"/>
    </row>
    <row r="16670" spans="3:5">
      <c r="C16670" s="17"/>
      <c r="D16670" s="17"/>
      <c r="E16670" s="7"/>
    </row>
    <row r="16671" spans="3:5">
      <c r="C16671" s="17"/>
      <c r="D16671" s="17"/>
      <c r="E16671" s="7"/>
    </row>
    <row r="16672" spans="3:5">
      <c r="C16672" s="17"/>
      <c r="D16672" s="17"/>
      <c r="E16672" s="7"/>
    </row>
    <row r="16673" spans="3:5">
      <c r="C16673" s="17"/>
      <c r="D16673" s="17"/>
      <c r="E16673" s="7"/>
    </row>
    <row r="16674" spans="3:5">
      <c r="C16674" s="17"/>
      <c r="D16674" s="17"/>
      <c r="E16674" s="7"/>
    </row>
    <row r="16675" spans="3:5">
      <c r="C16675" s="17"/>
      <c r="D16675" s="17"/>
      <c r="E16675" s="7"/>
    </row>
    <row r="16676" spans="3:5">
      <c r="C16676" s="17"/>
      <c r="D16676" s="17"/>
      <c r="E16676" s="7"/>
    </row>
    <row r="16677" spans="3:5">
      <c r="C16677" s="17"/>
      <c r="D16677" s="17"/>
      <c r="E16677" s="7"/>
    </row>
    <row r="16678" spans="3:5">
      <c r="C16678" s="17"/>
      <c r="D16678" s="17"/>
      <c r="E16678" s="7"/>
    </row>
    <row r="16679" spans="3:5">
      <c r="C16679" s="17"/>
      <c r="D16679" s="17"/>
      <c r="E16679" s="7"/>
    </row>
    <row r="16680" spans="3:5">
      <c r="C16680" s="17"/>
      <c r="D16680" s="17"/>
      <c r="E16680" s="7"/>
    </row>
    <row r="16681" spans="3:5">
      <c r="C16681" s="17"/>
      <c r="D16681" s="17"/>
      <c r="E16681" s="7"/>
    </row>
    <row r="16682" spans="3:5">
      <c r="C16682" s="17"/>
      <c r="D16682" s="17"/>
      <c r="E16682" s="7"/>
    </row>
    <row r="16683" spans="3:5">
      <c r="C16683" s="17"/>
      <c r="D16683" s="17"/>
      <c r="E16683" s="7"/>
    </row>
    <row r="16684" spans="3:5">
      <c r="C16684" s="17"/>
      <c r="D16684" s="17"/>
      <c r="E16684" s="7"/>
    </row>
    <row r="16685" spans="3:5">
      <c r="C16685" s="17"/>
      <c r="D16685" s="17"/>
      <c r="E16685" s="7"/>
    </row>
    <row r="16686" spans="3:5">
      <c r="C16686" s="17"/>
      <c r="D16686" s="17"/>
      <c r="E16686" s="7"/>
    </row>
    <row r="16687" spans="3:5">
      <c r="C16687" s="17"/>
      <c r="D16687" s="17"/>
      <c r="E16687" s="7"/>
    </row>
    <row r="16688" spans="3:5">
      <c r="C16688" s="17"/>
      <c r="D16688" s="17"/>
      <c r="E16688" s="7"/>
    </row>
    <row r="16689" spans="3:5">
      <c r="C16689" s="17"/>
      <c r="D16689" s="17"/>
      <c r="E16689" s="7"/>
    </row>
    <row r="16690" spans="3:5">
      <c r="C16690" s="17"/>
      <c r="D16690" s="17"/>
      <c r="E16690" s="7"/>
    </row>
    <row r="16691" spans="3:5">
      <c r="C16691" s="17"/>
      <c r="D16691" s="17"/>
      <c r="E16691" s="7"/>
    </row>
    <row r="16692" spans="3:5">
      <c r="C16692" s="17"/>
      <c r="D16692" s="17"/>
      <c r="E16692" s="7"/>
    </row>
    <row r="16693" spans="3:5">
      <c r="C16693" s="17"/>
      <c r="D16693" s="17"/>
      <c r="E16693" s="7"/>
    </row>
    <row r="16694" spans="3:5">
      <c r="C16694" s="17"/>
      <c r="D16694" s="17"/>
      <c r="E16694" s="7"/>
    </row>
    <row r="16695" spans="3:5">
      <c r="C16695" s="17"/>
      <c r="D16695" s="17"/>
      <c r="E16695" s="7"/>
    </row>
    <row r="16696" spans="3:5">
      <c r="C16696" s="17"/>
      <c r="D16696" s="17"/>
      <c r="E16696" s="7"/>
    </row>
    <row r="16697" spans="3:5">
      <c r="C16697" s="17"/>
      <c r="D16697" s="17"/>
      <c r="E16697" s="7"/>
    </row>
    <row r="16698" spans="3:5">
      <c r="C16698" s="17"/>
      <c r="D16698" s="17"/>
      <c r="E16698" s="7"/>
    </row>
    <row r="16699" spans="3:5">
      <c r="C16699" s="17"/>
      <c r="D16699" s="17"/>
      <c r="E16699" s="7"/>
    </row>
    <row r="16700" spans="3:5">
      <c r="C16700" s="17"/>
      <c r="D16700" s="17"/>
      <c r="E16700" s="7"/>
    </row>
    <row r="16701" spans="3:5">
      <c r="C16701" s="17"/>
      <c r="D16701" s="17"/>
      <c r="E16701" s="7"/>
    </row>
    <row r="16702" spans="3:5">
      <c r="C16702" s="17"/>
      <c r="D16702" s="17"/>
      <c r="E16702" s="7"/>
    </row>
    <row r="16703" spans="3:5">
      <c r="C16703" s="17"/>
      <c r="D16703" s="17"/>
      <c r="E16703" s="7"/>
    </row>
    <row r="16704" spans="3:5">
      <c r="C16704" s="17"/>
      <c r="D16704" s="17"/>
      <c r="E16704" s="7"/>
    </row>
    <row r="16705" spans="3:5">
      <c r="C16705" s="17"/>
      <c r="D16705" s="17"/>
      <c r="E16705" s="7"/>
    </row>
    <row r="16706" spans="3:5">
      <c r="C16706" s="17"/>
      <c r="D16706" s="17"/>
      <c r="E16706" s="7"/>
    </row>
    <row r="16707" spans="3:5">
      <c r="C16707" s="17"/>
      <c r="D16707" s="17"/>
      <c r="E16707" s="7"/>
    </row>
    <row r="16708" spans="3:5">
      <c r="C16708" s="17"/>
      <c r="D16708" s="17"/>
      <c r="E16708" s="7"/>
    </row>
    <row r="16709" spans="3:5">
      <c r="C16709" s="17"/>
      <c r="D16709" s="17"/>
      <c r="E16709" s="7"/>
    </row>
    <row r="16710" spans="3:5">
      <c r="C16710" s="17"/>
      <c r="D16710" s="17"/>
      <c r="E16710" s="7"/>
    </row>
    <row r="16711" spans="3:5">
      <c r="C16711" s="17"/>
      <c r="D16711" s="17"/>
      <c r="E16711" s="7"/>
    </row>
    <row r="16712" spans="3:5">
      <c r="C16712" s="17"/>
      <c r="D16712" s="17"/>
      <c r="E16712" s="7"/>
    </row>
    <row r="16713" spans="3:5">
      <c r="C16713" s="17"/>
      <c r="D16713" s="17"/>
      <c r="E16713" s="7"/>
    </row>
    <row r="16714" spans="3:5">
      <c r="C16714" s="17"/>
      <c r="D16714" s="17"/>
      <c r="E16714" s="7"/>
    </row>
    <row r="16715" spans="3:5">
      <c r="C16715" s="17"/>
      <c r="D16715" s="17"/>
      <c r="E16715" s="7"/>
    </row>
    <row r="16716" spans="3:5">
      <c r="C16716" s="17"/>
      <c r="D16716" s="17"/>
      <c r="E16716" s="7"/>
    </row>
    <row r="16717" spans="3:5">
      <c r="C16717" s="17"/>
      <c r="D16717" s="17"/>
      <c r="E16717" s="7"/>
    </row>
    <row r="16718" spans="3:5">
      <c r="C16718" s="17"/>
      <c r="D16718" s="17"/>
      <c r="E16718" s="7"/>
    </row>
    <row r="16719" spans="3:5">
      <c r="C16719" s="17"/>
      <c r="D16719" s="17"/>
      <c r="E16719" s="7"/>
    </row>
    <row r="16720" spans="3:5">
      <c r="C16720" s="17"/>
      <c r="D16720" s="17"/>
      <c r="E16720" s="7"/>
    </row>
    <row r="16721" spans="3:5">
      <c r="C16721" s="17"/>
      <c r="D16721" s="17"/>
      <c r="E16721" s="7"/>
    </row>
    <row r="16722" spans="3:5">
      <c r="C16722" s="17"/>
      <c r="D16722" s="17"/>
      <c r="E16722" s="7"/>
    </row>
    <row r="16723" spans="3:5">
      <c r="C16723" s="17"/>
      <c r="D16723" s="17"/>
      <c r="E16723" s="7"/>
    </row>
    <row r="16724" spans="3:5">
      <c r="C16724" s="17"/>
      <c r="D16724" s="17"/>
      <c r="E16724" s="7"/>
    </row>
    <row r="16725" spans="3:5">
      <c r="C16725" s="17"/>
      <c r="D16725" s="17"/>
      <c r="E16725" s="7"/>
    </row>
    <row r="16726" spans="3:5">
      <c r="C16726" s="17"/>
      <c r="D16726" s="17"/>
      <c r="E16726" s="7"/>
    </row>
    <row r="16727" spans="3:5">
      <c r="C16727" s="17"/>
      <c r="D16727" s="17"/>
      <c r="E16727" s="7"/>
    </row>
    <row r="16728" spans="3:5">
      <c r="C16728" s="17"/>
      <c r="D16728" s="17"/>
      <c r="E16728" s="7"/>
    </row>
    <row r="16729" spans="3:5">
      <c r="C16729" s="17"/>
      <c r="D16729" s="17"/>
      <c r="E16729" s="7"/>
    </row>
    <row r="16730" spans="3:5">
      <c r="C16730" s="17"/>
      <c r="D16730" s="17"/>
      <c r="E16730" s="7"/>
    </row>
    <row r="16731" spans="3:5">
      <c r="C16731" s="17"/>
      <c r="D16731" s="17"/>
      <c r="E16731" s="7"/>
    </row>
    <row r="16732" spans="3:5">
      <c r="C16732" s="17"/>
      <c r="D16732" s="17"/>
      <c r="E16732" s="7"/>
    </row>
    <row r="16733" spans="3:5">
      <c r="C16733" s="17"/>
      <c r="D16733" s="17"/>
      <c r="E16733" s="7"/>
    </row>
    <row r="16734" spans="3:5">
      <c r="C16734" s="17"/>
      <c r="D16734" s="17"/>
      <c r="E16734" s="7"/>
    </row>
    <row r="16735" spans="3:5">
      <c r="C16735" s="17"/>
      <c r="D16735" s="17"/>
      <c r="E16735" s="7"/>
    </row>
    <row r="16736" spans="3:5">
      <c r="C16736" s="17"/>
      <c r="D16736" s="17"/>
      <c r="E16736" s="7"/>
    </row>
    <row r="16737" spans="3:5">
      <c r="C16737" s="17"/>
      <c r="D16737" s="17"/>
      <c r="E16737" s="7"/>
    </row>
    <row r="16738" spans="3:5">
      <c r="C16738" s="17"/>
      <c r="D16738" s="17"/>
      <c r="E16738" s="7"/>
    </row>
    <row r="16739" spans="3:5">
      <c r="C16739" s="17"/>
      <c r="D16739" s="17"/>
      <c r="E16739" s="7"/>
    </row>
    <row r="16740" spans="3:5">
      <c r="C16740" s="17"/>
      <c r="D16740" s="17"/>
      <c r="E16740" s="7"/>
    </row>
    <row r="16741" spans="3:5">
      <c r="C16741" s="17"/>
      <c r="D16741" s="17"/>
      <c r="E16741" s="7"/>
    </row>
    <row r="16742" spans="3:5">
      <c r="C16742" s="17"/>
      <c r="D16742" s="17"/>
      <c r="E16742" s="7"/>
    </row>
    <row r="16743" spans="3:5">
      <c r="C16743" s="17"/>
      <c r="D16743" s="17"/>
      <c r="E16743" s="7"/>
    </row>
    <row r="16744" spans="3:5">
      <c r="C16744" s="17"/>
      <c r="D16744" s="17"/>
      <c r="E16744" s="7"/>
    </row>
    <row r="16745" spans="3:5">
      <c r="C16745" s="17"/>
      <c r="D16745" s="17"/>
      <c r="E16745" s="7"/>
    </row>
    <row r="16746" spans="3:5">
      <c r="C16746" s="17"/>
      <c r="D16746" s="17"/>
      <c r="E16746" s="7"/>
    </row>
    <row r="16747" spans="3:5">
      <c r="C16747" s="17"/>
      <c r="D16747" s="17"/>
      <c r="E16747" s="7"/>
    </row>
    <row r="16748" spans="3:5">
      <c r="C16748" s="17"/>
      <c r="D16748" s="17"/>
      <c r="E16748" s="7"/>
    </row>
    <row r="16749" spans="3:5">
      <c r="C16749" s="17"/>
      <c r="D16749" s="17"/>
      <c r="E16749" s="7"/>
    </row>
    <row r="16750" spans="3:5">
      <c r="C16750" s="17"/>
      <c r="D16750" s="17"/>
      <c r="E16750" s="7"/>
    </row>
    <row r="16751" spans="3:5">
      <c r="C16751" s="17"/>
      <c r="D16751" s="17"/>
      <c r="E16751" s="7"/>
    </row>
    <row r="16752" spans="3:5">
      <c r="C16752" s="17"/>
      <c r="D16752" s="17"/>
      <c r="E16752" s="7"/>
    </row>
    <row r="16753" spans="3:5">
      <c r="C16753" s="17"/>
      <c r="D16753" s="17"/>
      <c r="E16753" s="7"/>
    </row>
    <row r="16754" spans="3:5">
      <c r="C16754" s="17"/>
      <c r="D16754" s="17"/>
      <c r="E16754" s="7"/>
    </row>
    <row r="16755" spans="3:5">
      <c r="C16755" s="17"/>
      <c r="D16755" s="17"/>
      <c r="E16755" s="7"/>
    </row>
    <row r="16756" spans="3:5">
      <c r="C16756" s="17"/>
      <c r="D16756" s="17"/>
      <c r="E16756" s="7"/>
    </row>
    <row r="16757" spans="3:5">
      <c r="C16757" s="17"/>
      <c r="D16757" s="17"/>
      <c r="E16757" s="7"/>
    </row>
    <row r="16758" spans="3:5">
      <c r="C16758" s="17"/>
      <c r="D16758" s="17"/>
      <c r="E16758" s="7"/>
    </row>
    <row r="16759" spans="3:5">
      <c r="C16759" s="17"/>
      <c r="D16759" s="17"/>
      <c r="E16759" s="7"/>
    </row>
    <row r="16760" spans="3:5">
      <c r="C16760" s="17"/>
      <c r="D16760" s="17"/>
      <c r="E16760" s="7"/>
    </row>
    <row r="16761" spans="3:5">
      <c r="C16761" s="17"/>
      <c r="D16761" s="17"/>
      <c r="E16761" s="7"/>
    </row>
    <row r="16762" spans="3:5">
      <c r="C16762" s="17"/>
      <c r="D16762" s="17"/>
      <c r="E16762" s="7"/>
    </row>
    <row r="16763" spans="3:5">
      <c r="C16763" s="17"/>
      <c r="D16763" s="17"/>
      <c r="E16763" s="7"/>
    </row>
    <row r="16764" spans="3:5">
      <c r="C16764" s="17"/>
      <c r="D16764" s="17"/>
      <c r="E16764" s="7"/>
    </row>
    <row r="16765" spans="3:5">
      <c r="C16765" s="17"/>
      <c r="D16765" s="17"/>
      <c r="E16765" s="7"/>
    </row>
    <row r="16766" spans="3:5">
      <c r="C16766" s="17"/>
      <c r="D16766" s="17"/>
      <c r="E16766" s="7"/>
    </row>
    <row r="16767" spans="3:5">
      <c r="C16767" s="17"/>
      <c r="D16767" s="17"/>
      <c r="E16767" s="7"/>
    </row>
    <row r="16768" spans="3:5">
      <c r="C16768" s="17"/>
      <c r="D16768" s="17"/>
      <c r="E16768" s="7"/>
    </row>
    <row r="16769" spans="3:5">
      <c r="C16769" s="17"/>
      <c r="D16769" s="17"/>
      <c r="E16769" s="7"/>
    </row>
    <row r="16770" spans="3:5">
      <c r="C16770" s="17"/>
      <c r="D16770" s="17"/>
      <c r="E16770" s="7"/>
    </row>
    <row r="16771" spans="3:5">
      <c r="C16771" s="17"/>
      <c r="D16771" s="17"/>
      <c r="E16771" s="7"/>
    </row>
    <row r="16772" spans="3:5">
      <c r="C16772" s="17"/>
      <c r="D16772" s="17"/>
      <c r="E16772" s="7"/>
    </row>
    <row r="16773" spans="3:5">
      <c r="C16773" s="17"/>
      <c r="D16773" s="17"/>
      <c r="E16773" s="7"/>
    </row>
    <row r="16774" spans="3:5">
      <c r="C16774" s="17"/>
      <c r="D16774" s="17"/>
      <c r="E16774" s="7"/>
    </row>
    <row r="16775" spans="3:5">
      <c r="C16775" s="17"/>
      <c r="D16775" s="17"/>
      <c r="E16775" s="7"/>
    </row>
    <row r="16776" spans="3:5">
      <c r="C16776" s="17"/>
      <c r="D16776" s="17"/>
      <c r="E16776" s="7"/>
    </row>
    <row r="16777" spans="3:5">
      <c r="C16777" s="17"/>
      <c r="D16777" s="17"/>
      <c r="E16777" s="7"/>
    </row>
    <row r="16778" spans="3:5">
      <c r="C16778" s="17"/>
      <c r="D16778" s="17"/>
      <c r="E16778" s="7"/>
    </row>
    <row r="16779" spans="3:5">
      <c r="C16779" s="17"/>
      <c r="D16779" s="17"/>
      <c r="E16779" s="7"/>
    </row>
    <row r="16780" spans="3:5">
      <c r="C16780" s="17"/>
      <c r="D16780" s="17"/>
      <c r="E16780" s="7"/>
    </row>
    <row r="16781" spans="3:5">
      <c r="C16781" s="17"/>
      <c r="D16781" s="17"/>
      <c r="E16781" s="7"/>
    </row>
    <row r="16782" spans="3:5">
      <c r="C16782" s="17"/>
      <c r="D16782" s="17"/>
      <c r="E16782" s="7"/>
    </row>
    <row r="16783" spans="3:5">
      <c r="C16783" s="17"/>
      <c r="D16783" s="17"/>
      <c r="E16783" s="7"/>
    </row>
    <row r="16784" spans="3:5">
      <c r="C16784" s="17"/>
      <c r="D16784" s="17"/>
      <c r="E16784" s="7"/>
    </row>
    <row r="16785" spans="3:5">
      <c r="C16785" s="17"/>
      <c r="D16785" s="17"/>
      <c r="E16785" s="7"/>
    </row>
    <row r="16786" spans="3:5">
      <c r="C16786" s="17"/>
      <c r="D16786" s="17"/>
      <c r="E16786" s="7"/>
    </row>
    <row r="16787" spans="3:5">
      <c r="C16787" s="17"/>
      <c r="D16787" s="17"/>
      <c r="E16787" s="7"/>
    </row>
    <row r="16788" spans="3:5">
      <c r="C16788" s="17"/>
      <c r="D16788" s="17"/>
      <c r="E16788" s="7"/>
    </row>
    <row r="16789" spans="3:5">
      <c r="C16789" s="17"/>
      <c r="D16789" s="17"/>
      <c r="E16789" s="7"/>
    </row>
    <row r="16790" spans="3:5">
      <c r="C16790" s="17"/>
      <c r="D16790" s="17"/>
      <c r="E16790" s="7"/>
    </row>
    <row r="16791" spans="3:5">
      <c r="C16791" s="17"/>
      <c r="D16791" s="17"/>
      <c r="E16791" s="7"/>
    </row>
    <row r="16792" spans="3:5">
      <c r="C16792" s="17"/>
      <c r="D16792" s="17"/>
      <c r="E16792" s="7"/>
    </row>
    <row r="16793" spans="3:5">
      <c r="C16793" s="17"/>
      <c r="D16793" s="17"/>
      <c r="E16793" s="7"/>
    </row>
    <row r="16794" spans="3:5">
      <c r="C16794" s="17"/>
      <c r="D16794" s="17"/>
      <c r="E16794" s="7"/>
    </row>
    <row r="16795" spans="3:5">
      <c r="C16795" s="17"/>
      <c r="D16795" s="17"/>
      <c r="E16795" s="7"/>
    </row>
    <row r="16796" spans="3:5">
      <c r="C16796" s="17"/>
      <c r="D16796" s="17"/>
      <c r="E16796" s="7"/>
    </row>
    <row r="16797" spans="3:5">
      <c r="C16797" s="17"/>
      <c r="D16797" s="17"/>
      <c r="E16797" s="7"/>
    </row>
    <row r="16798" spans="3:5">
      <c r="C16798" s="17"/>
      <c r="D16798" s="17"/>
      <c r="E16798" s="7"/>
    </row>
    <row r="16799" spans="3:5">
      <c r="C16799" s="17"/>
      <c r="D16799" s="17"/>
      <c r="E16799" s="7"/>
    </row>
    <row r="16800" spans="3:5">
      <c r="C16800" s="17"/>
      <c r="D16800" s="17"/>
      <c r="E16800" s="7"/>
    </row>
    <row r="16801" spans="3:5">
      <c r="C16801" s="17"/>
      <c r="D16801" s="17"/>
      <c r="E16801" s="7"/>
    </row>
    <row r="16802" spans="3:5">
      <c r="C16802" s="17"/>
      <c r="D16802" s="17"/>
      <c r="E16802" s="7"/>
    </row>
    <row r="16803" spans="3:5">
      <c r="C16803" s="17"/>
      <c r="D16803" s="17"/>
      <c r="E16803" s="7"/>
    </row>
    <row r="16804" spans="3:5">
      <c r="C16804" s="17"/>
      <c r="D16804" s="17"/>
      <c r="E16804" s="7"/>
    </row>
    <row r="16805" spans="3:5">
      <c r="C16805" s="17"/>
      <c r="D16805" s="17"/>
      <c r="E16805" s="7"/>
    </row>
    <row r="16806" spans="3:5">
      <c r="C16806" s="17"/>
      <c r="D16806" s="17"/>
      <c r="E16806" s="7"/>
    </row>
    <row r="16807" spans="3:5">
      <c r="C16807" s="17"/>
      <c r="D16807" s="17"/>
      <c r="E16807" s="7"/>
    </row>
    <row r="16808" spans="3:5">
      <c r="C16808" s="17"/>
      <c r="D16808" s="17"/>
      <c r="E16808" s="7"/>
    </row>
    <row r="16809" spans="3:5">
      <c r="C16809" s="17"/>
      <c r="D16809" s="17"/>
      <c r="E16809" s="7"/>
    </row>
    <row r="16810" spans="3:5">
      <c r="C16810" s="17"/>
      <c r="D16810" s="17"/>
      <c r="E16810" s="7"/>
    </row>
    <row r="16811" spans="3:5">
      <c r="C16811" s="17"/>
      <c r="D16811" s="17"/>
      <c r="E16811" s="7"/>
    </row>
    <row r="16812" spans="3:5">
      <c r="C16812" s="17"/>
      <c r="D16812" s="17"/>
      <c r="E16812" s="7"/>
    </row>
    <row r="16813" spans="3:5">
      <c r="C16813" s="17"/>
      <c r="D16813" s="17"/>
      <c r="E16813" s="7"/>
    </row>
    <row r="16814" spans="3:5">
      <c r="C16814" s="17"/>
      <c r="D16814" s="17"/>
      <c r="E16814" s="7"/>
    </row>
    <row r="16815" spans="3:5">
      <c r="C16815" s="17"/>
      <c r="D16815" s="17"/>
      <c r="E16815" s="7"/>
    </row>
    <row r="16816" spans="3:5">
      <c r="C16816" s="17"/>
      <c r="D16816" s="17"/>
      <c r="E16816" s="7"/>
    </row>
    <row r="16817" spans="3:5">
      <c r="C16817" s="17"/>
      <c r="D16817" s="17"/>
      <c r="E16817" s="7"/>
    </row>
    <row r="16818" spans="3:5">
      <c r="C16818" s="17"/>
      <c r="D16818" s="17"/>
      <c r="E16818" s="7"/>
    </row>
    <row r="16819" spans="3:5">
      <c r="C16819" s="17"/>
      <c r="D16819" s="17"/>
      <c r="E16819" s="7"/>
    </row>
    <row r="16820" spans="3:5">
      <c r="C16820" s="17"/>
      <c r="D16820" s="17"/>
      <c r="E16820" s="7"/>
    </row>
    <row r="16821" spans="3:5">
      <c r="C16821" s="17"/>
      <c r="D16821" s="17"/>
      <c r="E16821" s="7"/>
    </row>
    <row r="16822" spans="3:5">
      <c r="C16822" s="17"/>
      <c r="D16822" s="17"/>
      <c r="E16822" s="7"/>
    </row>
    <row r="16823" spans="3:5">
      <c r="C16823" s="17"/>
      <c r="D16823" s="17"/>
      <c r="E16823" s="7"/>
    </row>
    <row r="16824" spans="3:5">
      <c r="C16824" s="17"/>
      <c r="D16824" s="17"/>
      <c r="E16824" s="7"/>
    </row>
    <row r="16825" spans="3:5">
      <c r="C16825" s="17"/>
      <c r="D16825" s="17"/>
      <c r="E16825" s="7"/>
    </row>
    <row r="16826" spans="3:5">
      <c r="C16826" s="17"/>
      <c r="D16826" s="17"/>
      <c r="E16826" s="7"/>
    </row>
    <row r="16827" spans="3:5">
      <c r="C16827" s="17"/>
      <c r="D16827" s="17"/>
      <c r="E16827" s="7"/>
    </row>
    <row r="16828" spans="3:5">
      <c r="C16828" s="17"/>
      <c r="D16828" s="17"/>
      <c r="E16828" s="7"/>
    </row>
    <row r="16829" spans="3:5">
      <c r="C16829" s="17"/>
      <c r="D16829" s="17"/>
      <c r="E16829" s="7"/>
    </row>
    <row r="16830" spans="3:5">
      <c r="C16830" s="17"/>
      <c r="D16830" s="17"/>
      <c r="E16830" s="7"/>
    </row>
    <row r="16831" spans="3:5">
      <c r="C16831" s="17"/>
      <c r="D16831" s="17"/>
      <c r="E16831" s="7"/>
    </row>
    <row r="16832" spans="3:5">
      <c r="C16832" s="17"/>
      <c r="D16832" s="17"/>
      <c r="E16832" s="7"/>
    </row>
    <row r="16833" spans="3:5">
      <c r="C16833" s="17"/>
      <c r="D16833" s="17"/>
      <c r="E16833" s="7"/>
    </row>
    <row r="16834" spans="3:5">
      <c r="C16834" s="17"/>
      <c r="D16834" s="17"/>
      <c r="E16834" s="7"/>
    </row>
    <row r="16835" spans="3:5">
      <c r="C16835" s="17"/>
      <c r="D16835" s="17"/>
      <c r="E16835" s="7"/>
    </row>
    <row r="16836" spans="3:5">
      <c r="C16836" s="17"/>
      <c r="D16836" s="17"/>
      <c r="E16836" s="7"/>
    </row>
    <row r="16837" spans="3:5">
      <c r="C16837" s="17"/>
      <c r="D16837" s="17"/>
      <c r="E16837" s="7"/>
    </row>
    <row r="16838" spans="3:5">
      <c r="C16838" s="17"/>
      <c r="D16838" s="17"/>
      <c r="E16838" s="7"/>
    </row>
    <row r="16839" spans="3:5">
      <c r="C16839" s="17"/>
      <c r="D16839" s="17"/>
      <c r="E16839" s="7"/>
    </row>
    <row r="16840" spans="3:5">
      <c r="C16840" s="17"/>
      <c r="D16840" s="17"/>
      <c r="E16840" s="7"/>
    </row>
    <row r="16841" spans="3:5">
      <c r="C16841" s="17"/>
      <c r="D16841" s="17"/>
      <c r="E16841" s="7"/>
    </row>
    <row r="16842" spans="3:5">
      <c r="C16842" s="17"/>
      <c r="D16842" s="17"/>
      <c r="E16842" s="7"/>
    </row>
    <row r="16843" spans="3:5">
      <c r="C16843" s="17"/>
      <c r="D16843" s="17"/>
      <c r="E16843" s="7"/>
    </row>
    <row r="16844" spans="3:5">
      <c r="C16844" s="17"/>
      <c r="D16844" s="17"/>
      <c r="E16844" s="7"/>
    </row>
    <row r="16845" spans="3:5">
      <c r="C16845" s="17"/>
      <c r="D16845" s="17"/>
      <c r="E16845" s="7"/>
    </row>
    <row r="16846" spans="3:5">
      <c r="C16846" s="17"/>
      <c r="D16846" s="17"/>
      <c r="E16846" s="7"/>
    </row>
    <row r="16847" spans="3:5">
      <c r="C16847" s="17"/>
      <c r="D16847" s="17"/>
      <c r="E16847" s="7"/>
    </row>
    <row r="16848" spans="3:5">
      <c r="C16848" s="17"/>
      <c r="D16848" s="17"/>
      <c r="E16848" s="7"/>
    </row>
    <row r="16849" spans="3:5">
      <c r="C16849" s="17"/>
      <c r="D16849" s="17"/>
      <c r="E16849" s="7"/>
    </row>
    <row r="16850" spans="3:5">
      <c r="C16850" s="17"/>
      <c r="D16850" s="17"/>
      <c r="E16850" s="7"/>
    </row>
    <row r="16851" spans="3:5">
      <c r="C16851" s="17"/>
      <c r="D16851" s="17"/>
      <c r="E16851" s="7"/>
    </row>
    <row r="16852" spans="3:5">
      <c r="C16852" s="17"/>
      <c r="D16852" s="17"/>
      <c r="E16852" s="7"/>
    </row>
    <row r="16853" spans="3:5">
      <c r="C16853" s="17"/>
      <c r="D16853" s="17"/>
      <c r="E16853" s="7"/>
    </row>
    <row r="16854" spans="3:5">
      <c r="C16854" s="17"/>
      <c r="D16854" s="17"/>
      <c r="E16854" s="7"/>
    </row>
    <row r="16855" spans="3:5">
      <c r="C16855" s="17"/>
      <c r="D16855" s="17"/>
      <c r="E16855" s="7"/>
    </row>
    <row r="16856" spans="3:5">
      <c r="C16856" s="17"/>
      <c r="D16856" s="17"/>
      <c r="E16856" s="7"/>
    </row>
    <row r="16857" spans="3:5">
      <c r="C16857" s="17"/>
      <c r="D16857" s="17"/>
      <c r="E16857" s="7"/>
    </row>
    <row r="16858" spans="3:5">
      <c r="C16858" s="17"/>
      <c r="D16858" s="17"/>
      <c r="E16858" s="7"/>
    </row>
    <row r="16859" spans="3:5">
      <c r="C16859" s="17"/>
      <c r="D16859" s="17"/>
      <c r="E16859" s="7"/>
    </row>
    <row r="16860" spans="3:5">
      <c r="C16860" s="17"/>
      <c r="D16860" s="17"/>
      <c r="E16860" s="7"/>
    </row>
    <row r="16861" spans="3:5">
      <c r="C16861" s="17"/>
      <c r="D16861" s="17"/>
      <c r="E16861" s="7"/>
    </row>
    <row r="16862" spans="3:5">
      <c r="C16862" s="17"/>
      <c r="D16862" s="17"/>
      <c r="E16862" s="7"/>
    </row>
    <row r="16863" spans="3:5">
      <c r="C16863" s="17"/>
      <c r="D16863" s="17"/>
      <c r="E16863" s="7"/>
    </row>
    <row r="16864" spans="3:5">
      <c r="C16864" s="17"/>
      <c r="D16864" s="17"/>
      <c r="E16864" s="7"/>
    </row>
    <row r="16865" spans="3:5">
      <c r="C16865" s="17"/>
      <c r="D16865" s="17"/>
      <c r="E16865" s="7"/>
    </row>
    <row r="16866" spans="3:5">
      <c r="C16866" s="17"/>
      <c r="D16866" s="17"/>
      <c r="E16866" s="7"/>
    </row>
    <row r="16867" spans="3:5">
      <c r="C16867" s="17"/>
      <c r="D16867" s="17"/>
      <c r="E16867" s="7"/>
    </row>
    <row r="16868" spans="3:5">
      <c r="C16868" s="17"/>
      <c r="D16868" s="17"/>
      <c r="E16868" s="7"/>
    </row>
    <row r="16869" spans="3:5">
      <c r="C16869" s="17"/>
      <c r="D16869" s="17"/>
      <c r="E16869" s="7"/>
    </row>
    <row r="16870" spans="3:5">
      <c r="C16870" s="17"/>
      <c r="D16870" s="17"/>
      <c r="E16870" s="7"/>
    </row>
    <row r="16871" spans="3:5">
      <c r="C16871" s="17"/>
      <c r="D16871" s="17"/>
      <c r="E16871" s="7"/>
    </row>
    <row r="16872" spans="3:5">
      <c r="C16872" s="17"/>
      <c r="D16872" s="17"/>
      <c r="E16872" s="7"/>
    </row>
    <row r="16873" spans="3:5">
      <c r="C16873" s="17"/>
      <c r="D16873" s="17"/>
      <c r="E16873" s="7"/>
    </row>
    <row r="16874" spans="3:5">
      <c r="C16874" s="17"/>
      <c r="D16874" s="17"/>
      <c r="E16874" s="7"/>
    </row>
    <row r="16875" spans="3:5">
      <c r="C16875" s="17"/>
      <c r="D16875" s="17"/>
      <c r="E16875" s="7"/>
    </row>
    <row r="16876" spans="3:5">
      <c r="C16876" s="17"/>
      <c r="D16876" s="17"/>
      <c r="E16876" s="7"/>
    </row>
    <row r="16877" spans="3:5">
      <c r="C16877" s="17"/>
      <c r="D16877" s="17"/>
      <c r="E16877" s="7"/>
    </row>
    <row r="16878" spans="3:5">
      <c r="C16878" s="17"/>
      <c r="D16878" s="17"/>
      <c r="E16878" s="7"/>
    </row>
    <row r="16879" spans="3:5">
      <c r="C16879" s="17"/>
      <c r="D16879" s="17"/>
      <c r="E16879" s="7"/>
    </row>
    <row r="16880" spans="3:5">
      <c r="C16880" s="17"/>
      <c r="D16880" s="17"/>
      <c r="E16880" s="7"/>
    </row>
    <row r="16881" spans="3:5">
      <c r="C16881" s="17"/>
      <c r="D16881" s="17"/>
      <c r="E16881" s="7"/>
    </row>
    <row r="16882" spans="3:5">
      <c r="C16882" s="17"/>
      <c r="D16882" s="17"/>
      <c r="E16882" s="7"/>
    </row>
    <row r="16883" spans="3:5">
      <c r="C16883" s="17"/>
      <c r="D16883" s="17"/>
      <c r="E16883" s="7"/>
    </row>
    <row r="16884" spans="3:5">
      <c r="C16884" s="17"/>
      <c r="D16884" s="17"/>
      <c r="E16884" s="7"/>
    </row>
    <row r="16885" spans="3:5">
      <c r="C16885" s="17"/>
      <c r="D16885" s="17"/>
      <c r="E16885" s="7"/>
    </row>
    <row r="16886" spans="3:5">
      <c r="C16886" s="17"/>
      <c r="D16886" s="17"/>
      <c r="E16886" s="7"/>
    </row>
    <row r="16887" spans="3:5">
      <c r="C16887" s="17"/>
      <c r="D16887" s="17"/>
      <c r="E16887" s="7"/>
    </row>
    <row r="16888" spans="3:5">
      <c r="C16888" s="17"/>
      <c r="D16888" s="17"/>
      <c r="E16888" s="7"/>
    </row>
    <row r="16889" spans="3:5">
      <c r="C16889" s="17"/>
      <c r="D16889" s="17"/>
      <c r="E16889" s="7"/>
    </row>
    <row r="16890" spans="3:5">
      <c r="C16890" s="17"/>
      <c r="D16890" s="17"/>
      <c r="E16890" s="7"/>
    </row>
    <row r="16891" spans="3:5">
      <c r="C16891" s="17"/>
      <c r="D16891" s="17"/>
      <c r="E16891" s="7"/>
    </row>
    <row r="16892" spans="3:5">
      <c r="C16892" s="17"/>
      <c r="D16892" s="17"/>
      <c r="E16892" s="7"/>
    </row>
    <row r="16893" spans="3:5">
      <c r="C16893" s="17"/>
      <c r="D16893" s="17"/>
      <c r="E16893" s="7"/>
    </row>
    <row r="16894" spans="3:5">
      <c r="C16894" s="17"/>
      <c r="D16894" s="17"/>
      <c r="E16894" s="7"/>
    </row>
    <row r="16895" spans="3:5">
      <c r="C16895" s="17"/>
      <c r="D16895" s="17"/>
      <c r="E16895" s="7"/>
    </row>
    <row r="16896" spans="3:5">
      <c r="C16896" s="17"/>
      <c r="D16896" s="17"/>
      <c r="E16896" s="7"/>
    </row>
    <row r="16897" spans="3:5">
      <c r="C16897" s="17"/>
      <c r="D16897" s="17"/>
      <c r="E16897" s="7"/>
    </row>
    <row r="16898" spans="3:5">
      <c r="C16898" s="17"/>
      <c r="D16898" s="17"/>
      <c r="E16898" s="7"/>
    </row>
    <row r="16899" spans="3:5">
      <c r="C16899" s="17"/>
      <c r="D16899" s="17"/>
      <c r="E16899" s="7"/>
    </row>
    <row r="16900" spans="3:5">
      <c r="C16900" s="17"/>
      <c r="D16900" s="17"/>
      <c r="E16900" s="7"/>
    </row>
    <row r="16901" spans="3:5">
      <c r="C16901" s="17"/>
      <c r="D16901" s="17"/>
      <c r="E16901" s="7"/>
    </row>
    <row r="16902" spans="3:5">
      <c r="C16902" s="17"/>
      <c r="D16902" s="17"/>
      <c r="E16902" s="7"/>
    </row>
    <row r="16903" spans="3:5">
      <c r="C16903" s="17"/>
      <c r="D16903" s="17"/>
      <c r="E16903" s="7"/>
    </row>
    <row r="16904" spans="3:5">
      <c r="C16904" s="17"/>
      <c r="D16904" s="17"/>
      <c r="E16904" s="7"/>
    </row>
    <row r="16905" spans="3:5">
      <c r="C16905" s="17"/>
      <c r="D16905" s="17"/>
      <c r="E16905" s="7"/>
    </row>
    <row r="16906" spans="3:5">
      <c r="C16906" s="17"/>
      <c r="D16906" s="17"/>
      <c r="E16906" s="7"/>
    </row>
    <row r="16907" spans="3:5">
      <c r="C16907" s="17"/>
      <c r="D16907" s="17"/>
      <c r="E16907" s="7"/>
    </row>
    <row r="16908" spans="3:5">
      <c r="C16908" s="17"/>
      <c r="D16908" s="17"/>
      <c r="E16908" s="7"/>
    </row>
    <row r="16909" spans="3:5">
      <c r="C16909" s="17"/>
      <c r="D16909" s="17"/>
      <c r="E16909" s="7"/>
    </row>
    <row r="16910" spans="3:5">
      <c r="C16910" s="17"/>
      <c r="D16910" s="17"/>
      <c r="E16910" s="7"/>
    </row>
    <row r="16911" spans="3:5">
      <c r="C16911" s="17"/>
      <c r="D16911" s="17"/>
      <c r="E16911" s="7"/>
    </row>
    <row r="16912" spans="3:5">
      <c r="C16912" s="17"/>
      <c r="D16912" s="17"/>
      <c r="E16912" s="7"/>
    </row>
    <row r="16913" spans="3:5">
      <c r="C16913" s="17"/>
      <c r="D16913" s="17"/>
      <c r="E16913" s="7"/>
    </row>
    <row r="16914" spans="3:5">
      <c r="C16914" s="17"/>
      <c r="D16914" s="17"/>
      <c r="E16914" s="7"/>
    </row>
    <row r="16915" spans="3:5">
      <c r="C16915" s="17"/>
      <c r="D16915" s="17"/>
      <c r="E16915" s="7"/>
    </row>
    <row r="16916" spans="3:5">
      <c r="C16916" s="17"/>
      <c r="D16916" s="17"/>
      <c r="E16916" s="7"/>
    </row>
    <row r="16917" spans="3:5">
      <c r="C16917" s="17"/>
      <c r="D16917" s="17"/>
      <c r="E16917" s="7"/>
    </row>
    <row r="16918" spans="3:5">
      <c r="C16918" s="17"/>
      <c r="D16918" s="17"/>
      <c r="E16918" s="7"/>
    </row>
    <row r="16919" spans="3:5">
      <c r="C16919" s="17"/>
      <c r="D16919" s="17"/>
      <c r="E16919" s="7"/>
    </row>
    <row r="16920" spans="3:5">
      <c r="C16920" s="17"/>
      <c r="D16920" s="17"/>
      <c r="E16920" s="7"/>
    </row>
    <row r="16921" spans="3:5">
      <c r="C16921" s="17"/>
      <c r="D16921" s="17"/>
      <c r="E16921" s="7"/>
    </row>
    <row r="16922" spans="3:5">
      <c r="C16922" s="17"/>
      <c r="D16922" s="17"/>
      <c r="E16922" s="7"/>
    </row>
    <row r="16923" spans="3:5">
      <c r="C16923" s="17"/>
      <c r="D16923" s="17"/>
      <c r="E16923" s="7"/>
    </row>
    <row r="16924" spans="3:5">
      <c r="C16924" s="17"/>
      <c r="D16924" s="17"/>
      <c r="E16924" s="7"/>
    </row>
    <row r="16925" spans="3:5">
      <c r="C16925" s="17"/>
      <c r="D16925" s="17"/>
      <c r="E16925" s="7"/>
    </row>
    <row r="16926" spans="3:5">
      <c r="C16926" s="17"/>
      <c r="D16926" s="17"/>
      <c r="E16926" s="7"/>
    </row>
    <row r="16927" spans="3:5">
      <c r="C16927" s="17"/>
      <c r="D16927" s="17"/>
      <c r="E16927" s="7"/>
    </row>
    <row r="16928" spans="3:5">
      <c r="C16928" s="17"/>
      <c r="D16928" s="17"/>
      <c r="E16928" s="7"/>
    </row>
    <row r="16929" spans="3:5">
      <c r="C16929" s="17"/>
      <c r="D16929" s="17"/>
      <c r="E16929" s="7"/>
    </row>
    <row r="16930" spans="3:5">
      <c r="C16930" s="17"/>
      <c r="D16930" s="17"/>
      <c r="E16930" s="7"/>
    </row>
    <row r="16931" spans="3:5">
      <c r="C16931" s="17"/>
      <c r="D16931" s="17"/>
      <c r="E16931" s="7"/>
    </row>
    <row r="16932" spans="3:5">
      <c r="C16932" s="17"/>
      <c r="D16932" s="17"/>
      <c r="E16932" s="7"/>
    </row>
    <row r="16933" spans="3:5">
      <c r="C16933" s="17"/>
      <c r="D16933" s="17"/>
      <c r="E16933" s="7"/>
    </row>
    <row r="16934" spans="3:5">
      <c r="C16934" s="17"/>
      <c r="D16934" s="17"/>
      <c r="E16934" s="7"/>
    </row>
    <row r="16935" spans="3:5">
      <c r="C16935" s="17"/>
      <c r="D16935" s="17"/>
      <c r="E16935" s="7"/>
    </row>
    <row r="16936" spans="3:5">
      <c r="C16936" s="17"/>
      <c r="D16936" s="17"/>
      <c r="E16936" s="7"/>
    </row>
    <row r="16937" spans="3:5">
      <c r="C16937" s="17"/>
      <c r="D16937" s="17"/>
      <c r="E16937" s="7"/>
    </row>
    <row r="16938" spans="3:5">
      <c r="C16938" s="17"/>
      <c r="D16938" s="17"/>
      <c r="E16938" s="7"/>
    </row>
    <row r="16939" spans="3:5">
      <c r="C16939" s="17"/>
      <c r="D16939" s="17"/>
      <c r="E16939" s="7"/>
    </row>
    <row r="16940" spans="3:5">
      <c r="C16940" s="17"/>
      <c r="D16940" s="17"/>
      <c r="E16940" s="7"/>
    </row>
    <row r="16941" spans="3:5">
      <c r="C16941" s="17"/>
      <c r="D16941" s="17"/>
      <c r="E16941" s="7"/>
    </row>
    <row r="16942" spans="3:5">
      <c r="C16942" s="17"/>
      <c r="D16942" s="17"/>
      <c r="E16942" s="7"/>
    </row>
    <row r="16943" spans="3:5">
      <c r="C16943" s="17"/>
      <c r="D16943" s="17"/>
      <c r="E16943" s="7"/>
    </row>
    <row r="16944" spans="3:5">
      <c r="C16944" s="17"/>
      <c r="D16944" s="17"/>
      <c r="E16944" s="7"/>
    </row>
    <row r="16945" spans="3:5">
      <c r="C16945" s="17"/>
      <c r="D16945" s="17"/>
      <c r="E16945" s="7"/>
    </row>
    <row r="16946" spans="3:5">
      <c r="C16946" s="17"/>
      <c r="D16946" s="17"/>
      <c r="E16946" s="7"/>
    </row>
    <row r="16947" spans="3:5">
      <c r="C16947" s="17"/>
      <c r="D16947" s="17"/>
      <c r="E16947" s="7"/>
    </row>
    <row r="16948" spans="3:5">
      <c r="C16948" s="17"/>
      <c r="D16948" s="17"/>
      <c r="E16948" s="7"/>
    </row>
    <row r="16949" spans="3:5">
      <c r="C16949" s="17"/>
      <c r="D16949" s="17"/>
      <c r="E16949" s="7"/>
    </row>
    <row r="16950" spans="3:5">
      <c r="C16950" s="17"/>
      <c r="D16950" s="17"/>
      <c r="E16950" s="7"/>
    </row>
    <row r="16951" spans="3:5">
      <c r="C16951" s="17"/>
      <c r="D16951" s="17"/>
      <c r="E16951" s="7"/>
    </row>
    <row r="16952" spans="3:5">
      <c r="C16952" s="17"/>
      <c r="D16952" s="17"/>
      <c r="E16952" s="7"/>
    </row>
    <row r="16953" spans="3:5">
      <c r="C16953" s="17"/>
      <c r="D16953" s="17"/>
      <c r="E16953" s="7"/>
    </row>
    <row r="16954" spans="3:5">
      <c r="C16954" s="17"/>
      <c r="D16954" s="17"/>
      <c r="E16954" s="7"/>
    </row>
    <row r="16955" spans="3:5">
      <c r="C16955" s="17"/>
      <c r="D16955" s="17"/>
      <c r="E16955" s="7"/>
    </row>
    <row r="16956" spans="3:5">
      <c r="C16956" s="17"/>
      <c r="D16956" s="17"/>
      <c r="E16956" s="7"/>
    </row>
    <row r="16957" spans="3:5">
      <c r="C16957" s="17"/>
      <c r="D16957" s="17"/>
      <c r="E16957" s="7"/>
    </row>
    <row r="16958" spans="3:5">
      <c r="C16958" s="17"/>
      <c r="D16958" s="17"/>
      <c r="E16958" s="7"/>
    </row>
    <row r="16959" spans="3:5">
      <c r="C16959" s="17"/>
      <c r="D16959" s="17"/>
      <c r="E16959" s="7"/>
    </row>
    <row r="16960" spans="3:5">
      <c r="C16960" s="17"/>
      <c r="D16960" s="17"/>
      <c r="E16960" s="7"/>
    </row>
    <row r="16961" spans="3:5">
      <c r="C16961" s="17"/>
      <c r="D16961" s="17"/>
      <c r="E16961" s="7"/>
    </row>
    <row r="16962" spans="3:5">
      <c r="C16962" s="17"/>
      <c r="D16962" s="17"/>
      <c r="E16962" s="7"/>
    </row>
    <row r="16963" spans="3:5">
      <c r="C16963" s="17"/>
      <c r="D16963" s="17"/>
      <c r="E16963" s="7"/>
    </row>
    <row r="16964" spans="3:5">
      <c r="C16964" s="17"/>
      <c r="D16964" s="17"/>
      <c r="E16964" s="7"/>
    </row>
    <row r="16965" spans="3:5">
      <c r="C16965" s="17"/>
      <c r="D16965" s="17"/>
      <c r="E16965" s="7"/>
    </row>
    <row r="16966" spans="3:5">
      <c r="C16966" s="17"/>
      <c r="D16966" s="17"/>
      <c r="E16966" s="7"/>
    </row>
    <row r="16967" spans="3:5">
      <c r="C16967" s="17"/>
      <c r="D16967" s="17"/>
      <c r="E16967" s="7"/>
    </row>
    <row r="16968" spans="3:5">
      <c r="C16968" s="17"/>
      <c r="D16968" s="17"/>
      <c r="E16968" s="7"/>
    </row>
    <row r="16969" spans="3:5">
      <c r="C16969" s="17"/>
      <c r="D16969" s="17"/>
      <c r="E16969" s="7"/>
    </row>
    <row r="16970" spans="3:5">
      <c r="C16970" s="17"/>
      <c r="D16970" s="17"/>
      <c r="E16970" s="7"/>
    </row>
    <row r="16971" spans="3:5">
      <c r="C16971" s="17"/>
      <c r="D16971" s="17"/>
      <c r="E16971" s="7"/>
    </row>
    <row r="16972" spans="3:5">
      <c r="C16972" s="17"/>
      <c r="D16972" s="17"/>
      <c r="E16972" s="7"/>
    </row>
    <row r="16973" spans="3:5">
      <c r="C16973" s="17"/>
      <c r="D16973" s="17"/>
      <c r="E16973" s="7"/>
    </row>
    <row r="16974" spans="3:5">
      <c r="C16974" s="17"/>
      <c r="D16974" s="17"/>
      <c r="E16974" s="7"/>
    </row>
    <row r="16975" spans="3:5">
      <c r="C16975" s="17"/>
      <c r="D16975" s="17"/>
      <c r="E16975" s="7"/>
    </row>
    <row r="16976" spans="3:5">
      <c r="C16976" s="17"/>
      <c r="D16976" s="17"/>
      <c r="E16976" s="7"/>
    </row>
    <row r="16977" spans="3:5">
      <c r="C16977" s="17"/>
      <c r="D16977" s="17"/>
      <c r="E16977" s="7"/>
    </row>
    <row r="16978" spans="3:5">
      <c r="C16978" s="17"/>
      <c r="D16978" s="17"/>
      <c r="E16978" s="7"/>
    </row>
    <row r="16979" spans="3:5">
      <c r="C16979" s="17"/>
      <c r="D16979" s="17"/>
      <c r="E16979" s="7"/>
    </row>
    <row r="16980" spans="3:5">
      <c r="C16980" s="17"/>
      <c r="D16980" s="17"/>
      <c r="E16980" s="7"/>
    </row>
    <row r="16981" spans="3:5">
      <c r="C16981" s="17"/>
      <c r="D16981" s="17"/>
      <c r="E16981" s="7"/>
    </row>
    <row r="16982" spans="3:5">
      <c r="C16982" s="17"/>
      <c r="D16982" s="17"/>
      <c r="E16982" s="7"/>
    </row>
    <row r="16983" spans="3:5">
      <c r="C16983" s="17"/>
      <c r="D16983" s="17"/>
      <c r="E16983" s="7"/>
    </row>
    <row r="16984" spans="3:5">
      <c r="C16984" s="17"/>
      <c r="D16984" s="17"/>
      <c r="E16984" s="7"/>
    </row>
    <row r="16985" spans="3:5">
      <c r="C16985" s="17"/>
      <c r="D16985" s="17"/>
      <c r="E16985" s="7"/>
    </row>
    <row r="16986" spans="3:5">
      <c r="C16986" s="17"/>
      <c r="D16986" s="17"/>
      <c r="E16986" s="7"/>
    </row>
    <row r="16987" spans="3:5">
      <c r="C16987" s="17"/>
      <c r="D16987" s="17"/>
      <c r="E16987" s="7"/>
    </row>
    <row r="16988" spans="3:5">
      <c r="C16988" s="17"/>
      <c r="D16988" s="17"/>
      <c r="E16988" s="7"/>
    </row>
    <row r="16989" spans="3:5">
      <c r="C16989" s="17"/>
      <c r="D16989" s="17"/>
      <c r="E16989" s="7"/>
    </row>
    <row r="16990" spans="3:5">
      <c r="C16990" s="17"/>
      <c r="D16990" s="17"/>
      <c r="E16990" s="7"/>
    </row>
    <row r="16991" spans="3:5">
      <c r="C16991" s="17"/>
      <c r="D16991" s="17"/>
      <c r="E16991" s="7"/>
    </row>
    <row r="16992" spans="3:5">
      <c r="C16992" s="17"/>
      <c r="D16992" s="17"/>
      <c r="E16992" s="7"/>
    </row>
    <row r="16993" spans="3:5">
      <c r="C16993" s="17"/>
      <c r="D16993" s="17"/>
      <c r="E16993" s="7"/>
    </row>
    <row r="16994" spans="3:5">
      <c r="C16994" s="17"/>
      <c r="D16994" s="17"/>
      <c r="E16994" s="7"/>
    </row>
    <row r="16995" spans="3:5">
      <c r="C16995" s="17"/>
      <c r="D16995" s="17"/>
      <c r="E16995" s="7"/>
    </row>
    <row r="16996" spans="3:5">
      <c r="C16996" s="17"/>
      <c r="D16996" s="17"/>
      <c r="E16996" s="7"/>
    </row>
    <row r="16997" spans="3:5">
      <c r="C16997" s="17"/>
      <c r="D16997" s="17"/>
      <c r="E16997" s="7"/>
    </row>
    <row r="16998" spans="3:5">
      <c r="C16998" s="17"/>
      <c r="D16998" s="17"/>
      <c r="E16998" s="7"/>
    </row>
    <row r="16999" spans="3:5">
      <c r="C16999" s="17"/>
      <c r="D16999" s="17"/>
      <c r="E16999" s="7"/>
    </row>
    <row r="17000" spans="3:5">
      <c r="C17000" s="17"/>
      <c r="D17000" s="17"/>
      <c r="E17000" s="7"/>
    </row>
    <row r="17001" spans="3:5">
      <c r="C17001" s="17"/>
      <c r="D17001" s="17"/>
      <c r="E17001" s="7"/>
    </row>
    <row r="17002" spans="3:5">
      <c r="C17002" s="17"/>
      <c r="D17002" s="17"/>
      <c r="E17002" s="7"/>
    </row>
    <row r="17003" spans="3:5">
      <c r="C17003" s="17"/>
      <c r="D17003" s="17"/>
      <c r="E17003" s="7"/>
    </row>
    <row r="17004" spans="3:5">
      <c r="C17004" s="17"/>
      <c r="D17004" s="17"/>
      <c r="E17004" s="7"/>
    </row>
    <row r="17005" spans="3:5">
      <c r="C17005" s="17"/>
      <c r="D17005" s="17"/>
      <c r="E17005" s="7"/>
    </row>
    <row r="17006" spans="3:5">
      <c r="C17006" s="17"/>
      <c r="D17006" s="17"/>
      <c r="E17006" s="7"/>
    </row>
    <row r="17007" spans="3:5">
      <c r="C17007" s="17"/>
      <c r="D17007" s="17"/>
      <c r="E17007" s="7"/>
    </row>
    <row r="17008" spans="3:5">
      <c r="C17008" s="17"/>
      <c r="D17008" s="17"/>
      <c r="E17008" s="7"/>
    </row>
    <row r="17009" spans="3:5">
      <c r="C17009" s="17"/>
      <c r="D17009" s="17"/>
      <c r="E17009" s="7"/>
    </row>
    <row r="17010" spans="3:5">
      <c r="C17010" s="17"/>
      <c r="D17010" s="17"/>
      <c r="E17010" s="7"/>
    </row>
    <row r="17011" spans="3:5">
      <c r="C17011" s="17"/>
      <c r="D17011" s="17"/>
      <c r="E17011" s="7"/>
    </row>
    <row r="17012" spans="3:5">
      <c r="C17012" s="17"/>
      <c r="D17012" s="17"/>
      <c r="E17012" s="7"/>
    </row>
    <row r="17013" spans="3:5">
      <c r="C17013" s="17"/>
      <c r="D17013" s="17"/>
      <c r="E17013" s="7"/>
    </row>
    <row r="17014" spans="3:5">
      <c r="C17014" s="17"/>
      <c r="D17014" s="17"/>
      <c r="E17014" s="7"/>
    </row>
    <row r="17015" spans="3:5">
      <c r="C17015" s="17"/>
      <c r="D17015" s="17"/>
      <c r="E17015" s="7"/>
    </row>
    <row r="17016" spans="3:5">
      <c r="C17016" s="17"/>
      <c r="D17016" s="17"/>
      <c r="E17016" s="7"/>
    </row>
    <row r="17017" spans="3:5">
      <c r="C17017" s="17"/>
      <c r="D17017" s="17"/>
      <c r="E17017" s="7"/>
    </row>
    <row r="17018" spans="3:5">
      <c r="C17018" s="17"/>
      <c r="D17018" s="17"/>
      <c r="E17018" s="7"/>
    </row>
    <row r="17019" spans="3:5">
      <c r="C17019" s="17"/>
      <c r="D17019" s="17"/>
      <c r="E17019" s="7"/>
    </row>
    <row r="17020" spans="3:5">
      <c r="C17020" s="17"/>
      <c r="D17020" s="17"/>
      <c r="E17020" s="7"/>
    </row>
    <row r="17021" spans="3:5">
      <c r="C17021" s="17"/>
      <c r="D17021" s="17"/>
      <c r="E17021" s="7"/>
    </row>
    <row r="17022" spans="3:5">
      <c r="C17022" s="17"/>
      <c r="D17022" s="17"/>
      <c r="E17022" s="7"/>
    </row>
    <row r="17023" spans="3:5">
      <c r="C17023" s="17"/>
      <c r="D17023" s="17"/>
      <c r="E17023" s="7"/>
    </row>
    <row r="17024" spans="3:5">
      <c r="C17024" s="17"/>
      <c r="D17024" s="17"/>
      <c r="E17024" s="7"/>
    </row>
    <row r="17025" spans="3:5">
      <c r="C17025" s="17"/>
      <c r="D17025" s="17"/>
      <c r="E17025" s="7"/>
    </row>
    <row r="17026" spans="3:5">
      <c r="C17026" s="17"/>
      <c r="D17026" s="17"/>
      <c r="E17026" s="7"/>
    </row>
    <row r="17027" spans="3:5">
      <c r="C17027" s="17"/>
      <c r="D17027" s="17"/>
      <c r="E17027" s="7"/>
    </row>
    <row r="17028" spans="3:5">
      <c r="C17028" s="17"/>
      <c r="D17028" s="17"/>
      <c r="E17028" s="7"/>
    </row>
    <row r="17029" spans="3:5">
      <c r="C17029" s="17"/>
      <c r="D17029" s="17"/>
      <c r="E17029" s="7"/>
    </row>
    <row r="17030" spans="3:5">
      <c r="C17030" s="17"/>
      <c r="D17030" s="17"/>
      <c r="E17030" s="7"/>
    </row>
    <row r="17031" spans="3:5">
      <c r="C17031" s="17"/>
      <c r="D17031" s="17"/>
      <c r="E17031" s="7"/>
    </row>
    <row r="17032" spans="3:5">
      <c r="C17032" s="17"/>
      <c r="D17032" s="17"/>
      <c r="E17032" s="7"/>
    </row>
    <row r="17033" spans="3:5">
      <c r="C17033" s="17"/>
      <c r="D17033" s="17"/>
      <c r="E17033" s="7"/>
    </row>
    <row r="17034" spans="3:5">
      <c r="C17034" s="17"/>
      <c r="D17034" s="17"/>
      <c r="E17034" s="7"/>
    </row>
    <row r="17035" spans="3:5">
      <c r="C17035" s="17"/>
      <c r="D17035" s="17"/>
      <c r="E17035" s="7"/>
    </row>
    <row r="17036" spans="3:5">
      <c r="C17036" s="17"/>
      <c r="D17036" s="17"/>
      <c r="E17036" s="7"/>
    </row>
    <row r="17037" spans="3:5">
      <c r="C17037" s="17"/>
      <c r="D17037" s="17"/>
      <c r="E17037" s="7"/>
    </row>
    <row r="17038" spans="3:5">
      <c r="C17038" s="17"/>
      <c r="D17038" s="17"/>
      <c r="E17038" s="7"/>
    </row>
    <row r="17039" spans="3:5">
      <c r="C17039" s="17"/>
      <c r="D17039" s="17"/>
      <c r="E17039" s="7"/>
    </row>
    <row r="17040" spans="3:5">
      <c r="C17040" s="17"/>
      <c r="D17040" s="17"/>
      <c r="E17040" s="7"/>
    </row>
    <row r="17041" spans="3:5">
      <c r="C17041" s="17"/>
      <c r="D17041" s="17"/>
      <c r="E17041" s="7"/>
    </row>
    <row r="17042" spans="3:5">
      <c r="C17042" s="17"/>
      <c r="D17042" s="17"/>
      <c r="E17042" s="7"/>
    </row>
    <row r="17043" spans="3:5">
      <c r="C17043" s="17"/>
      <c r="D17043" s="17"/>
      <c r="E17043" s="7"/>
    </row>
    <row r="17044" spans="3:5">
      <c r="C17044" s="17"/>
      <c r="D17044" s="17"/>
      <c r="E17044" s="7"/>
    </row>
    <row r="17045" spans="3:5">
      <c r="C17045" s="17"/>
      <c r="D17045" s="17"/>
      <c r="E17045" s="7"/>
    </row>
    <row r="17046" spans="3:5">
      <c r="C17046" s="17"/>
      <c r="D17046" s="17"/>
      <c r="E17046" s="7"/>
    </row>
    <row r="17047" spans="3:5">
      <c r="C17047" s="17"/>
      <c r="D17047" s="17"/>
      <c r="E17047" s="7"/>
    </row>
    <row r="17048" spans="3:5">
      <c r="C17048" s="17"/>
      <c r="D17048" s="17"/>
      <c r="E17048" s="7"/>
    </row>
    <row r="17049" spans="3:5">
      <c r="C17049" s="17"/>
      <c r="D17049" s="17"/>
      <c r="E17049" s="7"/>
    </row>
    <row r="17050" spans="3:5">
      <c r="C17050" s="17"/>
      <c r="D17050" s="17"/>
      <c r="E17050" s="7"/>
    </row>
    <row r="17051" spans="3:5">
      <c r="C17051" s="17"/>
      <c r="D17051" s="17"/>
      <c r="E17051" s="7"/>
    </row>
    <row r="17052" spans="3:5">
      <c r="C17052" s="17"/>
      <c r="D17052" s="17"/>
      <c r="E17052" s="7"/>
    </row>
    <row r="17053" spans="3:5">
      <c r="C17053" s="17"/>
      <c r="D17053" s="17"/>
      <c r="E17053" s="7"/>
    </row>
    <row r="17054" spans="3:5">
      <c r="C17054" s="17"/>
      <c r="D17054" s="17"/>
      <c r="E17054" s="7"/>
    </row>
    <row r="17055" spans="3:5">
      <c r="C17055" s="17"/>
      <c r="D17055" s="17"/>
      <c r="E17055" s="7"/>
    </row>
    <row r="17056" spans="3:5">
      <c r="C17056" s="17"/>
      <c r="D17056" s="17"/>
      <c r="E17056" s="7"/>
    </row>
    <row r="17057" spans="3:5">
      <c r="C17057" s="17"/>
      <c r="D17057" s="17"/>
      <c r="E17057" s="7"/>
    </row>
    <row r="17058" spans="3:5">
      <c r="C17058" s="17"/>
      <c r="D17058" s="17"/>
      <c r="E17058" s="7"/>
    </row>
    <row r="17059" spans="3:5">
      <c r="C17059" s="17"/>
      <c r="D17059" s="17"/>
      <c r="E17059" s="7"/>
    </row>
    <row r="17060" spans="3:5">
      <c r="C17060" s="17"/>
      <c r="D17060" s="17"/>
      <c r="E17060" s="7"/>
    </row>
    <row r="17061" spans="3:5">
      <c r="C17061" s="17"/>
      <c r="D17061" s="17"/>
      <c r="E17061" s="7"/>
    </row>
    <row r="17062" spans="3:5">
      <c r="C17062" s="17"/>
      <c r="D17062" s="17"/>
      <c r="E17062" s="7"/>
    </row>
    <row r="17063" spans="3:5">
      <c r="C17063" s="17"/>
      <c r="D17063" s="17"/>
      <c r="E17063" s="7"/>
    </row>
    <row r="17064" spans="3:5">
      <c r="C17064" s="17"/>
      <c r="D17064" s="17"/>
      <c r="E17064" s="7"/>
    </row>
    <row r="17065" spans="3:5">
      <c r="C17065" s="17"/>
      <c r="D17065" s="17"/>
      <c r="E17065" s="7"/>
    </row>
    <row r="17066" spans="3:5">
      <c r="C17066" s="17"/>
      <c r="D17066" s="17"/>
      <c r="E17066" s="7"/>
    </row>
    <row r="17067" spans="3:5">
      <c r="C17067" s="17"/>
      <c r="D17067" s="17"/>
      <c r="E17067" s="7"/>
    </row>
    <row r="17068" spans="3:5">
      <c r="C17068" s="17"/>
      <c r="D17068" s="17"/>
      <c r="E17068" s="7"/>
    </row>
    <row r="17069" spans="3:5">
      <c r="C17069" s="17"/>
      <c r="D17069" s="17"/>
      <c r="E17069" s="7"/>
    </row>
    <row r="17070" spans="3:5">
      <c r="C17070" s="17"/>
      <c r="D17070" s="17"/>
      <c r="E17070" s="7"/>
    </row>
    <row r="17071" spans="3:5">
      <c r="C17071" s="17"/>
      <c r="D17071" s="17"/>
      <c r="E17071" s="7"/>
    </row>
    <row r="17072" spans="3:5">
      <c r="C17072" s="17"/>
      <c r="D17072" s="17"/>
      <c r="E17072" s="7"/>
    </row>
    <row r="17073" spans="3:5">
      <c r="C17073" s="17"/>
      <c r="D17073" s="17"/>
      <c r="E17073" s="7"/>
    </row>
    <row r="17074" spans="3:5">
      <c r="C17074" s="17"/>
      <c r="D17074" s="17"/>
      <c r="E17074" s="7"/>
    </row>
    <row r="17075" spans="3:5">
      <c r="C17075" s="17"/>
      <c r="D17075" s="17"/>
      <c r="E17075" s="7"/>
    </row>
    <row r="17076" spans="3:5">
      <c r="C17076" s="17"/>
      <c r="D17076" s="17"/>
      <c r="E17076" s="7"/>
    </row>
    <row r="17077" spans="3:5">
      <c r="C17077" s="17"/>
      <c r="D17077" s="17"/>
      <c r="E17077" s="7"/>
    </row>
    <row r="17078" spans="3:5">
      <c r="C17078" s="17"/>
      <c r="D17078" s="17"/>
      <c r="E17078" s="7"/>
    </row>
    <row r="17079" spans="3:5">
      <c r="C17079" s="17"/>
      <c r="D17079" s="17"/>
      <c r="E17079" s="7"/>
    </row>
    <row r="17080" spans="3:5">
      <c r="C17080" s="17"/>
      <c r="D17080" s="17"/>
      <c r="E17080" s="7"/>
    </row>
    <row r="17081" spans="3:5">
      <c r="C17081" s="17"/>
      <c r="D17081" s="17"/>
      <c r="E17081" s="7"/>
    </row>
    <row r="17082" spans="3:5">
      <c r="C17082" s="17"/>
      <c r="D17082" s="17"/>
      <c r="E17082" s="7"/>
    </row>
    <row r="17083" spans="3:5">
      <c r="C17083" s="17"/>
      <c r="D17083" s="17"/>
      <c r="E17083" s="7"/>
    </row>
    <row r="17084" spans="3:5">
      <c r="C17084" s="17"/>
      <c r="D17084" s="17"/>
      <c r="E17084" s="7"/>
    </row>
    <row r="17085" spans="3:5">
      <c r="C17085" s="17"/>
      <c r="D17085" s="17"/>
      <c r="E17085" s="7"/>
    </row>
    <row r="17086" spans="3:5">
      <c r="C17086" s="17"/>
      <c r="D17086" s="17"/>
      <c r="E17086" s="7"/>
    </row>
    <row r="17087" spans="3:5">
      <c r="C17087" s="17"/>
      <c r="D17087" s="17"/>
      <c r="E17087" s="7"/>
    </row>
    <row r="17088" spans="3:5">
      <c r="C17088" s="17"/>
      <c r="D17088" s="17"/>
      <c r="E17088" s="7"/>
    </row>
    <row r="17089" spans="3:5">
      <c r="C17089" s="17"/>
      <c r="D17089" s="17"/>
      <c r="E17089" s="7"/>
    </row>
    <row r="17090" spans="3:5">
      <c r="C17090" s="17"/>
      <c r="D17090" s="17"/>
      <c r="E17090" s="7"/>
    </row>
    <row r="17091" spans="3:5">
      <c r="C17091" s="17"/>
      <c r="D17091" s="17"/>
      <c r="E17091" s="7"/>
    </row>
    <row r="17092" spans="3:5">
      <c r="C17092" s="17"/>
      <c r="D17092" s="17"/>
      <c r="E17092" s="7"/>
    </row>
    <row r="17093" spans="3:5">
      <c r="C17093" s="17"/>
      <c r="D17093" s="17"/>
      <c r="E17093" s="7"/>
    </row>
    <row r="17094" spans="3:5">
      <c r="C17094" s="17"/>
      <c r="D17094" s="17"/>
      <c r="E17094" s="7"/>
    </row>
    <row r="17095" spans="3:5">
      <c r="C17095" s="17"/>
      <c r="D17095" s="17"/>
      <c r="E17095" s="7"/>
    </row>
    <row r="17096" spans="3:5">
      <c r="C17096" s="17"/>
      <c r="D17096" s="17"/>
      <c r="E17096" s="7"/>
    </row>
    <row r="17097" spans="3:5">
      <c r="C17097" s="17"/>
      <c r="D17097" s="17"/>
      <c r="E17097" s="7"/>
    </row>
    <row r="17098" spans="3:5">
      <c r="C17098" s="17"/>
      <c r="D17098" s="17"/>
      <c r="E17098" s="7"/>
    </row>
    <row r="17099" spans="3:5">
      <c r="C17099" s="17"/>
      <c r="D17099" s="17"/>
      <c r="E17099" s="7"/>
    </row>
    <row r="17100" spans="3:5">
      <c r="C17100" s="17"/>
      <c r="D17100" s="17"/>
      <c r="E17100" s="7"/>
    </row>
    <row r="17101" spans="3:5">
      <c r="C17101" s="17"/>
      <c r="D17101" s="17"/>
      <c r="E17101" s="7"/>
    </row>
    <row r="17102" spans="3:5">
      <c r="C17102" s="17"/>
      <c r="D17102" s="17"/>
      <c r="E17102" s="7"/>
    </row>
    <row r="17103" spans="3:5">
      <c r="C17103" s="17"/>
      <c r="D17103" s="17"/>
      <c r="E17103" s="7"/>
    </row>
    <row r="17104" spans="3:5">
      <c r="C17104" s="17"/>
      <c r="D17104" s="17"/>
      <c r="E17104" s="7"/>
    </row>
    <row r="17105" spans="3:5">
      <c r="C17105" s="17"/>
      <c r="D17105" s="17"/>
      <c r="E17105" s="7"/>
    </row>
    <row r="17106" spans="3:5">
      <c r="C17106" s="17"/>
      <c r="D17106" s="17"/>
      <c r="E17106" s="7"/>
    </row>
    <row r="17107" spans="3:5">
      <c r="C17107" s="17"/>
      <c r="D17107" s="17"/>
      <c r="E17107" s="7"/>
    </row>
    <row r="17108" spans="3:5">
      <c r="C17108" s="17"/>
      <c r="D17108" s="17"/>
      <c r="E17108" s="7"/>
    </row>
    <row r="17109" spans="3:5">
      <c r="C17109" s="17"/>
      <c r="D17109" s="17"/>
      <c r="E17109" s="7"/>
    </row>
    <row r="17110" spans="3:5">
      <c r="C17110" s="17"/>
      <c r="D17110" s="17"/>
      <c r="E17110" s="7"/>
    </row>
    <row r="17111" spans="3:5">
      <c r="C17111" s="17"/>
      <c r="D17111" s="17"/>
      <c r="E17111" s="7"/>
    </row>
    <row r="17112" spans="3:5">
      <c r="C17112" s="17"/>
      <c r="D17112" s="17"/>
      <c r="E17112" s="7"/>
    </row>
    <row r="17113" spans="3:5">
      <c r="C17113" s="17"/>
      <c r="D17113" s="17"/>
      <c r="E17113" s="7"/>
    </row>
    <row r="17114" spans="3:5">
      <c r="C17114" s="17"/>
      <c r="D17114" s="17"/>
      <c r="E17114" s="7"/>
    </row>
    <row r="17115" spans="3:5">
      <c r="C17115" s="17"/>
      <c r="D17115" s="17"/>
      <c r="E17115" s="7"/>
    </row>
    <row r="17116" spans="3:5">
      <c r="C17116" s="17"/>
      <c r="D17116" s="17"/>
      <c r="E17116" s="7"/>
    </row>
    <row r="17117" spans="3:5">
      <c r="C17117" s="17"/>
      <c r="D17117" s="17"/>
      <c r="E17117" s="7"/>
    </row>
    <row r="17118" spans="3:5">
      <c r="C17118" s="17"/>
      <c r="D17118" s="17"/>
      <c r="E17118" s="7"/>
    </row>
    <row r="17119" spans="3:5">
      <c r="C17119" s="17"/>
      <c r="D17119" s="17"/>
      <c r="E17119" s="7"/>
    </row>
    <row r="17120" spans="3:5">
      <c r="C17120" s="17"/>
      <c r="D17120" s="17"/>
      <c r="E17120" s="7"/>
    </row>
    <row r="17121" spans="3:5">
      <c r="C17121" s="17"/>
      <c r="D17121" s="17"/>
      <c r="E17121" s="7"/>
    </row>
    <row r="17122" spans="3:5">
      <c r="C17122" s="17"/>
      <c r="D17122" s="17"/>
      <c r="E17122" s="7"/>
    </row>
    <row r="17123" spans="3:5">
      <c r="C17123" s="17"/>
      <c r="D17123" s="17"/>
      <c r="E17123" s="7"/>
    </row>
    <row r="17124" spans="3:5">
      <c r="C17124" s="17"/>
      <c r="D17124" s="17"/>
      <c r="E17124" s="7"/>
    </row>
    <row r="17125" spans="3:5">
      <c r="C17125" s="17"/>
      <c r="D17125" s="17"/>
      <c r="E17125" s="7"/>
    </row>
    <row r="17126" spans="3:5">
      <c r="C17126" s="17"/>
      <c r="D17126" s="17"/>
      <c r="E17126" s="7"/>
    </row>
    <row r="17127" spans="3:5">
      <c r="C17127" s="17"/>
      <c r="D17127" s="17"/>
      <c r="E17127" s="7"/>
    </row>
    <row r="17128" spans="3:5">
      <c r="C17128" s="17"/>
      <c r="D17128" s="17"/>
      <c r="E17128" s="7"/>
    </row>
    <row r="17129" spans="3:5">
      <c r="C17129" s="17"/>
      <c r="D17129" s="17"/>
      <c r="E17129" s="7"/>
    </row>
    <row r="17130" spans="3:5">
      <c r="C17130" s="17"/>
      <c r="D17130" s="17"/>
      <c r="E17130" s="7"/>
    </row>
    <row r="17131" spans="3:5">
      <c r="C17131" s="17"/>
      <c r="D17131" s="17"/>
      <c r="E17131" s="7"/>
    </row>
    <row r="17132" spans="3:5">
      <c r="C17132" s="17"/>
      <c r="D17132" s="17"/>
      <c r="E17132" s="7"/>
    </row>
    <row r="17133" spans="3:5">
      <c r="C17133" s="17"/>
      <c r="D17133" s="17"/>
      <c r="E17133" s="7"/>
    </row>
    <row r="17134" spans="3:5">
      <c r="C17134" s="17"/>
      <c r="D17134" s="17"/>
      <c r="E17134" s="7"/>
    </row>
    <row r="17135" spans="3:5">
      <c r="C17135" s="17"/>
      <c r="D17135" s="17"/>
      <c r="E17135" s="7"/>
    </row>
    <row r="17136" spans="3:5">
      <c r="C17136" s="17"/>
      <c r="D17136" s="17"/>
      <c r="E17136" s="7"/>
    </row>
    <row r="17137" spans="3:5">
      <c r="C17137" s="17"/>
      <c r="D17137" s="17"/>
      <c r="E17137" s="7"/>
    </row>
    <row r="17138" spans="3:5">
      <c r="C17138" s="17"/>
      <c r="D17138" s="17"/>
      <c r="E17138" s="7"/>
    </row>
    <row r="17139" spans="3:5">
      <c r="C17139" s="17"/>
      <c r="D17139" s="17"/>
      <c r="E17139" s="7"/>
    </row>
    <row r="17140" spans="3:5">
      <c r="C17140" s="17"/>
      <c r="D17140" s="17"/>
      <c r="E17140" s="7"/>
    </row>
    <row r="17141" spans="3:5">
      <c r="C17141" s="17"/>
      <c r="D17141" s="17"/>
      <c r="E17141" s="7"/>
    </row>
    <row r="17142" spans="3:5">
      <c r="C17142" s="17"/>
      <c r="D17142" s="17"/>
      <c r="E17142" s="7"/>
    </row>
    <row r="17143" spans="3:5">
      <c r="C17143" s="17"/>
      <c r="D17143" s="17"/>
      <c r="E17143" s="7"/>
    </row>
    <row r="17144" spans="3:5">
      <c r="C17144" s="17"/>
      <c r="D17144" s="17"/>
      <c r="E17144" s="7"/>
    </row>
    <row r="17145" spans="3:5">
      <c r="C17145" s="17"/>
      <c r="D17145" s="17"/>
      <c r="E17145" s="7"/>
    </row>
    <row r="17146" spans="3:5">
      <c r="C17146" s="17"/>
      <c r="D17146" s="17"/>
      <c r="E17146" s="7"/>
    </row>
    <row r="17147" spans="3:5">
      <c r="C17147" s="17"/>
      <c r="D17147" s="17"/>
      <c r="E17147" s="7"/>
    </row>
    <row r="17148" spans="3:5">
      <c r="C17148" s="17"/>
      <c r="D17148" s="17"/>
      <c r="E17148" s="7"/>
    </row>
    <row r="17149" spans="3:5">
      <c r="C17149" s="17"/>
      <c r="D17149" s="17"/>
      <c r="E17149" s="7"/>
    </row>
    <row r="17150" spans="3:5">
      <c r="C17150" s="17"/>
      <c r="D17150" s="17"/>
      <c r="E17150" s="7"/>
    </row>
    <row r="17151" spans="3:5">
      <c r="C17151" s="17"/>
      <c r="D17151" s="17"/>
      <c r="E17151" s="7"/>
    </row>
    <row r="17152" spans="3:5">
      <c r="C17152" s="17"/>
      <c r="D17152" s="17"/>
      <c r="E17152" s="7"/>
    </row>
    <row r="17153" spans="3:5">
      <c r="C17153" s="17"/>
      <c r="D17153" s="17"/>
      <c r="E17153" s="7"/>
    </row>
    <row r="17154" spans="3:5">
      <c r="C17154" s="17"/>
      <c r="D17154" s="17"/>
      <c r="E17154" s="7"/>
    </row>
    <row r="17155" spans="3:5">
      <c r="C17155" s="17"/>
      <c r="D17155" s="17"/>
      <c r="E17155" s="7"/>
    </row>
    <row r="17156" spans="3:5">
      <c r="C17156" s="17"/>
      <c r="D17156" s="17"/>
      <c r="E17156" s="7"/>
    </row>
    <row r="17157" spans="3:5">
      <c r="C17157" s="17"/>
      <c r="D17157" s="17"/>
      <c r="E17157" s="7"/>
    </row>
    <row r="17158" spans="3:5">
      <c r="C17158" s="17"/>
      <c r="D17158" s="17"/>
      <c r="E17158" s="7"/>
    </row>
    <row r="17159" spans="3:5">
      <c r="C17159" s="17"/>
      <c r="D17159" s="17"/>
      <c r="E17159" s="7"/>
    </row>
    <row r="17160" spans="3:5">
      <c r="C17160" s="17"/>
      <c r="D17160" s="17"/>
      <c r="E17160" s="7"/>
    </row>
    <row r="17161" spans="3:5">
      <c r="C17161" s="17"/>
      <c r="D17161" s="17"/>
      <c r="E17161" s="7"/>
    </row>
    <row r="17162" spans="3:5">
      <c r="C17162" s="17"/>
      <c r="D17162" s="17"/>
      <c r="E17162" s="7"/>
    </row>
    <row r="17163" spans="3:5">
      <c r="C17163" s="17"/>
      <c r="D17163" s="17"/>
      <c r="E17163" s="7"/>
    </row>
    <row r="17164" spans="3:5">
      <c r="C17164" s="17"/>
      <c r="D17164" s="17"/>
      <c r="E17164" s="7"/>
    </row>
    <row r="17165" spans="3:5">
      <c r="C17165" s="17"/>
      <c r="D17165" s="17"/>
      <c r="E17165" s="7"/>
    </row>
    <row r="17166" spans="3:5">
      <c r="C17166" s="17"/>
      <c r="D17166" s="17"/>
      <c r="E17166" s="7"/>
    </row>
    <row r="17167" spans="3:5">
      <c r="C17167" s="17"/>
      <c r="D17167" s="17"/>
      <c r="E17167" s="7"/>
    </row>
    <row r="17168" spans="3:5">
      <c r="C17168" s="17"/>
      <c r="D17168" s="17"/>
      <c r="E17168" s="7"/>
    </row>
    <row r="17169" spans="3:5">
      <c r="C17169" s="17"/>
      <c r="D17169" s="17"/>
      <c r="E17169" s="7"/>
    </row>
    <row r="17170" spans="3:5">
      <c r="C17170" s="17"/>
      <c r="D17170" s="17"/>
      <c r="E17170" s="7"/>
    </row>
    <row r="17171" spans="3:5">
      <c r="C17171" s="17"/>
      <c r="D17171" s="17"/>
      <c r="E17171" s="7"/>
    </row>
    <row r="17172" spans="3:5">
      <c r="C17172" s="17"/>
      <c r="D17172" s="17"/>
      <c r="E17172" s="7"/>
    </row>
    <row r="17173" spans="3:5">
      <c r="C17173" s="17"/>
      <c r="D17173" s="17"/>
      <c r="E17173" s="7"/>
    </row>
    <row r="17174" spans="3:5">
      <c r="C17174" s="17"/>
      <c r="D17174" s="17"/>
      <c r="E17174" s="7"/>
    </row>
    <row r="17175" spans="3:5">
      <c r="C17175" s="17"/>
      <c r="D17175" s="17"/>
      <c r="E17175" s="7"/>
    </row>
    <row r="17176" spans="3:5">
      <c r="C17176" s="17"/>
      <c r="D17176" s="17"/>
      <c r="E17176" s="7"/>
    </row>
    <row r="17177" spans="3:5">
      <c r="C17177" s="17"/>
      <c r="D17177" s="17"/>
      <c r="E17177" s="7"/>
    </row>
    <row r="17178" spans="3:5">
      <c r="C17178" s="17"/>
      <c r="D17178" s="17"/>
      <c r="E17178" s="7"/>
    </row>
    <row r="17179" spans="3:5">
      <c r="C17179" s="17"/>
      <c r="D17179" s="17"/>
      <c r="E17179" s="7"/>
    </row>
    <row r="17180" spans="3:5">
      <c r="C17180" s="17"/>
      <c r="D17180" s="17"/>
      <c r="E17180" s="7"/>
    </row>
    <row r="17181" spans="3:5">
      <c r="C17181" s="17"/>
      <c r="D17181" s="17"/>
      <c r="E17181" s="7"/>
    </row>
    <row r="17182" spans="3:5">
      <c r="C17182" s="17"/>
      <c r="D17182" s="17"/>
      <c r="E17182" s="7"/>
    </row>
    <row r="17183" spans="3:5">
      <c r="C17183" s="17"/>
      <c r="D17183" s="17"/>
      <c r="E17183" s="7"/>
    </row>
    <row r="17184" spans="3:5">
      <c r="C17184" s="17"/>
      <c r="D17184" s="17"/>
      <c r="E17184" s="7"/>
    </row>
    <row r="17185" spans="3:5">
      <c r="C17185" s="17"/>
      <c r="D17185" s="17"/>
      <c r="E17185" s="7"/>
    </row>
    <row r="17186" spans="3:5">
      <c r="C17186" s="17"/>
      <c r="D17186" s="17"/>
      <c r="E17186" s="7"/>
    </row>
    <row r="17187" spans="3:5">
      <c r="C17187" s="17"/>
      <c r="D17187" s="17"/>
      <c r="E17187" s="7"/>
    </row>
    <row r="17188" spans="3:5">
      <c r="C17188" s="17"/>
      <c r="D17188" s="17"/>
      <c r="E17188" s="7"/>
    </row>
    <row r="17189" spans="3:5">
      <c r="C17189" s="17"/>
      <c r="D17189" s="17"/>
      <c r="E17189" s="7"/>
    </row>
    <row r="17190" spans="3:5">
      <c r="C17190" s="17"/>
      <c r="D17190" s="17"/>
      <c r="E17190" s="7"/>
    </row>
    <row r="17191" spans="3:5">
      <c r="C17191" s="17"/>
      <c r="D17191" s="17"/>
      <c r="E17191" s="7"/>
    </row>
    <row r="17192" spans="3:5">
      <c r="C17192" s="17"/>
      <c r="D17192" s="17"/>
      <c r="E17192" s="7"/>
    </row>
    <row r="17193" spans="3:5">
      <c r="C17193" s="17"/>
      <c r="D17193" s="17"/>
      <c r="E17193" s="7"/>
    </row>
    <row r="17194" spans="3:5">
      <c r="C17194" s="17"/>
      <c r="D17194" s="17"/>
      <c r="E17194" s="7"/>
    </row>
    <row r="17195" spans="3:5">
      <c r="C17195" s="17"/>
      <c r="D17195" s="17"/>
      <c r="E17195" s="7"/>
    </row>
    <row r="17196" spans="3:5">
      <c r="C17196" s="17"/>
      <c r="D17196" s="17"/>
      <c r="E17196" s="7"/>
    </row>
    <row r="17197" spans="3:5">
      <c r="C17197" s="17"/>
      <c r="D17197" s="17"/>
      <c r="E17197" s="7"/>
    </row>
    <row r="17198" spans="3:5">
      <c r="C17198" s="17"/>
      <c r="D17198" s="17"/>
      <c r="E17198" s="7"/>
    </row>
    <row r="17199" spans="3:5">
      <c r="C17199" s="17"/>
      <c r="D17199" s="17"/>
      <c r="E17199" s="7"/>
    </row>
    <row r="17200" spans="3:5">
      <c r="C17200" s="17"/>
      <c r="D17200" s="17"/>
      <c r="E17200" s="7"/>
    </row>
    <row r="17201" spans="3:5">
      <c r="C17201" s="17"/>
      <c r="D17201" s="17"/>
      <c r="E17201" s="7"/>
    </row>
    <row r="17202" spans="3:5">
      <c r="C17202" s="17"/>
      <c r="D17202" s="17"/>
      <c r="E17202" s="7"/>
    </row>
    <row r="17203" spans="3:5">
      <c r="C17203" s="17"/>
      <c r="D17203" s="17"/>
      <c r="E17203" s="7"/>
    </row>
    <row r="17204" spans="3:5">
      <c r="C17204" s="17"/>
      <c r="D17204" s="17"/>
      <c r="E17204" s="7"/>
    </row>
    <row r="17205" spans="3:5">
      <c r="C17205" s="17"/>
      <c r="D17205" s="17"/>
      <c r="E17205" s="7"/>
    </row>
    <row r="17206" spans="3:5">
      <c r="C17206" s="17"/>
      <c r="D17206" s="17"/>
      <c r="E17206" s="7"/>
    </row>
    <row r="17207" spans="3:5">
      <c r="C17207" s="17"/>
      <c r="D17207" s="17"/>
      <c r="E17207" s="7"/>
    </row>
    <row r="17208" spans="3:5">
      <c r="C17208" s="17"/>
      <c r="D17208" s="17"/>
      <c r="E17208" s="7"/>
    </row>
    <row r="17209" spans="3:5">
      <c r="C17209" s="17"/>
      <c r="D17209" s="17"/>
      <c r="E17209" s="7"/>
    </row>
    <row r="17210" spans="3:5">
      <c r="C17210" s="17"/>
      <c r="D17210" s="17"/>
      <c r="E17210" s="7"/>
    </row>
    <row r="17211" spans="3:5">
      <c r="C17211" s="17"/>
      <c r="D17211" s="17"/>
      <c r="E17211" s="7"/>
    </row>
    <row r="17212" spans="3:5">
      <c r="C17212" s="17"/>
      <c r="D17212" s="17"/>
      <c r="E17212" s="7"/>
    </row>
    <row r="17213" spans="3:5">
      <c r="C17213" s="17"/>
      <c r="D17213" s="17"/>
      <c r="E17213" s="7"/>
    </row>
    <row r="17214" spans="3:5">
      <c r="C17214" s="17"/>
      <c r="D17214" s="17"/>
      <c r="E17214" s="7"/>
    </row>
    <row r="17215" spans="3:5">
      <c r="C17215" s="17"/>
      <c r="D17215" s="17"/>
      <c r="E17215" s="7"/>
    </row>
    <row r="17216" spans="3:5">
      <c r="C17216" s="17"/>
      <c r="D17216" s="17"/>
      <c r="E17216" s="7"/>
    </row>
    <row r="17217" spans="3:5">
      <c r="C17217" s="17"/>
      <c r="D17217" s="17"/>
      <c r="E17217" s="7"/>
    </row>
    <row r="17218" spans="3:5">
      <c r="C17218" s="17"/>
      <c r="D17218" s="17"/>
      <c r="E17218" s="7"/>
    </row>
    <row r="17219" spans="3:5">
      <c r="C17219" s="17"/>
      <c r="D17219" s="17"/>
      <c r="E17219" s="7"/>
    </row>
    <row r="17220" spans="3:5">
      <c r="C17220" s="17"/>
      <c r="D17220" s="17"/>
      <c r="E17220" s="7"/>
    </row>
    <row r="17221" spans="3:5">
      <c r="C17221" s="17"/>
      <c r="D17221" s="17"/>
      <c r="E17221" s="7"/>
    </row>
    <row r="17222" spans="3:5">
      <c r="C17222" s="17"/>
      <c r="D17222" s="17"/>
      <c r="E17222" s="7"/>
    </row>
    <row r="17223" spans="3:5">
      <c r="C17223" s="17"/>
      <c r="D17223" s="17"/>
      <c r="E17223" s="7"/>
    </row>
    <row r="17224" spans="3:5">
      <c r="C17224" s="17"/>
      <c r="D17224" s="17"/>
      <c r="E17224" s="7"/>
    </row>
    <row r="17225" spans="3:5">
      <c r="C17225" s="17"/>
      <c r="D17225" s="17"/>
      <c r="E17225" s="7"/>
    </row>
    <row r="17226" spans="3:5">
      <c r="C17226" s="17"/>
      <c r="D17226" s="17"/>
      <c r="E17226" s="7"/>
    </row>
    <row r="17227" spans="3:5">
      <c r="C17227" s="17"/>
      <c r="D17227" s="17"/>
      <c r="E17227" s="7"/>
    </row>
    <row r="17228" spans="3:5">
      <c r="C17228" s="17"/>
      <c r="D17228" s="17"/>
      <c r="E17228" s="7"/>
    </row>
    <row r="17229" spans="3:5">
      <c r="C17229" s="17"/>
      <c r="D17229" s="17"/>
      <c r="E17229" s="7"/>
    </row>
    <row r="17230" spans="3:5">
      <c r="C17230" s="17"/>
      <c r="D17230" s="17"/>
      <c r="E17230" s="7"/>
    </row>
    <row r="17231" spans="3:5">
      <c r="C17231" s="17"/>
      <c r="D17231" s="17"/>
      <c r="E17231" s="7"/>
    </row>
    <row r="17232" spans="3:5">
      <c r="C17232" s="17"/>
      <c r="D17232" s="17"/>
      <c r="E17232" s="7"/>
    </row>
    <row r="17233" spans="3:5">
      <c r="C17233" s="17"/>
      <c r="D17233" s="17"/>
      <c r="E17233" s="7"/>
    </row>
    <row r="17234" spans="3:5">
      <c r="C17234" s="17"/>
      <c r="D17234" s="17"/>
      <c r="E17234" s="7"/>
    </row>
    <row r="17235" spans="3:5">
      <c r="C17235" s="17"/>
      <c r="D17235" s="17"/>
      <c r="E17235" s="7"/>
    </row>
    <row r="17236" spans="3:5">
      <c r="C17236" s="17"/>
      <c r="D17236" s="17"/>
      <c r="E17236" s="7"/>
    </row>
    <row r="17237" spans="3:5">
      <c r="C17237" s="17"/>
      <c r="D17237" s="17"/>
      <c r="E17237" s="7"/>
    </row>
    <row r="17238" spans="3:5">
      <c r="C17238" s="17"/>
      <c r="D17238" s="17"/>
      <c r="E17238" s="7"/>
    </row>
    <row r="17239" spans="3:5">
      <c r="C17239" s="17"/>
      <c r="D17239" s="17"/>
      <c r="E17239" s="7"/>
    </row>
    <row r="17240" spans="3:5">
      <c r="C17240" s="17"/>
      <c r="D17240" s="17"/>
      <c r="E17240" s="7"/>
    </row>
    <row r="17241" spans="3:5">
      <c r="C17241" s="17"/>
      <c r="D17241" s="17"/>
      <c r="E17241" s="7"/>
    </row>
    <row r="17242" spans="3:5">
      <c r="C17242" s="17"/>
      <c r="D17242" s="17"/>
      <c r="E17242" s="7"/>
    </row>
    <row r="17243" spans="3:5">
      <c r="C17243" s="17"/>
      <c r="D17243" s="17"/>
      <c r="E17243" s="7"/>
    </row>
    <row r="17244" spans="3:5">
      <c r="C17244" s="17"/>
      <c r="D17244" s="17"/>
      <c r="E17244" s="7"/>
    </row>
    <row r="17245" spans="3:5">
      <c r="C17245" s="17"/>
      <c r="D17245" s="17"/>
      <c r="E17245" s="7"/>
    </row>
    <row r="17246" spans="3:5">
      <c r="C17246" s="17"/>
      <c r="D17246" s="17"/>
      <c r="E17246" s="7"/>
    </row>
    <row r="17247" spans="3:5">
      <c r="C17247" s="17"/>
      <c r="D17247" s="17"/>
      <c r="E17247" s="7"/>
    </row>
    <row r="17248" spans="3:5">
      <c r="C17248" s="17"/>
      <c r="D17248" s="17"/>
      <c r="E17248" s="7"/>
    </row>
    <row r="17249" spans="3:5">
      <c r="C17249" s="17"/>
      <c r="D17249" s="17"/>
      <c r="E17249" s="7"/>
    </row>
    <row r="17250" spans="3:5">
      <c r="C17250" s="17"/>
      <c r="D17250" s="17"/>
      <c r="E17250" s="7"/>
    </row>
    <row r="17251" spans="3:5">
      <c r="C17251" s="17"/>
      <c r="D17251" s="17"/>
      <c r="E17251" s="7"/>
    </row>
    <row r="17252" spans="3:5">
      <c r="C17252" s="17"/>
      <c r="D17252" s="17"/>
      <c r="E17252" s="7"/>
    </row>
    <row r="17253" spans="3:5">
      <c r="C17253" s="17"/>
      <c r="D17253" s="17"/>
      <c r="E17253" s="7"/>
    </row>
    <row r="17254" spans="3:5">
      <c r="C17254" s="17"/>
      <c r="D17254" s="17"/>
      <c r="E17254" s="7"/>
    </row>
    <row r="17255" spans="3:5">
      <c r="C17255" s="17"/>
      <c r="D17255" s="17"/>
      <c r="E17255" s="7"/>
    </row>
    <row r="17256" spans="3:5">
      <c r="C17256" s="17"/>
      <c r="D17256" s="17"/>
      <c r="E17256" s="7"/>
    </row>
    <row r="17257" spans="3:5">
      <c r="C17257" s="17"/>
      <c r="D17257" s="17"/>
      <c r="E17257" s="7"/>
    </row>
    <row r="17258" spans="3:5">
      <c r="C17258" s="17"/>
      <c r="D17258" s="17"/>
      <c r="E17258" s="7"/>
    </row>
    <row r="17259" spans="3:5">
      <c r="C17259" s="17"/>
      <c r="D17259" s="17"/>
      <c r="E17259" s="7"/>
    </row>
    <row r="17260" spans="3:5">
      <c r="C17260" s="17"/>
      <c r="D17260" s="17"/>
      <c r="E17260" s="7"/>
    </row>
    <row r="17261" spans="3:5">
      <c r="C17261" s="17"/>
      <c r="D17261" s="17"/>
      <c r="E17261" s="7"/>
    </row>
    <row r="17262" spans="3:5">
      <c r="C17262" s="17"/>
      <c r="D17262" s="17"/>
      <c r="E17262" s="7"/>
    </row>
    <row r="17263" spans="3:5">
      <c r="C17263" s="17"/>
      <c r="D17263" s="17"/>
      <c r="E17263" s="7"/>
    </row>
    <row r="17264" spans="3:5">
      <c r="C17264" s="17"/>
      <c r="D17264" s="17"/>
      <c r="E17264" s="7"/>
    </row>
    <row r="17265" spans="3:5">
      <c r="C17265" s="17"/>
      <c r="D17265" s="17"/>
      <c r="E17265" s="7"/>
    </row>
    <row r="17266" spans="3:5">
      <c r="C17266" s="17"/>
      <c r="D17266" s="17"/>
      <c r="E17266" s="7"/>
    </row>
    <row r="17267" spans="3:5">
      <c r="C17267" s="17"/>
      <c r="D17267" s="17"/>
      <c r="E17267" s="7"/>
    </row>
    <row r="17268" spans="3:5">
      <c r="C17268" s="17"/>
      <c r="D17268" s="17"/>
      <c r="E17268" s="7"/>
    </row>
    <row r="17269" spans="3:5">
      <c r="C17269" s="17"/>
      <c r="D17269" s="17"/>
      <c r="E17269" s="7"/>
    </row>
    <row r="17270" spans="3:5">
      <c r="C17270" s="17"/>
      <c r="D17270" s="17"/>
      <c r="E17270" s="7"/>
    </row>
    <row r="17271" spans="3:5">
      <c r="C17271" s="17"/>
      <c r="D17271" s="17"/>
      <c r="E17271" s="7"/>
    </row>
    <row r="17272" spans="3:5">
      <c r="C17272" s="17"/>
      <c r="D17272" s="17"/>
      <c r="E17272" s="7"/>
    </row>
    <row r="17273" spans="3:5">
      <c r="C17273" s="17"/>
      <c r="D17273" s="17"/>
      <c r="E17273" s="7"/>
    </row>
    <row r="17274" spans="3:5">
      <c r="C17274" s="17"/>
      <c r="D17274" s="17"/>
      <c r="E17274" s="7"/>
    </row>
    <row r="17275" spans="3:5">
      <c r="C17275" s="17"/>
      <c r="D17275" s="17"/>
      <c r="E17275" s="7"/>
    </row>
    <row r="17276" spans="3:5">
      <c r="C17276" s="17"/>
      <c r="D17276" s="17"/>
      <c r="E17276" s="7"/>
    </row>
    <row r="17277" spans="3:5">
      <c r="C17277" s="17"/>
      <c r="D17277" s="17"/>
      <c r="E17277" s="7"/>
    </row>
    <row r="17278" spans="3:5">
      <c r="C17278" s="17"/>
      <c r="D17278" s="17"/>
      <c r="E17278" s="7"/>
    </row>
    <row r="17279" spans="3:5">
      <c r="C17279" s="17"/>
      <c r="D17279" s="17"/>
      <c r="E17279" s="7"/>
    </row>
    <row r="17280" spans="3:5">
      <c r="C17280" s="17"/>
      <c r="D17280" s="17"/>
      <c r="E17280" s="7"/>
    </row>
    <row r="17281" spans="3:5">
      <c r="C17281" s="17"/>
      <c r="D17281" s="17"/>
      <c r="E17281" s="7"/>
    </row>
    <row r="17282" spans="3:5">
      <c r="C17282" s="17"/>
      <c r="D17282" s="17"/>
      <c r="E17282" s="7"/>
    </row>
    <row r="17283" spans="3:5">
      <c r="C17283" s="17"/>
      <c r="D17283" s="17"/>
      <c r="E17283" s="7"/>
    </row>
    <row r="17284" spans="3:5">
      <c r="C17284" s="17"/>
      <c r="D17284" s="17"/>
      <c r="E17284" s="7"/>
    </row>
    <row r="17285" spans="3:5">
      <c r="C17285" s="17"/>
      <c r="D17285" s="17"/>
      <c r="E17285" s="7"/>
    </row>
    <row r="17286" spans="3:5">
      <c r="C17286" s="17"/>
      <c r="D17286" s="17"/>
      <c r="E17286" s="7"/>
    </row>
    <row r="17287" spans="3:5">
      <c r="C17287" s="17"/>
      <c r="D17287" s="17"/>
      <c r="E17287" s="7"/>
    </row>
    <row r="17288" spans="3:5">
      <c r="C17288" s="17"/>
      <c r="D17288" s="17"/>
      <c r="E17288" s="7"/>
    </row>
    <row r="17289" spans="3:5">
      <c r="C17289" s="17"/>
      <c r="D17289" s="17"/>
      <c r="E17289" s="7"/>
    </row>
    <row r="17290" spans="3:5">
      <c r="C17290" s="17"/>
      <c r="D17290" s="17"/>
      <c r="E17290" s="7"/>
    </row>
    <row r="17291" spans="3:5">
      <c r="C17291" s="17"/>
      <c r="D17291" s="17"/>
      <c r="E17291" s="7"/>
    </row>
    <row r="17292" spans="3:5">
      <c r="C17292" s="17"/>
      <c r="D17292" s="17"/>
      <c r="E17292" s="7"/>
    </row>
    <row r="17293" spans="3:5">
      <c r="C17293" s="17"/>
      <c r="D17293" s="17"/>
      <c r="E17293" s="7"/>
    </row>
    <row r="17294" spans="3:5">
      <c r="C17294" s="17"/>
      <c r="D17294" s="17"/>
      <c r="E17294" s="7"/>
    </row>
    <row r="17295" spans="3:5">
      <c r="C17295" s="17"/>
      <c r="D17295" s="17"/>
      <c r="E17295" s="7"/>
    </row>
    <row r="17296" spans="3:5">
      <c r="C17296" s="17"/>
      <c r="D17296" s="17"/>
      <c r="E17296" s="7"/>
    </row>
    <row r="17297" spans="3:5">
      <c r="C17297" s="17"/>
      <c r="D17297" s="17"/>
      <c r="E17297" s="7"/>
    </row>
    <row r="17298" spans="3:5">
      <c r="C17298" s="17"/>
      <c r="D17298" s="17"/>
      <c r="E17298" s="7"/>
    </row>
    <row r="17299" spans="3:5">
      <c r="C17299" s="17"/>
      <c r="D17299" s="17"/>
      <c r="E17299" s="7"/>
    </row>
    <row r="17300" spans="3:5">
      <c r="C17300" s="17"/>
      <c r="D17300" s="17"/>
      <c r="E17300" s="7"/>
    </row>
    <row r="17301" spans="3:5">
      <c r="C17301" s="17"/>
      <c r="D17301" s="17"/>
      <c r="E17301" s="7"/>
    </row>
    <row r="17302" spans="3:5">
      <c r="C17302" s="17"/>
      <c r="D17302" s="17"/>
      <c r="E17302" s="7"/>
    </row>
    <row r="17303" spans="3:5">
      <c r="C17303" s="17"/>
      <c r="D17303" s="17"/>
      <c r="E17303" s="7"/>
    </row>
    <row r="17304" spans="3:5">
      <c r="C17304" s="17"/>
      <c r="D17304" s="17"/>
      <c r="E17304" s="7"/>
    </row>
    <row r="17305" spans="3:5">
      <c r="C17305" s="17"/>
      <c r="D17305" s="17"/>
      <c r="E17305" s="7"/>
    </row>
    <row r="17306" spans="3:5">
      <c r="C17306" s="17"/>
      <c r="D17306" s="17"/>
      <c r="E17306" s="7"/>
    </row>
    <row r="17307" spans="3:5">
      <c r="C17307" s="17"/>
      <c r="D17307" s="17"/>
      <c r="E17307" s="7"/>
    </row>
    <row r="17308" spans="3:5">
      <c r="C17308" s="17"/>
      <c r="D17308" s="17"/>
      <c r="E17308" s="7"/>
    </row>
    <row r="17309" spans="3:5">
      <c r="C17309" s="17"/>
      <c r="D17309" s="17"/>
      <c r="E17309" s="7"/>
    </row>
    <row r="17310" spans="3:5">
      <c r="C17310" s="17"/>
      <c r="D17310" s="17"/>
      <c r="E17310" s="7"/>
    </row>
    <row r="17311" spans="3:5">
      <c r="C17311" s="17"/>
      <c r="D17311" s="17"/>
      <c r="E17311" s="7"/>
    </row>
    <row r="17312" spans="3:5">
      <c r="C17312" s="17"/>
      <c r="D17312" s="17"/>
      <c r="E17312" s="7"/>
    </row>
    <row r="17313" spans="3:5">
      <c r="C17313" s="17"/>
      <c r="D17313" s="17"/>
      <c r="E17313" s="7"/>
    </row>
    <row r="17314" spans="3:5">
      <c r="C17314" s="17"/>
      <c r="D17314" s="17"/>
      <c r="E17314" s="7"/>
    </row>
    <row r="17315" spans="3:5">
      <c r="C17315" s="17"/>
      <c r="D17315" s="17"/>
      <c r="E17315" s="7"/>
    </row>
    <row r="17316" spans="3:5">
      <c r="C17316" s="17"/>
      <c r="D17316" s="17"/>
      <c r="E17316" s="7"/>
    </row>
    <row r="17317" spans="3:5">
      <c r="C17317" s="17"/>
      <c r="D17317" s="17"/>
      <c r="E17317" s="7"/>
    </row>
    <row r="17318" spans="3:5">
      <c r="C17318" s="17"/>
      <c r="D17318" s="17"/>
      <c r="E17318" s="7"/>
    </row>
    <row r="17319" spans="3:5">
      <c r="C17319" s="17"/>
      <c r="D17319" s="17"/>
      <c r="E17319" s="7"/>
    </row>
    <row r="17320" spans="3:5">
      <c r="C17320" s="17"/>
      <c r="D17320" s="17"/>
      <c r="E17320" s="7"/>
    </row>
    <row r="17321" spans="3:5">
      <c r="C17321" s="17"/>
      <c r="D17321" s="17"/>
      <c r="E17321" s="7"/>
    </row>
    <row r="17322" spans="3:5">
      <c r="C17322" s="17"/>
      <c r="D17322" s="17"/>
      <c r="E17322" s="7"/>
    </row>
    <row r="17323" spans="3:5">
      <c r="C17323" s="17"/>
      <c r="D17323" s="17"/>
      <c r="E17323" s="7"/>
    </row>
    <row r="17324" spans="3:5">
      <c r="C17324" s="17"/>
      <c r="D17324" s="17"/>
      <c r="E17324" s="7"/>
    </row>
    <row r="17325" spans="3:5">
      <c r="C17325" s="17"/>
      <c r="D17325" s="17"/>
      <c r="E17325" s="7"/>
    </row>
    <row r="17326" spans="3:5">
      <c r="C17326" s="17"/>
      <c r="D17326" s="17"/>
      <c r="E17326" s="7"/>
    </row>
    <row r="17327" spans="3:5">
      <c r="C17327" s="17"/>
      <c r="D17327" s="17"/>
      <c r="E17327" s="7"/>
    </row>
    <row r="17328" spans="3:5">
      <c r="C17328" s="17"/>
      <c r="D17328" s="17"/>
      <c r="E17328" s="7"/>
    </row>
    <row r="17329" spans="3:5">
      <c r="C17329" s="17"/>
      <c r="D17329" s="17"/>
      <c r="E17329" s="7"/>
    </row>
    <row r="17330" spans="3:5">
      <c r="C17330" s="17"/>
      <c r="D17330" s="17"/>
      <c r="E17330" s="7"/>
    </row>
    <row r="17331" spans="3:5">
      <c r="C17331" s="17"/>
      <c r="D17331" s="17"/>
      <c r="E17331" s="7"/>
    </row>
    <row r="17332" spans="3:5">
      <c r="C17332" s="17"/>
      <c r="D17332" s="17"/>
      <c r="E17332" s="7"/>
    </row>
    <row r="17333" spans="3:5">
      <c r="C17333" s="17"/>
      <c r="D17333" s="17"/>
      <c r="E17333" s="7"/>
    </row>
    <row r="17334" spans="3:5">
      <c r="C17334" s="17"/>
      <c r="D17334" s="17"/>
      <c r="E17334" s="7"/>
    </row>
    <row r="17335" spans="3:5">
      <c r="C17335" s="17"/>
      <c r="D17335" s="17"/>
      <c r="E17335" s="7"/>
    </row>
    <row r="17336" spans="3:5">
      <c r="C17336" s="17"/>
      <c r="D17336" s="17"/>
      <c r="E17336" s="7"/>
    </row>
    <row r="17337" spans="3:5">
      <c r="C17337" s="17"/>
      <c r="D17337" s="17"/>
      <c r="E17337" s="7"/>
    </row>
    <row r="17338" spans="3:5">
      <c r="C17338" s="17"/>
      <c r="D17338" s="17"/>
      <c r="E17338" s="7"/>
    </row>
    <row r="17339" spans="3:5">
      <c r="C17339" s="17"/>
      <c r="D17339" s="17"/>
      <c r="E17339" s="7"/>
    </row>
    <row r="17340" spans="3:5">
      <c r="C17340" s="17"/>
      <c r="D17340" s="17"/>
      <c r="E17340" s="7"/>
    </row>
    <row r="17341" spans="3:5">
      <c r="C17341" s="17"/>
      <c r="D17341" s="17"/>
      <c r="E17341" s="7"/>
    </row>
    <row r="17342" spans="3:5">
      <c r="C17342" s="17"/>
      <c r="D17342" s="17"/>
      <c r="E17342" s="7"/>
    </row>
    <row r="17343" spans="3:5">
      <c r="C17343" s="17"/>
      <c r="D17343" s="17"/>
      <c r="E17343" s="7"/>
    </row>
    <row r="17344" spans="3:5">
      <c r="C17344" s="17"/>
      <c r="D17344" s="17"/>
      <c r="E17344" s="7"/>
    </row>
    <row r="17345" spans="3:5">
      <c r="C17345" s="17"/>
      <c r="D17345" s="17"/>
      <c r="E17345" s="7"/>
    </row>
    <row r="17346" spans="3:5">
      <c r="C17346" s="17"/>
      <c r="D17346" s="17"/>
      <c r="E17346" s="7"/>
    </row>
    <row r="17347" spans="3:5">
      <c r="C17347" s="17"/>
      <c r="D17347" s="17"/>
      <c r="E17347" s="7"/>
    </row>
    <row r="17348" spans="3:5">
      <c r="C17348" s="17"/>
      <c r="D17348" s="17"/>
      <c r="E17348" s="7"/>
    </row>
    <row r="17349" spans="3:5">
      <c r="C17349" s="17"/>
      <c r="D17349" s="17"/>
      <c r="E17349" s="7"/>
    </row>
    <row r="17350" spans="3:5">
      <c r="C17350" s="17"/>
      <c r="D17350" s="17"/>
      <c r="E17350" s="7"/>
    </row>
    <row r="17351" spans="3:5">
      <c r="C17351" s="17"/>
      <c r="D17351" s="17"/>
      <c r="E17351" s="7"/>
    </row>
    <row r="17352" spans="3:5">
      <c r="C17352" s="17"/>
      <c r="D17352" s="17"/>
      <c r="E17352" s="7"/>
    </row>
    <row r="17353" spans="3:5">
      <c r="C17353" s="17"/>
      <c r="D17353" s="17"/>
      <c r="E17353" s="7"/>
    </row>
    <row r="17354" spans="3:5">
      <c r="C17354" s="17"/>
      <c r="D17354" s="17"/>
      <c r="E17354" s="7"/>
    </row>
    <row r="17355" spans="3:5">
      <c r="C17355" s="17"/>
      <c r="D17355" s="17"/>
      <c r="E17355" s="7"/>
    </row>
    <row r="17356" spans="3:5">
      <c r="C17356" s="17"/>
      <c r="D17356" s="17"/>
      <c r="E17356" s="7"/>
    </row>
    <row r="17357" spans="3:5">
      <c r="C17357" s="17"/>
      <c r="D17357" s="17"/>
      <c r="E17357" s="7"/>
    </row>
    <row r="17358" spans="3:5">
      <c r="C17358" s="17"/>
      <c r="D17358" s="17"/>
      <c r="E17358" s="7"/>
    </row>
    <row r="17359" spans="3:5">
      <c r="C17359" s="17"/>
      <c r="D17359" s="17"/>
      <c r="E17359" s="7"/>
    </row>
    <row r="17360" spans="3:5">
      <c r="C17360" s="17"/>
      <c r="D17360" s="17"/>
      <c r="E17360" s="7"/>
    </row>
    <row r="17361" spans="3:5">
      <c r="C17361" s="17"/>
      <c r="D17361" s="17"/>
      <c r="E17361" s="7"/>
    </row>
    <row r="17362" spans="3:5">
      <c r="C17362" s="17"/>
      <c r="D17362" s="17"/>
      <c r="E17362" s="7"/>
    </row>
    <row r="17363" spans="3:5">
      <c r="C17363" s="17"/>
      <c r="D17363" s="17"/>
      <c r="E17363" s="7"/>
    </row>
    <row r="17364" spans="3:5">
      <c r="C17364" s="17"/>
      <c r="D17364" s="17"/>
      <c r="E17364" s="7"/>
    </row>
    <row r="17365" spans="3:5">
      <c r="C17365" s="17"/>
      <c r="D17365" s="17"/>
      <c r="E17365" s="7"/>
    </row>
    <row r="17366" spans="3:5">
      <c r="C17366" s="17"/>
      <c r="D17366" s="17"/>
      <c r="E17366" s="7"/>
    </row>
    <row r="17367" spans="3:5">
      <c r="C17367" s="17"/>
      <c r="D17367" s="17"/>
      <c r="E17367" s="7"/>
    </row>
    <row r="17368" spans="3:5">
      <c r="C17368" s="17"/>
      <c r="D17368" s="17"/>
      <c r="E17368" s="7"/>
    </row>
    <row r="17369" spans="3:5">
      <c r="C17369" s="17"/>
      <c r="D17369" s="17"/>
      <c r="E17369" s="7"/>
    </row>
    <row r="17370" spans="3:5">
      <c r="C17370" s="17"/>
      <c r="D17370" s="17"/>
      <c r="E17370" s="7"/>
    </row>
    <row r="17371" spans="3:5">
      <c r="C17371" s="17"/>
      <c r="D17371" s="17"/>
      <c r="E17371" s="7"/>
    </row>
    <row r="17372" spans="3:5">
      <c r="C17372" s="17"/>
      <c r="D17372" s="17"/>
      <c r="E17372" s="7"/>
    </row>
    <row r="17373" spans="3:5">
      <c r="C17373" s="17"/>
      <c r="D17373" s="17"/>
      <c r="E17373" s="7"/>
    </row>
    <row r="17374" spans="3:5">
      <c r="C17374" s="17"/>
      <c r="D17374" s="17"/>
      <c r="E17374" s="7"/>
    </row>
    <row r="17375" spans="3:5">
      <c r="C17375" s="17"/>
      <c r="D17375" s="17"/>
      <c r="E17375" s="7"/>
    </row>
    <row r="17376" spans="3:5">
      <c r="C17376" s="17"/>
      <c r="D17376" s="17"/>
      <c r="E17376" s="7"/>
    </row>
    <row r="17377" spans="3:5">
      <c r="C17377" s="17"/>
      <c r="D17377" s="17"/>
      <c r="E17377" s="7"/>
    </row>
    <row r="17378" spans="3:5">
      <c r="C17378" s="17"/>
      <c r="D17378" s="17"/>
      <c r="E17378" s="7"/>
    </row>
    <row r="17379" spans="3:5">
      <c r="C17379" s="17"/>
      <c r="D17379" s="17"/>
      <c r="E17379" s="7"/>
    </row>
    <row r="17380" spans="3:5">
      <c r="C17380" s="17"/>
      <c r="D17380" s="17"/>
      <c r="E17380" s="7"/>
    </row>
    <row r="17381" spans="3:5">
      <c r="C17381" s="17"/>
      <c r="D17381" s="17"/>
      <c r="E17381" s="7"/>
    </row>
    <row r="17382" spans="3:5">
      <c r="C17382" s="17"/>
      <c r="D17382" s="17"/>
      <c r="E17382" s="7"/>
    </row>
    <row r="17383" spans="3:5">
      <c r="C17383" s="17"/>
      <c r="D17383" s="17"/>
      <c r="E17383" s="7"/>
    </row>
    <row r="17384" spans="3:5">
      <c r="C17384" s="17"/>
      <c r="D17384" s="17"/>
      <c r="E17384" s="7"/>
    </row>
    <row r="17385" spans="3:5">
      <c r="C17385" s="17"/>
      <c r="D17385" s="17"/>
      <c r="E17385" s="7"/>
    </row>
    <row r="17386" spans="3:5">
      <c r="C17386" s="17"/>
      <c r="D17386" s="17"/>
      <c r="E17386" s="7"/>
    </row>
    <row r="17387" spans="3:5">
      <c r="C17387" s="17"/>
      <c r="D17387" s="17"/>
      <c r="E17387" s="7"/>
    </row>
    <row r="17388" spans="3:5">
      <c r="C17388" s="17"/>
      <c r="D17388" s="17"/>
      <c r="E17388" s="7"/>
    </row>
    <row r="17389" spans="3:5">
      <c r="C17389" s="17"/>
      <c r="D17389" s="17"/>
      <c r="E17389" s="7"/>
    </row>
    <row r="17390" spans="3:5">
      <c r="C17390" s="17"/>
      <c r="D17390" s="17"/>
      <c r="E17390" s="7"/>
    </row>
    <row r="17391" spans="3:5">
      <c r="C17391" s="17"/>
      <c r="D17391" s="17"/>
      <c r="E17391" s="7"/>
    </row>
    <row r="17392" spans="3:5">
      <c r="C17392" s="17"/>
      <c r="D17392" s="17"/>
      <c r="E17392" s="7"/>
    </row>
    <row r="17393" spans="3:5">
      <c r="C17393" s="17"/>
      <c r="D17393" s="17"/>
      <c r="E17393" s="7"/>
    </row>
    <row r="17394" spans="3:5">
      <c r="C17394" s="17"/>
      <c r="D17394" s="17"/>
      <c r="E17394" s="7"/>
    </row>
    <row r="17395" spans="3:5">
      <c r="C17395" s="17"/>
      <c r="D17395" s="17"/>
      <c r="E17395" s="7"/>
    </row>
    <row r="17396" spans="3:5">
      <c r="C17396" s="17"/>
      <c r="D17396" s="17"/>
      <c r="E17396" s="7"/>
    </row>
    <row r="17397" spans="3:5">
      <c r="C17397" s="17"/>
      <c r="D17397" s="17"/>
      <c r="E17397" s="7"/>
    </row>
    <row r="17398" spans="3:5">
      <c r="C17398" s="17"/>
      <c r="D17398" s="17"/>
      <c r="E17398" s="7"/>
    </row>
    <row r="17399" spans="3:5">
      <c r="C17399" s="17"/>
      <c r="D17399" s="17"/>
      <c r="E17399" s="7"/>
    </row>
    <row r="17400" spans="3:5">
      <c r="C17400" s="17"/>
      <c r="D17400" s="17"/>
      <c r="E17400" s="7"/>
    </row>
    <row r="17401" spans="3:5">
      <c r="C17401" s="17"/>
      <c r="D17401" s="17"/>
      <c r="E17401" s="7"/>
    </row>
    <row r="17402" spans="3:5">
      <c r="C17402" s="17"/>
      <c r="D17402" s="17"/>
      <c r="E17402" s="7"/>
    </row>
    <row r="17403" spans="3:5">
      <c r="C17403" s="17"/>
      <c r="D17403" s="17"/>
      <c r="E17403" s="7"/>
    </row>
    <row r="17404" spans="3:5">
      <c r="C17404" s="17"/>
      <c r="D17404" s="17"/>
      <c r="E17404" s="7"/>
    </row>
    <row r="17405" spans="3:5">
      <c r="C17405" s="17"/>
      <c r="D17405" s="17"/>
      <c r="E17405" s="7"/>
    </row>
    <row r="17406" spans="3:5">
      <c r="C17406" s="17"/>
      <c r="D17406" s="17"/>
      <c r="E17406" s="7"/>
    </row>
    <row r="17407" spans="3:5">
      <c r="C17407" s="17"/>
      <c r="D17407" s="17"/>
      <c r="E17407" s="7"/>
    </row>
    <row r="17408" spans="3:5">
      <c r="C17408" s="17"/>
      <c r="D17408" s="17"/>
      <c r="E17408" s="7"/>
    </row>
    <row r="17409" spans="3:5">
      <c r="C17409" s="17"/>
      <c r="D17409" s="17"/>
      <c r="E17409" s="7"/>
    </row>
    <row r="17410" spans="3:5">
      <c r="C17410" s="17"/>
      <c r="D17410" s="17"/>
      <c r="E17410" s="7"/>
    </row>
    <row r="17411" spans="3:5">
      <c r="C17411" s="17"/>
      <c r="D17411" s="17"/>
      <c r="E17411" s="7"/>
    </row>
    <row r="17412" spans="3:5">
      <c r="C17412" s="17"/>
      <c r="D17412" s="17"/>
      <c r="E17412" s="7"/>
    </row>
    <row r="17413" spans="3:5">
      <c r="C17413" s="17"/>
      <c r="D17413" s="17"/>
      <c r="E17413" s="7"/>
    </row>
    <row r="17414" spans="3:5">
      <c r="C17414" s="17"/>
      <c r="D17414" s="17"/>
      <c r="E17414" s="7"/>
    </row>
    <row r="17415" spans="3:5">
      <c r="C17415" s="17"/>
      <c r="D17415" s="17"/>
      <c r="E17415" s="7"/>
    </row>
    <row r="17416" spans="3:5">
      <c r="C17416" s="17"/>
      <c r="D17416" s="17"/>
      <c r="E17416" s="7"/>
    </row>
    <row r="17417" spans="3:5">
      <c r="C17417" s="17"/>
      <c r="D17417" s="17"/>
      <c r="E17417" s="7"/>
    </row>
    <row r="17418" spans="3:5">
      <c r="C17418" s="17"/>
      <c r="D17418" s="17"/>
      <c r="E17418" s="7"/>
    </row>
    <row r="17419" spans="3:5">
      <c r="C17419" s="17"/>
      <c r="D17419" s="17"/>
      <c r="E17419" s="7"/>
    </row>
    <row r="17420" spans="3:5">
      <c r="C17420" s="17"/>
      <c r="D17420" s="17"/>
      <c r="E17420" s="7"/>
    </row>
    <row r="17421" spans="3:5">
      <c r="C17421" s="17"/>
      <c r="D17421" s="17"/>
      <c r="E17421" s="7"/>
    </row>
    <row r="17422" spans="3:5">
      <c r="C17422" s="17"/>
      <c r="D17422" s="17"/>
      <c r="E17422" s="7"/>
    </row>
    <row r="17423" spans="3:5">
      <c r="C17423" s="17"/>
      <c r="D17423" s="17"/>
      <c r="E17423" s="7"/>
    </row>
    <row r="17424" spans="3:5">
      <c r="C17424" s="17"/>
      <c r="D17424" s="17"/>
      <c r="E17424" s="7"/>
    </row>
    <row r="17425" spans="3:5">
      <c r="C17425" s="17"/>
      <c r="D17425" s="17"/>
      <c r="E17425" s="7"/>
    </row>
    <row r="17426" spans="3:5">
      <c r="C17426" s="17"/>
      <c r="D17426" s="17"/>
      <c r="E17426" s="7"/>
    </row>
    <row r="17427" spans="3:5">
      <c r="C17427" s="17"/>
      <c r="D17427" s="17"/>
      <c r="E17427" s="7"/>
    </row>
    <row r="17428" spans="3:5">
      <c r="C17428" s="17"/>
      <c r="D17428" s="17"/>
      <c r="E17428" s="7"/>
    </row>
    <row r="17429" spans="3:5">
      <c r="C17429" s="17"/>
      <c r="D17429" s="17"/>
      <c r="E17429" s="7"/>
    </row>
    <row r="17430" spans="3:5">
      <c r="C17430" s="17"/>
      <c r="D17430" s="17"/>
      <c r="E17430" s="7"/>
    </row>
    <row r="17431" spans="3:5">
      <c r="C17431" s="17"/>
      <c r="D17431" s="17"/>
      <c r="E17431" s="7"/>
    </row>
    <row r="17432" spans="3:5">
      <c r="C17432" s="17"/>
      <c r="D17432" s="17"/>
      <c r="E17432" s="7"/>
    </row>
    <row r="17433" spans="3:5">
      <c r="C17433" s="17"/>
      <c r="D17433" s="17"/>
      <c r="E17433" s="7"/>
    </row>
    <row r="17434" spans="3:5">
      <c r="C17434" s="17"/>
      <c r="D17434" s="17"/>
      <c r="E17434" s="7"/>
    </row>
    <row r="17435" spans="3:5">
      <c r="C17435" s="17"/>
      <c r="D17435" s="17"/>
      <c r="E17435" s="7"/>
    </row>
    <row r="17436" spans="3:5">
      <c r="C17436" s="17"/>
      <c r="D17436" s="17"/>
      <c r="E17436" s="7"/>
    </row>
    <row r="17437" spans="3:5">
      <c r="C17437" s="17"/>
      <c r="D17437" s="17"/>
      <c r="E17437" s="7"/>
    </row>
    <row r="17438" spans="3:5">
      <c r="C17438" s="17"/>
      <c r="D17438" s="17"/>
      <c r="E17438" s="7"/>
    </row>
    <row r="17439" spans="3:5">
      <c r="C17439" s="17"/>
      <c r="D17439" s="17"/>
      <c r="E17439" s="7"/>
    </row>
    <row r="17440" spans="3:5">
      <c r="C17440" s="17"/>
      <c r="D17440" s="17"/>
      <c r="E17440" s="7"/>
    </row>
    <row r="17441" spans="3:5">
      <c r="C17441" s="17"/>
      <c r="D17441" s="17"/>
      <c r="E17441" s="7"/>
    </row>
    <row r="17442" spans="3:5">
      <c r="C17442" s="17"/>
      <c r="D17442" s="17"/>
      <c r="E17442" s="7"/>
    </row>
    <row r="17443" spans="3:5">
      <c r="C17443" s="17"/>
      <c r="D17443" s="17"/>
      <c r="E17443" s="7"/>
    </row>
    <row r="17444" spans="3:5">
      <c r="C17444" s="17"/>
      <c r="D17444" s="17"/>
      <c r="E17444" s="7"/>
    </row>
    <row r="17445" spans="3:5">
      <c r="C17445" s="17"/>
      <c r="D17445" s="17"/>
      <c r="E17445" s="7"/>
    </row>
    <row r="17446" spans="3:5">
      <c r="C17446" s="17"/>
      <c r="D17446" s="17"/>
      <c r="E17446" s="7"/>
    </row>
    <row r="17447" spans="3:5">
      <c r="C17447" s="17"/>
      <c r="D17447" s="17"/>
      <c r="E17447" s="7"/>
    </row>
    <row r="17448" spans="3:5">
      <c r="C17448" s="17"/>
      <c r="D17448" s="17"/>
      <c r="E17448" s="7"/>
    </row>
    <row r="17449" spans="3:5">
      <c r="C17449" s="17"/>
      <c r="D17449" s="17"/>
      <c r="E17449" s="7"/>
    </row>
    <row r="17450" spans="3:5">
      <c r="C17450" s="17"/>
      <c r="D17450" s="17"/>
      <c r="E17450" s="7"/>
    </row>
    <row r="17451" spans="3:5">
      <c r="C17451" s="17"/>
      <c r="D17451" s="17"/>
      <c r="E17451" s="7"/>
    </row>
    <row r="17452" spans="3:5">
      <c r="C17452" s="17"/>
      <c r="D17452" s="17"/>
      <c r="E17452" s="7"/>
    </row>
    <row r="17453" spans="3:5">
      <c r="C17453" s="17"/>
      <c r="D17453" s="17"/>
      <c r="E17453" s="7"/>
    </row>
    <row r="17454" spans="3:5">
      <c r="C17454" s="17"/>
      <c r="D17454" s="17"/>
      <c r="E17454" s="7"/>
    </row>
    <row r="17455" spans="3:5">
      <c r="C17455" s="17"/>
      <c r="D17455" s="17"/>
      <c r="E17455" s="7"/>
    </row>
    <row r="17456" spans="3:5">
      <c r="C17456" s="17"/>
      <c r="D17456" s="17"/>
      <c r="E17456" s="7"/>
    </row>
    <row r="17457" spans="3:5">
      <c r="C17457" s="17"/>
      <c r="D17457" s="17"/>
      <c r="E17457" s="7"/>
    </row>
    <row r="17458" spans="3:5">
      <c r="C17458" s="17"/>
      <c r="D17458" s="17"/>
      <c r="E17458" s="7"/>
    </row>
    <row r="17459" spans="3:5">
      <c r="C17459" s="17"/>
      <c r="D17459" s="17"/>
      <c r="E17459" s="7"/>
    </row>
    <row r="17460" spans="3:5">
      <c r="C17460" s="17"/>
      <c r="D17460" s="17"/>
      <c r="E17460" s="7"/>
    </row>
    <row r="17461" spans="3:5">
      <c r="C17461" s="17"/>
      <c r="D17461" s="17"/>
      <c r="E17461" s="7"/>
    </row>
    <row r="17462" spans="3:5">
      <c r="C17462" s="17"/>
      <c r="D17462" s="17"/>
      <c r="E17462" s="7"/>
    </row>
    <row r="17463" spans="3:5">
      <c r="C17463" s="17"/>
      <c r="D17463" s="17"/>
      <c r="E17463" s="7"/>
    </row>
    <row r="17464" spans="3:5">
      <c r="C17464" s="17"/>
      <c r="D17464" s="17"/>
      <c r="E17464" s="7"/>
    </row>
    <row r="17465" spans="3:5">
      <c r="C17465" s="17"/>
      <c r="D17465" s="17"/>
      <c r="E17465" s="7"/>
    </row>
    <row r="17466" spans="3:5">
      <c r="C17466" s="17"/>
      <c r="D17466" s="17"/>
      <c r="E17466" s="7"/>
    </row>
    <row r="17467" spans="3:5">
      <c r="C17467" s="17"/>
      <c r="D17467" s="17"/>
      <c r="E17467" s="7"/>
    </row>
    <row r="17468" spans="3:5">
      <c r="C17468" s="17"/>
      <c r="D17468" s="17"/>
      <c r="E17468" s="7"/>
    </row>
    <row r="17469" spans="3:5">
      <c r="C17469" s="17"/>
      <c r="D17469" s="17"/>
      <c r="E17469" s="7"/>
    </row>
    <row r="17470" spans="3:5">
      <c r="C17470" s="17"/>
      <c r="D17470" s="17"/>
      <c r="E17470" s="7"/>
    </row>
    <row r="17471" spans="3:5">
      <c r="C17471" s="17"/>
      <c r="D17471" s="17"/>
      <c r="E17471" s="7"/>
    </row>
    <row r="17472" spans="3:5">
      <c r="C17472" s="17"/>
      <c r="D17472" s="17"/>
      <c r="E17472" s="7"/>
    </row>
    <row r="17473" spans="3:5">
      <c r="C17473" s="17"/>
      <c r="D17473" s="17"/>
      <c r="E17473" s="7"/>
    </row>
    <row r="17474" spans="3:5">
      <c r="C17474" s="17"/>
      <c r="D17474" s="17"/>
      <c r="E17474" s="7"/>
    </row>
    <row r="17475" spans="3:5">
      <c r="C17475" s="17"/>
      <c r="D17475" s="17"/>
      <c r="E17475" s="7"/>
    </row>
    <row r="17476" spans="3:5">
      <c r="C17476" s="17"/>
      <c r="D17476" s="17"/>
      <c r="E17476" s="7"/>
    </row>
    <row r="17477" spans="3:5">
      <c r="C17477" s="17"/>
      <c r="D17477" s="17"/>
      <c r="E17477" s="7"/>
    </row>
    <row r="17478" spans="3:5">
      <c r="C17478" s="17"/>
      <c r="D17478" s="17"/>
      <c r="E17478" s="7"/>
    </row>
    <row r="17479" spans="3:5">
      <c r="C17479" s="17"/>
      <c r="D17479" s="17"/>
      <c r="E17479" s="7"/>
    </row>
    <row r="17480" spans="3:5">
      <c r="C17480" s="17"/>
      <c r="D17480" s="17"/>
      <c r="E17480" s="7"/>
    </row>
    <row r="17481" spans="3:5">
      <c r="C17481" s="17"/>
      <c r="D17481" s="17"/>
      <c r="E17481" s="7"/>
    </row>
    <row r="17482" spans="3:5">
      <c r="C17482" s="17"/>
      <c r="D17482" s="17"/>
      <c r="E17482" s="7"/>
    </row>
    <row r="17483" spans="3:5">
      <c r="C17483" s="17"/>
      <c r="D17483" s="17"/>
      <c r="E17483" s="7"/>
    </row>
    <row r="17484" spans="3:5">
      <c r="C17484" s="17"/>
      <c r="D17484" s="17"/>
      <c r="E17484" s="7"/>
    </row>
    <row r="17485" spans="3:5">
      <c r="C17485" s="17"/>
      <c r="D17485" s="17"/>
      <c r="E17485" s="7"/>
    </row>
    <row r="17486" spans="3:5">
      <c r="C17486" s="17"/>
      <c r="D17486" s="17"/>
      <c r="E17486" s="7"/>
    </row>
    <row r="17487" spans="3:5">
      <c r="C17487" s="17"/>
      <c r="D17487" s="17"/>
      <c r="E17487" s="7"/>
    </row>
    <row r="17488" spans="3:5">
      <c r="C17488" s="17"/>
      <c r="D17488" s="17"/>
      <c r="E17488" s="7"/>
    </row>
    <row r="17489" spans="3:5">
      <c r="C17489" s="17"/>
      <c r="D17489" s="17"/>
      <c r="E17489" s="7"/>
    </row>
    <row r="17490" spans="3:5">
      <c r="C17490" s="17"/>
      <c r="D17490" s="17"/>
      <c r="E17490" s="7"/>
    </row>
    <row r="17491" spans="3:5">
      <c r="C17491" s="17"/>
      <c r="D17491" s="17"/>
      <c r="E17491" s="7"/>
    </row>
    <row r="17492" spans="3:5">
      <c r="C17492" s="17"/>
      <c r="D17492" s="17"/>
      <c r="E17492" s="7"/>
    </row>
    <row r="17493" spans="3:5">
      <c r="C17493" s="17"/>
      <c r="D17493" s="17"/>
      <c r="E17493" s="7"/>
    </row>
    <row r="17494" spans="3:5">
      <c r="C17494" s="17"/>
      <c r="D17494" s="17"/>
      <c r="E17494" s="7"/>
    </row>
    <row r="17495" spans="3:5">
      <c r="C17495" s="17"/>
      <c r="D17495" s="17"/>
      <c r="E17495" s="7"/>
    </row>
    <row r="17496" spans="3:5">
      <c r="C17496" s="17"/>
      <c r="D17496" s="17"/>
      <c r="E17496" s="7"/>
    </row>
    <row r="17497" spans="3:5">
      <c r="C17497" s="17"/>
      <c r="D17497" s="17"/>
      <c r="E17497" s="7"/>
    </row>
    <row r="17498" spans="3:5">
      <c r="C17498" s="17"/>
      <c r="D17498" s="17"/>
      <c r="E17498" s="7"/>
    </row>
    <row r="17499" spans="3:5">
      <c r="C17499" s="17"/>
      <c r="D17499" s="17"/>
      <c r="E17499" s="7"/>
    </row>
    <row r="17500" spans="3:5">
      <c r="C17500" s="17"/>
      <c r="D17500" s="17"/>
      <c r="E17500" s="7"/>
    </row>
    <row r="17501" spans="3:5">
      <c r="C17501" s="17"/>
      <c r="D17501" s="17"/>
      <c r="E17501" s="7"/>
    </row>
    <row r="17502" spans="3:5">
      <c r="C17502" s="17"/>
      <c r="D17502" s="17"/>
      <c r="E17502" s="7"/>
    </row>
    <row r="17503" spans="3:5">
      <c r="C17503" s="17"/>
      <c r="D17503" s="17"/>
      <c r="E17503" s="7"/>
    </row>
    <row r="17504" spans="3:5">
      <c r="C17504" s="17"/>
      <c r="D17504" s="17"/>
      <c r="E17504" s="7"/>
    </row>
    <row r="17505" spans="3:5">
      <c r="C17505" s="17"/>
      <c r="D17505" s="17"/>
      <c r="E17505" s="7"/>
    </row>
    <row r="17506" spans="3:5">
      <c r="C17506" s="17"/>
      <c r="D17506" s="17"/>
      <c r="E17506" s="7"/>
    </row>
    <row r="17507" spans="3:5">
      <c r="C17507" s="17"/>
      <c r="D17507" s="17"/>
      <c r="E17507" s="7"/>
    </row>
    <row r="17508" spans="3:5">
      <c r="C17508" s="17"/>
      <c r="D17508" s="17"/>
      <c r="E17508" s="7"/>
    </row>
    <row r="17509" spans="3:5">
      <c r="C17509" s="17"/>
      <c r="D17509" s="17"/>
      <c r="E17509" s="7"/>
    </row>
    <row r="17510" spans="3:5">
      <c r="C17510" s="17"/>
      <c r="D17510" s="17"/>
      <c r="E17510" s="7"/>
    </row>
    <row r="17511" spans="3:5">
      <c r="C17511" s="17"/>
      <c r="D17511" s="17"/>
      <c r="E17511" s="7"/>
    </row>
    <row r="17512" spans="3:5">
      <c r="C17512" s="17"/>
      <c r="D17512" s="17"/>
      <c r="E17512" s="7"/>
    </row>
    <row r="17513" spans="3:5">
      <c r="C17513" s="17"/>
      <c r="D17513" s="17"/>
      <c r="E17513" s="7"/>
    </row>
    <row r="17514" spans="3:5">
      <c r="C17514" s="17"/>
      <c r="D17514" s="17"/>
      <c r="E17514" s="7"/>
    </row>
    <row r="17515" spans="3:5">
      <c r="C17515" s="17"/>
      <c r="D17515" s="17"/>
      <c r="E17515" s="7"/>
    </row>
    <row r="17516" spans="3:5">
      <c r="C17516" s="17"/>
      <c r="D17516" s="17"/>
      <c r="E17516" s="7"/>
    </row>
    <row r="17517" spans="3:5">
      <c r="C17517" s="17"/>
      <c r="D17517" s="17"/>
      <c r="E17517" s="7"/>
    </row>
    <row r="17518" spans="3:5">
      <c r="C17518" s="17"/>
      <c r="D17518" s="17"/>
      <c r="E17518" s="7"/>
    </row>
    <row r="17519" spans="3:5">
      <c r="C17519" s="17"/>
      <c r="D17519" s="17"/>
      <c r="E17519" s="7"/>
    </row>
    <row r="17520" spans="3:5">
      <c r="C17520" s="17"/>
      <c r="D17520" s="17"/>
      <c r="E17520" s="7"/>
    </row>
    <row r="17521" spans="3:5">
      <c r="C17521" s="17"/>
      <c r="D17521" s="17"/>
      <c r="E17521" s="7"/>
    </row>
    <row r="17522" spans="3:5">
      <c r="C17522" s="17"/>
      <c r="D17522" s="17"/>
      <c r="E17522" s="7"/>
    </row>
    <row r="17523" spans="3:5">
      <c r="C17523" s="17"/>
      <c r="D17523" s="17"/>
      <c r="E17523" s="7"/>
    </row>
    <row r="17524" spans="3:5">
      <c r="C17524" s="17"/>
      <c r="D17524" s="17"/>
      <c r="E17524" s="7"/>
    </row>
    <row r="17525" spans="3:5">
      <c r="C17525" s="17"/>
      <c r="D17525" s="17"/>
      <c r="E17525" s="7"/>
    </row>
    <row r="17526" spans="3:5">
      <c r="C17526" s="17"/>
      <c r="D17526" s="17"/>
      <c r="E17526" s="7"/>
    </row>
    <row r="17527" spans="3:5">
      <c r="C17527" s="17"/>
      <c r="D17527" s="17"/>
      <c r="E17527" s="7"/>
    </row>
    <row r="17528" spans="3:5">
      <c r="C17528" s="17"/>
      <c r="D17528" s="17"/>
      <c r="E17528" s="7"/>
    </row>
    <row r="17529" spans="3:5">
      <c r="C17529" s="17"/>
      <c r="D17529" s="17"/>
      <c r="E17529" s="7"/>
    </row>
    <row r="17530" spans="3:5">
      <c r="C17530" s="17"/>
      <c r="D17530" s="17"/>
      <c r="E17530" s="7"/>
    </row>
    <row r="17531" spans="3:5">
      <c r="C17531" s="17"/>
      <c r="D17531" s="17"/>
      <c r="E17531" s="7"/>
    </row>
    <row r="17532" spans="3:5">
      <c r="C17532" s="17"/>
      <c r="D17532" s="17"/>
      <c r="E17532" s="7"/>
    </row>
    <row r="17533" spans="3:5">
      <c r="C17533" s="17"/>
      <c r="D17533" s="17"/>
      <c r="E17533" s="7"/>
    </row>
    <row r="17534" spans="3:5">
      <c r="C17534" s="17"/>
      <c r="D17534" s="17"/>
      <c r="E17534" s="7"/>
    </row>
    <row r="17535" spans="3:5">
      <c r="C17535" s="17"/>
      <c r="D17535" s="17"/>
      <c r="E17535" s="7"/>
    </row>
    <row r="17536" spans="3:5">
      <c r="C17536" s="17"/>
      <c r="D17536" s="17"/>
      <c r="E17536" s="7"/>
    </row>
    <row r="17537" spans="3:5">
      <c r="C17537" s="17"/>
      <c r="D17537" s="17"/>
      <c r="E17537" s="7"/>
    </row>
    <row r="17538" spans="3:5">
      <c r="C17538" s="17"/>
      <c r="D17538" s="17"/>
      <c r="E17538" s="7"/>
    </row>
    <row r="17539" spans="3:5">
      <c r="C17539" s="17"/>
      <c r="D17539" s="17"/>
      <c r="E17539" s="7"/>
    </row>
    <row r="17540" spans="3:5">
      <c r="C17540" s="17"/>
      <c r="D17540" s="17"/>
      <c r="E17540" s="7"/>
    </row>
    <row r="17541" spans="3:5">
      <c r="C17541" s="17"/>
      <c r="D17541" s="17"/>
      <c r="E17541" s="7"/>
    </row>
    <row r="17542" spans="3:5">
      <c r="C17542" s="17"/>
      <c r="D17542" s="17"/>
      <c r="E17542" s="7"/>
    </row>
    <row r="17543" spans="3:5">
      <c r="C17543" s="17"/>
      <c r="D17543" s="17"/>
      <c r="E17543" s="7"/>
    </row>
    <row r="17544" spans="3:5">
      <c r="C17544" s="17"/>
      <c r="D17544" s="17"/>
      <c r="E17544" s="7"/>
    </row>
    <row r="17545" spans="3:5">
      <c r="C17545" s="17"/>
      <c r="D17545" s="17"/>
      <c r="E17545" s="7"/>
    </row>
    <row r="17546" spans="3:5">
      <c r="C17546" s="17"/>
      <c r="D17546" s="17"/>
      <c r="E17546" s="7"/>
    </row>
    <row r="17547" spans="3:5">
      <c r="C17547" s="17"/>
      <c r="D17547" s="17"/>
      <c r="E17547" s="7"/>
    </row>
    <row r="17548" spans="3:5">
      <c r="C17548" s="17"/>
      <c r="D17548" s="17"/>
      <c r="E17548" s="7"/>
    </row>
    <row r="17549" spans="3:5">
      <c r="C17549" s="17"/>
      <c r="D17549" s="17"/>
      <c r="E17549" s="7"/>
    </row>
    <row r="17550" spans="3:5">
      <c r="C17550" s="17"/>
      <c r="D17550" s="17"/>
      <c r="E17550" s="7"/>
    </row>
    <row r="17551" spans="3:5">
      <c r="C17551" s="17"/>
      <c r="D17551" s="17"/>
      <c r="E17551" s="7"/>
    </row>
    <row r="17552" spans="3:5">
      <c r="C17552" s="17"/>
      <c r="D17552" s="17"/>
      <c r="E17552" s="7"/>
    </row>
    <row r="17553" spans="3:5">
      <c r="C17553" s="17"/>
      <c r="D17553" s="17"/>
      <c r="E17553" s="7"/>
    </row>
    <row r="17554" spans="3:5">
      <c r="C17554" s="17"/>
      <c r="D17554" s="17"/>
      <c r="E17554" s="7"/>
    </row>
    <row r="17555" spans="3:5">
      <c r="C17555" s="17"/>
      <c r="D17555" s="17"/>
      <c r="E17555" s="7"/>
    </row>
    <row r="17556" spans="3:5">
      <c r="C17556" s="17"/>
      <c r="D17556" s="17"/>
      <c r="E17556" s="7"/>
    </row>
    <row r="17557" spans="3:5">
      <c r="C17557" s="17"/>
      <c r="D17557" s="17"/>
      <c r="E17557" s="7"/>
    </row>
    <row r="17558" spans="3:5">
      <c r="C17558" s="17"/>
      <c r="D17558" s="17"/>
      <c r="E17558" s="7"/>
    </row>
    <row r="17559" spans="3:5">
      <c r="C17559" s="17"/>
      <c r="D17559" s="17"/>
      <c r="E17559" s="7"/>
    </row>
    <row r="17560" spans="3:5">
      <c r="C17560" s="17"/>
      <c r="D17560" s="17"/>
      <c r="E17560" s="7"/>
    </row>
    <row r="17561" spans="3:5">
      <c r="C17561" s="17"/>
      <c r="D17561" s="17"/>
      <c r="E17561" s="7"/>
    </row>
    <row r="17562" spans="3:5">
      <c r="C17562" s="17"/>
      <c r="D17562" s="17"/>
      <c r="E17562" s="7"/>
    </row>
    <row r="17563" spans="3:5">
      <c r="C17563" s="17"/>
      <c r="D17563" s="17"/>
      <c r="E17563" s="7"/>
    </row>
    <row r="17564" spans="3:5">
      <c r="C17564" s="17"/>
      <c r="D17564" s="17"/>
      <c r="E17564" s="7"/>
    </row>
    <row r="17565" spans="3:5">
      <c r="C17565" s="17"/>
      <c r="D17565" s="17"/>
      <c r="E17565" s="7"/>
    </row>
    <row r="17566" spans="3:5">
      <c r="C17566" s="17"/>
      <c r="D17566" s="17"/>
      <c r="E17566" s="7"/>
    </row>
    <row r="17567" spans="3:5">
      <c r="C17567" s="17"/>
      <c r="D17567" s="17"/>
      <c r="E17567" s="7"/>
    </row>
    <row r="17568" spans="3:5">
      <c r="C17568" s="17"/>
      <c r="D17568" s="17"/>
      <c r="E17568" s="7"/>
    </row>
    <row r="17569" spans="3:5">
      <c r="C17569" s="17"/>
      <c r="D17569" s="17"/>
      <c r="E17569" s="7"/>
    </row>
    <row r="17570" spans="3:5">
      <c r="C17570" s="17"/>
      <c r="D17570" s="17"/>
      <c r="E17570" s="7"/>
    </row>
    <row r="17571" spans="3:5">
      <c r="C17571" s="17"/>
      <c r="D17571" s="17"/>
      <c r="E17571" s="7"/>
    </row>
    <row r="17572" spans="3:5">
      <c r="C17572" s="17"/>
      <c r="D17572" s="17"/>
      <c r="E17572" s="7"/>
    </row>
    <row r="17573" spans="3:5">
      <c r="C17573" s="17"/>
      <c r="D17573" s="17"/>
      <c r="E17573" s="7"/>
    </row>
    <row r="17574" spans="3:5">
      <c r="C17574" s="17"/>
      <c r="D17574" s="17"/>
      <c r="E17574" s="7"/>
    </row>
    <row r="17575" spans="3:5">
      <c r="C17575" s="17"/>
      <c r="D17575" s="17"/>
      <c r="E17575" s="7"/>
    </row>
    <row r="17576" spans="3:5">
      <c r="C17576" s="17"/>
      <c r="D17576" s="17"/>
      <c r="E17576" s="7"/>
    </row>
    <row r="17577" spans="3:5">
      <c r="C17577" s="17"/>
      <c r="D17577" s="17"/>
      <c r="E17577" s="7"/>
    </row>
    <row r="17578" spans="3:5">
      <c r="C17578" s="17"/>
      <c r="D17578" s="17"/>
      <c r="E17578" s="7"/>
    </row>
    <row r="17579" spans="3:5">
      <c r="C17579" s="17"/>
      <c r="D17579" s="17"/>
      <c r="E17579" s="7"/>
    </row>
    <row r="17580" spans="3:5">
      <c r="C17580" s="17"/>
      <c r="D17580" s="17"/>
      <c r="E17580" s="7"/>
    </row>
    <row r="17581" spans="3:5">
      <c r="C17581" s="17"/>
      <c r="D17581" s="17"/>
      <c r="E17581" s="7"/>
    </row>
    <row r="17582" spans="3:5">
      <c r="C17582" s="17"/>
      <c r="D17582" s="17"/>
      <c r="E17582" s="7"/>
    </row>
    <row r="17583" spans="3:5">
      <c r="C17583" s="17"/>
      <c r="D17583" s="17"/>
      <c r="E17583" s="7"/>
    </row>
    <row r="17584" spans="3:5">
      <c r="C17584" s="17"/>
      <c r="D17584" s="17"/>
      <c r="E17584" s="7"/>
    </row>
    <row r="17585" spans="3:5">
      <c r="C17585" s="17"/>
      <c r="D17585" s="17"/>
      <c r="E17585" s="7"/>
    </row>
    <row r="17586" spans="3:5">
      <c r="C17586" s="17"/>
      <c r="D17586" s="17"/>
      <c r="E17586" s="7"/>
    </row>
    <row r="17587" spans="3:5">
      <c r="C17587" s="17"/>
      <c r="D17587" s="17"/>
      <c r="E17587" s="7"/>
    </row>
    <row r="17588" spans="3:5">
      <c r="C17588" s="17"/>
      <c r="D17588" s="17"/>
      <c r="E17588" s="7"/>
    </row>
    <row r="17589" spans="3:5">
      <c r="C17589" s="17"/>
      <c r="D17589" s="17"/>
      <c r="E17589" s="7"/>
    </row>
    <row r="17590" spans="3:5">
      <c r="C17590" s="17"/>
      <c r="D17590" s="17"/>
      <c r="E17590" s="7"/>
    </row>
    <row r="17591" spans="3:5">
      <c r="C17591" s="17"/>
      <c r="D17591" s="17"/>
      <c r="E17591" s="7"/>
    </row>
    <row r="17592" spans="3:5">
      <c r="C17592" s="17"/>
      <c r="D17592" s="17"/>
      <c r="E17592" s="7"/>
    </row>
    <row r="17593" spans="3:5">
      <c r="C17593" s="17"/>
      <c r="D17593" s="17"/>
      <c r="E17593" s="7"/>
    </row>
    <row r="17594" spans="3:5">
      <c r="C17594" s="17"/>
      <c r="D17594" s="17"/>
      <c r="E17594" s="7"/>
    </row>
    <row r="17595" spans="3:5">
      <c r="C17595" s="17"/>
      <c r="D17595" s="17"/>
      <c r="E17595" s="7"/>
    </row>
    <row r="17596" spans="3:5">
      <c r="C17596" s="17"/>
      <c r="D17596" s="17"/>
      <c r="E17596" s="7"/>
    </row>
    <row r="17597" spans="3:5">
      <c r="C17597" s="17"/>
      <c r="D17597" s="17"/>
      <c r="E17597" s="7"/>
    </row>
    <row r="17598" spans="3:5">
      <c r="C17598" s="17"/>
      <c r="D17598" s="17"/>
      <c r="E17598" s="7"/>
    </row>
    <row r="17599" spans="3:5">
      <c r="C17599" s="17"/>
      <c r="D17599" s="17"/>
      <c r="E17599" s="7"/>
    </row>
    <row r="17600" spans="3:5">
      <c r="C17600" s="17"/>
      <c r="D17600" s="17"/>
      <c r="E17600" s="7"/>
    </row>
    <row r="17601" spans="3:5">
      <c r="C17601" s="17"/>
      <c r="D17601" s="17"/>
      <c r="E17601" s="7"/>
    </row>
    <row r="17602" spans="3:5">
      <c r="C17602" s="17"/>
      <c r="D17602" s="17"/>
      <c r="E17602" s="7"/>
    </row>
    <row r="17603" spans="3:5">
      <c r="C17603" s="17"/>
      <c r="D17603" s="17"/>
      <c r="E17603" s="7"/>
    </row>
    <row r="17604" spans="3:5">
      <c r="C17604" s="17"/>
      <c r="D17604" s="17"/>
      <c r="E17604" s="7"/>
    </row>
    <row r="17605" spans="3:5">
      <c r="C17605" s="17"/>
      <c r="D17605" s="17"/>
      <c r="E17605" s="7"/>
    </row>
    <row r="17606" spans="3:5">
      <c r="C17606" s="17"/>
      <c r="D17606" s="17"/>
      <c r="E17606" s="7"/>
    </row>
    <row r="17607" spans="3:5">
      <c r="C17607" s="17"/>
      <c r="D17607" s="17"/>
      <c r="E17607" s="7"/>
    </row>
    <row r="17608" spans="3:5">
      <c r="C17608" s="17"/>
      <c r="D17608" s="17"/>
      <c r="E17608" s="7"/>
    </row>
    <row r="17609" spans="3:5">
      <c r="C17609" s="17"/>
      <c r="D17609" s="17"/>
      <c r="E17609" s="7"/>
    </row>
    <row r="17610" spans="3:5">
      <c r="C17610" s="17"/>
      <c r="D17610" s="17"/>
      <c r="E17610" s="7"/>
    </row>
    <row r="17611" spans="3:5">
      <c r="C17611" s="17"/>
      <c r="D17611" s="17"/>
      <c r="E17611" s="7"/>
    </row>
    <row r="17612" spans="3:5">
      <c r="C17612" s="17"/>
      <c r="D17612" s="17"/>
      <c r="E17612" s="7"/>
    </row>
    <row r="17613" spans="3:5">
      <c r="C17613" s="17"/>
      <c r="D17613" s="17"/>
      <c r="E17613" s="7"/>
    </row>
    <row r="17614" spans="3:5">
      <c r="C17614" s="17"/>
      <c r="D17614" s="17"/>
      <c r="E17614" s="7"/>
    </row>
    <row r="17615" spans="3:5">
      <c r="C17615" s="17"/>
      <c r="D17615" s="17"/>
      <c r="E17615" s="7"/>
    </row>
    <row r="17616" spans="3:5">
      <c r="C17616" s="17"/>
      <c r="D17616" s="17"/>
      <c r="E17616" s="7"/>
    </row>
    <row r="17617" spans="3:5">
      <c r="C17617" s="17"/>
      <c r="D17617" s="17"/>
      <c r="E17617" s="7"/>
    </row>
    <row r="17618" spans="3:5">
      <c r="C17618" s="17"/>
      <c r="D17618" s="17"/>
      <c r="E17618" s="7"/>
    </row>
    <row r="17619" spans="3:5">
      <c r="C17619" s="17"/>
      <c r="D17619" s="17"/>
      <c r="E17619" s="7"/>
    </row>
    <row r="17620" spans="3:5">
      <c r="C17620" s="17"/>
      <c r="D17620" s="17"/>
      <c r="E17620" s="7"/>
    </row>
    <row r="17621" spans="3:5">
      <c r="C17621" s="17"/>
      <c r="D17621" s="17"/>
      <c r="E17621" s="7"/>
    </row>
    <row r="17622" spans="3:5">
      <c r="C17622" s="17"/>
      <c r="D17622" s="17"/>
      <c r="E17622" s="7"/>
    </row>
    <row r="17623" spans="3:5">
      <c r="C17623" s="17"/>
      <c r="D17623" s="17"/>
      <c r="E17623" s="7"/>
    </row>
    <row r="17624" spans="3:5">
      <c r="C17624" s="17"/>
      <c r="D17624" s="17"/>
      <c r="E17624" s="7"/>
    </row>
    <row r="17625" spans="3:5">
      <c r="C17625" s="17"/>
      <c r="D17625" s="17"/>
      <c r="E17625" s="7"/>
    </row>
    <row r="17626" spans="3:5">
      <c r="C17626" s="17"/>
      <c r="D17626" s="17"/>
      <c r="E17626" s="7"/>
    </row>
    <row r="17627" spans="3:5">
      <c r="C17627" s="17"/>
      <c r="D17627" s="17"/>
      <c r="E17627" s="7"/>
    </row>
    <row r="17628" spans="3:5">
      <c r="C17628" s="17"/>
      <c r="D17628" s="17"/>
      <c r="E17628" s="7"/>
    </row>
    <row r="17629" spans="3:5">
      <c r="C17629" s="17"/>
      <c r="D17629" s="17"/>
      <c r="E17629" s="7"/>
    </row>
    <row r="17630" spans="3:5">
      <c r="C17630" s="17"/>
      <c r="D17630" s="17"/>
      <c r="E17630" s="7"/>
    </row>
    <row r="17631" spans="3:5">
      <c r="C17631" s="17"/>
      <c r="D17631" s="17"/>
      <c r="E17631" s="7"/>
    </row>
    <row r="17632" spans="3:5">
      <c r="C17632" s="17"/>
      <c r="D17632" s="17"/>
      <c r="E17632" s="7"/>
    </row>
    <row r="17633" spans="3:5">
      <c r="C17633" s="17"/>
      <c r="D17633" s="17"/>
      <c r="E17633" s="7"/>
    </row>
    <row r="17634" spans="3:5">
      <c r="C17634" s="17"/>
      <c r="D17634" s="17"/>
      <c r="E17634" s="7"/>
    </row>
    <row r="17635" spans="3:5">
      <c r="C17635" s="17"/>
      <c r="D17635" s="17"/>
      <c r="E17635" s="7"/>
    </row>
    <row r="17636" spans="3:5">
      <c r="C17636" s="17"/>
      <c r="D17636" s="17"/>
      <c r="E17636" s="7"/>
    </row>
    <row r="17637" spans="3:5">
      <c r="C17637" s="17"/>
      <c r="D17637" s="17"/>
      <c r="E17637" s="7"/>
    </row>
    <row r="17638" spans="3:5">
      <c r="C17638" s="17"/>
      <c r="D17638" s="17"/>
      <c r="E17638" s="7"/>
    </row>
    <row r="17639" spans="3:5">
      <c r="C17639" s="17"/>
      <c r="D17639" s="17"/>
      <c r="E17639" s="7"/>
    </row>
    <row r="17640" spans="3:5">
      <c r="C17640" s="17"/>
      <c r="D17640" s="17"/>
      <c r="E17640" s="7"/>
    </row>
    <row r="17641" spans="3:5">
      <c r="C17641" s="17"/>
      <c r="D17641" s="17"/>
      <c r="E17641" s="7"/>
    </row>
    <row r="17642" spans="3:5">
      <c r="C17642" s="17"/>
      <c r="D17642" s="17"/>
      <c r="E17642" s="7"/>
    </row>
    <row r="17643" spans="3:5">
      <c r="C17643" s="17"/>
      <c r="D17643" s="17"/>
      <c r="E17643" s="7"/>
    </row>
    <row r="17644" spans="3:5">
      <c r="C17644" s="17"/>
      <c r="D17644" s="17"/>
      <c r="E17644" s="7"/>
    </row>
    <row r="17645" spans="3:5">
      <c r="C17645" s="17"/>
      <c r="D17645" s="17"/>
      <c r="E17645" s="7"/>
    </row>
    <row r="17646" spans="3:5">
      <c r="C17646" s="17"/>
      <c r="D17646" s="17"/>
      <c r="E17646" s="7"/>
    </row>
    <row r="17647" spans="3:5">
      <c r="C17647" s="17"/>
      <c r="D17647" s="17"/>
      <c r="E17647" s="7"/>
    </row>
    <row r="17648" spans="3:5">
      <c r="C17648" s="17"/>
      <c r="D17648" s="17"/>
      <c r="E17648" s="7"/>
    </row>
    <row r="17649" spans="3:5">
      <c r="C17649" s="17"/>
      <c r="D17649" s="17"/>
      <c r="E17649" s="7"/>
    </row>
    <row r="17650" spans="3:5">
      <c r="C17650" s="17"/>
      <c r="D17650" s="17"/>
      <c r="E17650" s="7"/>
    </row>
    <row r="17651" spans="3:5">
      <c r="C17651" s="17"/>
      <c r="D17651" s="17"/>
      <c r="E17651" s="7"/>
    </row>
    <row r="17652" spans="3:5">
      <c r="C17652" s="17"/>
      <c r="D17652" s="17"/>
      <c r="E17652" s="7"/>
    </row>
    <row r="17653" spans="3:5">
      <c r="C17653" s="17"/>
      <c r="D17653" s="17"/>
      <c r="E17653" s="7"/>
    </row>
    <row r="17654" spans="3:5">
      <c r="C17654" s="17"/>
      <c r="D17654" s="17"/>
      <c r="E17654" s="7"/>
    </row>
    <row r="17655" spans="3:5">
      <c r="C17655" s="17"/>
      <c r="D17655" s="17"/>
      <c r="E17655" s="7"/>
    </row>
    <row r="17656" spans="3:5">
      <c r="C17656" s="17"/>
      <c r="D17656" s="17"/>
      <c r="E17656" s="7"/>
    </row>
    <row r="17657" spans="3:5">
      <c r="C17657" s="17"/>
      <c r="D17657" s="17"/>
      <c r="E17657" s="7"/>
    </row>
    <row r="17658" spans="3:5">
      <c r="C17658" s="17"/>
      <c r="D17658" s="17"/>
      <c r="E17658" s="7"/>
    </row>
    <row r="17659" spans="3:5">
      <c r="C17659" s="17"/>
      <c r="D17659" s="17"/>
      <c r="E17659" s="7"/>
    </row>
    <row r="17660" spans="3:5">
      <c r="C17660" s="17"/>
      <c r="D17660" s="17"/>
      <c r="E17660" s="7"/>
    </row>
    <row r="17661" spans="3:5">
      <c r="C17661" s="17"/>
      <c r="D17661" s="17"/>
      <c r="E17661" s="7"/>
    </row>
    <row r="17662" spans="3:5">
      <c r="C17662" s="17"/>
      <c r="D17662" s="17"/>
      <c r="E17662" s="7"/>
    </row>
    <row r="17663" spans="3:5">
      <c r="C17663" s="17"/>
      <c r="D17663" s="17"/>
      <c r="E17663" s="7"/>
    </row>
    <row r="17664" spans="3:5">
      <c r="C17664" s="17"/>
      <c r="D17664" s="17"/>
      <c r="E17664" s="7"/>
    </row>
    <row r="17665" spans="3:5">
      <c r="C17665" s="17"/>
      <c r="D17665" s="17"/>
      <c r="E17665" s="7"/>
    </row>
    <row r="17666" spans="3:5">
      <c r="C17666" s="17"/>
      <c r="D17666" s="17"/>
      <c r="E17666" s="7"/>
    </row>
    <row r="17667" spans="3:5">
      <c r="C17667" s="17"/>
      <c r="D17667" s="17"/>
      <c r="E17667" s="7"/>
    </row>
    <row r="17668" spans="3:5">
      <c r="C17668" s="17"/>
      <c r="D17668" s="17"/>
      <c r="E17668" s="7"/>
    </row>
    <row r="17669" spans="3:5">
      <c r="C17669" s="17"/>
      <c r="D17669" s="17"/>
      <c r="E17669" s="7"/>
    </row>
    <row r="17670" spans="3:5">
      <c r="C17670" s="17"/>
      <c r="D17670" s="17"/>
      <c r="E17670" s="7"/>
    </row>
    <row r="17671" spans="3:5">
      <c r="C17671" s="17"/>
      <c r="D17671" s="17"/>
      <c r="E17671" s="7"/>
    </row>
    <row r="17672" spans="3:5">
      <c r="C17672" s="17"/>
      <c r="D17672" s="17"/>
      <c r="E17672" s="7"/>
    </row>
    <row r="17673" spans="3:5">
      <c r="C17673" s="17"/>
      <c r="D17673" s="17"/>
      <c r="E17673" s="7"/>
    </row>
    <row r="17674" spans="3:5">
      <c r="C17674" s="17"/>
      <c r="D17674" s="17"/>
      <c r="E17674" s="7"/>
    </row>
    <row r="17675" spans="3:5">
      <c r="C17675" s="17"/>
      <c r="D17675" s="17"/>
      <c r="E17675" s="7"/>
    </row>
    <row r="17676" spans="3:5">
      <c r="C17676" s="17"/>
      <c r="D17676" s="17"/>
      <c r="E17676" s="7"/>
    </row>
    <row r="17677" spans="3:5">
      <c r="C17677" s="17"/>
      <c r="D17677" s="17"/>
      <c r="E17677" s="7"/>
    </row>
    <row r="17678" spans="3:5">
      <c r="C17678" s="17"/>
      <c r="D17678" s="17"/>
      <c r="E17678" s="7"/>
    </row>
    <row r="17679" spans="3:5">
      <c r="C17679" s="17"/>
      <c r="D17679" s="17"/>
      <c r="E17679" s="7"/>
    </row>
    <row r="17680" spans="3:5">
      <c r="C17680" s="17"/>
      <c r="D17680" s="17"/>
      <c r="E17680" s="7"/>
    </row>
    <row r="17681" spans="3:5">
      <c r="C17681" s="17"/>
      <c r="D17681" s="17"/>
      <c r="E17681" s="7"/>
    </row>
    <row r="17682" spans="3:5">
      <c r="C17682" s="17"/>
      <c r="D17682" s="17"/>
      <c r="E17682" s="7"/>
    </row>
    <row r="17683" spans="3:5">
      <c r="C17683" s="17"/>
      <c r="D17683" s="17"/>
      <c r="E17683" s="7"/>
    </row>
    <row r="17684" spans="3:5">
      <c r="C17684" s="17"/>
      <c r="D17684" s="17"/>
      <c r="E17684" s="7"/>
    </row>
    <row r="17685" spans="3:5">
      <c r="C17685" s="17"/>
      <c r="D17685" s="17"/>
      <c r="E17685" s="7"/>
    </row>
    <row r="17686" spans="3:5">
      <c r="C17686" s="17"/>
      <c r="D17686" s="17"/>
      <c r="E17686" s="7"/>
    </row>
    <row r="17687" spans="3:5">
      <c r="C17687" s="17"/>
      <c r="D17687" s="17"/>
      <c r="E17687" s="7"/>
    </row>
    <row r="17688" spans="3:5">
      <c r="C17688" s="17"/>
      <c r="D17688" s="17"/>
      <c r="E17688" s="7"/>
    </row>
    <row r="17689" spans="3:5">
      <c r="C17689" s="17"/>
      <c r="D17689" s="17"/>
      <c r="E17689" s="7"/>
    </row>
    <row r="17690" spans="3:5">
      <c r="C17690" s="17"/>
      <c r="D17690" s="17"/>
      <c r="E17690" s="7"/>
    </row>
    <row r="17691" spans="3:5">
      <c r="C17691" s="17"/>
      <c r="D17691" s="17"/>
      <c r="E17691" s="7"/>
    </row>
    <row r="17692" spans="3:5">
      <c r="C17692" s="17"/>
      <c r="D17692" s="17"/>
      <c r="E17692" s="7"/>
    </row>
    <row r="17693" spans="3:5">
      <c r="C17693" s="17"/>
      <c r="D17693" s="17"/>
      <c r="E17693" s="7"/>
    </row>
    <row r="17694" spans="3:5">
      <c r="C17694" s="17"/>
      <c r="D17694" s="17"/>
      <c r="E17694" s="7"/>
    </row>
    <row r="17695" spans="3:5">
      <c r="C17695" s="17"/>
      <c r="D17695" s="17"/>
      <c r="E17695" s="7"/>
    </row>
    <row r="17696" spans="3:5">
      <c r="C17696" s="17"/>
      <c r="D17696" s="17"/>
      <c r="E17696" s="7"/>
    </row>
    <row r="17697" spans="3:5">
      <c r="C17697" s="17"/>
      <c r="D17697" s="17"/>
      <c r="E17697" s="7"/>
    </row>
    <row r="17698" spans="3:5">
      <c r="C17698" s="17"/>
      <c r="D17698" s="17"/>
      <c r="E17698" s="7"/>
    </row>
    <row r="17699" spans="3:5">
      <c r="C17699" s="17"/>
      <c r="D17699" s="17"/>
      <c r="E17699" s="7"/>
    </row>
    <row r="17700" spans="3:5">
      <c r="C17700" s="17"/>
      <c r="D17700" s="17"/>
      <c r="E17700" s="7"/>
    </row>
    <row r="17701" spans="3:5">
      <c r="C17701" s="17"/>
      <c r="D17701" s="17"/>
      <c r="E17701" s="7"/>
    </row>
    <row r="17702" spans="3:5">
      <c r="C17702" s="17"/>
      <c r="D17702" s="17"/>
      <c r="E17702" s="7"/>
    </row>
    <row r="17703" spans="3:5">
      <c r="C17703" s="17"/>
      <c r="D17703" s="17"/>
      <c r="E17703" s="7"/>
    </row>
    <row r="17704" spans="3:5">
      <c r="C17704" s="17"/>
      <c r="D17704" s="17"/>
      <c r="E17704" s="7"/>
    </row>
    <row r="17705" spans="3:5">
      <c r="C17705" s="17"/>
      <c r="D17705" s="17"/>
      <c r="E17705" s="7"/>
    </row>
    <row r="17706" spans="3:5">
      <c r="C17706" s="17"/>
      <c r="D17706" s="17"/>
      <c r="E17706" s="7"/>
    </row>
    <row r="17707" spans="3:5">
      <c r="C17707" s="17"/>
      <c r="D17707" s="17"/>
      <c r="E17707" s="7"/>
    </row>
    <row r="17708" spans="3:5">
      <c r="C17708" s="17"/>
      <c r="D17708" s="17"/>
      <c r="E17708" s="7"/>
    </row>
    <row r="17709" spans="3:5">
      <c r="C17709" s="17"/>
      <c r="D17709" s="17"/>
      <c r="E17709" s="7"/>
    </row>
    <row r="17710" spans="3:5">
      <c r="C17710" s="17"/>
      <c r="D17710" s="17"/>
      <c r="E17710" s="7"/>
    </row>
    <row r="17711" spans="3:5">
      <c r="C17711" s="17"/>
      <c r="D17711" s="17"/>
      <c r="E17711" s="7"/>
    </row>
    <row r="17712" spans="3:5">
      <c r="C17712" s="17"/>
      <c r="D17712" s="17"/>
      <c r="E17712" s="7"/>
    </row>
    <row r="17713" spans="3:5">
      <c r="C17713" s="17"/>
      <c r="D17713" s="17"/>
      <c r="E17713" s="7"/>
    </row>
    <row r="17714" spans="3:5">
      <c r="C17714" s="17"/>
      <c r="D17714" s="17"/>
      <c r="E17714" s="7"/>
    </row>
    <row r="17715" spans="3:5">
      <c r="C17715" s="17"/>
      <c r="D17715" s="17"/>
      <c r="E17715" s="7"/>
    </row>
    <row r="17716" spans="3:5">
      <c r="C17716" s="17"/>
      <c r="D17716" s="17"/>
      <c r="E17716" s="7"/>
    </row>
    <row r="17717" spans="3:5">
      <c r="C17717" s="17"/>
      <c r="D17717" s="17"/>
      <c r="E17717" s="7"/>
    </row>
    <row r="17718" spans="3:5">
      <c r="C17718" s="17"/>
      <c r="D17718" s="17"/>
      <c r="E17718" s="7"/>
    </row>
    <row r="17719" spans="3:5">
      <c r="C17719" s="17"/>
      <c r="D17719" s="17"/>
      <c r="E17719" s="7"/>
    </row>
    <row r="17720" spans="3:5">
      <c r="C17720" s="17"/>
      <c r="D17720" s="17"/>
      <c r="E17720" s="7"/>
    </row>
    <row r="17721" spans="3:5">
      <c r="C17721" s="17"/>
      <c r="D17721" s="17"/>
      <c r="E17721" s="7"/>
    </row>
    <row r="17722" spans="3:5">
      <c r="C17722" s="17"/>
      <c r="D17722" s="17"/>
      <c r="E17722" s="7"/>
    </row>
    <row r="17723" spans="3:5">
      <c r="C17723" s="17"/>
      <c r="D17723" s="17"/>
      <c r="E17723" s="7"/>
    </row>
    <row r="17724" spans="3:5">
      <c r="C17724" s="17"/>
      <c r="D17724" s="17"/>
      <c r="E17724" s="7"/>
    </row>
    <row r="17725" spans="3:5">
      <c r="C17725" s="17"/>
      <c r="D17725" s="17"/>
      <c r="E17725" s="7"/>
    </row>
    <row r="17726" spans="3:5">
      <c r="C17726" s="17"/>
      <c r="D17726" s="17"/>
      <c r="E17726" s="7"/>
    </row>
    <row r="17727" spans="3:5">
      <c r="C17727" s="17"/>
      <c r="D17727" s="17"/>
      <c r="E17727" s="7"/>
    </row>
    <row r="17728" spans="3:5">
      <c r="C17728" s="17"/>
      <c r="D17728" s="17"/>
      <c r="E17728" s="7"/>
    </row>
    <row r="17729" spans="3:5">
      <c r="C17729" s="17"/>
      <c r="D17729" s="17"/>
      <c r="E17729" s="7"/>
    </row>
    <row r="17730" spans="3:5">
      <c r="C17730" s="17"/>
      <c r="D17730" s="17"/>
      <c r="E17730" s="7"/>
    </row>
    <row r="17731" spans="3:5">
      <c r="C17731" s="17"/>
      <c r="D17731" s="17"/>
      <c r="E17731" s="7"/>
    </row>
    <row r="17732" spans="3:5">
      <c r="C17732" s="17"/>
      <c r="D17732" s="17"/>
      <c r="E17732" s="7"/>
    </row>
    <row r="17733" spans="3:5">
      <c r="C17733" s="17"/>
      <c r="D17733" s="17"/>
      <c r="E17733" s="7"/>
    </row>
    <row r="17734" spans="3:5">
      <c r="C17734" s="17"/>
      <c r="D17734" s="17"/>
      <c r="E17734" s="7"/>
    </row>
    <row r="17735" spans="3:5">
      <c r="C17735" s="17"/>
      <c r="D17735" s="17"/>
      <c r="E17735" s="7"/>
    </row>
    <row r="17736" spans="3:5">
      <c r="C17736" s="17"/>
      <c r="D17736" s="17"/>
      <c r="E17736" s="7"/>
    </row>
    <row r="17737" spans="3:5">
      <c r="C17737" s="17"/>
      <c r="D17737" s="17"/>
      <c r="E17737" s="7"/>
    </row>
    <row r="17738" spans="3:5">
      <c r="C17738" s="17"/>
      <c r="D17738" s="17"/>
      <c r="E17738" s="7"/>
    </row>
    <row r="17739" spans="3:5">
      <c r="C17739" s="17"/>
      <c r="D17739" s="17"/>
      <c r="E17739" s="7"/>
    </row>
    <row r="17740" spans="3:5">
      <c r="C17740" s="17"/>
      <c r="D17740" s="17"/>
      <c r="E17740" s="7"/>
    </row>
    <row r="17741" spans="3:5">
      <c r="C17741" s="17"/>
      <c r="D17741" s="17"/>
      <c r="E17741" s="7"/>
    </row>
    <row r="17742" spans="3:5">
      <c r="C17742" s="17"/>
      <c r="D17742" s="17"/>
      <c r="E17742" s="7"/>
    </row>
    <row r="17743" spans="3:5">
      <c r="C17743" s="17"/>
      <c r="D17743" s="17"/>
      <c r="E17743" s="7"/>
    </row>
    <row r="17744" spans="3:5">
      <c r="C17744" s="17"/>
      <c r="D17744" s="17"/>
      <c r="E17744" s="7"/>
    </row>
    <row r="17745" spans="3:5">
      <c r="C17745" s="17"/>
      <c r="D17745" s="17"/>
      <c r="E17745" s="7"/>
    </row>
    <row r="17746" spans="3:5">
      <c r="C17746" s="17"/>
      <c r="D17746" s="17"/>
      <c r="E17746" s="7"/>
    </row>
    <row r="17747" spans="3:5">
      <c r="C17747" s="17"/>
      <c r="D17747" s="17"/>
      <c r="E17747" s="7"/>
    </row>
    <row r="17748" spans="3:5">
      <c r="C17748" s="17"/>
      <c r="D17748" s="17"/>
      <c r="E17748" s="7"/>
    </row>
    <row r="17749" spans="3:5">
      <c r="C17749" s="17"/>
      <c r="D17749" s="17"/>
      <c r="E17749" s="7"/>
    </row>
    <row r="17750" spans="3:5">
      <c r="C17750" s="17"/>
      <c r="D17750" s="17"/>
      <c r="E17750" s="7"/>
    </row>
    <row r="17751" spans="3:5">
      <c r="C17751" s="17"/>
      <c r="D17751" s="17"/>
      <c r="E17751" s="7"/>
    </row>
    <row r="17752" spans="3:5">
      <c r="C17752" s="17"/>
      <c r="D17752" s="17"/>
      <c r="E17752" s="7"/>
    </row>
    <row r="17753" spans="3:5">
      <c r="C17753" s="17"/>
      <c r="D17753" s="17"/>
      <c r="E17753" s="7"/>
    </row>
    <row r="17754" spans="3:5">
      <c r="C17754" s="17"/>
      <c r="D17754" s="17"/>
      <c r="E17754" s="7"/>
    </row>
    <row r="17755" spans="3:5">
      <c r="C17755" s="17"/>
      <c r="D17755" s="17"/>
      <c r="E17755" s="7"/>
    </row>
    <row r="17756" spans="3:5">
      <c r="C17756" s="17"/>
      <c r="D17756" s="17"/>
      <c r="E17756" s="7"/>
    </row>
    <row r="17757" spans="3:5">
      <c r="C17757" s="17"/>
      <c r="D17757" s="17"/>
      <c r="E17757" s="7"/>
    </row>
    <row r="17758" spans="3:5">
      <c r="C17758" s="17"/>
      <c r="D17758" s="17"/>
      <c r="E17758" s="7"/>
    </row>
    <row r="17759" spans="3:5">
      <c r="C17759" s="17"/>
      <c r="D17759" s="17"/>
      <c r="E17759" s="7"/>
    </row>
    <row r="17760" spans="3:5">
      <c r="C17760" s="17"/>
      <c r="D17760" s="17"/>
      <c r="E17760" s="7"/>
    </row>
    <row r="17761" spans="3:5">
      <c r="C17761" s="17"/>
      <c r="D17761" s="17"/>
      <c r="E17761" s="7"/>
    </row>
    <row r="17762" spans="3:5">
      <c r="C17762" s="17"/>
      <c r="D17762" s="17"/>
      <c r="E17762" s="7"/>
    </row>
    <row r="17763" spans="3:5">
      <c r="C17763" s="17"/>
      <c r="D17763" s="17"/>
      <c r="E17763" s="7"/>
    </row>
    <row r="17764" spans="3:5">
      <c r="C17764" s="17"/>
      <c r="D17764" s="17"/>
      <c r="E17764" s="7"/>
    </row>
    <row r="17765" spans="3:5">
      <c r="C17765" s="17"/>
      <c r="D17765" s="17"/>
      <c r="E17765" s="7"/>
    </row>
    <row r="17766" spans="3:5">
      <c r="C17766" s="17"/>
      <c r="D17766" s="17"/>
      <c r="E17766" s="7"/>
    </row>
    <row r="17767" spans="3:5">
      <c r="C17767" s="17"/>
      <c r="D17767" s="17"/>
      <c r="E17767" s="7"/>
    </row>
    <row r="17768" spans="3:5">
      <c r="C17768" s="17"/>
      <c r="D17768" s="17"/>
      <c r="E17768" s="7"/>
    </row>
    <row r="17769" spans="3:5">
      <c r="C17769" s="17"/>
      <c r="D17769" s="17"/>
      <c r="E17769" s="7"/>
    </row>
    <row r="17770" spans="3:5">
      <c r="C17770" s="17"/>
      <c r="D17770" s="17"/>
      <c r="E17770" s="7"/>
    </row>
    <row r="17771" spans="3:5">
      <c r="C17771" s="17"/>
      <c r="D17771" s="17"/>
      <c r="E17771" s="7"/>
    </row>
    <row r="17772" spans="3:5">
      <c r="C17772" s="17"/>
      <c r="D17772" s="17"/>
      <c r="E17772" s="7"/>
    </row>
    <row r="17773" spans="3:5">
      <c r="C17773" s="17"/>
      <c r="D17773" s="17"/>
      <c r="E17773" s="7"/>
    </row>
    <row r="17774" spans="3:5">
      <c r="C17774" s="17"/>
      <c r="D17774" s="17"/>
      <c r="E17774" s="7"/>
    </row>
    <row r="17775" spans="3:5">
      <c r="C17775" s="17"/>
      <c r="D17775" s="17"/>
      <c r="E17775" s="7"/>
    </row>
    <row r="17776" spans="3:5">
      <c r="C17776" s="17"/>
      <c r="D17776" s="17"/>
      <c r="E17776" s="7"/>
    </row>
    <row r="17777" spans="3:5">
      <c r="C17777" s="17"/>
      <c r="D17777" s="17"/>
      <c r="E17777" s="7"/>
    </row>
    <row r="17778" spans="3:5">
      <c r="C17778" s="17"/>
      <c r="D17778" s="17"/>
      <c r="E17778" s="7"/>
    </row>
    <row r="17779" spans="3:5">
      <c r="C17779" s="17"/>
      <c r="D17779" s="17"/>
      <c r="E17779" s="7"/>
    </row>
    <row r="17780" spans="3:5">
      <c r="C17780" s="17"/>
      <c r="D17780" s="17"/>
      <c r="E17780" s="7"/>
    </row>
    <row r="17781" spans="3:5">
      <c r="C17781" s="17"/>
      <c r="D17781" s="17"/>
      <c r="E17781" s="7"/>
    </row>
    <row r="17782" spans="3:5">
      <c r="C17782" s="17"/>
      <c r="D17782" s="17"/>
      <c r="E17782" s="7"/>
    </row>
    <row r="17783" spans="3:5">
      <c r="C17783" s="17"/>
      <c r="D17783" s="17"/>
      <c r="E17783" s="7"/>
    </row>
    <row r="17784" spans="3:5">
      <c r="C17784" s="17"/>
      <c r="D17784" s="17"/>
      <c r="E17784" s="7"/>
    </row>
    <row r="17785" spans="3:5">
      <c r="C17785" s="17"/>
      <c r="D17785" s="17"/>
      <c r="E17785" s="7"/>
    </row>
    <row r="17786" spans="3:5">
      <c r="C17786" s="17"/>
      <c r="D17786" s="17"/>
      <c r="E17786" s="7"/>
    </row>
    <row r="17787" spans="3:5">
      <c r="C17787" s="17"/>
      <c r="D17787" s="17"/>
      <c r="E17787" s="7"/>
    </row>
    <row r="17788" spans="3:5">
      <c r="C17788" s="17"/>
      <c r="D17788" s="17"/>
      <c r="E17788" s="7"/>
    </row>
    <row r="17789" spans="3:5">
      <c r="C17789" s="17"/>
      <c r="D17789" s="17"/>
      <c r="E17789" s="7"/>
    </row>
    <row r="17790" spans="3:5">
      <c r="C17790" s="17"/>
      <c r="D17790" s="17"/>
      <c r="E17790" s="7"/>
    </row>
    <row r="17791" spans="3:5">
      <c r="C17791" s="17"/>
      <c r="D17791" s="17"/>
      <c r="E17791" s="7"/>
    </row>
    <row r="17792" spans="3:5">
      <c r="C17792" s="17"/>
      <c r="D17792" s="17"/>
      <c r="E17792" s="7"/>
    </row>
    <row r="17793" spans="3:5">
      <c r="C17793" s="17"/>
      <c r="D17793" s="17"/>
      <c r="E17793" s="7"/>
    </row>
    <row r="17794" spans="3:5">
      <c r="C17794" s="17"/>
      <c r="D17794" s="17"/>
      <c r="E17794" s="7"/>
    </row>
    <row r="17795" spans="3:5">
      <c r="C17795" s="17"/>
      <c r="D17795" s="17"/>
      <c r="E17795" s="7"/>
    </row>
    <row r="17796" spans="3:5">
      <c r="C17796" s="17"/>
      <c r="D17796" s="17"/>
      <c r="E17796" s="7"/>
    </row>
    <row r="17797" spans="3:5">
      <c r="C17797" s="17"/>
      <c r="D17797" s="17"/>
      <c r="E17797" s="7"/>
    </row>
    <row r="17798" spans="3:5">
      <c r="C17798" s="17"/>
      <c r="D17798" s="17"/>
      <c r="E17798" s="7"/>
    </row>
    <row r="17799" spans="3:5">
      <c r="C17799" s="17"/>
      <c r="D17799" s="17"/>
      <c r="E17799" s="7"/>
    </row>
    <row r="17800" spans="3:5">
      <c r="C17800" s="17"/>
      <c r="D17800" s="17"/>
      <c r="E17800" s="7"/>
    </row>
    <row r="17801" spans="3:5">
      <c r="C17801" s="17"/>
      <c r="D17801" s="17"/>
      <c r="E17801" s="7"/>
    </row>
    <row r="17802" spans="3:5">
      <c r="C17802" s="17"/>
      <c r="D17802" s="17"/>
      <c r="E17802" s="7"/>
    </row>
    <row r="17803" spans="3:5">
      <c r="C17803" s="17"/>
      <c r="D17803" s="17"/>
      <c r="E17803" s="7"/>
    </row>
    <row r="17804" spans="3:5">
      <c r="C17804" s="17"/>
      <c r="D17804" s="17"/>
      <c r="E17804" s="7"/>
    </row>
    <row r="17805" spans="3:5">
      <c r="C17805" s="17"/>
      <c r="D17805" s="17"/>
      <c r="E17805" s="7"/>
    </row>
    <row r="17806" spans="3:5">
      <c r="C17806" s="17"/>
      <c r="D17806" s="17"/>
      <c r="E17806" s="7"/>
    </row>
    <row r="17807" spans="3:5">
      <c r="C17807" s="17"/>
      <c r="D17807" s="17"/>
      <c r="E17807" s="7"/>
    </row>
    <row r="17808" spans="3:5">
      <c r="C17808" s="17"/>
      <c r="D17808" s="17"/>
      <c r="E17808" s="7"/>
    </row>
    <row r="17809" spans="3:5">
      <c r="C17809" s="17"/>
      <c r="D17809" s="17"/>
      <c r="E17809" s="7"/>
    </row>
    <row r="17810" spans="3:5">
      <c r="C17810" s="17"/>
      <c r="D17810" s="17"/>
      <c r="E17810" s="7"/>
    </row>
    <row r="17811" spans="3:5">
      <c r="C17811" s="17"/>
      <c r="D17811" s="17"/>
      <c r="E17811" s="7"/>
    </row>
    <row r="17812" spans="3:5">
      <c r="C17812" s="17"/>
      <c r="D17812" s="17"/>
      <c r="E17812" s="7"/>
    </row>
    <row r="17813" spans="3:5">
      <c r="C17813" s="17"/>
      <c r="D17813" s="17"/>
      <c r="E17813" s="7"/>
    </row>
    <row r="17814" spans="3:5">
      <c r="C17814" s="17"/>
      <c r="D17814" s="17"/>
      <c r="E17814" s="7"/>
    </row>
    <row r="17815" spans="3:5">
      <c r="C17815" s="17"/>
      <c r="D17815" s="17"/>
      <c r="E17815" s="7"/>
    </row>
    <row r="17816" spans="3:5">
      <c r="C17816" s="17"/>
      <c r="D17816" s="17"/>
      <c r="E17816" s="7"/>
    </row>
    <row r="17817" spans="3:5">
      <c r="C17817" s="17"/>
      <c r="D17817" s="17"/>
      <c r="E17817" s="7"/>
    </row>
    <row r="17818" spans="3:5">
      <c r="C17818" s="17"/>
      <c r="D17818" s="17"/>
      <c r="E17818" s="7"/>
    </row>
    <row r="17819" spans="3:5">
      <c r="C17819" s="17"/>
      <c r="D17819" s="17"/>
      <c r="E17819" s="7"/>
    </row>
    <row r="17820" spans="3:5">
      <c r="C17820" s="17"/>
      <c r="D17820" s="17"/>
      <c r="E17820" s="7"/>
    </row>
    <row r="17821" spans="3:5">
      <c r="C17821" s="17"/>
      <c r="D17821" s="17"/>
      <c r="E17821" s="7"/>
    </row>
    <row r="17822" spans="3:5">
      <c r="C17822" s="17"/>
      <c r="D17822" s="17"/>
      <c r="E17822" s="7"/>
    </row>
    <row r="17823" spans="3:5">
      <c r="C17823" s="17"/>
      <c r="D17823" s="17"/>
      <c r="E17823" s="7"/>
    </row>
    <row r="17824" spans="3:5">
      <c r="C17824" s="17"/>
      <c r="D17824" s="17"/>
      <c r="E17824" s="7"/>
    </row>
    <row r="17825" spans="3:5">
      <c r="C17825" s="17"/>
      <c r="D17825" s="17"/>
      <c r="E17825" s="7"/>
    </row>
    <row r="17826" spans="3:5">
      <c r="C17826" s="17"/>
      <c r="D17826" s="17"/>
      <c r="E17826" s="7"/>
    </row>
    <row r="17827" spans="3:5">
      <c r="C17827" s="17"/>
      <c r="D17827" s="17"/>
      <c r="E17827" s="7"/>
    </row>
    <row r="17828" spans="3:5">
      <c r="C17828" s="17"/>
      <c r="D17828" s="17"/>
      <c r="E17828" s="7"/>
    </row>
    <row r="17829" spans="3:5">
      <c r="C17829" s="17"/>
      <c r="D17829" s="17"/>
      <c r="E17829" s="7"/>
    </row>
    <row r="17830" spans="3:5">
      <c r="C17830" s="17"/>
      <c r="D17830" s="17"/>
      <c r="E17830" s="7"/>
    </row>
    <row r="17831" spans="3:5">
      <c r="C17831" s="17"/>
      <c r="D17831" s="17"/>
      <c r="E17831" s="7"/>
    </row>
    <row r="17832" spans="3:5">
      <c r="C17832" s="17"/>
      <c r="D17832" s="17"/>
      <c r="E17832" s="7"/>
    </row>
    <row r="17833" spans="3:5">
      <c r="C17833" s="17"/>
      <c r="D17833" s="17"/>
      <c r="E17833" s="7"/>
    </row>
    <row r="17834" spans="3:5">
      <c r="C17834" s="17"/>
      <c r="D17834" s="17"/>
      <c r="E17834" s="7"/>
    </row>
    <row r="17835" spans="3:5">
      <c r="C17835" s="17"/>
      <c r="D17835" s="17"/>
      <c r="E17835" s="7"/>
    </row>
    <row r="17836" spans="3:5">
      <c r="C17836" s="17"/>
      <c r="D17836" s="17"/>
      <c r="E17836" s="7"/>
    </row>
    <row r="17837" spans="3:5">
      <c r="C17837" s="17"/>
      <c r="D17837" s="17"/>
      <c r="E17837" s="7"/>
    </row>
    <row r="17838" spans="3:5">
      <c r="C17838" s="17"/>
      <c r="D17838" s="17"/>
      <c r="E17838" s="7"/>
    </row>
    <row r="17839" spans="3:5">
      <c r="C17839" s="17"/>
      <c r="D17839" s="17"/>
      <c r="E17839" s="7"/>
    </row>
    <row r="17840" spans="3:5">
      <c r="C17840" s="17"/>
      <c r="D17840" s="17"/>
      <c r="E17840" s="7"/>
    </row>
    <row r="17841" spans="3:5">
      <c r="C17841" s="17"/>
      <c r="D17841" s="17"/>
      <c r="E17841" s="7"/>
    </row>
    <row r="17842" spans="3:5">
      <c r="C17842" s="17"/>
      <c r="D17842" s="17"/>
      <c r="E17842" s="7"/>
    </row>
    <row r="17843" spans="3:5">
      <c r="C17843" s="17"/>
      <c r="D17843" s="17"/>
      <c r="E17843" s="7"/>
    </row>
    <row r="17844" spans="3:5">
      <c r="C17844" s="17"/>
      <c r="D17844" s="17"/>
      <c r="E17844" s="7"/>
    </row>
    <row r="17845" spans="3:5">
      <c r="C17845" s="17"/>
      <c r="D17845" s="17"/>
      <c r="E17845" s="7"/>
    </row>
    <row r="17846" spans="3:5">
      <c r="C17846" s="17"/>
      <c r="D17846" s="17"/>
      <c r="E17846" s="7"/>
    </row>
    <row r="17847" spans="3:5">
      <c r="C17847" s="17"/>
      <c r="D17847" s="17"/>
      <c r="E17847" s="7"/>
    </row>
    <row r="17848" spans="3:5">
      <c r="C17848" s="17"/>
      <c r="D17848" s="17"/>
      <c r="E17848" s="7"/>
    </row>
    <row r="17849" spans="3:5">
      <c r="C17849" s="17"/>
      <c r="D17849" s="17"/>
      <c r="E17849" s="7"/>
    </row>
    <row r="17850" spans="3:5">
      <c r="C17850" s="17"/>
      <c r="D17850" s="17"/>
      <c r="E17850" s="7"/>
    </row>
    <row r="17851" spans="3:5">
      <c r="C17851" s="17"/>
      <c r="D17851" s="17"/>
      <c r="E17851" s="7"/>
    </row>
    <row r="17852" spans="3:5">
      <c r="C17852" s="17"/>
      <c r="D17852" s="17"/>
      <c r="E17852" s="7"/>
    </row>
    <row r="17853" spans="3:5">
      <c r="C17853" s="17"/>
      <c r="D17853" s="17"/>
      <c r="E17853" s="7"/>
    </row>
    <row r="17854" spans="3:5">
      <c r="C17854" s="17"/>
      <c r="D17854" s="17"/>
      <c r="E17854" s="7"/>
    </row>
    <row r="17855" spans="3:5">
      <c r="C17855" s="17"/>
      <c r="D17855" s="17"/>
      <c r="E17855" s="7"/>
    </row>
    <row r="17856" spans="3:5">
      <c r="C17856" s="17"/>
      <c r="D17856" s="17"/>
      <c r="E17856" s="7"/>
    </row>
    <row r="17857" spans="3:5">
      <c r="C17857" s="17"/>
      <c r="D17857" s="17"/>
      <c r="E17857" s="7"/>
    </row>
    <row r="17858" spans="3:5">
      <c r="C17858" s="17"/>
      <c r="D17858" s="17"/>
      <c r="E17858" s="7"/>
    </row>
    <row r="17859" spans="3:5">
      <c r="C17859" s="17"/>
      <c r="D17859" s="17"/>
      <c r="E17859" s="7"/>
    </row>
    <row r="17860" spans="3:5">
      <c r="C17860" s="17"/>
      <c r="D17860" s="17"/>
      <c r="E17860" s="7"/>
    </row>
    <row r="17861" spans="3:5">
      <c r="C17861" s="17"/>
      <c r="D17861" s="17"/>
      <c r="E17861" s="7"/>
    </row>
    <row r="17862" spans="3:5">
      <c r="C17862" s="17"/>
      <c r="D17862" s="17"/>
      <c r="E17862" s="7"/>
    </row>
    <row r="17863" spans="3:5">
      <c r="C17863" s="17"/>
      <c r="D17863" s="17"/>
      <c r="E17863" s="7"/>
    </row>
    <row r="17864" spans="3:5">
      <c r="C17864" s="17"/>
      <c r="D17864" s="17"/>
      <c r="E17864" s="7"/>
    </row>
    <row r="17865" spans="3:5">
      <c r="C17865" s="17"/>
      <c r="D17865" s="17"/>
      <c r="E17865" s="7"/>
    </row>
    <row r="17866" spans="3:5">
      <c r="C17866" s="17"/>
      <c r="D17866" s="17"/>
      <c r="E17866" s="7"/>
    </row>
    <row r="17867" spans="3:5">
      <c r="C17867" s="17"/>
      <c r="D17867" s="17"/>
      <c r="E17867" s="7"/>
    </row>
    <row r="17868" spans="3:5">
      <c r="C17868" s="17"/>
      <c r="D17868" s="17"/>
      <c r="E17868" s="7"/>
    </row>
    <row r="17869" spans="3:5">
      <c r="C17869" s="17"/>
      <c r="D17869" s="17"/>
      <c r="E17869" s="7"/>
    </row>
    <row r="17870" spans="3:5">
      <c r="C17870" s="17"/>
      <c r="D17870" s="17"/>
      <c r="E17870" s="7"/>
    </row>
    <row r="17871" spans="3:5">
      <c r="C17871" s="17"/>
      <c r="D17871" s="17"/>
      <c r="E17871" s="7"/>
    </row>
    <row r="17872" spans="3:5">
      <c r="C17872" s="17"/>
      <c r="D17872" s="17"/>
      <c r="E17872" s="7"/>
    </row>
    <row r="17873" spans="3:5">
      <c r="C17873" s="17"/>
      <c r="D17873" s="17"/>
      <c r="E17873" s="7"/>
    </row>
    <row r="17874" spans="3:5">
      <c r="C17874" s="17"/>
      <c r="D17874" s="17"/>
      <c r="E17874" s="7"/>
    </row>
    <row r="17875" spans="3:5">
      <c r="C17875" s="17"/>
      <c r="D17875" s="17"/>
      <c r="E17875" s="7"/>
    </row>
    <row r="17876" spans="3:5">
      <c r="C17876" s="17"/>
      <c r="D17876" s="17"/>
      <c r="E17876" s="7"/>
    </row>
    <row r="17877" spans="3:5">
      <c r="C17877" s="17"/>
      <c r="D17877" s="17"/>
      <c r="E17877" s="7"/>
    </row>
    <row r="17878" spans="3:5">
      <c r="C17878" s="17"/>
      <c r="D17878" s="17"/>
      <c r="E17878" s="7"/>
    </row>
    <row r="17879" spans="3:5">
      <c r="C17879" s="17"/>
      <c r="D17879" s="17"/>
      <c r="E17879" s="7"/>
    </row>
    <row r="17880" spans="3:5">
      <c r="C17880" s="17"/>
      <c r="D17880" s="17"/>
      <c r="E17880" s="7"/>
    </row>
    <row r="17881" spans="3:5">
      <c r="C17881" s="17"/>
      <c r="D17881" s="17"/>
      <c r="E17881" s="7"/>
    </row>
    <row r="17882" spans="3:5">
      <c r="C17882" s="17"/>
      <c r="D17882" s="17"/>
      <c r="E17882" s="7"/>
    </row>
    <row r="17883" spans="3:5">
      <c r="C17883" s="17"/>
      <c r="D17883" s="17"/>
      <c r="E17883" s="7"/>
    </row>
    <row r="17884" spans="3:5">
      <c r="C17884" s="17"/>
      <c r="D17884" s="17"/>
      <c r="E17884" s="7"/>
    </row>
    <row r="17885" spans="3:5">
      <c r="C17885" s="17"/>
      <c r="D17885" s="17"/>
      <c r="E17885" s="7"/>
    </row>
    <row r="17886" spans="3:5">
      <c r="C17886" s="17"/>
      <c r="D17886" s="17"/>
      <c r="E17886" s="7"/>
    </row>
    <row r="17887" spans="3:5">
      <c r="C17887" s="17"/>
      <c r="D17887" s="17"/>
      <c r="E17887" s="7"/>
    </row>
    <row r="17888" spans="3:5">
      <c r="C17888" s="17"/>
      <c r="D17888" s="17"/>
      <c r="E17888" s="7"/>
    </row>
    <row r="17889" spans="3:5">
      <c r="C17889" s="17"/>
      <c r="D17889" s="17"/>
      <c r="E17889" s="7"/>
    </row>
    <row r="17890" spans="3:5">
      <c r="C17890" s="17"/>
      <c r="D17890" s="17"/>
      <c r="E17890" s="7"/>
    </row>
    <row r="17891" spans="3:5">
      <c r="C17891" s="17"/>
      <c r="D17891" s="17"/>
      <c r="E17891" s="7"/>
    </row>
    <row r="17892" spans="3:5">
      <c r="C17892" s="17"/>
      <c r="D17892" s="17"/>
      <c r="E17892" s="7"/>
    </row>
    <row r="17893" spans="3:5">
      <c r="C17893" s="17"/>
      <c r="D17893" s="17"/>
      <c r="E17893" s="7"/>
    </row>
    <row r="17894" spans="3:5">
      <c r="C17894" s="17"/>
      <c r="D17894" s="17"/>
      <c r="E17894" s="7"/>
    </row>
    <row r="17895" spans="3:5">
      <c r="C17895" s="17"/>
      <c r="D17895" s="17"/>
      <c r="E17895" s="7"/>
    </row>
    <row r="17896" spans="3:5">
      <c r="C17896" s="17"/>
      <c r="D17896" s="17"/>
      <c r="E17896" s="7"/>
    </row>
    <row r="17897" spans="3:5">
      <c r="C17897" s="17"/>
      <c r="D17897" s="17"/>
      <c r="E17897" s="7"/>
    </row>
    <row r="17898" spans="3:5">
      <c r="C17898" s="17"/>
      <c r="D17898" s="17"/>
      <c r="E17898" s="7"/>
    </row>
    <row r="17899" spans="3:5">
      <c r="C17899" s="17"/>
      <c r="D17899" s="17"/>
      <c r="E17899" s="7"/>
    </row>
    <row r="17900" spans="3:5">
      <c r="C17900" s="17"/>
      <c r="D17900" s="17"/>
      <c r="E17900" s="7"/>
    </row>
    <row r="17901" spans="3:5">
      <c r="C17901" s="17"/>
      <c r="D17901" s="17"/>
      <c r="E17901" s="7"/>
    </row>
    <row r="17902" spans="3:5">
      <c r="C17902" s="17"/>
      <c r="D17902" s="17"/>
      <c r="E17902" s="7"/>
    </row>
    <row r="17903" spans="3:5">
      <c r="C17903" s="17"/>
      <c r="D17903" s="17"/>
      <c r="E17903" s="7"/>
    </row>
    <row r="17904" spans="3:5">
      <c r="C17904" s="17"/>
      <c r="D17904" s="17"/>
      <c r="E17904" s="7"/>
    </row>
    <row r="17905" spans="3:5">
      <c r="C17905" s="17"/>
      <c r="D17905" s="17"/>
      <c r="E17905" s="7"/>
    </row>
    <row r="17906" spans="3:5">
      <c r="C17906" s="17"/>
      <c r="D17906" s="17"/>
      <c r="E17906" s="7"/>
    </row>
    <row r="17907" spans="3:5">
      <c r="C17907" s="17"/>
      <c r="D17907" s="17"/>
      <c r="E17907" s="7"/>
    </row>
    <row r="17908" spans="3:5">
      <c r="C17908" s="17"/>
      <c r="D17908" s="17"/>
      <c r="E17908" s="7"/>
    </row>
    <row r="17909" spans="3:5">
      <c r="C17909" s="17"/>
      <c r="D17909" s="17"/>
      <c r="E17909" s="7"/>
    </row>
    <row r="17910" spans="3:5">
      <c r="C17910" s="17"/>
      <c r="D17910" s="17"/>
      <c r="E17910" s="7"/>
    </row>
    <row r="17911" spans="3:5">
      <c r="C17911" s="17"/>
      <c r="D17911" s="17"/>
      <c r="E17911" s="7"/>
    </row>
    <row r="17912" spans="3:5">
      <c r="C17912" s="17"/>
      <c r="D17912" s="17"/>
      <c r="E17912" s="7"/>
    </row>
    <row r="17913" spans="3:5">
      <c r="C17913" s="17"/>
      <c r="D17913" s="17"/>
      <c r="E17913" s="7"/>
    </row>
    <row r="17914" spans="3:5">
      <c r="C17914" s="17"/>
      <c r="D17914" s="17"/>
      <c r="E17914" s="7"/>
    </row>
    <row r="17915" spans="3:5">
      <c r="C17915" s="17"/>
      <c r="D17915" s="17"/>
      <c r="E17915" s="7"/>
    </row>
    <row r="17916" spans="3:5">
      <c r="C17916" s="17"/>
      <c r="D17916" s="17"/>
      <c r="E17916" s="7"/>
    </row>
    <row r="17917" spans="3:5">
      <c r="C17917" s="17"/>
      <c r="D17917" s="17"/>
      <c r="E17917" s="7"/>
    </row>
    <row r="17918" spans="3:5">
      <c r="C17918" s="17"/>
      <c r="D17918" s="17"/>
      <c r="E17918" s="7"/>
    </row>
    <row r="17919" spans="3:5">
      <c r="C17919" s="17"/>
      <c r="D17919" s="17"/>
      <c r="E17919" s="7"/>
    </row>
    <row r="17920" spans="3:5">
      <c r="C17920" s="17"/>
      <c r="D17920" s="17"/>
      <c r="E17920" s="7"/>
    </row>
    <row r="17921" spans="3:5">
      <c r="C17921" s="17"/>
      <c r="D17921" s="17"/>
      <c r="E17921" s="7"/>
    </row>
    <row r="17922" spans="3:5">
      <c r="C17922" s="17"/>
      <c r="D17922" s="17"/>
      <c r="E17922" s="7"/>
    </row>
    <row r="17923" spans="3:5">
      <c r="C17923" s="17"/>
      <c r="D17923" s="17"/>
      <c r="E17923" s="7"/>
    </row>
    <row r="17924" spans="3:5">
      <c r="C17924" s="17"/>
      <c r="D17924" s="17"/>
      <c r="E17924" s="7"/>
    </row>
    <row r="17925" spans="3:5">
      <c r="C17925" s="17"/>
      <c r="D17925" s="17"/>
      <c r="E17925" s="7"/>
    </row>
    <row r="17926" spans="3:5">
      <c r="C17926" s="17"/>
      <c r="D17926" s="17"/>
      <c r="E17926" s="7"/>
    </row>
    <row r="17927" spans="3:5">
      <c r="C17927" s="17"/>
      <c r="D17927" s="17"/>
      <c r="E17927" s="7"/>
    </row>
    <row r="17928" spans="3:5">
      <c r="C17928" s="17"/>
      <c r="D17928" s="17"/>
      <c r="E17928" s="7"/>
    </row>
    <row r="17929" spans="3:5">
      <c r="C17929" s="17"/>
      <c r="D17929" s="17"/>
      <c r="E17929" s="7"/>
    </row>
    <row r="17930" spans="3:5">
      <c r="C17930" s="17"/>
      <c r="D17930" s="17"/>
      <c r="E17930" s="7"/>
    </row>
    <row r="17931" spans="3:5">
      <c r="C17931" s="17"/>
      <c r="D17931" s="17"/>
      <c r="E17931" s="7"/>
    </row>
    <row r="17932" spans="3:5">
      <c r="C17932" s="17"/>
      <c r="D17932" s="17"/>
      <c r="E17932" s="7"/>
    </row>
    <row r="17933" spans="3:5">
      <c r="C17933" s="17"/>
      <c r="D17933" s="17"/>
      <c r="E17933" s="7"/>
    </row>
    <row r="17934" spans="3:5">
      <c r="C17934" s="17"/>
      <c r="D17934" s="17"/>
      <c r="E17934" s="7"/>
    </row>
    <row r="17935" spans="3:5">
      <c r="C17935" s="17"/>
      <c r="D17935" s="17"/>
      <c r="E17935" s="7"/>
    </row>
    <row r="17936" spans="3:5">
      <c r="C17936" s="17"/>
      <c r="D17936" s="17"/>
      <c r="E17936" s="7"/>
    </row>
    <row r="17937" spans="3:5">
      <c r="C17937" s="17"/>
      <c r="D17937" s="17"/>
      <c r="E17937" s="7"/>
    </row>
    <row r="17938" spans="3:5">
      <c r="C17938" s="17"/>
      <c r="D17938" s="17"/>
      <c r="E17938" s="7"/>
    </row>
    <row r="17939" spans="3:5">
      <c r="C17939" s="17"/>
      <c r="D17939" s="17"/>
      <c r="E17939" s="7"/>
    </row>
    <row r="17940" spans="3:5">
      <c r="C17940" s="17"/>
      <c r="D17940" s="17"/>
      <c r="E17940" s="7"/>
    </row>
    <row r="17941" spans="3:5">
      <c r="C17941" s="17"/>
      <c r="D17941" s="17"/>
      <c r="E17941" s="7"/>
    </row>
    <row r="17942" spans="3:5">
      <c r="C17942" s="17"/>
      <c r="D17942" s="17"/>
      <c r="E17942" s="7"/>
    </row>
    <row r="17943" spans="3:5">
      <c r="C17943" s="17"/>
      <c r="D17943" s="17"/>
      <c r="E17943" s="7"/>
    </row>
    <row r="17944" spans="3:5">
      <c r="C17944" s="17"/>
      <c r="D17944" s="17"/>
      <c r="E17944" s="7"/>
    </row>
    <row r="17945" spans="3:5">
      <c r="C17945" s="17"/>
      <c r="D17945" s="17"/>
      <c r="E17945" s="7"/>
    </row>
    <row r="17946" spans="3:5">
      <c r="C17946" s="17"/>
      <c r="D17946" s="17"/>
      <c r="E17946" s="7"/>
    </row>
    <row r="17947" spans="3:5">
      <c r="C17947" s="17"/>
      <c r="D17947" s="17"/>
      <c r="E17947" s="7"/>
    </row>
    <row r="17948" spans="3:5">
      <c r="C17948" s="17"/>
      <c r="D17948" s="17"/>
      <c r="E17948" s="7"/>
    </row>
    <row r="17949" spans="3:5">
      <c r="C17949" s="17"/>
      <c r="D17949" s="17"/>
      <c r="E17949" s="7"/>
    </row>
    <row r="17950" spans="3:5">
      <c r="C17950" s="17"/>
      <c r="D17950" s="17"/>
      <c r="E17950" s="7"/>
    </row>
    <row r="17951" spans="3:5">
      <c r="C17951" s="17"/>
      <c r="D17951" s="17"/>
      <c r="E17951" s="7"/>
    </row>
    <row r="17952" spans="3:5">
      <c r="C17952" s="17"/>
      <c r="D17952" s="17"/>
      <c r="E17952" s="7"/>
    </row>
    <row r="17953" spans="3:5">
      <c r="C17953" s="17"/>
      <c r="D17953" s="17"/>
      <c r="E17953" s="7"/>
    </row>
    <row r="17954" spans="3:5">
      <c r="C17954" s="17"/>
      <c r="D17954" s="17"/>
      <c r="E17954" s="7"/>
    </row>
    <row r="17955" spans="3:5">
      <c r="C17955" s="17"/>
      <c r="D17955" s="17"/>
      <c r="E17955" s="7"/>
    </row>
    <row r="17956" spans="3:5">
      <c r="C17956" s="17"/>
      <c r="D17956" s="17"/>
      <c r="E17956" s="7"/>
    </row>
    <row r="17957" spans="3:5">
      <c r="C17957" s="17"/>
      <c r="D17957" s="17"/>
      <c r="E17957" s="7"/>
    </row>
    <row r="17958" spans="3:5">
      <c r="C17958" s="17"/>
      <c r="D17958" s="17"/>
      <c r="E17958" s="7"/>
    </row>
    <row r="17959" spans="3:5">
      <c r="C17959" s="17"/>
      <c r="D17959" s="17"/>
      <c r="E17959" s="7"/>
    </row>
    <row r="17960" spans="3:5">
      <c r="C17960" s="17"/>
      <c r="D17960" s="17"/>
      <c r="E17960" s="7"/>
    </row>
    <row r="17961" spans="3:5">
      <c r="C17961" s="17"/>
      <c r="D17961" s="17"/>
      <c r="E17961" s="7"/>
    </row>
    <row r="17962" spans="3:5">
      <c r="C17962" s="17"/>
      <c r="D17962" s="17"/>
      <c r="E17962" s="7"/>
    </row>
    <row r="17963" spans="3:5">
      <c r="C17963" s="17"/>
      <c r="D17963" s="17"/>
      <c r="E17963" s="7"/>
    </row>
    <row r="17964" spans="3:5">
      <c r="C17964" s="17"/>
      <c r="D17964" s="17"/>
      <c r="E17964" s="7"/>
    </row>
    <row r="17965" spans="3:5">
      <c r="C17965" s="17"/>
      <c r="D17965" s="17"/>
      <c r="E17965" s="7"/>
    </row>
    <row r="17966" spans="3:5">
      <c r="C17966" s="17"/>
      <c r="D17966" s="17"/>
      <c r="E17966" s="7"/>
    </row>
    <row r="17967" spans="3:5">
      <c r="C17967" s="17"/>
      <c r="D17967" s="17"/>
      <c r="E17967" s="7"/>
    </row>
    <row r="17968" spans="3:5">
      <c r="C17968" s="17"/>
      <c r="D17968" s="17"/>
      <c r="E17968" s="7"/>
    </row>
    <row r="17969" spans="3:5">
      <c r="C17969" s="17"/>
      <c r="D17969" s="17"/>
      <c r="E17969" s="7"/>
    </row>
    <row r="17970" spans="3:5">
      <c r="C17970" s="17"/>
      <c r="D17970" s="17"/>
      <c r="E17970" s="7"/>
    </row>
    <row r="17971" spans="3:5">
      <c r="C17971" s="17"/>
      <c r="D17971" s="17"/>
      <c r="E17971" s="7"/>
    </row>
    <row r="17972" spans="3:5">
      <c r="C17972" s="17"/>
      <c r="D17972" s="17"/>
      <c r="E17972" s="7"/>
    </row>
    <row r="17973" spans="3:5">
      <c r="C17973" s="17"/>
      <c r="D17973" s="17"/>
      <c r="E17973" s="7"/>
    </row>
    <row r="17974" spans="3:5">
      <c r="C17974" s="17"/>
      <c r="D17974" s="17"/>
      <c r="E17974" s="7"/>
    </row>
    <row r="17975" spans="3:5">
      <c r="C17975" s="17"/>
      <c r="D17975" s="17"/>
      <c r="E17975" s="7"/>
    </row>
    <row r="17976" spans="3:5">
      <c r="C17976" s="17"/>
      <c r="D17976" s="17"/>
      <c r="E17976" s="7"/>
    </row>
    <row r="17977" spans="3:5">
      <c r="C17977" s="17"/>
      <c r="D17977" s="17"/>
      <c r="E17977" s="7"/>
    </row>
    <row r="17978" spans="3:5">
      <c r="C17978" s="17"/>
      <c r="D17978" s="17"/>
      <c r="E17978" s="7"/>
    </row>
    <row r="17979" spans="3:5">
      <c r="C17979" s="17"/>
      <c r="D17979" s="17"/>
      <c r="E17979" s="7"/>
    </row>
    <row r="17980" spans="3:5">
      <c r="C17980" s="17"/>
      <c r="D17980" s="17"/>
      <c r="E17980" s="7"/>
    </row>
    <row r="17981" spans="3:5">
      <c r="C17981" s="17"/>
      <c r="D17981" s="17"/>
      <c r="E17981" s="7"/>
    </row>
    <row r="17982" spans="3:5">
      <c r="C17982" s="17"/>
      <c r="D17982" s="17"/>
      <c r="E17982" s="7"/>
    </row>
    <row r="17983" spans="3:5">
      <c r="C17983" s="17"/>
      <c r="D17983" s="17"/>
      <c r="E17983" s="7"/>
    </row>
    <row r="17984" spans="3:5">
      <c r="C17984" s="17"/>
      <c r="D17984" s="17"/>
      <c r="E17984" s="7"/>
    </row>
    <row r="17985" spans="3:5">
      <c r="C17985" s="17"/>
      <c r="D17985" s="17"/>
      <c r="E17985" s="7"/>
    </row>
    <row r="17986" spans="3:5">
      <c r="C17986" s="17"/>
      <c r="D17986" s="17"/>
      <c r="E17986" s="7"/>
    </row>
    <row r="17987" spans="3:5">
      <c r="C17987" s="17"/>
      <c r="D17987" s="17"/>
      <c r="E17987" s="7"/>
    </row>
    <row r="17988" spans="3:5">
      <c r="C17988" s="17"/>
      <c r="D17988" s="17"/>
      <c r="E17988" s="7"/>
    </row>
    <row r="17989" spans="3:5">
      <c r="C17989" s="17"/>
      <c r="D17989" s="17"/>
      <c r="E17989" s="7"/>
    </row>
    <row r="17990" spans="3:5">
      <c r="C17990" s="17"/>
      <c r="D17990" s="17"/>
      <c r="E17990" s="7"/>
    </row>
    <row r="17991" spans="3:5">
      <c r="C17991" s="17"/>
      <c r="D17991" s="17"/>
      <c r="E17991" s="7"/>
    </row>
    <row r="17992" spans="3:5">
      <c r="C17992" s="17"/>
      <c r="D17992" s="17"/>
      <c r="E17992" s="7"/>
    </row>
    <row r="17993" spans="3:5">
      <c r="C17993" s="17"/>
      <c r="D17993" s="17"/>
      <c r="E17993" s="7"/>
    </row>
    <row r="17994" spans="3:5">
      <c r="C17994" s="17"/>
      <c r="D17994" s="17"/>
      <c r="E17994" s="7"/>
    </row>
    <row r="17995" spans="3:5">
      <c r="C17995" s="17"/>
      <c r="D17995" s="17"/>
      <c r="E17995" s="7"/>
    </row>
    <row r="17996" spans="3:5">
      <c r="C17996" s="17"/>
      <c r="D17996" s="17"/>
      <c r="E17996" s="7"/>
    </row>
    <row r="17997" spans="3:5">
      <c r="C17997" s="17"/>
      <c r="D17997" s="17"/>
      <c r="E17997" s="7"/>
    </row>
    <row r="17998" spans="3:5">
      <c r="C17998" s="17"/>
      <c r="D17998" s="17"/>
      <c r="E17998" s="7"/>
    </row>
    <row r="17999" spans="3:5">
      <c r="C17999" s="17"/>
      <c r="D17999" s="17"/>
      <c r="E17999" s="7"/>
    </row>
    <row r="18000" spans="3:5">
      <c r="C18000" s="17"/>
      <c r="D18000" s="17"/>
      <c r="E18000" s="7"/>
    </row>
    <row r="18001" spans="3:5">
      <c r="C18001" s="17"/>
      <c r="D18001" s="17"/>
      <c r="E18001" s="7"/>
    </row>
    <row r="18002" spans="3:5">
      <c r="C18002" s="17"/>
      <c r="D18002" s="17"/>
      <c r="E18002" s="7"/>
    </row>
    <row r="18003" spans="3:5">
      <c r="C18003" s="17"/>
      <c r="D18003" s="17"/>
      <c r="E18003" s="7"/>
    </row>
    <row r="18004" spans="3:5">
      <c r="C18004" s="17"/>
      <c r="D18004" s="17"/>
      <c r="E18004" s="7"/>
    </row>
    <row r="18005" spans="3:5">
      <c r="C18005" s="17"/>
      <c r="D18005" s="17"/>
      <c r="E18005" s="7"/>
    </row>
    <row r="18006" spans="3:5">
      <c r="C18006" s="17"/>
      <c r="D18006" s="17"/>
      <c r="E18006" s="7"/>
    </row>
    <row r="18007" spans="3:5">
      <c r="C18007" s="17"/>
      <c r="D18007" s="17"/>
      <c r="E18007" s="7"/>
    </row>
    <row r="18008" spans="3:5">
      <c r="C18008" s="17"/>
      <c r="D18008" s="17"/>
      <c r="E18008" s="7"/>
    </row>
    <row r="18009" spans="3:5">
      <c r="C18009" s="17"/>
      <c r="D18009" s="17"/>
      <c r="E18009" s="7"/>
    </row>
    <row r="18010" spans="3:5">
      <c r="C18010" s="17"/>
      <c r="D18010" s="17"/>
      <c r="E18010" s="7"/>
    </row>
    <row r="18011" spans="3:5">
      <c r="C18011" s="17"/>
      <c r="D18011" s="17"/>
      <c r="E18011" s="7"/>
    </row>
    <row r="18012" spans="3:5">
      <c r="C18012" s="17"/>
      <c r="D18012" s="17"/>
      <c r="E18012" s="7"/>
    </row>
    <row r="18013" spans="3:5">
      <c r="C18013" s="17"/>
      <c r="D18013" s="17"/>
      <c r="E18013" s="7"/>
    </row>
    <row r="18014" spans="3:5">
      <c r="C18014" s="17"/>
      <c r="D18014" s="17"/>
      <c r="E18014" s="7"/>
    </row>
    <row r="18015" spans="3:5">
      <c r="C18015" s="17"/>
      <c r="D18015" s="17"/>
      <c r="E18015" s="7"/>
    </row>
    <row r="18016" spans="3:5">
      <c r="C18016" s="17"/>
      <c r="D18016" s="17"/>
      <c r="E18016" s="7"/>
    </row>
    <row r="18017" spans="3:5">
      <c r="C18017" s="17"/>
      <c r="D18017" s="17"/>
      <c r="E18017" s="7"/>
    </row>
    <row r="18018" spans="3:5">
      <c r="C18018" s="17"/>
      <c r="D18018" s="17"/>
      <c r="E18018" s="7"/>
    </row>
    <row r="18019" spans="3:5">
      <c r="C18019" s="17"/>
      <c r="D18019" s="17"/>
      <c r="E18019" s="7"/>
    </row>
    <row r="18020" spans="3:5">
      <c r="C18020" s="17"/>
      <c r="D18020" s="17"/>
      <c r="E18020" s="7"/>
    </row>
    <row r="18021" spans="3:5">
      <c r="C18021" s="17"/>
      <c r="D18021" s="17"/>
      <c r="E18021" s="7"/>
    </row>
    <row r="18022" spans="3:5">
      <c r="C18022" s="17"/>
      <c r="D18022" s="17"/>
      <c r="E18022" s="7"/>
    </row>
    <row r="18023" spans="3:5">
      <c r="C18023" s="17"/>
      <c r="D18023" s="17"/>
      <c r="E18023" s="7"/>
    </row>
    <row r="18024" spans="3:5">
      <c r="C18024" s="17"/>
      <c r="D18024" s="17"/>
      <c r="E18024" s="7"/>
    </row>
    <row r="18025" spans="3:5">
      <c r="C18025" s="17"/>
      <c r="D18025" s="17"/>
      <c r="E18025" s="7"/>
    </row>
    <row r="18026" spans="3:5">
      <c r="C18026" s="17"/>
      <c r="D18026" s="17"/>
      <c r="E18026" s="7"/>
    </row>
    <row r="18027" spans="3:5">
      <c r="C18027" s="17"/>
      <c r="D18027" s="17"/>
      <c r="E18027" s="7"/>
    </row>
    <row r="18028" spans="3:5">
      <c r="C18028" s="17"/>
      <c r="D18028" s="17"/>
      <c r="E18028" s="7"/>
    </row>
    <row r="18029" spans="3:5">
      <c r="C18029" s="17"/>
      <c r="D18029" s="17"/>
      <c r="E18029" s="7"/>
    </row>
    <row r="18030" spans="3:5">
      <c r="C18030" s="17"/>
      <c r="D18030" s="17"/>
      <c r="E18030" s="7"/>
    </row>
    <row r="18031" spans="3:5">
      <c r="C18031" s="17"/>
      <c r="D18031" s="17"/>
      <c r="E18031" s="7"/>
    </row>
    <row r="18032" spans="3:5">
      <c r="C18032" s="17"/>
      <c r="D18032" s="17"/>
      <c r="E18032" s="7"/>
    </row>
    <row r="18033" spans="3:5">
      <c r="C18033" s="17"/>
      <c r="D18033" s="17"/>
      <c r="E18033" s="7"/>
    </row>
    <row r="18034" spans="3:5">
      <c r="C18034" s="17"/>
      <c r="D18034" s="17"/>
      <c r="E18034" s="7"/>
    </row>
    <row r="18035" spans="3:5">
      <c r="C18035" s="17"/>
      <c r="D18035" s="17"/>
      <c r="E18035" s="7"/>
    </row>
    <row r="18036" spans="3:5">
      <c r="C18036" s="17"/>
      <c r="D18036" s="17"/>
      <c r="E18036" s="7"/>
    </row>
    <row r="18037" spans="3:5">
      <c r="C18037" s="17"/>
      <c r="D18037" s="17"/>
      <c r="E18037" s="7"/>
    </row>
    <row r="18038" spans="3:5">
      <c r="C18038" s="17"/>
      <c r="D18038" s="17"/>
      <c r="E18038" s="7"/>
    </row>
    <row r="18039" spans="3:5">
      <c r="C18039" s="17"/>
      <c r="D18039" s="17"/>
      <c r="E18039" s="7"/>
    </row>
    <row r="18040" spans="3:5">
      <c r="C18040" s="17"/>
      <c r="D18040" s="17"/>
      <c r="E18040" s="7"/>
    </row>
    <row r="18041" spans="3:5">
      <c r="C18041" s="17"/>
      <c r="D18041" s="17"/>
      <c r="E18041" s="7"/>
    </row>
    <row r="18042" spans="3:5">
      <c r="C18042" s="17"/>
      <c r="D18042" s="17"/>
      <c r="E18042" s="7"/>
    </row>
    <row r="18043" spans="3:5">
      <c r="C18043" s="17"/>
      <c r="D18043" s="17"/>
      <c r="E18043" s="7"/>
    </row>
    <row r="18044" spans="3:5">
      <c r="C18044" s="17"/>
      <c r="D18044" s="17"/>
      <c r="E18044" s="7"/>
    </row>
    <row r="18045" spans="3:5">
      <c r="C18045" s="17"/>
      <c r="D18045" s="17"/>
      <c r="E18045" s="7"/>
    </row>
    <row r="18046" spans="3:5">
      <c r="C18046" s="17"/>
      <c r="D18046" s="17"/>
      <c r="E18046" s="7"/>
    </row>
    <row r="18047" spans="3:5">
      <c r="C18047" s="17"/>
      <c r="D18047" s="17"/>
      <c r="E18047" s="7"/>
    </row>
    <row r="18048" spans="3:5">
      <c r="C18048" s="17"/>
      <c r="D18048" s="17"/>
      <c r="E18048" s="7"/>
    </row>
    <row r="18049" spans="3:5">
      <c r="C18049" s="17"/>
      <c r="D18049" s="17"/>
      <c r="E18049" s="7"/>
    </row>
    <row r="18050" spans="3:5">
      <c r="C18050" s="17"/>
      <c r="D18050" s="17"/>
      <c r="E18050" s="7"/>
    </row>
    <row r="18051" spans="3:5">
      <c r="C18051" s="17"/>
      <c r="D18051" s="17"/>
      <c r="E18051" s="7"/>
    </row>
    <row r="18052" spans="3:5">
      <c r="C18052" s="17"/>
      <c r="D18052" s="17"/>
      <c r="E18052" s="7"/>
    </row>
    <row r="18053" spans="3:5">
      <c r="C18053" s="17"/>
      <c r="D18053" s="17"/>
      <c r="E18053" s="7"/>
    </row>
    <row r="18054" spans="3:5">
      <c r="C18054" s="17"/>
      <c r="D18054" s="17"/>
      <c r="E18054" s="7"/>
    </row>
    <row r="18055" spans="3:5">
      <c r="C18055" s="17"/>
      <c r="D18055" s="17"/>
      <c r="E18055" s="7"/>
    </row>
    <row r="18056" spans="3:5">
      <c r="C18056" s="17"/>
      <c r="D18056" s="17"/>
      <c r="E18056" s="7"/>
    </row>
    <row r="18057" spans="3:5">
      <c r="C18057" s="17"/>
      <c r="D18057" s="17"/>
      <c r="E18057" s="7"/>
    </row>
    <row r="18058" spans="3:5">
      <c r="C18058" s="17"/>
      <c r="D18058" s="17"/>
      <c r="E18058" s="7"/>
    </row>
    <row r="18059" spans="3:5">
      <c r="C18059" s="17"/>
      <c r="D18059" s="17"/>
      <c r="E18059" s="7"/>
    </row>
    <row r="18060" spans="3:5">
      <c r="C18060" s="17"/>
      <c r="D18060" s="17"/>
      <c r="E18060" s="7"/>
    </row>
    <row r="18061" spans="3:5">
      <c r="C18061" s="17"/>
      <c r="D18061" s="17"/>
      <c r="E18061" s="7"/>
    </row>
    <row r="18062" spans="3:5">
      <c r="C18062" s="17"/>
      <c r="D18062" s="17"/>
      <c r="E18062" s="7"/>
    </row>
    <row r="18063" spans="3:5">
      <c r="C18063" s="17"/>
      <c r="D18063" s="17"/>
      <c r="E18063" s="7"/>
    </row>
    <row r="18064" spans="3:5">
      <c r="C18064" s="17"/>
      <c r="D18064" s="17"/>
      <c r="E18064" s="7"/>
    </row>
    <row r="18065" spans="3:5">
      <c r="C18065" s="17"/>
      <c r="D18065" s="17"/>
      <c r="E18065" s="7"/>
    </row>
    <row r="18066" spans="3:5">
      <c r="C18066" s="17"/>
      <c r="D18066" s="17"/>
      <c r="E18066" s="7"/>
    </row>
    <row r="18067" spans="3:5">
      <c r="C18067" s="17"/>
      <c r="D18067" s="17"/>
      <c r="E18067" s="7"/>
    </row>
    <row r="18068" spans="3:5">
      <c r="C18068" s="17"/>
      <c r="D18068" s="17"/>
      <c r="E18068" s="7"/>
    </row>
    <row r="18069" spans="3:5">
      <c r="C18069" s="17"/>
      <c r="D18069" s="17"/>
      <c r="E18069" s="7"/>
    </row>
    <row r="18070" spans="3:5">
      <c r="C18070" s="17"/>
      <c r="D18070" s="17"/>
      <c r="E18070" s="7"/>
    </row>
    <row r="18071" spans="3:5">
      <c r="C18071" s="17"/>
      <c r="D18071" s="17"/>
      <c r="E18071" s="7"/>
    </row>
    <row r="18072" spans="3:5">
      <c r="C18072" s="17"/>
      <c r="D18072" s="17"/>
      <c r="E18072" s="7"/>
    </row>
    <row r="18073" spans="3:5">
      <c r="C18073" s="17"/>
      <c r="D18073" s="17"/>
      <c r="E18073" s="7"/>
    </row>
    <row r="18074" spans="3:5">
      <c r="C18074" s="17"/>
      <c r="D18074" s="17"/>
      <c r="E18074" s="7"/>
    </row>
    <row r="18075" spans="3:5">
      <c r="C18075" s="17"/>
      <c r="D18075" s="17"/>
      <c r="E18075" s="7"/>
    </row>
    <row r="18076" spans="3:5">
      <c r="C18076" s="17"/>
      <c r="D18076" s="17"/>
      <c r="E18076" s="7"/>
    </row>
    <row r="18077" spans="3:5">
      <c r="C18077" s="17"/>
      <c r="D18077" s="17"/>
      <c r="E18077" s="7"/>
    </row>
    <row r="18078" spans="3:5">
      <c r="C18078" s="17"/>
      <c r="D18078" s="17"/>
      <c r="E18078" s="7"/>
    </row>
    <row r="18079" spans="3:5">
      <c r="C18079" s="17"/>
      <c r="D18079" s="17"/>
      <c r="E18079" s="7"/>
    </row>
    <row r="18080" spans="3:5">
      <c r="C18080" s="17"/>
      <c r="D18080" s="17"/>
      <c r="E18080" s="7"/>
    </row>
    <row r="18081" spans="3:5">
      <c r="C18081" s="17"/>
      <c r="D18081" s="17"/>
      <c r="E18081" s="7"/>
    </row>
    <row r="18082" spans="3:5">
      <c r="C18082" s="17"/>
      <c r="D18082" s="17"/>
      <c r="E18082" s="7"/>
    </row>
    <row r="18083" spans="3:5">
      <c r="C18083" s="17"/>
      <c r="D18083" s="17"/>
      <c r="E18083" s="7"/>
    </row>
    <row r="18084" spans="3:5">
      <c r="C18084" s="17"/>
      <c r="D18084" s="17"/>
      <c r="E18084" s="7"/>
    </row>
    <row r="18085" spans="3:5">
      <c r="C18085" s="17"/>
      <c r="D18085" s="17"/>
      <c r="E18085" s="7"/>
    </row>
    <row r="18086" spans="3:5">
      <c r="C18086" s="17"/>
      <c r="D18086" s="17"/>
      <c r="E18086" s="7"/>
    </row>
    <row r="18087" spans="3:5">
      <c r="C18087" s="17"/>
      <c r="D18087" s="17"/>
      <c r="E18087" s="7"/>
    </row>
    <row r="18088" spans="3:5">
      <c r="C18088" s="17"/>
      <c r="D18088" s="17"/>
      <c r="E18088" s="7"/>
    </row>
    <row r="18089" spans="3:5">
      <c r="C18089" s="17"/>
      <c r="D18089" s="17"/>
      <c r="E18089" s="7"/>
    </row>
    <row r="18090" spans="3:5">
      <c r="C18090" s="17"/>
      <c r="D18090" s="17"/>
      <c r="E18090" s="7"/>
    </row>
    <row r="18091" spans="3:5">
      <c r="C18091" s="17"/>
      <c r="D18091" s="17"/>
      <c r="E18091" s="7"/>
    </row>
    <row r="18092" spans="3:5">
      <c r="C18092" s="17"/>
      <c r="D18092" s="17"/>
      <c r="E18092" s="7"/>
    </row>
    <row r="18093" spans="3:5">
      <c r="C18093" s="17"/>
      <c r="D18093" s="17"/>
      <c r="E18093" s="7"/>
    </row>
    <row r="18094" spans="3:5">
      <c r="C18094" s="17"/>
      <c r="D18094" s="17"/>
      <c r="E18094" s="7"/>
    </row>
    <row r="18095" spans="3:5">
      <c r="C18095" s="17"/>
      <c r="D18095" s="17"/>
      <c r="E18095" s="7"/>
    </row>
    <row r="18096" spans="3:5">
      <c r="C18096" s="17"/>
      <c r="D18096" s="17"/>
      <c r="E18096" s="7"/>
    </row>
    <row r="18097" spans="3:5">
      <c r="C18097" s="17"/>
      <c r="D18097" s="17"/>
      <c r="E18097" s="7"/>
    </row>
    <row r="18098" spans="3:5">
      <c r="C18098" s="17"/>
      <c r="D18098" s="17"/>
      <c r="E18098" s="7"/>
    </row>
    <row r="18099" spans="3:5">
      <c r="C18099" s="17"/>
      <c r="D18099" s="17"/>
      <c r="E18099" s="7"/>
    </row>
    <row r="18100" spans="3:5">
      <c r="C18100" s="17"/>
      <c r="D18100" s="17"/>
      <c r="E18100" s="7"/>
    </row>
    <row r="18101" spans="3:5">
      <c r="C18101" s="17"/>
      <c r="D18101" s="17"/>
      <c r="E18101" s="7"/>
    </row>
    <row r="18102" spans="3:5">
      <c r="C18102" s="17"/>
      <c r="D18102" s="17"/>
      <c r="E18102" s="7"/>
    </row>
    <row r="18103" spans="3:5">
      <c r="C18103" s="17"/>
      <c r="D18103" s="17"/>
      <c r="E18103" s="7"/>
    </row>
    <row r="18104" spans="3:5">
      <c r="C18104" s="17"/>
      <c r="D18104" s="17"/>
      <c r="E18104" s="7"/>
    </row>
    <row r="18105" spans="3:5">
      <c r="C18105" s="17"/>
      <c r="D18105" s="17"/>
      <c r="E18105" s="7"/>
    </row>
    <row r="18106" spans="3:5">
      <c r="C18106" s="17"/>
      <c r="D18106" s="17"/>
      <c r="E18106" s="7"/>
    </row>
    <row r="18107" spans="3:5">
      <c r="C18107" s="17"/>
      <c r="D18107" s="17"/>
      <c r="E18107" s="7"/>
    </row>
    <row r="18108" spans="3:5">
      <c r="C18108" s="17"/>
      <c r="D18108" s="17"/>
      <c r="E18108" s="7"/>
    </row>
    <row r="18109" spans="3:5">
      <c r="C18109" s="17"/>
      <c r="D18109" s="17"/>
      <c r="E18109" s="7"/>
    </row>
    <row r="18110" spans="3:5">
      <c r="C18110" s="17"/>
      <c r="D18110" s="17"/>
      <c r="E18110" s="7"/>
    </row>
    <row r="18111" spans="3:5">
      <c r="C18111" s="17"/>
      <c r="D18111" s="17"/>
      <c r="E18111" s="7"/>
    </row>
    <row r="18112" spans="3:5">
      <c r="C18112" s="17"/>
      <c r="D18112" s="17"/>
      <c r="E18112" s="7"/>
    </row>
    <row r="18113" spans="3:5">
      <c r="C18113" s="17"/>
      <c r="D18113" s="17"/>
      <c r="E18113" s="7"/>
    </row>
    <row r="18114" spans="3:5">
      <c r="C18114" s="17"/>
      <c r="D18114" s="17"/>
      <c r="E18114" s="7"/>
    </row>
    <row r="18115" spans="3:5">
      <c r="C18115" s="17"/>
      <c r="D18115" s="17"/>
      <c r="E18115" s="7"/>
    </row>
    <row r="18116" spans="3:5">
      <c r="C18116" s="17"/>
      <c r="D18116" s="17"/>
      <c r="E18116" s="7"/>
    </row>
    <row r="18117" spans="3:5">
      <c r="C18117" s="17"/>
      <c r="D18117" s="17"/>
      <c r="E18117" s="7"/>
    </row>
    <row r="18118" spans="3:5">
      <c r="C18118" s="17"/>
      <c r="D18118" s="17"/>
      <c r="E18118" s="7"/>
    </row>
    <row r="18119" spans="3:5">
      <c r="C18119" s="17"/>
      <c r="D18119" s="17"/>
      <c r="E18119" s="7"/>
    </row>
    <row r="18120" spans="3:5">
      <c r="C18120" s="17"/>
      <c r="D18120" s="17"/>
      <c r="E18120" s="7"/>
    </row>
    <row r="18121" spans="3:5">
      <c r="C18121" s="17"/>
      <c r="D18121" s="17"/>
      <c r="E18121" s="7"/>
    </row>
    <row r="18122" spans="3:5">
      <c r="C18122" s="17"/>
      <c r="D18122" s="17"/>
      <c r="E18122" s="7"/>
    </row>
    <row r="18123" spans="3:5">
      <c r="C18123" s="17"/>
      <c r="D18123" s="17"/>
      <c r="E18123" s="7"/>
    </row>
    <row r="18124" spans="3:5">
      <c r="C18124" s="17"/>
      <c r="D18124" s="17"/>
      <c r="E18124" s="7"/>
    </row>
    <row r="18125" spans="3:5">
      <c r="C18125" s="17"/>
      <c r="D18125" s="17"/>
      <c r="E18125" s="7"/>
    </row>
    <row r="18126" spans="3:5">
      <c r="C18126" s="17"/>
      <c r="D18126" s="17"/>
      <c r="E18126" s="7"/>
    </row>
    <row r="18127" spans="3:5">
      <c r="C18127" s="17"/>
      <c r="D18127" s="17"/>
      <c r="E18127" s="7"/>
    </row>
    <row r="18128" spans="3:5">
      <c r="C18128" s="17"/>
      <c r="D18128" s="17"/>
      <c r="E18128" s="7"/>
    </row>
    <row r="18129" spans="3:5">
      <c r="C18129" s="17"/>
      <c r="D18129" s="17"/>
      <c r="E18129" s="7"/>
    </row>
    <row r="18130" spans="3:5">
      <c r="C18130" s="17"/>
      <c r="D18130" s="17"/>
      <c r="E18130" s="7"/>
    </row>
    <row r="18131" spans="3:5">
      <c r="C18131" s="17"/>
      <c r="D18131" s="17"/>
      <c r="E18131" s="7"/>
    </row>
    <row r="18132" spans="3:5">
      <c r="C18132" s="17"/>
      <c r="D18132" s="17"/>
      <c r="E18132" s="7"/>
    </row>
    <row r="18133" spans="3:5">
      <c r="C18133" s="17"/>
      <c r="D18133" s="17"/>
      <c r="E18133" s="7"/>
    </row>
    <row r="18134" spans="3:5">
      <c r="C18134" s="17"/>
      <c r="D18134" s="17"/>
      <c r="E18134" s="7"/>
    </row>
    <row r="18135" spans="3:5">
      <c r="C18135" s="17"/>
      <c r="D18135" s="17"/>
      <c r="E18135" s="7"/>
    </row>
    <row r="18136" spans="3:5">
      <c r="C18136" s="17"/>
      <c r="D18136" s="17"/>
      <c r="E18136" s="7"/>
    </row>
    <row r="18137" spans="3:5">
      <c r="C18137" s="17"/>
      <c r="D18137" s="17"/>
      <c r="E18137" s="7"/>
    </row>
    <row r="18138" spans="3:5">
      <c r="C18138" s="17"/>
      <c r="D18138" s="17"/>
      <c r="E18138" s="7"/>
    </row>
    <row r="18139" spans="3:5">
      <c r="C18139" s="17"/>
      <c r="D18139" s="17"/>
      <c r="E18139" s="7"/>
    </row>
    <row r="18140" spans="3:5">
      <c r="C18140" s="17"/>
      <c r="D18140" s="17"/>
      <c r="E18140" s="7"/>
    </row>
    <row r="18141" spans="3:5">
      <c r="C18141" s="17"/>
      <c r="D18141" s="17"/>
      <c r="E18141" s="7"/>
    </row>
    <row r="18142" spans="3:5">
      <c r="C18142" s="17"/>
      <c r="D18142" s="17"/>
      <c r="E18142" s="7"/>
    </row>
    <row r="18143" spans="3:5">
      <c r="C18143" s="17"/>
      <c r="D18143" s="17"/>
      <c r="E18143" s="7"/>
    </row>
    <row r="18144" spans="3:5">
      <c r="C18144" s="17"/>
      <c r="D18144" s="17"/>
      <c r="E18144" s="7"/>
    </row>
    <row r="18145" spans="3:5">
      <c r="C18145" s="17"/>
      <c r="D18145" s="17"/>
      <c r="E18145" s="7"/>
    </row>
    <row r="18146" spans="3:5">
      <c r="C18146" s="17"/>
      <c r="D18146" s="17"/>
      <c r="E18146" s="7"/>
    </row>
    <row r="18147" spans="3:5">
      <c r="C18147" s="17"/>
      <c r="D18147" s="17"/>
      <c r="E18147" s="7"/>
    </row>
    <row r="18148" spans="3:5">
      <c r="C18148" s="17"/>
      <c r="D18148" s="17"/>
      <c r="E18148" s="7"/>
    </row>
    <row r="18149" spans="3:5">
      <c r="C18149" s="17"/>
      <c r="D18149" s="17"/>
      <c r="E18149" s="7"/>
    </row>
    <row r="18150" spans="3:5">
      <c r="C18150" s="17"/>
      <c r="D18150" s="17"/>
      <c r="E18150" s="7"/>
    </row>
    <row r="18151" spans="3:5">
      <c r="C18151" s="17"/>
      <c r="D18151" s="17"/>
      <c r="E18151" s="7"/>
    </row>
    <row r="18152" spans="3:5">
      <c r="C18152" s="17"/>
      <c r="D18152" s="17"/>
      <c r="E18152" s="7"/>
    </row>
    <row r="18153" spans="3:5">
      <c r="C18153" s="17"/>
      <c r="D18153" s="17"/>
      <c r="E18153" s="7"/>
    </row>
    <row r="18154" spans="3:5">
      <c r="C18154" s="17"/>
      <c r="D18154" s="17"/>
      <c r="E18154" s="7"/>
    </row>
    <row r="18155" spans="3:5">
      <c r="C18155" s="17"/>
      <c r="D18155" s="17"/>
      <c r="E18155" s="7"/>
    </row>
    <row r="18156" spans="3:5">
      <c r="C18156" s="17"/>
      <c r="D18156" s="17"/>
      <c r="E18156" s="7"/>
    </row>
    <row r="18157" spans="3:5">
      <c r="C18157" s="17"/>
      <c r="D18157" s="17"/>
      <c r="E18157" s="7"/>
    </row>
    <row r="18158" spans="3:5">
      <c r="C18158" s="17"/>
      <c r="D18158" s="17"/>
      <c r="E18158" s="7"/>
    </row>
    <row r="18159" spans="3:5">
      <c r="C18159" s="17"/>
      <c r="D18159" s="17"/>
      <c r="E18159" s="7"/>
    </row>
    <row r="18160" spans="3:5">
      <c r="C18160" s="17"/>
      <c r="D18160" s="17"/>
      <c r="E18160" s="7"/>
    </row>
    <row r="18161" spans="3:5">
      <c r="C18161" s="17"/>
      <c r="D18161" s="17"/>
      <c r="E18161" s="7"/>
    </row>
    <row r="18162" spans="3:5">
      <c r="C18162" s="17"/>
      <c r="D18162" s="17"/>
      <c r="E18162" s="7"/>
    </row>
    <row r="18163" spans="3:5">
      <c r="C18163" s="17"/>
      <c r="D18163" s="17"/>
      <c r="E18163" s="7"/>
    </row>
    <row r="18164" spans="3:5">
      <c r="C18164" s="17"/>
      <c r="D18164" s="17"/>
      <c r="E18164" s="7"/>
    </row>
    <row r="18165" spans="3:5">
      <c r="C18165" s="17"/>
      <c r="D18165" s="17"/>
      <c r="E18165" s="7"/>
    </row>
    <row r="18166" spans="3:5">
      <c r="C18166" s="17"/>
      <c r="D18166" s="17"/>
      <c r="E18166" s="7"/>
    </row>
    <row r="18167" spans="3:5">
      <c r="C18167" s="17"/>
      <c r="D18167" s="17"/>
      <c r="E18167" s="7"/>
    </row>
    <row r="18168" spans="3:5">
      <c r="C18168" s="17"/>
      <c r="D18168" s="17"/>
      <c r="E18168" s="7"/>
    </row>
    <row r="18169" spans="3:5">
      <c r="C18169" s="17"/>
      <c r="D18169" s="17"/>
      <c r="E18169" s="7"/>
    </row>
    <row r="18170" spans="3:5">
      <c r="C18170" s="17"/>
      <c r="D18170" s="17"/>
      <c r="E18170" s="7"/>
    </row>
    <row r="18171" spans="3:5">
      <c r="C18171" s="17"/>
      <c r="D18171" s="17"/>
      <c r="E18171" s="7"/>
    </row>
    <row r="18172" spans="3:5">
      <c r="C18172" s="17"/>
      <c r="D18172" s="17"/>
      <c r="E18172" s="7"/>
    </row>
    <row r="18173" spans="3:5">
      <c r="C18173" s="17"/>
      <c r="D18173" s="17"/>
      <c r="E18173" s="7"/>
    </row>
    <row r="18174" spans="3:5">
      <c r="C18174" s="17"/>
      <c r="D18174" s="17"/>
      <c r="E18174" s="7"/>
    </row>
    <row r="18175" spans="3:5">
      <c r="C18175" s="17"/>
      <c r="D18175" s="17"/>
      <c r="E18175" s="7"/>
    </row>
    <row r="18176" spans="3:5">
      <c r="C18176" s="17"/>
      <c r="D18176" s="17"/>
      <c r="E18176" s="7"/>
    </row>
    <row r="18177" spans="3:5">
      <c r="C18177" s="17"/>
      <c r="D18177" s="17"/>
      <c r="E18177" s="7"/>
    </row>
    <row r="18178" spans="3:5">
      <c r="C18178" s="17"/>
      <c r="D18178" s="17"/>
      <c r="E18178" s="7"/>
    </row>
    <row r="18179" spans="3:5">
      <c r="C18179" s="17"/>
      <c r="D18179" s="17"/>
      <c r="E18179" s="7"/>
    </row>
    <row r="18180" spans="3:5">
      <c r="C18180" s="17"/>
      <c r="D18180" s="17"/>
      <c r="E18180" s="7"/>
    </row>
    <row r="18181" spans="3:5">
      <c r="C18181" s="17"/>
      <c r="D18181" s="17"/>
      <c r="E18181" s="7"/>
    </row>
    <row r="18182" spans="3:5">
      <c r="C18182" s="17"/>
      <c r="D18182" s="17"/>
      <c r="E18182" s="7"/>
    </row>
    <row r="18183" spans="3:5">
      <c r="C18183" s="17"/>
      <c r="D18183" s="17"/>
      <c r="E18183" s="7"/>
    </row>
    <row r="18184" spans="3:5">
      <c r="C18184" s="17"/>
      <c r="D18184" s="17"/>
      <c r="E18184" s="7"/>
    </row>
    <row r="18185" spans="3:5">
      <c r="C18185" s="17"/>
      <c r="D18185" s="17"/>
      <c r="E18185" s="7"/>
    </row>
    <row r="18186" spans="3:5">
      <c r="C18186" s="17"/>
      <c r="D18186" s="17"/>
      <c r="E18186" s="7"/>
    </row>
    <row r="18187" spans="3:5">
      <c r="C18187" s="17"/>
      <c r="D18187" s="17"/>
      <c r="E18187" s="7"/>
    </row>
    <row r="18188" spans="3:5">
      <c r="C18188" s="17"/>
      <c r="D18188" s="17"/>
      <c r="E18188" s="7"/>
    </row>
    <row r="18189" spans="3:5">
      <c r="C18189" s="17"/>
      <c r="D18189" s="17"/>
      <c r="E18189" s="7"/>
    </row>
    <row r="18190" spans="3:5">
      <c r="C18190" s="17"/>
      <c r="D18190" s="17"/>
      <c r="E18190" s="7"/>
    </row>
    <row r="18191" spans="3:5">
      <c r="C18191" s="17"/>
      <c r="D18191" s="17"/>
      <c r="E18191" s="7"/>
    </row>
    <row r="18192" spans="3:5">
      <c r="C18192" s="17"/>
      <c r="D18192" s="17"/>
      <c r="E18192" s="7"/>
    </row>
    <row r="18193" spans="3:5">
      <c r="C18193" s="17"/>
      <c r="D18193" s="17"/>
      <c r="E18193" s="7"/>
    </row>
    <row r="18194" spans="3:5">
      <c r="C18194" s="17"/>
      <c r="D18194" s="17"/>
      <c r="E18194" s="7"/>
    </row>
    <row r="18195" spans="3:5">
      <c r="C18195" s="17"/>
      <c r="D18195" s="17"/>
      <c r="E18195" s="7"/>
    </row>
    <row r="18196" spans="3:5">
      <c r="C18196" s="17"/>
      <c r="D18196" s="17"/>
      <c r="E18196" s="7"/>
    </row>
    <row r="18197" spans="3:5">
      <c r="C18197" s="17"/>
      <c r="D18197" s="17"/>
      <c r="E18197" s="7"/>
    </row>
    <row r="18198" spans="3:5">
      <c r="C18198" s="17"/>
      <c r="D18198" s="17"/>
      <c r="E18198" s="7"/>
    </row>
    <row r="18199" spans="3:5">
      <c r="C18199" s="17"/>
      <c r="D18199" s="17"/>
      <c r="E18199" s="7"/>
    </row>
    <row r="18200" spans="3:5">
      <c r="C18200" s="17"/>
      <c r="D18200" s="17"/>
      <c r="E18200" s="7"/>
    </row>
    <row r="18201" spans="3:5">
      <c r="C18201" s="17"/>
      <c r="D18201" s="17"/>
      <c r="E18201" s="7"/>
    </row>
    <row r="18202" spans="3:5">
      <c r="C18202" s="17"/>
      <c r="D18202" s="17"/>
      <c r="E18202" s="7"/>
    </row>
    <row r="18203" spans="3:5">
      <c r="C18203" s="17"/>
      <c r="D18203" s="17"/>
      <c r="E18203" s="7"/>
    </row>
    <row r="18204" spans="3:5">
      <c r="C18204" s="17"/>
      <c r="D18204" s="17"/>
      <c r="E18204" s="7"/>
    </row>
    <row r="18205" spans="3:5">
      <c r="C18205" s="17"/>
      <c r="D18205" s="17"/>
      <c r="E18205" s="7"/>
    </row>
    <row r="18206" spans="3:5">
      <c r="C18206" s="17"/>
      <c r="D18206" s="17"/>
      <c r="E18206" s="7"/>
    </row>
    <row r="18207" spans="3:5">
      <c r="C18207" s="17"/>
      <c r="D18207" s="17"/>
      <c r="E18207" s="7"/>
    </row>
    <row r="18208" spans="3:5">
      <c r="C18208" s="17"/>
      <c r="D18208" s="17"/>
      <c r="E18208" s="7"/>
    </row>
    <row r="18209" spans="3:5">
      <c r="C18209" s="17"/>
      <c r="D18209" s="17"/>
      <c r="E18209" s="7"/>
    </row>
    <row r="18210" spans="3:5">
      <c r="C18210" s="17"/>
      <c r="D18210" s="17"/>
      <c r="E18210" s="7"/>
    </row>
    <row r="18211" spans="3:5">
      <c r="C18211" s="17"/>
      <c r="D18211" s="17"/>
      <c r="E18211" s="7"/>
    </row>
    <row r="18212" spans="3:5">
      <c r="C18212" s="17"/>
      <c r="D18212" s="17"/>
      <c r="E18212" s="7"/>
    </row>
    <row r="18213" spans="3:5">
      <c r="C18213" s="17"/>
      <c r="D18213" s="17"/>
      <c r="E18213" s="7"/>
    </row>
    <row r="18214" spans="3:5">
      <c r="C18214" s="17"/>
      <c r="D18214" s="17"/>
      <c r="E18214" s="7"/>
    </row>
    <row r="18215" spans="3:5">
      <c r="C18215" s="17"/>
      <c r="D18215" s="17"/>
      <c r="E18215" s="7"/>
    </row>
    <row r="18216" spans="3:5">
      <c r="C18216" s="17"/>
      <c r="D18216" s="17"/>
      <c r="E18216" s="7"/>
    </row>
    <row r="18217" spans="3:5">
      <c r="C18217" s="17"/>
      <c r="D18217" s="17"/>
      <c r="E18217" s="7"/>
    </row>
    <row r="18218" spans="3:5">
      <c r="C18218" s="17"/>
      <c r="D18218" s="17"/>
      <c r="E18218" s="7"/>
    </row>
    <row r="18219" spans="3:5">
      <c r="C18219" s="17"/>
      <c r="D18219" s="17"/>
      <c r="E18219" s="7"/>
    </row>
    <row r="18220" spans="3:5">
      <c r="C18220" s="17"/>
      <c r="D18220" s="17"/>
      <c r="E18220" s="7"/>
    </row>
    <row r="18221" spans="3:5">
      <c r="C18221" s="17"/>
      <c r="D18221" s="17"/>
      <c r="E18221" s="7"/>
    </row>
    <row r="18222" spans="3:5">
      <c r="C18222" s="17"/>
      <c r="D18222" s="17"/>
      <c r="E18222" s="7"/>
    </row>
    <row r="18223" spans="3:5">
      <c r="C18223" s="17"/>
      <c r="D18223" s="17"/>
      <c r="E18223" s="7"/>
    </row>
    <row r="18224" spans="3:5">
      <c r="C18224" s="17"/>
      <c r="D18224" s="17"/>
      <c r="E18224" s="7"/>
    </row>
    <row r="18225" spans="3:5">
      <c r="C18225" s="17"/>
      <c r="D18225" s="17"/>
      <c r="E18225" s="7"/>
    </row>
    <row r="18226" spans="3:5">
      <c r="C18226" s="17"/>
      <c r="D18226" s="17"/>
      <c r="E18226" s="7"/>
    </row>
    <row r="18227" spans="3:5">
      <c r="C18227" s="17"/>
      <c r="D18227" s="17"/>
      <c r="E18227" s="7"/>
    </row>
    <row r="18228" spans="3:5">
      <c r="C18228" s="17"/>
      <c r="D18228" s="17"/>
      <c r="E18228" s="7"/>
    </row>
    <row r="18229" spans="3:5">
      <c r="C18229" s="17"/>
      <c r="D18229" s="17"/>
      <c r="E18229" s="7"/>
    </row>
    <row r="18230" spans="3:5">
      <c r="C18230" s="17"/>
      <c r="D18230" s="17"/>
      <c r="E18230" s="7"/>
    </row>
    <row r="18231" spans="3:5">
      <c r="C18231" s="17"/>
      <c r="D18231" s="17"/>
      <c r="E18231" s="7"/>
    </row>
    <row r="18232" spans="3:5">
      <c r="C18232" s="17"/>
      <c r="D18232" s="17"/>
      <c r="E18232" s="7"/>
    </row>
    <row r="18233" spans="3:5">
      <c r="C18233" s="17"/>
      <c r="D18233" s="17"/>
      <c r="E18233" s="7"/>
    </row>
    <row r="18234" spans="3:5">
      <c r="C18234" s="17"/>
      <c r="D18234" s="17"/>
      <c r="E18234" s="7"/>
    </row>
    <row r="18235" spans="3:5">
      <c r="C18235" s="17"/>
      <c r="D18235" s="17"/>
      <c r="E18235" s="7"/>
    </row>
    <row r="18236" spans="3:5">
      <c r="C18236" s="17"/>
      <c r="D18236" s="17"/>
      <c r="E18236" s="7"/>
    </row>
    <row r="18237" spans="3:5">
      <c r="C18237" s="17"/>
      <c r="D18237" s="17"/>
      <c r="E18237" s="7"/>
    </row>
    <row r="18238" spans="3:5">
      <c r="C18238" s="17"/>
      <c r="D18238" s="17"/>
      <c r="E18238" s="7"/>
    </row>
    <row r="18239" spans="3:5">
      <c r="C18239" s="17"/>
      <c r="D18239" s="17"/>
      <c r="E18239" s="7"/>
    </row>
    <row r="18240" spans="3:5">
      <c r="C18240" s="17"/>
      <c r="D18240" s="17"/>
      <c r="E18240" s="7"/>
    </row>
    <row r="18241" spans="3:5">
      <c r="C18241" s="17"/>
      <c r="D18241" s="17"/>
      <c r="E18241" s="7"/>
    </row>
    <row r="18242" spans="3:5">
      <c r="C18242" s="17"/>
      <c r="D18242" s="17"/>
      <c r="E18242" s="7"/>
    </row>
    <row r="18243" spans="3:5">
      <c r="C18243" s="17"/>
      <c r="D18243" s="17"/>
      <c r="E18243" s="7"/>
    </row>
    <row r="18244" spans="3:5">
      <c r="C18244" s="17"/>
      <c r="D18244" s="17"/>
      <c r="E18244" s="7"/>
    </row>
    <row r="18245" spans="3:5">
      <c r="C18245" s="17"/>
      <c r="D18245" s="17"/>
      <c r="E18245" s="7"/>
    </row>
    <row r="18246" spans="3:5">
      <c r="C18246" s="17"/>
      <c r="D18246" s="17"/>
      <c r="E18246" s="7"/>
    </row>
    <row r="18247" spans="3:5">
      <c r="C18247" s="17"/>
      <c r="D18247" s="17"/>
      <c r="E18247" s="7"/>
    </row>
    <row r="18248" spans="3:5">
      <c r="C18248" s="17"/>
      <c r="D18248" s="17"/>
      <c r="E18248" s="7"/>
    </row>
    <row r="18249" spans="3:5">
      <c r="C18249" s="17"/>
      <c r="D18249" s="17"/>
      <c r="E18249" s="7"/>
    </row>
    <row r="18250" spans="3:5">
      <c r="C18250" s="17"/>
      <c r="D18250" s="17"/>
      <c r="E18250" s="7"/>
    </row>
    <row r="18251" spans="3:5">
      <c r="C18251" s="17"/>
      <c r="D18251" s="17"/>
      <c r="E18251" s="7"/>
    </row>
    <row r="18252" spans="3:5">
      <c r="C18252" s="17"/>
      <c r="D18252" s="17"/>
      <c r="E18252" s="7"/>
    </row>
    <row r="18253" spans="3:5">
      <c r="C18253" s="17"/>
      <c r="D18253" s="17"/>
      <c r="E18253" s="7"/>
    </row>
    <row r="18254" spans="3:5">
      <c r="C18254" s="17"/>
      <c r="D18254" s="17"/>
      <c r="E18254" s="7"/>
    </row>
    <row r="18255" spans="3:5">
      <c r="C18255" s="17"/>
      <c r="D18255" s="17"/>
      <c r="E18255" s="7"/>
    </row>
    <row r="18256" spans="3:5">
      <c r="C18256" s="17"/>
      <c r="D18256" s="17"/>
      <c r="E18256" s="7"/>
    </row>
    <row r="18257" spans="3:5">
      <c r="C18257" s="17"/>
      <c r="D18257" s="17"/>
      <c r="E18257" s="7"/>
    </row>
    <row r="18258" spans="3:5">
      <c r="C18258" s="17"/>
      <c r="D18258" s="17"/>
      <c r="E18258" s="7"/>
    </row>
    <row r="18259" spans="3:5">
      <c r="C18259" s="17"/>
      <c r="D18259" s="17"/>
      <c r="E18259" s="7"/>
    </row>
    <row r="18260" spans="3:5">
      <c r="C18260" s="17"/>
      <c r="D18260" s="17"/>
      <c r="E18260" s="7"/>
    </row>
    <row r="18261" spans="3:5">
      <c r="C18261" s="17"/>
      <c r="D18261" s="17"/>
      <c r="E18261" s="7"/>
    </row>
    <row r="18262" spans="3:5">
      <c r="C18262" s="17"/>
      <c r="D18262" s="17"/>
      <c r="E18262" s="7"/>
    </row>
    <row r="18263" spans="3:5">
      <c r="C18263" s="17"/>
      <c r="D18263" s="17"/>
      <c r="E18263" s="7"/>
    </row>
    <row r="18264" spans="3:5">
      <c r="C18264" s="17"/>
      <c r="D18264" s="17"/>
      <c r="E18264" s="7"/>
    </row>
    <row r="18265" spans="3:5">
      <c r="C18265" s="17"/>
      <c r="D18265" s="17"/>
      <c r="E18265" s="7"/>
    </row>
    <row r="18266" spans="3:5">
      <c r="C18266" s="17"/>
      <c r="D18266" s="17"/>
      <c r="E18266" s="7"/>
    </row>
    <row r="18267" spans="3:5">
      <c r="C18267" s="17"/>
      <c r="D18267" s="17"/>
      <c r="E18267" s="7"/>
    </row>
    <row r="18268" spans="3:5">
      <c r="C18268" s="17"/>
      <c r="D18268" s="17"/>
      <c r="E18268" s="7"/>
    </row>
    <row r="18269" spans="3:5">
      <c r="C18269" s="17"/>
      <c r="D18269" s="17"/>
      <c r="E18269" s="7"/>
    </row>
    <row r="18270" spans="3:5">
      <c r="C18270" s="17"/>
      <c r="D18270" s="17"/>
      <c r="E18270" s="7"/>
    </row>
    <row r="18271" spans="3:5">
      <c r="C18271" s="17"/>
      <c r="D18271" s="17"/>
      <c r="E18271" s="7"/>
    </row>
    <row r="18272" spans="3:5">
      <c r="C18272" s="17"/>
      <c r="D18272" s="17"/>
      <c r="E18272" s="7"/>
    </row>
    <row r="18273" spans="3:5">
      <c r="C18273" s="17"/>
      <c r="D18273" s="17"/>
      <c r="E18273" s="7"/>
    </row>
    <row r="18274" spans="3:5">
      <c r="C18274" s="17"/>
      <c r="D18274" s="17"/>
      <c r="E18274" s="7"/>
    </row>
    <row r="18275" spans="3:5">
      <c r="C18275" s="17"/>
      <c r="D18275" s="17"/>
      <c r="E18275" s="7"/>
    </row>
    <row r="18276" spans="3:5">
      <c r="C18276" s="17"/>
      <c r="D18276" s="17"/>
      <c r="E18276" s="7"/>
    </row>
    <row r="18277" spans="3:5">
      <c r="C18277" s="17"/>
      <c r="D18277" s="17"/>
      <c r="E18277" s="7"/>
    </row>
    <row r="18278" spans="3:5">
      <c r="C18278" s="17"/>
      <c r="D18278" s="17"/>
      <c r="E18278" s="7"/>
    </row>
    <row r="18279" spans="3:5">
      <c r="C18279" s="17"/>
      <c r="D18279" s="17"/>
      <c r="E18279" s="7"/>
    </row>
    <row r="18280" spans="3:5">
      <c r="C18280" s="17"/>
      <c r="D18280" s="17"/>
      <c r="E18280" s="7"/>
    </row>
    <row r="18281" spans="3:5">
      <c r="C18281" s="17"/>
      <c r="D18281" s="17"/>
      <c r="E18281" s="7"/>
    </row>
    <row r="18282" spans="3:5">
      <c r="C18282" s="17"/>
      <c r="D18282" s="17"/>
      <c r="E18282" s="7"/>
    </row>
    <row r="18283" spans="3:5">
      <c r="C18283" s="17"/>
      <c r="D18283" s="17"/>
      <c r="E18283" s="7"/>
    </row>
    <row r="18284" spans="3:5">
      <c r="C18284" s="17"/>
      <c r="D18284" s="17"/>
      <c r="E18284" s="7"/>
    </row>
    <row r="18285" spans="3:5">
      <c r="C18285" s="17"/>
      <c r="D18285" s="17"/>
      <c r="E18285" s="7"/>
    </row>
    <row r="18286" spans="3:5">
      <c r="C18286" s="17"/>
      <c r="D18286" s="17"/>
      <c r="E18286" s="7"/>
    </row>
    <row r="18287" spans="3:5">
      <c r="C18287" s="17"/>
      <c r="D18287" s="17"/>
      <c r="E18287" s="7"/>
    </row>
    <row r="18288" spans="3:5">
      <c r="C18288" s="17"/>
      <c r="D18288" s="17"/>
      <c r="E18288" s="7"/>
    </row>
    <row r="18289" spans="3:5">
      <c r="C18289" s="17"/>
      <c r="D18289" s="17"/>
      <c r="E18289" s="7"/>
    </row>
    <row r="18290" spans="3:5">
      <c r="C18290" s="17"/>
      <c r="D18290" s="17"/>
      <c r="E18290" s="7"/>
    </row>
    <row r="18291" spans="3:5">
      <c r="C18291" s="17"/>
      <c r="D18291" s="17"/>
      <c r="E18291" s="7"/>
    </row>
    <row r="18292" spans="3:5">
      <c r="C18292" s="17"/>
      <c r="D18292" s="17"/>
      <c r="E18292" s="7"/>
    </row>
    <row r="18293" spans="3:5">
      <c r="C18293" s="17"/>
      <c r="D18293" s="17"/>
      <c r="E18293" s="7"/>
    </row>
    <row r="18294" spans="3:5">
      <c r="C18294" s="17"/>
      <c r="D18294" s="17"/>
      <c r="E18294" s="7"/>
    </row>
    <row r="18295" spans="3:5">
      <c r="C18295" s="17"/>
      <c r="D18295" s="17"/>
      <c r="E18295" s="7"/>
    </row>
    <row r="18296" spans="3:5">
      <c r="C18296" s="17"/>
      <c r="D18296" s="17"/>
      <c r="E18296" s="7"/>
    </row>
    <row r="18297" spans="3:5">
      <c r="C18297" s="17"/>
      <c r="D18297" s="17"/>
      <c r="E18297" s="7"/>
    </row>
    <row r="18298" spans="3:5">
      <c r="C18298" s="17"/>
      <c r="D18298" s="17"/>
      <c r="E18298" s="7"/>
    </row>
    <row r="18299" spans="3:5">
      <c r="C18299" s="17"/>
      <c r="D18299" s="17"/>
      <c r="E18299" s="7"/>
    </row>
    <row r="18300" spans="3:5">
      <c r="C18300" s="17"/>
      <c r="D18300" s="17"/>
      <c r="E18300" s="7"/>
    </row>
    <row r="18301" spans="3:5">
      <c r="C18301" s="17"/>
      <c r="D18301" s="17"/>
      <c r="E18301" s="7"/>
    </row>
    <row r="18302" spans="3:5">
      <c r="C18302" s="17"/>
      <c r="D18302" s="17"/>
      <c r="E18302" s="7"/>
    </row>
    <row r="18303" spans="3:5">
      <c r="C18303" s="17"/>
      <c r="D18303" s="17"/>
      <c r="E18303" s="7"/>
    </row>
    <row r="18304" spans="3:5">
      <c r="C18304" s="17"/>
      <c r="D18304" s="17"/>
      <c r="E18304" s="7"/>
    </row>
    <row r="18305" spans="3:5">
      <c r="C18305" s="17"/>
      <c r="D18305" s="17"/>
      <c r="E18305" s="7"/>
    </row>
    <row r="18306" spans="3:5">
      <c r="C18306" s="17"/>
      <c r="D18306" s="17"/>
      <c r="E18306" s="7"/>
    </row>
    <row r="18307" spans="3:5">
      <c r="C18307" s="17"/>
      <c r="D18307" s="17"/>
      <c r="E18307" s="7"/>
    </row>
    <row r="18308" spans="3:5">
      <c r="C18308" s="17"/>
      <c r="D18308" s="17"/>
      <c r="E18308" s="7"/>
    </row>
    <row r="18309" spans="3:5">
      <c r="C18309" s="17"/>
      <c r="D18309" s="17"/>
      <c r="E18309" s="7"/>
    </row>
    <row r="18310" spans="3:5">
      <c r="C18310" s="17"/>
      <c r="D18310" s="17"/>
      <c r="E18310" s="7"/>
    </row>
    <row r="18311" spans="3:5">
      <c r="C18311" s="17"/>
      <c r="D18311" s="17"/>
      <c r="E18311" s="7"/>
    </row>
    <row r="18312" spans="3:5">
      <c r="C18312" s="17"/>
      <c r="D18312" s="17"/>
      <c r="E18312" s="7"/>
    </row>
    <row r="18313" spans="3:5">
      <c r="C18313" s="17"/>
      <c r="D18313" s="17"/>
      <c r="E18313" s="7"/>
    </row>
    <row r="18314" spans="3:5">
      <c r="C18314" s="17"/>
      <c r="D18314" s="17"/>
      <c r="E18314" s="7"/>
    </row>
    <row r="18315" spans="3:5">
      <c r="C18315" s="17"/>
      <c r="D18315" s="17"/>
      <c r="E18315" s="7"/>
    </row>
    <row r="18316" spans="3:5">
      <c r="C18316" s="17"/>
      <c r="D18316" s="17"/>
      <c r="E18316" s="7"/>
    </row>
    <row r="18317" spans="3:5">
      <c r="C18317" s="17"/>
      <c r="D18317" s="17"/>
      <c r="E18317" s="7"/>
    </row>
    <row r="18318" spans="3:5">
      <c r="C18318" s="17"/>
      <c r="D18318" s="17"/>
      <c r="E18318" s="7"/>
    </row>
    <row r="18319" spans="3:5">
      <c r="C18319" s="17"/>
      <c r="D18319" s="17"/>
      <c r="E18319" s="7"/>
    </row>
    <row r="18320" spans="3:5">
      <c r="C18320" s="17"/>
      <c r="D18320" s="17"/>
      <c r="E18320" s="7"/>
    </row>
    <row r="18321" spans="3:5">
      <c r="C18321" s="17"/>
      <c r="D18321" s="17"/>
      <c r="E18321" s="7"/>
    </row>
    <row r="18322" spans="3:5">
      <c r="C18322" s="17"/>
      <c r="D18322" s="17"/>
      <c r="E18322" s="7"/>
    </row>
    <row r="18323" spans="3:5">
      <c r="C18323" s="17"/>
      <c r="D18323" s="17"/>
      <c r="E18323" s="7"/>
    </row>
    <row r="18324" spans="3:5">
      <c r="C18324" s="17"/>
      <c r="D18324" s="17"/>
      <c r="E18324" s="7"/>
    </row>
    <row r="18325" spans="3:5">
      <c r="C18325" s="17"/>
      <c r="D18325" s="17"/>
      <c r="E18325" s="7"/>
    </row>
    <row r="18326" spans="3:5">
      <c r="C18326" s="17"/>
      <c r="D18326" s="17"/>
      <c r="E18326" s="7"/>
    </row>
    <row r="18327" spans="3:5">
      <c r="C18327" s="17"/>
      <c r="D18327" s="17"/>
      <c r="E18327" s="7"/>
    </row>
    <row r="18328" spans="3:5">
      <c r="C18328" s="17"/>
      <c r="D18328" s="17"/>
      <c r="E18328" s="7"/>
    </row>
    <row r="18329" spans="3:5">
      <c r="C18329" s="17"/>
      <c r="D18329" s="17"/>
      <c r="E18329" s="7"/>
    </row>
    <row r="18330" spans="3:5">
      <c r="C18330" s="17"/>
      <c r="D18330" s="17"/>
      <c r="E18330" s="7"/>
    </row>
    <row r="18331" spans="3:5">
      <c r="C18331" s="17"/>
      <c r="D18331" s="17"/>
      <c r="E18331" s="7"/>
    </row>
    <row r="18332" spans="3:5">
      <c r="C18332" s="17"/>
      <c r="D18332" s="17"/>
      <c r="E18332" s="7"/>
    </row>
    <row r="18333" spans="3:5">
      <c r="C18333" s="17"/>
      <c r="D18333" s="17"/>
      <c r="E18333" s="7"/>
    </row>
    <row r="18334" spans="3:5">
      <c r="C18334" s="17"/>
      <c r="D18334" s="17"/>
      <c r="E18334" s="7"/>
    </row>
    <row r="18335" spans="3:5">
      <c r="C18335" s="17"/>
      <c r="D18335" s="17"/>
      <c r="E18335" s="7"/>
    </row>
    <row r="18336" spans="3:5">
      <c r="C18336" s="17"/>
      <c r="D18336" s="17"/>
      <c r="E18336" s="7"/>
    </row>
    <row r="18337" spans="3:5">
      <c r="C18337" s="17"/>
      <c r="D18337" s="17"/>
      <c r="E18337" s="7"/>
    </row>
    <row r="18338" spans="3:5">
      <c r="C18338" s="17"/>
      <c r="D18338" s="17"/>
      <c r="E18338" s="7"/>
    </row>
    <row r="18339" spans="3:5">
      <c r="C18339" s="17"/>
      <c r="D18339" s="17"/>
      <c r="E18339" s="7"/>
    </row>
    <row r="18340" spans="3:5">
      <c r="C18340" s="17"/>
      <c r="D18340" s="17"/>
      <c r="E18340" s="7"/>
    </row>
    <row r="18341" spans="3:5">
      <c r="C18341" s="17"/>
      <c r="D18341" s="17"/>
      <c r="E18341" s="7"/>
    </row>
    <row r="18342" spans="3:5">
      <c r="C18342" s="17"/>
      <c r="D18342" s="17"/>
      <c r="E18342" s="7"/>
    </row>
    <row r="18343" spans="3:5">
      <c r="C18343" s="17"/>
      <c r="D18343" s="17"/>
      <c r="E18343" s="7"/>
    </row>
    <row r="18344" spans="3:5">
      <c r="C18344" s="17"/>
      <c r="D18344" s="17"/>
      <c r="E18344" s="7"/>
    </row>
    <row r="18345" spans="3:5">
      <c r="C18345" s="17"/>
      <c r="D18345" s="17"/>
      <c r="E18345" s="7"/>
    </row>
    <row r="18346" spans="3:5">
      <c r="C18346" s="17"/>
      <c r="D18346" s="17"/>
      <c r="E18346" s="7"/>
    </row>
    <row r="18347" spans="3:5">
      <c r="C18347" s="17"/>
      <c r="D18347" s="17"/>
      <c r="E18347" s="7"/>
    </row>
    <row r="18348" spans="3:5">
      <c r="C18348" s="17"/>
      <c r="D18348" s="17"/>
      <c r="E18348" s="7"/>
    </row>
    <row r="18349" spans="3:5">
      <c r="C18349" s="17"/>
      <c r="D18349" s="17"/>
      <c r="E18349" s="7"/>
    </row>
    <row r="18350" spans="3:5">
      <c r="C18350" s="17"/>
      <c r="D18350" s="17"/>
      <c r="E18350" s="7"/>
    </row>
    <row r="18351" spans="3:5">
      <c r="C18351" s="17"/>
      <c r="D18351" s="17"/>
      <c r="E18351" s="7"/>
    </row>
    <row r="18352" spans="3:5">
      <c r="C18352" s="17"/>
      <c r="D18352" s="17"/>
      <c r="E18352" s="7"/>
    </row>
    <row r="18353" spans="3:5">
      <c r="C18353" s="17"/>
      <c r="D18353" s="17"/>
      <c r="E18353" s="7"/>
    </row>
    <row r="18354" spans="3:5">
      <c r="C18354" s="17"/>
      <c r="D18354" s="17"/>
      <c r="E18354" s="7"/>
    </row>
    <row r="18355" spans="3:5">
      <c r="C18355" s="17"/>
      <c r="D18355" s="17"/>
      <c r="E18355" s="7"/>
    </row>
    <row r="18356" spans="3:5">
      <c r="C18356" s="17"/>
      <c r="D18356" s="17"/>
      <c r="E18356" s="7"/>
    </row>
    <row r="18357" spans="3:5">
      <c r="C18357" s="17"/>
      <c r="D18357" s="17"/>
      <c r="E18357" s="7"/>
    </row>
    <row r="18358" spans="3:5">
      <c r="C18358" s="17"/>
      <c r="D18358" s="17"/>
      <c r="E18358" s="7"/>
    </row>
    <row r="18359" spans="3:5">
      <c r="C18359" s="17"/>
      <c r="D18359" s="17"/>
      <c r="E18359" s="7"/>
    </row>
    <row r="18360" spans="3:5">
      <c r="C18360" s="17"/>
      <c r="D18360" s="17"/>
      <c r="E18360" s="7"/>
    </row>
    <row r="18361" spans="3:5">
      <c r="C18361" s="17"/>
      <c r="D18361" s="17"/>
      <c r="E18361" s="7"/>
    </row>
    <row r="18362" spans="3:5">
      <c r="C18362" s="17"/>
      <c r="D18362" s="17"/>
      <c r="E18362" s="7"/>
    </row>
    <row r="18363" spans="3:5">
      <c r="C18363" s="17"/>
      <c r="D18363" s="17"/>
      <c r="E18363" s="7"/>
    </row>
    <row r="18364" spans="3:5">
      <c r="C18364" s="17"/>
      <c r="D18364" s="17"/>
      <c r="E18364" s="7"/>
    </row>
    <row r="18365" spans="3:5">
      <c r="C18365" s="17"/>
      <c r="D18365" s="17"/>
      <c r="E18365" s="7"/>
    </row>
    <row r="18366" spans="3:5">
      <c r="C18366" s="17"/>
      <c r="D18366" s="17"/>
      <c r="E18366" s="7"/>
    </row>
    <row r="18367" spans="3:5">
      <c r="C18367" s="17"/>
      <c r="D18367" s="17"/>
      <c r="E18367" s="7"/>
    </row>
    <row r="18368" spans="3:5">
      <c r="C18368" s="17"/>
      <c r="D18368" s="17"/>
      <c r="E18368" s="7"/>
    </row>
    <row r="18369" spans="3:5">
      <c r="C18369" s="17"/>
      <c r="D18369" s="17"/>
      <c r="E18369" s="7"/>
    </row>
    <row r="18370" spans="3:5">
      <c r="C18370" s="17"/>
      <c r="D18370" s="17"/>
      <c r="E18370" s="7"/>
    </row>
    <row r="18371" spans="3:5">
      <c r="C18371" s="17"/>
      <c r="D18371" s="17"/>
      <c r="E18371" s="7"/>
    </row>
    <row r="18372" spans="3:5">
      <c r="C18372" s="17"/>
      <c r="D18372" s="17"/>
      <c r="E18372" s="7"/>
    </row>
    <row r="18373" spans="3:5">
      <c r="C18373" s="17"/>
      <c r="D18373" s="17"/>
      <c r="E18373" s="7"/>
    </row>
    <row r="18374" spans="3:5">
      <c r="C18374" s="17"/>
      <c r="D18374" s="17"/>
      <c r="E18374" s="7"/>
    </row>
    <row r="18375" spans="3:5">
      <c r="C18375" s="17"/>
      <c r="D18375" s="17"/>
      <c r="E18375" s="7"/>
    </row>
    <row r="18376" spans="3:5">
      <c r="C18376" s="17"/>
      <c r="D18376" s="17"/>
      <c r="E18376" s="7"/>
    </row>
    <row r="18377" spans="3:5">
      <c r="C18377" s="17"/>
      <c r="D18377" s="17"/>
      <c r="E18377" s="7"/>
    </row>
    <row r="18378" spans="3:5">
      <c r="C18378" s="17"/>
      <c r="D18378" s="17"/>
      <c r="E18378" s="7"/>
    </row>
    <row r="18379" spans="3:5">
      <c r="C18379" s="17"/>
      <c r="D18379" s="17"/>
      <c r="E18379" s="7"/>
    </row>
    <row r="18380" spans="3:5">
      <c r="C18380" s="17"/>
      <c r="D18380" s="17"/>
      <c r="E18380" s="7"/>
    </row>
    <row r="18381" spans="3:5">
      <c r="C18381" s="17"/>
      <c r="D18381" s="17"/>
      <c r="E18381" s="7"/>
    </row>
    <row r="18382" spans="3:5">
      <c r="C18382" s="17"/>
      <c r="D18382" s="17"/>
      <c r="E18382" s="7"/>
    </row>
    <row r="18383" spans="3:5">
      <c r="C18383" s="17"/>
      <c r="D18383" s="17"/>
      <c r="E18383" s="7"/>
    </row>
    <row r="18384" spans="3:5">
      <c r="C18384" s="17"/>
      <c r="D18384" s="17"/>
      <c r="E18384" s="7"/>
    </row>
    <row r="18385" spans="3:5">
      <c r="C18385" s="17"/>
      <c r="D18385" s="17"/>
      <c r="E18385" s="7"/>
    </row>
    <row r="18386" spans="3:5">
      <c r="C18386" s="17"/>
      <c r="D18386" s="17"/>
      <c r="E18386" s="7"/>
    </row>
    <row r="18387" spans="3:5">
      <c r="C18387" s="17"/>
      <c r="D18387" s="17"/>
      <c r="E18387" s="7"/>
    </row>
    <row r="18388" spans="3:5">
      <c r="C18388" s="17"/>
      <c r="D18388" s="17"/>
      <c r="E18388" s="7"/>
    </row>
    <row r="18389" spans="3:5">
      <c r="C18389" s="17"/>
      <c r="D18389" s="17"/>
      <c r="E18389" s="7"/>
    </row>
    <row r="18390" spans="3:5">
      <c r="C18390" s="17"/>
      <c r="D18390" s="17"/>
      <c r="E18390" s="7"/>
    </row>
    <row r="18391" spans="3:5">
      <c r="C18391" s="17"/>
      <c r="D18391" s="17"/>
      <c r="E18391" s="7"/>
    </row>
    <row r="18392" spans="3:5">
      <c r="C18392" s="17"/>
      <c r="D18392" s="17"/>
      <c r="E18392" s="7"/>
    </row>
    <row r="18393" spans="3:5">
      <c r="C18393" s="17"/>
      <c r="D18393" s="17"/>
      <c r="E18393" s="7"/>
    </row>
    <row r="18394" spans="3:5">
      <c r="C18394" s="17"/>
      <c r="D18394" s="17"/>
      <c r="E18394" s="7"/>
    </row>
    <row r="18395" spans="3:5">
      <c r="C18395" s="17"/>
      <c r="D18395" s="17"/>
      <c r="E18395" s="7"/>
    </row>
    <row r="18396" spans="3:5">
      <c r="C18396" s="17"/>
      <c r="D18396" s="17"/>
      <c r="E18396" s="7"/>
    </row>
    <row r="18397" spans="3:5">
      <c r="C18397" s="17"/>
      <c r="D18397" s="17"/>
      <c r="E18397" s="7"/>
    </row>
    <row r="18398" spans="3:5">
      <c r="C18398" s="17"/>
      <c r="D18398" s="17"/>
      <c r="E18398" s="7"/>
    </row>
    <row r="18399" spans="3:5">
      <c r="C18399" s="17"/>
      <c r="D18399" s="17"/>
      <c r="E18399" s="7"/>
    </row>
    <row r="18400" spans="3:5">
      <c r="C18400" s="17"/>
      <c r="D18400" s="17"/>
      <c r="E18400" s="7"/>
    </row>
    <row r="18401" spans="3:5">
      <c r="C18401" s="17"/>
      <c r="D18401" s="17"/>
      <c r="E18401" s="7"/>
    </row>
    <row r="18402" spans="3:5">
      <c r="C18402" s="17"/>
      <c r="D18402" s="17"/>
      <c r="E18402" s="7"/>
    </row>
    <row r="18403" spans="3:5">
      <c r="C18403" s="17"/>
      <c r="D18403" s="17"/>
      <c r="E18403" s="7"/>
    </row>
    <row r="18404" spans="3:5">
      <c r="C18404" s="17"/>
      <c r="D18404" s="17"/>
      <c r="E18404" s="7"/>
    </row>
    <row r="18405" spans="3:5">
      <c r="C18405" s="17"/>
      <c r="D18405" s="17"/>
      <c r="E18405" s="7"/>
    </row>
    <row r="18406" spans="3:5">
      <c r="C18406" s="17"/>
      <c r="D18406" s="17"/>
      <c r="E18406" s="7"/>
    </row>
    <row r="18407" spans="3:5">
      <c r="C18407" s="17"/>
      <c r="D18407" s="17"/>
      <c r="E18407" s="7"/>
    </row>
    <row r="18408" spans="3:5">
      <c r="C18408" s="17"/>
      <c r="D18408" s="17"/>
      <c r="E18408" s="7"/>
    </row>
    <row r="18409" spans="3:5">
      <c r="C18409" s="17"/>
      <c r="D18409" s="17"/>
      <c r="E18409" s="7"/>
    </row>
    <row r="18410" spans="3:5">
      <c r="C18410" s="17"/>
      <c r="D18410" s="17"/>
      <c r="E18410" s="7"/>
    </row>
    <row r="18411" spans="3:5">
      <c r="C18411" s="17"/>
      <c r="D18411" s="17"/>
      <c r="E18411" s="7"/>
    </row>
    <row r="18412" spans="3:5">
      <c r="C18412" s="17"/>
      <c r="D18412" s="17"/>
      <c r="E18412" s="7"/>
    </row>
    <row r="18413" spans="3:5">
      <c r="C18413" s="17"/>
      <c r="D18413" s="17"/>
      <c r="E18413" s="7"/>
    </row>
    <row r="18414" spans="3:5">
      <c r="C18414" s="17"/>
      <c r="D18414" s="17"/>
      <c r="E18414" s="7"/>
    </row>
    <row r="18415" spans="3:5">
      <c r="C18415" s="17"/>
      <c r="D18415" s="17"/>
      <c r="E18415" s="7"/>
    </row>
    <row r="18416" spans="3:5">
      <c r="C18416" s="17"/>
      <c r="D18416" s="17"/>
      <c r="E18416" s="7"/>
    </row>
    <row r="18417" spans="3:5">
      <c r="C18417" s="17"/>
      <c r="D18417" s="17"/>
      <c r="E18417" s="7"/>
    </row>
    <row r="18418" spans="3:5">
      <c r="C18418" s="17"/>
      <c r="D18418" s="17"/>
      <c r="E18418" s="7"/>
    </row>
    <row r="18419" spans="3:5">
      <c r="C18419" s="17"/>
      <c r="D18419" s="17"/>
      <c r="E18419" s="7"/>
    </row>
    <row r="18420" spans="3:5">
      <c r="C18420" s="17"/>
      <c r="D18420" s="17"/>
      <c r="E18420" s="7"/>
    </row>
    <row r="18421" spans="3:5">
      <c r="C18421" s="17"/>
      <c r="D18421" s="17"/>
      <c r="E18421" s="7"/>
    </row>
    <row r="18422" spans="3:5">
      <c r="C18422" s="17"/>
      <c r="D18422" s="17"/>
      <c r="E18422" s="7"/>
    </row>
    <row r="18423" spans="3:5">
      <c r="C18423" s="17"/>
      <c r="D18423" s="17"/>
      <c r="E18423" s="7"/>
    </row>
    <row r="18424" spans="3:5">
      <c r="C18424" s="17"/>
      <c r="D18424" s="17"/>
      <c r="E18424" s="7"/>
    </row>
    <row r="18425" spans="3:5">
      <c r="C18425" s="17"/>
      <c r="D18425" s="17"/>
      <c r="E18425" s="7"/>
    </row>
    <row r="18426" spans="3:5">
      <c r="C18426" s="17"/>
      <c r="D18426" s="17"/>
      <c r="E18426" s="7"/>
    </row>
    <row r="18427" spans="3:5">
      <c r="C18427" s="17"/>
      <c r="D18427" s="17"/>
      <c r="E18427" s="7"/>
    </row>
    <row r="18428" spans="3:5">
      <c r="C18428" s="17"/>
      <c r="D18428" s="17"/>
      <c r="E18428" s="7"/>
    </row>
    <row r="18429" spans="3:5">
      <c r="C18429" s="17"/>
      <c r="D18429" s="17"/>
      <c r="E18429" s="7"/>
    </row>
    <row r="18430" spans="3:5">
      <c r="C18430" s="17"/>
      <c r="D18430" s="17"/>
      <c r="E18430" s="7"/>
    </row>
    <row r="18431" spans="3:5">
      <c r="C18431" s="17"/>
      <c r="D18431" s="17"/>
      <c r="E18431" s="7"/>
    </row>
    <row r="18432" spans="3:5">
      <c r="C18432" s="17"/>
      <c r="D18432" s="17"/>
      <c r="E18432" s="7"/>
    </row>
    <row r="18433" spans="3:5">
      <c r="C18433" s="17"/>
      <c r="D18433" s="17"/>
      <c r="E18433" s="7"/>
    </row>
    <row r="18434" spans="3:5">
      <c r="C18434" s="17"/>
      <c r="D18434" s="17"/>
      <c r="E18434" s="7"/>
    </row>
    <row r="18435" spans="3:5">
      <c r="C18435" s="17"/>
      <c r="D18435" s="17"/>
      <c r="E18435" s="7"/>
    </row>
    <row r="18436" spans="3:5">
      <c r="C18436" s="17"/>
      <c r="D18436" s="17"/>
      <c r="E18436" s="7"/>
    </row>
    <row r="18437" spans="3:5">
      <c r="C18437" s="17"/>
      <c r="D18437" s="17"/>
      <c r="E18437" s="7"/>
    </row>
    <row r="18438" spans="3:5">
      <c r="C18438" s="17"/>
      <c r="D18438" s="17"/>
      <c r="E18438" s="7"/>
    </row>
    <row r="18439" spans="3:5">
      <c r="C18439" s="17"/>
      <c r="D18439" s="17"/>
      <c r="E18439" s="7"/>
    </row>
    <row r="18440" spans="3:5">
      <c r="C18440" s="17"/>
      <c r="D18440" s="17"/>
      <c r="E18440" s="7"/>
    </row>
    <row r="18441" spans="3:5">
      <c r="C18441" s="17"/>
      <c r="D18441" s="17"/>
      <c r="E18441" s="7"/>
    </row>
    <row r="18442" spans="3:5">
      <c r="C18442" s="17"/>
      <c r="D18442" s="17"/>
      <c r="E18442" s="7"/>
    </row>
    <row r="18443" spans="3:5">
      <c r="C18443" s="17"/>
      <c r="D18443" s="17"/>
      <c r="E18443" s="7"/>
    </row>
    <row r="18444" spans="3:5">
      <c r="C18444" s="17"/>
      <c r="D18444" s="17"/>
      <c r="E18444" s="7"/>
    </row>
    <row r="18445" spans="3:5">
      <c r="C18445" s="17"/>
      <c r="D18445" s="17"/>
      <c r="E18445" s="7"/>
    </row>
    <row r="18446" spans="3:5">
      <c r="C18446" s="17"/>
      <c r="D18446" s="17"/>
      <c r="E18446" s="7"/>
    </row>
    <row r="18447" spans="3:5">
      <c r="C18447" s="17"/>
      <c r="D18447" s="17"/>
      <c r="E18447" s="7"/>
    </row>
    <row r="18448" spans="3:5">
      <c r="C18448" s="17"/>
      <c r="D18448" s="17"/>
      <c r="E18448" s="7"/>
    </row>
    <row r="18449" spans="3:5">
      <c r="C18449" s="17"/>
      <c r="D18449" s="17"/>
      <c r="E18449" s="7"/>
    </row>
    <row r="18450" spans="3:5">
      <c r="C18450" s="17"/>
      <c r="D18450" s="17"/>
      <c r="E18450" s="7"/>
    </row>
    <row r="18451" spans="3:5">
      <c r="C18451" s="17"/>
      <c r="D18451" s="17"/>
      <c r="E18451" s="7"/>
    </row>
    <row r="18452" spans="3:5">
      <c r="C18452" s="17"/>
      <c r="D18452" s="17"/>
      <c r="E18452" s="7"/>
    </row>
    <row r="18453" spans="3:5">
      <c r="C18453" s="17"/>
      <c r="D18453" s="17"/>
      <c r="E18453" s="7"/>
    </row>
    <row r="18454" spans="3:5">
      <c r="C18454" s="17"/>
      <c r="D18454" s="17"/>
      <c r="E18454" s="7"/>
    </row>
    <row r="18455" spans="3:5">
      <c r="C18455" s="17"/>
      <c r="D18455" s="17"/>
      <c r="E18455" s="7"/>
    </row>
    <row r="18456" spans="3:5">
      <c r="C18456" s="17"/>
      <c r="D18456" s="17"/>
      <c r="E18456" s="7"/>
    </row>
    <row r="18457" spans="3:5">
      <c r="C18457" s="17"/>
      <c r="D18457" s="17"/>
      <c r="E18457" s="7"/>
    </row>
    <row r="18458" spans="3:5">
      <c r="C18458" s="17"/>
      <c r="D18458" s="17"/>
      <c r="E18458" s="7"/>
    </row>
    <row r="18459" spans="3:5">
      <c r="C18459" s="17"/>
      <c r="D18459" s="17"/>
      <c r="E18459" s="7"/>
    </row>
    <row r="18460" spans="3:5">
      <c r="C18460" s="17"/>
      <c r="D18460" s="17"/>
      <c r="E18460" s="7"/>
    </row>
    <row r="18461" spans="3:5">
      <c r="C18461" s="17"/>
      <c r="D18461" s="17"/>
      <c r="E18461" s="7"/>
    </row>
    <row r="18462" spans="3:5">
      <c r="C18462" s="17"/>
      <c r="D18462" s="17"/>
      <c r="E18462" s="7"/>
    </row>
    <row r="18463" spans="3:5">
      <c r="C18463" s="17"/>
      <c r="D18463" s="17"/>
      <c r="E18463" s="7"/>
    </row>
    <row r="18464" spans="3:5">
      <c r="C18464" s="17"/>
      <c r="D18464" s="17"/>
      <c r="E18464" s="7"/>
    </row>
    <row r="18465" spans="3:5">
      <c r="C18465" s="17"/>
      <c r="D18465" s="17"/>
      <c r="E18465" s="7"/>
    </row>
    <row r="18466" spans="3:5">
      <c r="C18466" s="17"/>
      <c r="D18466" s="17"/>
      <c r="E18466" s="7"/>
    </row>
    <row r="18467" spans="3:5">
      <c r="C18467" s="17"/>
      <c r="D18467" s="17"/>
      <c r="E18467" s="7"/>
    </row>
    <row r="18468" spans="3:5">
      <c r="C18468" s="17"/>
      <c r="D18468" s="17"/>
      <c r="E18468" s="7"/>
    </row>
    <row r="18469" spans="3:5">
      <c r="C18469" s="17"/>
      <c r="D18469" s="17"/>
      <c r="E18469" s="7"/>
    </row>
    <row r="18470" spans="3:5">
      <c r="C18470" s="17"/>
      <c r="D18470" s="17"/>
      <c r="E18470" s="7"/>
    </row>
    <row r="18471" spans="3:5">
      <c r="C18471" s="17"/>
      <c r="D18471" s="17"/>
      <c r="E18471" s="7"/>
    </row>
    <row r="18472" spans="3:5">
      <c r="C18472" s="17"/>
      <c r="D18472" s="17"/>
      <c r="E18472" s="7"/>
    </row>
    <row r="18473" spans="3:5">
      <c r="C18473" s="17"/>
      <c r="D18473" s="17"/>
      <c r="E18473" s="7"/>
    </row>
    <row r="18474" spans="3:5">
      <c r="C18474" s="17"/>
      <c r="D18474" s="17"/>
      <c r="E18474" s="7"/>
    </row>
    <row r="18475" spans="3:5">
      <c r="C18475" s="17"/>
      <c r="D18475" s="17"/>
      <c r="E18475" s="7"/>
    </row>
    <row r="18476" spans="3:5">
      <c r="C18476" s="17"/>
      <c r="D18476" s="17"/>
      <c r="E18476" s="7"/>
    </row>
    <row r="18477" spans="3:5">
      <c r="C18477" s="17"/>
      <c r="D18477" s="17"/>
      <c r="E18477" s="7"/>
    </row>
    <row r="18478" spans="3:5">
      <c r="C18478" s="17"/>
      <c r="D18478" s="17"/>
      <c r="E18478" s="7"/>
    </row>
    <row r="18479" spans="3:5">
      <c r="C18479" s="17"/>
      <c r="D18479" s="17"/>
      <c r="E18479" s="7"/>
    </row>
    <row r="18480" spans="3:5">
      <c r="C18480" s="17"/>
      <c r="D18480" s="17"/>
      <c r="E18480" s="7"/>
    </row>
    <row r="18481" spans="3:5">
      <c r="C18481" s="17"/>
      <c r="D18481" s="17"/>
      <c r="E18481" s="7"/>
    </row>
    <row r="18482" spans="3:5">
      <c r="C18482" s="17"/>
      <c r="D18482" s="17"/>
      <c r="E18482" s="7"/>
    </row>
    <row r="18483" spans="3:5">
      <c r="C18483" s="17"/>
      <c r="D18483" s="17"/>
      <c r="E18483" s="7"/>
    </row>
    <row r="18484" spans="3:5">
      <c r="C18484" s="17"/>
      <c r="D18484" s="17"/>
      <c r="E18484" s="7"/>
    </row>
    <row r="18485" spans="3:5">
      <c r="C18485" s="17"/>
      <c r="D18485" s="17"/>
      <c r="E18485" s="7"/>
    </row>
    <row r="18486" spans="3:5">
      <c r="C18486" s="17"/>
      <c r="D18486" s="17"/>
      <c r="E18486" s="7"/>
    </row>
    <row r="18487" spans="3:5">
      <c r="C18487" s="17"/>
      <c r="D18487" s="17"/>
      <c r="E18487" s="7"/>
    </row>
    <row r="18488" spans="3:5">
      <c r="C18488" s="17"/>
      <c r="D18488" s="17"/>
      <c r="E18488" s="7"/>
    </row>
    <row r="18489" spans="3:5">
      <c r="C18489" s="17"/>
      <c r="D18489" s="17"/>
      <c r="E18489" s="7"/>
    </row>
    <row r="18490" spans="3:5">
      <c r="C18490" s="17"/>
      <c r="D18490" s="17"/>
      <c r="E18490" s="7"/>
    </row>
    <row r="18491" spans="3:5">
      <c r="C18491" s="17"/>
      <c r="D18491" s="17"/>
      <c r="E18491" s="7"/>
    </row>
    <row r="18492" spans="3:5">
      <c r="C18492" s="17"/>
      <c r="D18492" s="17"/>
      <c r="E18492" s="7"/>
    </row>
    <row r="18493" spans="3:5">
      <c r="C18493" s="17"/>
      <c r="D18493" s="17"/>
      <c r="E18493" s="7"/>
    </row>
    <row r="18494" spans="3:5">
      <c r="C18494" s="17"/>
      <c r="D18494" s="17"/>
      <c r="E18494" s="7"/>
    </row>
    <row r="18495" spans="3:5">
      <c r="C18495" s="17"/>
      <c r="D18495" s="17"/>
      <c r="E18495" s="7"/>
    </row>
    <row r="18496" spans="3:5">
      <c r="C18496" s="17"/>
      <c r="D18496" s="17"/>
      <c r="E18496" s="7"/>
    </row>
    <row r="18497" spans="3:5">
      <c r="C18497" s="17"/>
      <c r="D18497" s="17"/>
      <c r="E18497" s="7"/>
    </row>
    <row r="18498" spans="3:5">
      <c r="C18498" s="17"/>
      <c r="D18498" s="17"/>
      <c r="E18498" s="7"/>
    </row>
    <row r="18499" spans="3:5">
      <c r="C18499" s="17"/>
      <c r="D18499" s="17"/>
      <c r="E18499" s="7"/>
    </row>
    <row r="18500" spans="3:5">
      <c r="C18500" s="17"/>
      <c r="D18500" s="17"/>
      <c r="E18500" s="7"/>
    </row>
    <row r="18501" spans="3:5">
      <c r="C18501" s="17"/>
      <c r="D18501" s="17"/>
      <c r="E18501" s="7"/>
    </row>
    <row r="18502" spans="3:5">
      <c r="C18502" s="17"/>
      <c r="D18502" s="17"/>
      <c r="E18502" s="7"/>
    </row>
    <row r="18503" spans="3:5">
      <c r="C18503" s="17"/>
      <c r="D18503" s="17"/>
      <c r="E18503" s="7"/>
    </row>
    <row r="18504" spans="3:5">
      <c r="C18504" s="17"/>
      <c r="D18504" s="17"/>
      <c r="E18504" s="7"/>
    </row>
    <row r="18505" spans="3:5">
      <c r="C18505" s="17"/>
      <c r="D18505" s="17"/>
      <c r="E18505" s="7"/>
    </row>
    <row r="18506" spans="3:5">
      <c r="C18506" s="17"/>
      <c r="D18506" s="17"/>
      <c r="E18506" s="7"/>
    </row>
    <row r="18507" spans="3:5">
      <c r="C18507" s="17"/>
      <c r="D18507" s="17"/>
      <c r="E18507" s="7"/>
    </row>
    <row r="18508" spans="3:5">
      <c r="C18508" s="17"/>
      <c r="D18508" s="17"/>
      <c r="E18508" s="7"/>
    </row>
    <row r="18509" spans="3:5">
      <c r="C18509" s="17"/>
      <c r="D18509" s="17"/>
      <c r="E18509" s="7"/>
    </row>
    <row r="18510" spans="3:5">
      <c r="C18510" s="17"/>
      <c r="D18510" s="17"/>
      <c r="E18510" s="7"/>
    </row>
    <row r="18511" spans="3:5">
      <c r="C18511" s="17"/>
      <c r="D18511" s="17"/>
      <c r="E18511" s="7"/>
    </row>
    <row r="18512" spans="3:5">
      <c r="C18512" s="17"/>
      <c r="D18512" s="17"/>
      <c r="E18512" s="7"/>
    </row>
    <row r="18513" spans="3:5">
      <c r="C18513" s="17"/>
      <c r="D18513" s="17"/>
      <c r="E18513" s="7"/>
    </row>
    <row r="18514" spans="3:5">
      <c r="C18514" s="17"/>
      <c r="D18514" s="17"/>
      <c r="E18514" s="7"/>
    </row>
    <row r="18515" spans="3:5">
      <c r="C18515" s="17"/>
      <c r="D18515" s="17"/>
      <c r="E18515" s="7"/>
    </row>
    <row r="18516" spans="3:5">
      <c r="C18516" s="17"/>
      <c r="D18516" s="17"/>
      <c r="E18516" s="7"/>
    </row>
    <row r="18517" spans="3:5">
      <c r="C18517" s="17"/>
      <c r="D18517" s="17"/>
      <c r="E18517" s="7"/>
    </row>
    <row r="18518" spans="3:5">
      <c r="C18518" s="17"/>
      <c r="D18518" s="17"/>
      <c r="E18518" s="7"/>
    </row>
    <row r="18519" spans="3:5">
      <c r="C18519" s="17"/>
      <c r="D18519" s="17"/>
      <c r="E18519" s="7"/>
    </row>
    <row r="18520" spans="3:5">
      <c r="C18520" s="17"/>
      <c r="D18520" s="17"/>
      <c r="E18520" s="7"/>
    </row>
    <row r="18521" spans="3:5">
      <c r="C18521" s="17"/>
      <c r="D18521" s="17"/>
      <c r="E18521" s="7"/>
    </row>
    <row r="18522" spans="3:5">
      <c r="C18522" s="17"/>
      <c r="D18522" s="17"/>
      <c r="E18522" s="7"/>
    </row>
    <row r="18523" spans="3:5">
      <c r="C18523" s="17"/>
      <c r="D18523" s="17"/>
      <c r="E18523" s="7"/>
    </row>
    <row r="18524" spans="3:5">
      <c r="C18524" s="17"/>
      <c r="D18524" s="17"/>
      <c r="E18524" s="7"/>
    </row>
    <row r="18525" spans="3:5">
      <c r="C18525" s="17"/>
      <c r="D18525" s="17"/>
      <c r="E18525" s="7"/>
    </row>
    <row r="18526" spans="3:5">
      <c r="C18526" s="17"/>
      <c r="D18526" s="17"/>
      <c r="E18526" s="7"/>
    </row>
    <row r="18527" spans="3:5">
      <c r="C18527" s="17"/>
      <c r="D18527" s="17"/>
      <c r="E18527" s="7"/>
    </row>
    <row r="18528" spans="3:5">
      <c r="C18528" s="17"/>
      <c r="D18528" s="17"/>
      <c r="E18528" s="7"/>
    </row>
    <row r="18529" spans="3:5">
      <c r="C18529" s="17"/>
      <c r="D18529" s="17"/>
      <c r="E18529" s="7"/>
    </row>
    <row r="18530" spans="3:5">
      <c r="C18530" s="17"/>
      <c r="D18530" s="17"/>
      <c r="E18530" s="7"/>
    </row>
    <row r="18531" spans="3:5">
      <c r="C18531" s="17"/>
      <c r="D18531" s="17"/>
      <c r="E18531" s="7"/>
    </row>
    <row r="18532" spans="3:5">
      <c r="C18532" s="17"/>
      <c r="D18532" s="17"/>
      <c r="E18532" s="7"/>
    </row>
    <row r="18533" spans="3:5">
      <c r="C18533" s="17"/>
      <c r="D18533" s="17"/>
      <c r="E18533" s="7"/>
    </row>
    <row r="18534" spans="3:5">
      <c r="C18534" s="17"/>
      <c r="D18534" s="17"/>
      <c r="E18534" s="7"/>
    </row>
    <row r="18535" spans="3:5">
      <c r="C18535" s="17"/>
      <c r="D18535" s="17"/>
      <c r="E18535" s="7"/>
    </row>
    <row r="18536" spans="3:5">
      <c r="C18536" s="17"/>
      <c r="D18536" s="17"/>
      <c r="E18536" s="7"/>
    </row>
    <row r="18537" spans="3:5">
      <c r="C18537" s="17"/>
      <c r="D18537" s="17"/>
      <c r="E18537" s="7"/>
    </row>
    <row r="18538" spans="3:5">
      <c r="C18538" s="17"/>
      <c r="D18538" s="17"/>
      <c r="E18538" s="7"/>
    </row>
    <row r="18539" spans="3:5">
      <c r="C18539" s="17"/>
      <c r="D18539" s="17"/>
      <c r="E18539" s="7"/>
    </row>
    <row r="18540" spans="3:5">
      <c r="C18540" s="17"/>
      <c r="D18540" s="17"/>
      <c r="E18540" s="7"/>
    </row>
    <row r="18541" spans="3:5">
      <c r="C18541" s="17"/>
      <c r="D18541" s="17"/>
      <c r="E18541" s="7"/>
    </row>
    <row r="18542" spans="3:5">
      <c r="C18542" s="17"/>
      <c r="D18542" s="17"/>
      <c r="E18542" s="7"/>
    </row>
    <row r="18543" spans="3:5">
      <c r="C18543" s="17"/>
      <c r="D18543" s="17"/>
      <c r="E18543" s="7"/>
    </row>
    <row r="18544" spans="3:5">
      <c r="C18544" s="17"/>
      <c r="D18544" s="17"/>
      <c r="E18544" s="7"/>
    </row>
    <row r="18545" spans="3:5">
      <c r="C18545" s="17"/>
      <c r="D18545" s="17"/>
      <c r="E18545" s="7"/>
    </row>
    <row r="18546" spans="3:5">
      <c r="C18546" s="17"/>
      <c r="D18546" s="17"/>
      <c r="E18546" s="7"/>
    </row>
    <row r="18547" spans="3:5">
      <c r="C18547" s="17"/>
      <c r="D18547" s="17"/>
      <c r="E18547" s="7"/>
    </row>
    <row r="18548" spans="3:5">
      <c r="C18548" s="17"/>
      <c r="D18548" s="17"/>
      <c r="E18548" s="7"/>
    </row>
    <row r="18549" spans="3:5">
      <c r="C18549" s="17"/>
      <c r="D18549" s="17"/>
      <c r="E18549" s="7"/>
    </row>
    <row r="18550" spans="3:5">
      <c r="C18550" s="17"/>
      <c r="D18550" s="17"/>
      <c r="E18550" s="7"/>
    </row>
    <row r="18551" spans="3:5">
      <c r="C18551" s="17"/>
      <c r="D18551" s="17"/>
      <c r="E18551" s="7"/>
    </row>
    <row r="18552" spans="3:5">
      <c r="C18552" s="17"/>
      <c r="D18552" s="17"/>
      <c r="E18552" s="7"/>
    </row>
    <row r="18553" spans="3:5">
      <c r="C18553" s="17"/>
      <c r="D18553" s="17"/>
      <c r="E18553" s="7"/>
    </row>
    <row r="18554" spans="3:5">
      <c r="C18554" s="17"/>
      <c r="D18554" s="17"/>
      <c r="E18554" s="7"/>
    </row>
    <row r="18555" spans="3:5">
      <c r="C18555" s="17"/>
      <c r="D18555" s="17"/>
      <c r="E18555" s="7"/>
    </row>
    <row r="18556" spans="3:5">
      <c r="C18556" s="17"/>
      <c r="D18556" s="17"/>
      <c r="E18556" s="7"/>
    </row>
    <row r="18557" spans="3:5">
      <c r="C18557" s="17"/>
      <c r="D18557" s="17"/>
      <c r="E18557" s="7"/>
    </row>
    <row r="18558" spans="3:5">
      <c r="C18558" s="17"/>
      <c r="D18558" s="17"/>
      <c r="E18558" s="7"/>
    </row>
    <row r="18559" spans="3:5">
      <c r="C18559" s="17"/>
      <c r="D18559" s="17"/>
      <c r="E18559" s="7"/>
    </row>
    <row r="18560" spans="3:5">
      <c r="C18560" s="17"/>
      <c r="D18560" s="17"/>
      <c r="E18560" s="7"/>
    </row>
    <row r="18561" spans="3:5">
      <c r="C18561" s="17"/>
      <c r="D18561" s="17"/>
      <c r="E18561" s="7"/>
    </row>
    <row r="18562" spans="3:5">
      <c r="C18562" s="17"/>
      <c r="D18562" s="17"/>
      <c r="E18562" s="7"/>
    </row>
    <row r="18563" spans="3:5">
      <c r="C18563" s="17"/>
      <c r="D18563" s="17"/>
      <c r="E18563" s="7"/>
    </row>
    <row r="18564" spans="3:5">
      <c r="C18564" s="17"/>
      <c r="D18564" s="17"/>
      <c r="E18564" s="7"/>
    </row>
    <row r="18565" spans="3:5">
      <c r="C18565" s="17"/>
      <c r="D18565" s="17"/>
      <c r="E18565" s="7"/>
    </row>
    <row r="18566" spans="3:5">
      <c r="C18566" s="17"/>
      <c r="D18566" s="17"/>
      <c r="E18566" s="7"/>
    </row>
    <row r="18567" spans="3:5">
      <c r="C18567" s="17"/>
      <c r="D18567" s="17"/>
      <c r="E18567" s="7"/>
    </row>
    <row r="18568" spans="3:5">
      <c r="C18568" s="17"/>
      <c r="D18568" s="17"/>
      <c r="E18568" s="7"/>
    </row>
    <row r="18569" spans="3:5">
      <c r="C18569" s="17"/>
      <c r="D18569" s="17"/>
      <c r="E18569" s="7"/>
    </row>
    <row r="18570" spans="3:5">
      <c r="C18570" s="17"/>
      <c r="D18570" s="17"/>
      <c r="E18570" s="7"/>
    </row>
    <row r="18571" spans="3:5">
      <c r="C18571" s="17"/>
      <c r="D18571" s="17"/>
      <c r="E18571" s="7"/>
    </row>
    <row r="18572" spans="3:5">
      <c r="C18572" s="17"/>
      <c r="D18572" s="17"/>
      <c r="E18572" s="7"/>
    </row>
    <row r="18573" spans="3:5">
      <c r="C18573" s="17"/>
      <c r="D18573" s="17"/>
      <c r="E18573" s="7"/>
    </row>
    <row r="18574" spans="3:5">
      <c r="C18574" s="17"/>
      <c r="D18574" s="17"/>
      <c r="E18574" s="7"/>
    </row>
    <row r="18575" spans="3:5">
      <c r="C18575" s="17"/>
      <c r="D18575" s="17"/>
      <c r="E18575" s="7"/>
    </row>
    <row r="18576" spans="3:5">
      <c r="C18576" s="17"/>
      <c r="D18576" s="17"/>
      <c r="E18576" s="7"/>
    </row>
    <row r="18577" spans="3:5">
      <c r="C18577" s="17"/>
      <c r="D18577" s="17"/>
      <c r="E18577" s="7"/>
    </row>
    <row r="18578" spans="3:5">
      <c r="C18578" s="17"/>
      <c r="D18578" s="17"/>
      <c r="E18578" s="7"/>
    </row>
    <row r="18579" spans="3:5">
      <c r="C18579" s="17"/>
      <c r="D18579" s="17"/>
      <c r="E18579" s="7"/>
    </row>
    <row r="18580" spans="3:5">
      <c r="C18580" s="17"/>
      <c r="D18580" s="17"/>
      <c r="E18580" s="7"/>
    </row>
    <row r="18581" spans="3:5">
      <c r="C18581" s="17"/>
      <c r="D18581" s="17"/>
      <c r="E18581" s="7"/>
    </row>
    <row r="18582" spans="3:5">
      <c r="C18582" s="17"/>
      <c r="D18582" s="17"/>
      <c r="E18582" s="7"/>
    </row>
    <row r="18583" spans="3:5">
      <c r="C18583" s="17"/>
      <c r="D18583" s="17"/>
      <c r="E18583" s="7"/>
    </row>
    <row r="18584" spans="3:5">
      <c r="C18584" s="17"/>
      <c r="D18584" s="17"/>
      <c r="E18584" s="7"/>
    </row>
    <row r="18585" spans="3:5">
      <c r="C18585" s="17"/>
      <c r="D18585" s="17"/>
      <c r="E18585" s="7"/>
    </row>
    <row r="18586" spans="3:5">
      <c r="C18586" s="17"/>
      <c r="D18586" s="17"/>
      <c r="E18586" s="7"/>
    </row>
    <row r="18587" spans="3:5">
      <c r="C18587" s="17"/>
      <c r="D18587" s="17"/>
      <c r="E18587" s="7"/>
    </row>
    <row r="18588" spans="3:5">
      <c r="C18588" s="17"/>
      <c r="D18588" s="17"/>
      <c r="E18588" s="7"/>
    </row>
    <row r="18589" spans="3:5">
      <c r="C18589" s="17"/>
      <c r="D18589" s="17"/>
      <c r="E18589" s="7"/>
    </row>
    <row r="18590" spans="3:5">
      <c r="C18590" s="17"/>
      <c r="D18590" s="17"/>
      <c r="E18590" s="7"/>
    </row>
    <row r="18591" spans="3:5">
      <c r="C18591" s="17"/>
      <c r="D18591" s="17"/>
      <c r="E18591" s="7"/>
    </row>
    <row r="18592" spans="3:5">
      <c r="C18592" s="17"/>
      <c r="D18592" s="17"/>
      <c r="E18592" s="7"/>
    </row>
    <row r="18593" spans="3:5">
      <c r="C18593" s="17"/>
      <c r="D18593" s="17"/>
      <c r="E18593" s="7"/>
    </row>
    <row r="18594" spans="3:5">
      <c r="C18594" s="17"/>
      <c r="D18594" s="17"/>
      <c r="E18594" s="7"/>
    </row>
    <row r="18595" spans="3:5">
      <c r="C18595" s="17"/>
      <c r="D18595" s="17"/>
      <c r="E18595" s="7"/>
    </row>
    <row r="18596" spans="3:5">
      <c r="C18596" s="17"/>
      <c r="D18596" s="17"/>
      <c r="E18596" s="7"/>
    </row>
    <row r="18597" spans="3:5">
      <c r="C18597" s="17"/>
      <c r="D18597" s="17"/>
      <c r="E18597" s="7"/>
    </row>
    <row r="18598" spans="3:5">
      <c r="C18598" s="17"/>
      <c r="D18598" s="17"/>
      <c r="E18598" s="7"/>
    </row>
    <row r="18599" spans="3:5">
      <c r="C18599" s="17"/>
      <c r="D18599" s="17"/>
      <c r="E18599" s="7"/>
    </row>
    <row r="18600" spans="3:5">
      <c r="C18600" s="17"/>
      <c r="D18600" s="17"/>
      <c r="E18600" s="7"/>
    </row>
    <row r="18601" spans="3:5">
      <c r="C18601" s="17"/>
      <c r="D18601" s="17"/>
      <c r="E18601" s="7"/>
    </row>
    <row r="18602" spans="3:5">
      <c r="C18602" s="17"/>
      <c r="D18602" s="17"/>
      <c r="E18602" s="7"/>
    </row>
    <row r="18603" spans="3:5">
      <c r="C18603" s="17"/>
      <c r="D18603" s="17"/>
      <c r="E18603" s="7"/>
    </row>
    <row r="18604" spans="3:5">
      <c r="C18604" s="17"/>
      <c r="D18604" s="17"/>
      <c r="E18604" s="7"/>
    </row>
    <row r="18605" spans="3:5">
      <c r="C18605" s="17"/>
      <c r="D18605" s="17"/>
      <c r="E18605" s="7"/>
    </row>
    <row r="18606" spans="3:5">
      <c r="C18606" s="17"/>
      <c r="D18606" s="17"/>
      <c r="E18606" s="7"/>
    </row>
    <row r="18607" spans="3:5">
      <c r="C18607" s="17"/>
      <c r="D18607" s="17"/>
      <c r="E18607" s="7"/>
    </row>
    <row r="18608" spans="3:5">
      <c r="C18608" s="17"/>
      <c r="D18608" s="17"/>
      <c r="E18608" s="7"/>
    </row>
    <row r="18609" spans="3:5">
      <c r="C18609" s="17"/>
      <c r="D18609" s="17"/>
      <c r="E18609" s="7"/>
    </row>
    <row r="18610" spans="3:5">
      <c r="C18610" s="17"/>
      <c r="D18610" s="17"/>
      <c r="E18610" s="7"/>
    </row>
    <row r="18611" spans="3:5">
      <c r="C18611" s="17"/>
      <c r="D18611" s="17"/>
      <c r="E18611" s="7"/>
    </row>
    <row r="18612" spans="3:5">
      <c r="C18612" s="17"/>
      <c r="D18612" s="17"/>
      <c r="E18612" s="7"/>
    </row>
    <row r="18613" spans="3:5">
      <c r="C18613" s="17"/>
      <c r="D18613" s="17"/>
      <c r="E18613" s="7"/>
    </row>
    <row r="18614" spans="3:5">
      <c r="C18614" s="17"/>
      <c r="D18614" s="17"/>
      <c r="E18614" s="7"/>
    </row>
    <row r="18615" spans="3:5">
      <c r="C18615" s="17"/>
      <c r="D18615" s="17"/>
      <c r="E18615" s="7"/>
    </row>
    <row r="18616" spans="3:5">
      <c r="C18616" s="17"/>
      <c r="D18616" s="17"/>
      <c r="E18616" s="7"/>
    </row>
    <row r="18617" spans="3:5">
      <c r="C18617" s="17"/>
      <c r="D18617" s="17"/>
      <c r="E18617" s="7"/>
    </row>
    <row r="18618" spans="3:5">
      <c r="C18618" s="17"/>
      <c r="D18618" s="17"/>
      <c r="E18618" s="7"/>
    </row>
    <row r="18619" spans="3:5">
      <c r="C18619" s="17"/>
      <c r="D18619" s="17"/>
      <c r="E18619" s="7"/>
    </row>
    <row r="18620" spans="3:5">
      <c r="C18620" s="17"/>
      <c r="D18620" s="17"/>
      <c r="E18620" s="7"/>
    </row>
    <row r="18621" spans="3:5">
      <c r="C18621" s="17"/>
      <c r="D18621" s="17"/>
      <c r="E18621" s="7"/>
    </row>
    <row r="18622" spans="3:5">
      <c r="C18622" s="17"/>
      <c r="D18622" s="17"/>
      <c r="E18622" s="7"/>
    </row>
    <row r="18623" spans="3:5">
      <c r="C18623" s="17"/>
      <c r="D18623" s="17"/>
      <c r="E18623" s="7"/>
    </row>
    <row r="18624" spans="3:5">
      <c r="C18624" s="17"/>
      <c r="D18624" s="17"/>
      <c r="E18624" s="7"/>
    </row>
    <row r="18625" spans="3:5">
      <c r="C18625" s="17"/>
      <c r="D18625" s="17"/>
      <c r="E18625" s="7"/>
    </row>
    <row r="18626" spans="3:5">
      <c r="C18626" s="17"/>
      <c r="D18626" s="17"/>
      <c r="E18626" s="7"/>
    </row>
    <row r="18627" spans="3:5">
      <c r="C18627" s="17"/>
      <c r="D18627" s="17"/>
      <c r="E18627" s="7"/>
    </row>
    <row r="18628" spans="3:5">
      <c r="C18628" s="17"/>
      <c r="D18628" s="17"/>
      <c r="E18628" s="7"/>
    </row>
    <row r="18629" spans="3:5">
      <c r="C18629" s="17"/>
      <c r="D18629" s="17"/>
      <c r="E18629" s="7"/>
    </row>
    <row r="18630" spans="3:5">
      <c r="C18630" s="17"/>
      <c r="D18630" s="17"/>
      <c r="E18630" s="7"/>
    </row>
    <row r="18631" spans="3:5">
      <c r="C18631" s="17"/>
      <c r="D18631" s="17"/>
      <c r="E18631" s="7"/>
    </row>
    <row r="18632" spans="3:5">
      <c r="C18632" s="17"/>
      <c r="D18632" s="17"/>
      <c r="E18632" s="7"/>
    </row>
    <row r="18633" spans="3:5">
      <c r="C18633" s="17"/>
      <c r="D18633" s="17"/>
      <c r="E18633" s="7"/>
    </row>
    <row r="18634" spans="3:5">
      <c r="C18634" s="17"/>
      <c r="D18634" s="17"/>
      <c r="E18634" s="7"/>
    </row>
    <row r="18635" spans="3:5">
      <c r="C18635" s="17"/>
      <c r="D18635" s="17"/>
      <c r="E18635" s="7"/>
    </row>
    <row r="18636" spans="3:5">
      <c r="C18636" s="17"/>
      <c r="D18636" s="17"/>
      <c r="E18636" s="7"/>
    </row>
    <row r="18637" spans="3:5">
      <c r="C18637" s="17"/>
      <c r="D18637" s="17"/>
      <c r="E18637" s="7"/>
    </row>
    <row r="18638" spans="3:5">
      <c r="C18638" s="17"/>
      <c r="D18638" s="17"/>
      <c r="E18638" s="7"/>
    </row>
    <row r="18639" spans="3:5">
      <c r="C18639" s="17"/>
      <c r="D18639" s="17"/>
      <c r="E18639" s="7"/>
    </row>
    <row r="18640" spans="3:5">
      <c r="C18640" s="17"/>
      <c r="D18640" s="17"/>
      <c r="E18640" s="7"/>
    </row>
    <row r="18641" spans="3:5">
      <c r="C18641" s="17"/>
      <c r="D18641" s="17"/>
      <c r="E18641" s="7"/>
    </row>
    <row r="18642" spans="3:5">
      <c r="C18642" s="17"/>
      <c r="D18642" s="17"/>
      <c r="E18642" s="7"/>
    </row>
    <row r="18643" spans="3:5">
      <c r="C18643" s="17"/>
      <c r="D18643" s="17"/>
      <c r="E18643" s="7"/>
    </row>
    <row r="18644" spans="3:5">
      <c r="C18644" s="17"/>
      <c r="D18644" s="17"/>
      <c r="E18644" s="7"/>
    </row>
    <row r="18645" spans="3:5">
      <c r="C18645" s="17"/>
      <c r="D18645" s="17"/>
      <c r="E18645" s="7"/>
    </row>
    <row r="18646" spans="3:5">
      <c r="C18646" s="17"/>
      <c r="D18646" s="17"/>
      <c r="E18646" s="7"/>
    </row>
    <row r="18647" spans="3:5">
      <c r="C18647" s="17"/>
      <c r="D18647" s="17"/>
      <c r="E18647" s="7"/>
    </row>
    <row r="18648" spans="3:5">
      <c r="C18648" s="17"/>
      <c r="D18648" s="17"/>
      <c r="E18648" s="7"/>
    </row>
    <row r="18649" spans="3:5">
      <c r="C18649" s="17"/>
      <c r="D18649" s="17"/>
      <c r="E18649" s="7"/>
    </row>
    <row r="18650" spans="3:5">
      <c r="C18650" s="17"/>
      <c r="D18650" s="17"/>
      <c r="E18650" s="7"/>
    </row>
    <row r="18651" spans="3:5">
      <c r="C18651" s="17"/>
      <c r="D18651" s="17"/>
      <c r="E18651" s="7"/>
    </row>
    <row r="18652" spans="3:5">
      <c r="C18652" s="17"/>
      <c r="D18652" s="17"/>
      <c r="E18652" s="7"/>
    </row>
    <row r="18653" spans="3:5">
      <c r="C18653" s="17"/>
      <c r="D18653" s="17"/>
      <c r="E18653" s="7"/>
    </row>
    <row r="18654" spans="3:5">
      <c r="C18654" s="17"/>
      <c r="D18654" s="17"/>
      <c r="E18654" s="7"/>
    </row>
    <row r="18655" spans="3:5">
      <c r="C18655" s="17"/>
      <c r="D18655" s="17"/>
      <c r="E18655" s="7"/>
    </row>
    <row r="18656" spans="3:5">
      <c r="C18656" s="17"/>
      <c r="D18656" s="17"/>
      <c r="E18656" s="7"/>
    </row>
    <row r="18657" spans="3:5">
      <c r="C18657" s="17"/>
      <c r="D18657" s="17"/>
      <c r="E18657" s="7"/>
    </row>
    <row r="18658" spans="3:5">
      <c r="C18658" s="17"/>
      <c r="D18658" s="17"/>
      <c r="E18658" s="7"/>
    </row>
    <row r="18659" spans="3:5">
      <c r="C18659" s="17"/>
      <c r="D18659" s="17"/>
      <c r="E18659" s="7"/>
    </row>
    <row r="18660" spans="3:5">
      <c r="C18660" s="17"/>
      <c r="D18660" s="17"/>
      <c r="E18660" s="7"/>
    </row>
    <row r="18661" spans="3:5">
      <c r="C18661" s="17"/>
      <c r="D18661" s="17"/>
      <c r="E18661" s="7"/>
    </row>
    <row r="18662" spans="3:5">
      <c r="C18662" s="17"/>
      <c r="D18662" s="17"/>
      <c r="E18662" s="7"/>
    </row>
    <row r="18663" spans="3:5">
      <c r="C18663" s="17"/>
      <c r="D18663" s="17"/>
      <c r="E18663" s="7"/>
    </row>
    <row r="18664" spans="3:5">
      <c r="C18664" s="17"/>
      <c r="D18664" s="17"/>
      <c r="E18664" s="7"/>
    </row>
    <row r="18665" spans="3:5">
      <c r="C18665" s="17"/>
      <c r="D18665" s="17"/>
      <c r="E18665" s="7"/>
    </row>
    <row r="18666" spans="3:5">
      <c r="C18666" s="17"/>
      <c r="D18666" s="17"/>
      <c r="E18666" s="7"/>
    </row>
    <row r="18667" spans="3:5">
      <c r="C18667" s="17"/>
      <c r="D18667" s="17"/>
      <c r="E18667" s="7"/>
    </row>
    <row r="18668" spans="3:5">
      <c r="C18668" s="17"/>
      <c r="D18668" s="17"/>
      <c r="E18668" s="7"/>
    </row>
    <row r="18669" spans="3:5">
      <c r="C18669" s="17"/>
      <c r="D18669" s="17"/>
      <c r="E18669" s="7"/>
    </row>
    <row r="18670" spans="3:5">
      <c r="C18670" s="17"/>
      <c r="D18670" s="17"/>
      <c r="E18670" s="7"/>
    </row>
    <row r="18671" spans="3:5">
      <c r="C18671" s="17"/>
      <c r="D18671" s="17"/>
      <c r="E18671" s="7"/>
    </row>
    <row r="18672" spans="3:5">
      <c r="C18672" s="17"/>
      <c r="D18672" s="17"/>
      <c r="E18672" s="7"/>
    </row>
    <row r="18673" spans="3:5">
      <c r="C18673" s="17"/>
      <c r="D18673" s="17"/>
      <c r="E18673" s="7"/>
    </row>
    <row r="18674" spans="3:5">
      <c r="C18674" s="17"/>
      <c r="D18674" s="17"/>
      <c r="E18674" s="7"/>
    </row>
    <row r="18675" spans="3:5">
      <c r="C18675" s="17"/>
      <c r="D18675" s="17"/>
      <c r="E18675" s="7"/>
    </row>
    <row r="18676" spans="3:5">
      <c r="C18676" s="17"/>
      <c r="D18676" s="17"/>
      <c r="E18676" s="7"/>
    </row>
    <row r="18677" spans="3:5">
      <c r="C18677" s="17"/>
      <c r="D18677" s="17"/>
      <c r="E18677" s="7"/>
    </row>
    <row r="18678" spans="3:5">
      <c r="C18678" s="17"/>
      <c r="D18678" s="17"/>
      <c r="E18678" s="7"/>
    </row>
    <row r="18679" spans="3:5">
      <c r="C18679" s="17"/>
      <c r="D18679" s="17"/>
      <c r="E18679" s="7"/>
    </row>
    <row r="18680" spans="3:5">
      <c r="C18680" s="17"/>
      <c r="D18680" s="17"/>
      <c r="E18680" s="7"/>
    </row>
    <row r="18681" spans="3:5">
      <c r="C18681" s="17"/>
      <c r="D18681" s="17"/>
      <c r="E18681" s="7"/>
    </row>
    <row r="18682" spans="3:5">
      <c r="C18682" s="17"/>
      <c r="D18682" s="17"/>
      <c r="E18682" s="7"/>
    </row>
    <row r="18683" spans="3:5">
      <c r="C18683" s="17"/>
      <c r="D18683" s="17"/>
      <c r="E18683" s="7"/>
    </row>
    <row r="18684" spans="3:5">
      <c r="C18684" s="17"/>
      <c r="D18684" s="17"/>
      <c r="E18684" s="7"/>
    </row>
    <row r="18685" spans="3:5">
      <c r="C18685" s="17"/>
      <c r="D18685" s="17"/>
      <c r="E18685" s="7"/>
    </row>
    <row r="18686" spans="3:5">
      <c r="C18686" s="17"/>
      <c r="D18686" s="17"/>
      <c r="E18686" s="7"/>
    </row>
    <row r="18687" spans="3:5">
      <c r="C18687" s="17"/>
      <c r="D18687" s="17"/>
      <c r="E18687" s="7"/>
    </row>
    <row r="18688" spans="3:5">
      <c r="C18688" s="17"/>
      <c r="D18688" s="17"/>
      <c r="E18688" s="7"/>
    </row>
    <row r="18689" spans="3:5">
      <c r="C18689" s="17"/>
      <c r="D18689" s="17"/>
      <c r="E18689" s="7"/>
    </row>
    <row r="18690" spans="3:5">
      <c r="C18690" s="17"/>
      <c r="D18690" s="17"/>
      <c r="E18690" s="7"/>
    </row>
    <row r="18691" spans="3:5">
      <c r="C18691" s="17"/>
      <c r="D18691" s="17"/>
      <c r="E18691" s="7"/>
    </row>
    <row r="18692" spans="3:5">
      <c r="C18692" s="17"/>
      <c r="D18692" s="17"/>
      <c r="E18692" s="7"/>
    </row>
    <row r="18693" spans="3:5">
      <c r="C18693" s="17"/>
      <c r="D18693" s="17"/>
      <c r="E18693" s="7"/>
    </row>
    <row r="18694" spans="3:5">
      <c r="C18694" s="17"/>
      <c r="D18694" s="17"/>
      <c r="E18694" s="7"/>
    </row>
    <row r="18695" spans="3:5">
      <c r="C18695" s="17"/>
      <c r="D18695" s="17"/>
      <c r="E18695" s="7"/>
    </row>
    <row r="18696" spans="3:5">
      <c r="C18696" s="17"/>
      <c r="D18696" s="17"/>
      <c r="E18696" s="7"/>
    </row>
    <row r="18697" spans="3:5">
      <c r="C18697" s="17"/>
      <c r="D18697" s="17"/>
      <c r="E18697" s="7"/>
    </row>
    <row r="18698" spans="3:5">
      <c r="C18698" s="17"/>
      <c r="D18698" s="17"/>
      <c r="E18698" s="7"/>
    </row>
    <row r="18699" spans="3:5">
      <c r="C18699" s="17"/>
      <c r="D18699" s="17"/>
      <c r="E18699" s="7"/>
    </row>
    <row r="18700" spans="3:5">
      <c r="C18700" s="17"/>
      <c r="D18700" s="17"/>
      <c r="E18700" s="7"/>
    </row>
    <row r="18701" spans="3:5">
      <c r="C18701" s="17"/>
      <c r="D18701" s="17"/>
      <c r="E18701" s="7"/>
    </row>
    <row r="18702" spans="3:5">
      <c r="C18702" s="17"/>
      <c r="D18702" s="17"/>
      <c r="E18702" s="7"/>
    </row>
    <row r="18703" spans="3:5">
      <c r="C18703" s="17"/>
      <c r="D18703" s="17"/>
      <c r="E18703" s="7"/>
    </row>
    <row r="18704" spans="3:5">
      <c r="C18704" s="17"/>
      <c r="D18704" s="17"/>
      <c r="E18704" s="7"/>
    </row>
    <row r="18705" spans="3:5">
      <c r="C18705" s="17"/>
      <c r="D18705" s="17"/>
      <c r="E18705" s="7"/>
    </row>
    <row r="18706" spans="3:5">
      <c r="C18706" s="17"/>
      <c r="D18706" s="17"/>
      <c r="E18706" s="7"/>
    </row>
    <row r="18707" spans="3:5">
      <c r="C18707" s="17"/>
      <c r="D18707" s="17"/>
      <c r="E18707" s="7"/>
    </row>
    <row r="18708" spans="3:5">
      <c r="C18708" s="17"/>
      <c r="D18708" s="17"/>
      <c r="E18708" s="7"/>
    </row>
    <row r="18709" spans="3:5">
      <c r="C18709" s="17"/>
      <c r="D18709" s="17"/>
      <c r="E18709" s="7"/>
    </row>
    <row r="18710" spans="3:5">
      <c r="C18710" s="17"/>
      <c r="D18710" s="17"/>
      <c r="E18710" s="7"/>
    </row>
    <row r="18711" spans="3:5">
      <c r="C18711" s="17"/>
      <c r="D18711" s="17"/>
      <c r="E18711" s="7"/>
    </row>
    <row r="18712" spans="3:5">
      <c r="C18712" s="17"/>
      <c r="D18712" s="17"/>
      <c r="E18712" s="7"/>
    </row>
    <row r="18713" spans="3:5">
      <c r="C18713" s="17"/>
      <c r="D18713" s="17"/>
      <c r="E18713" s="7"/>
    </row>
    <row r="18714" spans="3:5">
      <c r="C18714" s="17"/>
      <c r="D18714" s="17"/>
      <c r="E18714" s="7"/>
    </row>
    <row r="18715" spans="3:5">
      <c r="C18715" s="17"/>
      <c r="D18715" s="17"/>
      <c r="E18715" s="7"/>
    </row>
    <row r="18716" spans="3:5">
      <c r="C18716" s="17"/>
      <c r="D18716" s="17"/>
      <c r="E18716" s="7"/>
    </row>
    <row r="18717" spans="3:5">
      <c r="C18717" s="17"/>
      <c r="D18717" s="17"/>
      <c r="E18717" s="7"/>
    </row>
    <row r="18718" spans="3:5">
      <c r="C18718" s="17"/>
      <c r="D18718" s="17"/>
      <c r="E18718" s="7"/>
    </row>
    <row r="18719" spans="3:5">
      <c r="C18719" s="17"/>
      <c r="D18719" s="17"/>
      <c r="E18719" s="7"/>
    </row>
    <row r="18720" spans="3:5">
      <c r="C18720" s="17"/>
      <c r="D18720" s="17"/>
      <c r="E18720" s="7"/>
    </row>
    <row r="18721" spans="3:5">
      <c r="C18721" s="17"/>
      <c r="D18721" s="17"/>
      <c r="E18721" s="7"/>
    </row>
    <row r="18722" spans="3:5">
      <c r="C18722" s="17"/>
      <c r="D18722" s="17"/>
      <c r="E18722" s="7"/>
    </row>
    <row r="18723" spans="3:5">
      <c r="C18723" s="17"/>
      <c r="D18723" s="17"/>
      <c r="E18723" s="7"/>
    </row>
    <row r="18724" spans="3:5">
      <c r="C18724" s="17"/>
      <c r="D18724" s="17"/>
      <c r="E18724" s="7"/>
    </row>
    <row r="18725" spans="3:5">
      <c r="C18725" s="17"/>
      <c r="D18725" s="17"/>
      <c r="E18725" s="7"/>
    </row>
    <row r="18726" spans="3:5">
      <c r="C18726" s="17"/>
      <c r="D18726" s="17"/>
      <c r="E18726" s="7"/>
    </row>
    <row r="18727" spans="3:5">
      <c r="C18727" s="17"/>
      <c r="D18727" s="17"/>
      <c r="E18727" s="7"/>
    </row>
    <row r="18728" spans="3:5">
      <c r="C18728" s="17"/>
      <c r="D18728" s="17"/>
      <c r="E18728" s="7"/>
    </row>
    <row r="18729" spans="3:5">
      <c r="C18729" s="17"/>
      <c r="D18729" s="17"/>
      <c r="E18729" s="7"/>
    </row>
    <row r="18730" spans="3:5">
      <c r="C18730" s="17"/>
      <c r="D18730" s="17"/>
      <c r="E18730" s="7"/>
    </row>
    <row r="18731" spans="3:5">
      <c r="C18731" s="17"/>
      <c r="D18731" s="17"/>
      <c r="E18731" s="7"/>
    </row>
    <row r="18732" spans="3:5">
      <c r="C18732" s="17"/>
      <c r="D18732" s="17"/>
      <c r="E18732" s="7"/>
    </row>
    <row r="18733" spans="3:5">
      <c r="C18733" s="17"/>
      <c r="D18733" s="17"/>
      <c r="E18733" s="7"/>
    </row>
    <row r="18734" spans="3:5">
      <c r="C18734" s="17"/>
      <c r="D18734" s="17"/>
      <c r="E18734" s="7"/>
    </row>
    <row r="18735" spans="3:5">
      <c r="C18735" s="17"/>
      <c r="D18735" s="17"/>
      <c r="E18735" s="7"/>
    </row>
    <row r="18736" spans="3:5">
      <c r="C18736" s="17"/>
      <c r="D18736" s="17"/>
      <c r="E18736" s="7"/>
    </row>
    <row r="18737" spans="3:5">
      <c r="C18737" s="17"/>
      <c r="D18737" s="17"/>
      <c r="E18737" s="7"/>
    </row>
    <row r="18738" spans="3:5">
      <c r="C18738" s="17"/>
      <c r="D18738" s="17"/>
      <c r="E18738" s="7"/>
    </row>
    <row r="18739" spans="3:5">
      <c r="C18739" s="17"/>
      <c r="D18739" s="17"/>
      <c r="E18739" s="7"/>
    </row>
    <row r="18740" spans="3:5">
      <c r="C18740" s="17"/>
      <c r="D18740" s="17"/>
      <c r="E18740" s="7"/>
    </row>
    <row r="18741" spans="3:5">
      <c r="C18741" s="17"/>
      <c r="D18741" s="17"/>
      <c r="E18741" s="7"/>
    </row>
    <row r="18742" spans="3:5">
      <c r="C18742" s="17"/>
      <c r="D18742" s="17"/>
      <c r="E18742" s="7"/>
    </row>
    <row r="18743" spans="3:5">
      <c r="C18743" s="17"/>
      <c r="D18743" s="17"/>
      <c r="E18743" s="7"/>
    </row>
    <row r="18744" spans="3:5">
      <c r="C18744" s="17"/>
      <c r="D18744" s="17"/>
      <c r="E18744" s="7"/>
    </row>
    <row r="18745" spans="3:5">
      <c r="C18745" s="17"/>
      <c r="D18745" s="17"/>
      <c r="E18745" s="7"/>
    </row>
    <row r="18746" spans="3:5">
      <c r="C18746" s="17"/>
      <c r="D18746" s="17"/>
      <c r="E18746" s="7"/>
    </row>
    <row r="18747" spans="3:5">
      <c r="C18747" s="17"/>
      <c r="D18747" s="17"/>
      <c r="E18747" s="7"/>
    </row>
    <row r="18748" spans="3:5">
      <c r="C18748" s="17"/>
      <c r="D18748" s="17"/>
      <c r="E18748" s="7"/>
    </row>
    <row r="18749" spans="3:5">
      <c r="C18749" s="17"/>
      <c r="D18749" s="17"/>
      <c r="E18749" s="7"/>
    </row>
    <row r="18750" spans="3:5">
      <c r="C18750" s="17"/>
      <c r="D18750" s="17"/>
      <c r="E18750" s="7"/>
    </row>
    <row r="18751" spans="3:5">
      <c r="C18751" s="17"/>
      <c r="D18751" s="17"/>
      <c r="E18751" s="7"/>
    </row>
    <row r="18752" spans="3:5">
      <c r="C18752" s="17"/>
      <c r="D18752" s="17"/>
      <c r="E18752" s="7"/>
    </row>
    <row r="18753" spans="3:5">
      <c r="C18753" s="17"/>
      <c r="D18753" s="17"/>
      <c r="E18753" s="7"/>
    </row>
    <row r="18754" spans="3:5">
      <c r="C18754" s="17"/>
      <c r="D18754" s="17"/>
      <c r="E18754" s="7"/>
    </row>
    <row r="18755" spans="3:5">
      <c r="C18755" s="17"/>
      <c r="D18755" s="17"/>
      <c r="E18755" s="7"/>
    </row>
    <row r="18756" spans="3:5">
      <c r="C18756" s="17"/>
      <c r="D18756" s="17"/>
      <c r="E18756" s="7"/>
    </row>
    <row r="18757" spans="3:5">
      <c r="C18757" s="17"/>
      <c r="D18757" s="17"/>
      <c r="E18757" s="7"/>
    </row>
    <row r="18758" spans="3:5">
      <c r="C18758" s="17"/>
      <c r="D18758" s="17"/>
      <c r="E18758" s="7"/>
    </row>
    <row r="18759" spans="3:5">
      <c r="C18759" s="17"/>
      <c r="D18759" s="17"/>
      <c r="E18759" s="7"/>
    </row>
    <row r="18760" spans="3:5">
      <c r="C18760" s="17"/>
      <c r="D18760" s="17"/>
      <c r="E18760" s="7"/>
    </row>
    <row r="18761" spans="3:5">
      <c r="C18761" s="17"/>
      <c r="D18761" s="17"/>
      <c r="E18761" s="7"/>
    </row>
    <row r="18762" spans="3:5">
      <c r="C18762" s="17"/>
      <c r="D18762" s="17"/>
      <c r="E18762" s="7"/>
    </row>
    <row r="18763" spans="3:5">
      <c r="C18763" s="17"/>
      <c r="D18763" s="17"/>
      <c r="E18763" s="7"/>
    </row>
    <row r="18764" spans="3:5">
      <c r="C18764" s="17"/>
      <c r="D18764" s="17"/>
      <c r="E18764" s="7"/>
    </row>
    <row r="18765" spans="3:5">
      <c r="C18765" s="17"/>
      <c r="D18765" s="17"/>
      <c r="E18765" s="7"/>
    </row>
    <row r="18766" spans="3:5">
      <c r="C18766" s="17"/>
      <c r="D18766" s="17"/>
      <c r="E18766" s="7"/>
    </row>
    <row r="18767" spans="3:5">
      <c r="C18767" s="17"/>
      <c r="D18767" s="17"/>
      <c r="E18767" s="7"/>
    </row>
    <row r="18768" spans="3:5">
      <c r="C18768" s="17"/>
      <c r="D18768" s="17"/>
      <c r="E18768" s="7"/>
    </row>
    <row r="18769" spans="3:5">
      <c r="C18769" s="17"/>
      <c r="D18769" s="17"/>
      <c r="E18769" s="7"/>
    </row>
    <row r="18770" spans="3:5">
      <c r="C18770" s="17"/>
      <c r="D18770" s="17"/>
      <c r="E18770" s="7"/>
    </row>
    <row r="18771" spans="3:5">
      <c r="C18771" s="17"/>
      <c r="D18771" s="17"/>
      <c r="E18771" s="7"/>
    </row>
    <row r="18772" spans="3:5">
      <c r="C18772" s="17"/>
      <c r="D18772" s="17"/>
      <c r="E18772" s="7"/>
    </row>
    <row r="18773" spans="3:5">
      <c r="C18773" s="17"/>
      <c r="D18773" s="17"/>
      <c r="E18773" s="7"/>
    </row>
    <row r="18774" spans="3:5">
      <c r="C18774" s="17"/>
      <c r="D18774" s="17"/>
      <c r="E18774" s="7"/>
    </row>
    <row r="18775" spans="3:5">
      <c r="C18775" s="17"/>
      <c r="D18775" s="17"/>
      <c r="E18775" s="7"/>
    </row>
    <row r="18776" spans="3:5">
      <c r="C18776" s="17"/>
      <c r="D18776" s="17"/>
      <c r="E18776" s="7"/>
    </row>
    <row r="18777" spans="3:5">
      <c r="C18777" s="17"/>
      <c r="D18777" s="17"/>
      <c r="E18777" s="7"/>
    </row>
    <row r="18778" spans="3:5">
      <c r="C18778" s="17"/>
      <c r="D18778" s="17"/>
      <c r="E18778" s="7"/>
    </row>
    <row r="18779" spans="3:5">
      <c r="C18779" s="17"/>
      <c r="D18779" s="17"/>
      <c r="E18779" s="7"/>
    </row>
    <row r="18780" spans="3:5">
      <c r="C18780" s="17"/>
      <c r="D18780" s="17"/>
      <c r="E18780" s="7"/>
    </row>
    <row r="18781" spans="3:5">
      <c r="C18781" s="17"/>
      <c r="D18781" s="17"/>
      <c r="E18781" s="7"/>
    </row>
    <row r="18782" spans="3:5">
      <c r="C18782" s="17"/>
      <c r="D18782" s="17"/>
      <c r="E18782" s="7"/>
    </row>
    <row r="18783" spans="3:5">
      <c r="C18783" s="17"/>
      <c r="D18783" s="17"/>
      <c r="E18783" s="7"/>
    </row>
    <row r="18784" spans="3:5">
      <c r="C18784" s="17"/>
      <c r="D18784" s="17"/>
      <c r="E18784" s="7"/>
    </row>
    <row r="18785" spans="3:5">
      <c r="C18785" s="17"/>
      <c r="D18785" s="17"/>
      <c r="E18785" s="7"/>
    </row>
    <row r="18786" spans="3:5">
      <c r="C18786" s="17"/>
      <c r="D18786" s="17"/>
      <c r="E18786" s="7"/>
    </row>
    <row r="18787" spans="3:5">
      <c r="C18787" s="17"/>
      <c r="D18787" s="17"/>
      <c r="E18787" s="7"/>
    </row>
    <row r="18788" spans="3:5">
      <c r="C18788" s="17"/>
      <c r="D18788" s="17"/>
      <c r="E18788" s="7"/>
    </row>
    <row r="18789" spans="3:5">
      <c r="C18789" s="17"/>
      <c r="D18789" s="17"/>
      <c r="E18789" s="7"/>
    </row>
    <row r="18790" spans="3:5">
      <c r="C18790" s="17"/>
      <c r="D18790" s="17"/>
      <c r="E18790" s="7"/>
    </row>
    <row r="18791" spans="3:5">
      <c r="C18791" s="17"/>
      <c r="D18791" s="17"/>
      <c r="E18791" s="7"/>
    </row>
    <row r="18792" spans="3:5">
      <c r="C18792" s="17"/>
      <c r="D18792" s="17"/>
      <c r="E18792" s="7"/>
    </row>
    <row r="18793" spans="3:5">
      <c r="C18793" s="17"/>
      <c r="D18793" s="17"/>
      <c r="E18793" s="7"/>
    </row>
    <row r="18794" spans="3:5">
      <c r="C18794" s="17"/>
      <c r="D18794" s="17"/>
      <c r="E18794" s="7"/>
    </row>
    <row r="18795" spans="3:5">
      <c r="C18795" s="17"/>
      <c r="D18795" s="17"/>
      <c r="E18795" s="7"/>
    </row>
    <row r="18796" spans="3:5">
      <c r="C18796" s="17"/>
      <c r="D18796" s="17"/>
      <c r="E18796" s="7"/>
    </row>
    <row r="18797" spans="3:5">
      <c r="C18797" s="17"/>
      <c r="D18797" s="17"/>
      <c r="E18797" s="7"/>
    </row>
    <row r="18798" spans="3:5">
      <c r="C18798" s="17"/>
      <c r="D18798" s="17"/>
      <c r="E18798" s="7"/>
    </row>
    <row r="18799" spans="3:5">
      <c r="C18799" s="17"/>
      <c r="D18799" s="17"/>
      <c r="E18799" s="7"/>
    </row>
    <row r="18800" spans="3:5">
      <c r="C18800" s="17"/>
      <c r="D18800" s="17"/>
      <c r="E18800" s="7"/>
    </row>
    <row r="18801" spans="3:5">
      <c r="C18801" s="17"/>
      <c r="D18801" s="17"/>
      <c r="E18801" s="7"/>
    </row>
    <row r="18802" spans="3:5">
      <c r="C18802" s="17"/>
      <c r="D18802" s="17"/>
      <c r="E18802" s="7"/>
    </row>
    <row r="18803" spans="3:5">
      <c r="C18803" s="17"/>
      <c r="D18803" s="17"/>
      <c r="E18803" s="7"/>
    </row>
    <row r="18804" spans="3:5">
      <c r="C18804" s="17"/>
      <c r="D18804" s="17"/>
      <c r="E18804" s="7"/>
    </row>
    <row r="18805" spans="3:5">
      <c r="C18805" s="17"/>
      <c r="D18805" s="17"/>
      <c r="E18805" s="7"/>
    </row>
    <row r="18806" spans="3:5">
      <c r="C18806" s="17"/>
      <c r="D18806" s="17"/>
      <c r="E18806" s="7"/>
    </row>
    <row r="18807" spans="3:5">
      <c r="C18807" s="17"/>
      <c r="D18807" s="17"/>
      <c r="E18807" s="7"/>
    </row>
    <row r="18808" spans="3:5">
      <c r="C18808" s="17"/>
      <c r="D18808" s="17"/>
      <c r="E18808" s="7"/>
    </row>
    <row r="18809" spans="3:5">
      <c r="C18809" s="17"/>
      <c r="D18809" s="17"/>
      <c r="E18809" s="7"/>
    </row>
    <row r="18810" spans="3:5">
      <c r="C18810" s="17"/>
      <c r="D18810" s="17"/>
      <c r="E18810" s="7"/>
    </row>
    <row r="18811" spans="3:5">
      <c r="C18811" s="17"/>
      <c r="D18811" s="17"/>
      <c r="E18811" s="7"/>
    </row>
    <row r="18812" spans="3:5">
      <c r="C18812" s="17"/>
      <c r="D18812" s="17"/>
      <c r="E18812" s="7"/>
    </row>
    <row r="18813" spans="3:5">
      <c r="C18813" s="17"/>
      <c r="D18813" s="17"/>
      <c r="E18813" s="7"/>
    </row>
    <row r="18814" spans="3:5">
      <c r="C18814" s="17"/>
      <c r="D18814" s="17"/>
      <c r="E18814" s="7"/>
    </row>
    <row r="18815" spans="3:5">
      <c r="C18815" s="17"/>
      <c r="D18815" s="17"/>
      <c r="E18815" s="7"/>
    </row>
    <row r="18816" spans="3:5">
      <c r="C18816" s="17"/>
      <c r="D18816" s="17"/>
      <c r="E18816" s="7"/>
    </row>
    <row r="18817" spans="3:5">
      <c r="C18817" s="17"/>
      <c r="D18817" s="17"/>
      <c r="E18817" s="7"/>
    </row>
    <row r="18818" spans="3:5">
      <c r="C18818" s="17"/>
      <c r="D18818" s="17"/>
      <c r="E18818" s="7"/>
    </row>
    <row r="18819" spans="3:5">
      <c r="C18819" s="17"/>
      <c r="D18819" s="17"/>
      <c r="E18819" s="7"/>
    </row>
    <row r="18820" spans="3:5">
      <c r="C18820" s="17"/>
      <c r="D18820" s="17"/>
      <c r="E18820" s="7"/>
    </row>
    <row r="18821" spans="3:5">
      <c r="C18821" s="17"/>
      <c r="D18821" s="17"/>
      <c r="E18821" s="7"/>
    </row>
    <row r="18822" spans="3:5">
      <c r="C18822" s="17"/>
      <c r="D18822" s="17"/>
      <c r="E18822" s="7"/>
    </row>
    <row r="18823" spans="3:5">
      <c r="C18823" s="17"/>
      <c r="D18823" s="17"/>
      <c r="E18823" s="7"/>
    </row>
    <row r="18824" spans="3:5">
      <c r="C18824" s="17"/>
      <c r="D18824" s="17"/>
      <c r="E18824" s="7"/>
    </row>
    <row r="18825" spans="3:5">
      <c r="C18825" s="17"/>
      <c r="D18825" s="17"/>
      <c r="E18825" s="7"/>
    </row>
    <row r="18826" spans="3:5">
      <c r="C18826" s="17"/>
      <c r="D18826" s="17"/>
      <c r="E18826" s="7"/>
    </row>
    <row r="18827" spans="3:5">
      <c r="C18827" s="17"/>
      <c r="D18827" s="17"/>
      <c r="E18827" s="7"/>
    </row>
    <row r="18828" spans="3:5">
      <c r="C18828" s="17"/>
      <c r="D18828" s="17"/>
      <c r="E18828" s="7"/>
    </row>
    <row r="18829" spans="3:5">
      <c r="C18829" s="17"/>
      <c r="D18829" s="17"/>
      <c r="E18829" s="7"/>
    </row>
    <row r="18830" spans="3:5">
      <c r="C18830" s="17"/>
      <c r="D18830" s="17"/>
      <c r="E18830" s="7"/>
    </row>
    <row r="18831" spans="3:5">
      <c r="C18831" s="17"/>
      <c r="D18831" s="17"/>
      <c r="E18831" s="7"/>
    </row>
    <row r="18832" spans="3:5">
      <c r="C18832" s="17"/>
      <c r="D18832" s="17"/>
      <c r="E18832" s="7"/>
    </row>
    <row r="18833" spans="3:5">
      <c r="C18833" s="17"/>
      <c r="D18833" s="17"/>
      <c r="E18833" s="7"/>
    </row>
    <row r="18834" spans="3:5">
      <c r="C18834" s="17"/>
      <c r="D18834" s="17"/>
      <c r="E18834" s="7"/>
    </row>
    <row r="18835" spans="3:5">
      <c r="C18835" s="17"/>
      <c r="D18835" s="17"/>
      <c r="E18835" s="7"/>
    </row>
    <row r="18836" spans="3:5">
      <c r="C18836" s="17"/>
      <c r="D18836" s="17"/>
      <c r="E18836" s="7"/>
    </row>
    <row r="18837" spans="3:5">
      <c r="C18837" s="17"/>
      <c r="D18837" s="17"/>
      <c r="E18837" s="7"/>
    </row>
    <row r="18838" spans="3:5">
      <c r="C18838" s="17"/>
      <c r="D18838" s="17"/>
      <c r="E18838" s="7"/>
    </row>
    <row r="18839" spans="3:5">
      <c r="C18839" s="17"/>
      <c r="D18839" s="17"/>
      <c r="E18839" s="7"/>
    </row>
    <row r="18840" spans="3:5">
      <c r="C18840" s="17"/>
      <c r="D18840" s="17"/>
      <c r="E18840" s="7"/>
    </row>
    <row r="18841" spans="3:5">
      <c r="C18841" s="17"/>
      <c r="D18841" s="17"/>
      <c r="E18841" s="7"/>
    </row>
    <row r="18842" spans="3:5">
      <c r="C18842" s="17"/>
      <c r="D18842" s="17"/>
      <c r="E18842" s="7"/>
    </row>
    <row r="18843" spans="3:5">
      <c r="C18843" s="17"/>
      <c r="D18843" s="17"/>
      <c r="E18843" s="7"/>
    </row>
    <row r="18844" spans="3:5">
      <c r="C18844" s="17"/>
      <c r="D18844" s="17"/>
      <c r="E18844" s="7"/>
    </row>
    <row r="18845" spans="3:5">
      <c r="C18845" s="17"/>
      <c r="D18845" s="17"/>
      <c r="E18845" s="7"/>
    </row>
    <row r="18846" spans="3:5">
      <c r="C18846" s="17"/>
      <c r="D18846" s="17"/>
      <c r="E18846" s="7"/>
    </row>
    <row r="18847" spans="3:5">
      <c r="C18847" s="17"/>
      <c r="D18847" s="17"/>
      <c r="E18847" s="7"/>
    </row>
    <row r="18848" spans="3:5">
      <c r="C18848" s="17"/>
      <c r="D18848" s="17"/>
      <c r="E18848" s="7"/>
    </row>
    <row r="18849" spans="3:5">
      <c r="C18849" s="17"/>
      <c r="D18849" s="17"/>
      <c r="E18849" s="7"/>
    </row>
    <row r="18850" spans="3:5">
      <c r="C18850" s="17"/>
      <c r="D18850" s="17"/>
      <c r="E18850" s="7"/>
    </row>
    <row r="18851" spans="3:5">
      <c r="C18851" s="17"/>
      <c r="D18851" s="17"/>
      <c r="E18851" s="7"/>
    </row>
    <row r="18852" spans="3:5">
      <c r="C18852" s="17"/>
      <c r="D18852" s="17"/>
      <c r="E18852" s="7"/>
    </row>
    <row r="18853" spans="3:5">
      <c r="C18853" s="17"/>
      <c r="D18853" s="17"/>
      <c r="E18853" s="7"/>
    </row>
    <row r="18854" spans="3:5">
      <c r="C18854" s="17"/>
      <c r="D18854" s="17"/>
      <c r="E18854" s="7"/>
    </row>
    <row r="18855" spans="3:5">
      <c r="C18855" s="17"/>
      <c r="D18855" s="17"/>
      <c r="E18855" s="7"/>
    </row>
    <row r="18856" spans="3:5">
      <c r="C18856" s="17"/>
      <c r="D18856" s="17"/>
      <c r="E18856" s="7"/>
    </row>
    <row r="18857" spans="3:5">
      <c r="C18857" s="17"/>
      <c r="D18857" s="17"/>
      <c r="E18857" s="7"/>
    </row>
    <row r="18858" spans="3:5">
      <c r="C18858" s="17"/>
      <c r="D18858" s="17"/>
      <c r="E18858" s="7"/>
    </row>
    <row r="18859" spans="3:5">
      <c r="C18859" s="17"/>
      <c r="D18859" s="17"/>
      <c r="E18859" s="7"/>
    </row>
    <row r="18860" spans="3:5">
      <c r="C18860" s="17"/>
      <c r="D18860" s="17"/>
      <c r="E18860" s="7"/>
    </row>
    <row r="18861" spans="3:5">
      <c r="C18861" s="17"/>
      <c r="D18861" s="17"/>
      <c r="E18861" s="7"/>
    </row>
    <row r="18862" spans="3:5">
      <c r="C18862" s="17"/>
      <c r="D18862" s="17"/>
      <c r="E18862" s="7"/>
    </row>
    <row r="18863" spans="3:5">
      <c r="C18863" s="17"/>
      <c r="D18863" s="17"/>
      <c r="E18863" s="7"/>
    </row>
    <row r="18864" spans="3:5">
      <c r="C18864" s="17"/>
      <c r="D18864" s="17"/>
      <c r="E18864" s="7"/>
    </row>
    <row r="18865" spans="3:5">
      <c r="C18865" s="17"/>
      <c r="D18865" s="17"/>
      <c r="E18865" s="7"/>
    </row>
    <row r="18866" spans="3:5">
      <c r="C18866" s="17"/>
      <c r="D18866" s="17"/>
      <c r="E18866" s="7"/>
    </row>
    <row r="18867" spans="3:5">
      <c r="C18867" s="17"/>
      <c r="D18867" s="17"/>
      <c r="E18867" s="7"/>
    </row>
    <row r="18868" spans="3:5">
      <c r="C18868" s="17"/>
      <c r="D18868" s="17"/>
      <c r="E18868" s="7"/>
    </row>
    <row r="18869" spans="3:5">
      <c r="C18869" s="17"/>
      <c r="D18869" s="17"/>
      <c r="E18869" s="7"/>
    </row>
    <row r="18870" spans="3:5">
      <c r="C18870" s="17"/>
      <c r="D18870" s="17"/>
      <c r="E18870" s="7"/>
    </row>
    <row r="18871" spans="3:5">
      <c r="C18871" s="17"/>
      <c r="D18871" s="17"/>
      <c r="E18871" s="7"/>
    </row>
    <row r="18872" spans="3:5">
      <c r="C18872" s="17"/>
      <c r="D18872" s="17"/>
      <c r="E18872" s="7"/>
    </row>
    <row r="18873" spans="3:5">
      <c r="C18873" s="17"/>
      <c r="D18873" s="17"/>
      <c r="E18873" s="7"/>
    </row>
    <row r="18874" spans="3:5">
      <c r="C18874" s="17"/>
      <c r="D18874" s="17"/>
      <c r="E18874" s="7"/>
    </row>
    <row r="18875" spans="3:5">
      <c r="C18875" s="17"/>
      <c r="D18875" s="17"/>
      <c r="E18875" s="7"/>
    </row>
    <row r="18876" spans="3:5">
      <c r="C18876" s="17"/>
      <c r="D18876" s="17"/>
      <c r="E18876" s="7"/>
    </row>
    <row r="18877" spans="3:5">
      <c r="C18877" s="17"/>
      <c r="D18877" s="17"/>
      <c r="E18877" s="7"/>
    </row>
    <row r="18878" spans="3:5">
      <c r="C18878" s="17"/>
      <c r="D18878" s="17"/>
      <c r="E18878" s="7"/>
    </row>
    <row r="18879" spans="3:5">
      <c r="C18879" s="17"/>
      <c r="D18879" s="17"/>
      <c r="E18879" s="7"/>
    </row>
    <row r="18880" spans="3:5">
      <c r="C18880" s="17"/>
      <c r="D18880" s="17"/>
      <c r="E18880" s="7"/>
    </row>
    <row r="18881" spans="3:5">
      <c r="C18881" s="17"/>
      <c r="D18881" s="17"/>
      <c r="E18881" s="7"/>
    </row>
    <row r="18882" spans="3:5">
      <c r="C18882" s="17"/>
      <c r="D18882" s="17"/>
      <c r="E18882" s="7"/>
    </row>
    <row r="18883" spans="3:5">
      <c r="C18883" s="17"/>
      <c r="D18883" s="17"/>
      <c r="E18883" s="7"/>
    </row>
    <row r="18884" spans="3:5">
      <c r="C18884" s="17"/>
      <c r="D18884" s="17"/>
      <c r="E18884" s="7"/>
    </row>
    <row r="18885" spans="3:5">
      <c r="C18885" s="17"/>
      <c r="D18885" s="17"/>
      <c r="E18885" s="7"/>
    </row>
    <row r="18886" spans="3:5">
      <c r="C18886" s="17"/>
      <c r="D18886" s="17"/>
      <c r="E18886" s="7"/>
    </row>
    <row r="18887" spans="3:5">
      <c r="C18887" s="17"/>
      <c r="D18887" s="17"/>
      <c r="E18887" s="7"/>
    </row>
    <row r="18888" spans="3:5">
      <c r="C18888" s="17"/>
      <c r="D18888" s="17"/>
      <c r="E18888" s="7"/>
    </row>
    <row r="18889" spans="3:5">
      <c r="C18889" s="17"/>
      <c r="D18889" s="17"/>
      <c r="E18889" s="7"/>
    </row>
    <row r="18890" spans="3:5">
      <c r="C18890" s="17"/>
      <c r="D18890" s="17"/>
      <c r="E18890" s="7"/>
    </row>
    <row r="18891" spans="3:5">
      <c r="C18891" s="17"/>
      <c r="D18891" s="17"/>
      <c r="E18891" s="7"/>
    </row>
    <row r="18892" spans="3:5">
      <c r="C18892" s="17"/>
      <c r="D18892" s="17"/>
      <c r="E18892" s="7"/>
    </row>
    <row r="18893" spans="3:5">
      <c r="C18893" s="17"/>
      <c r="D18893" s="17"/>
      <c r="E18893" s="7"/>
    </row>
    <row r="18894" spans="3:5">
      <c r="C18894" s="17"/>
      <c r="D18894" s="17"/>
      <c r="E18894" s="7"/>
    </row>
    <row r="18895" spans="3:5">
      <c r="C18895" s="17"/>
      <c r="D18895" s="17"/>
      <c r="E18895" s="7"/>
    </row>
    <row r="18896" spans="3:5">
      <c r="C18896" s="17"/>
      <c r="D18896" s="17"/>
      <c r="E18896" s="7"/>
    </row>
    <row r="18897" spans="3:5">
      <c r="C18897" s="17"/>
      <c r="D18897" s="17"/>
      <c r="E18897" s="7"/>
    </row>
    <row r="18898" spans="3:5">
      <c r="C18898" s="17"/>
      <c r="D18898" s="17"/>
      <c r="E18898" s="7"/>
    </row>
    <row r="18899" spans="3:5">
      <c r="C18899" s="17"/>
      <c r="D18899" s="17"/>
      <c r="E18899" s="7"/>
    </row>
    <row r="18900" spans="3:5">
      <c r="C18900" s="17"/>
      <c r="D18900" s="17"/>
      <c r="E18900" s="7"/>
    </row>
    <row r="18901" spans="3:5">
      <c r="C18901" s="17"/>
      <c r="D18901" s="17"/>
      <c r="E18901" s="7"/>
    </row>
    <row r="18902" spans="3:5">
      <c r="C18902" s="17"/>
      <c r="D18902" s="17"/>
      <c r="E18902" s="7"/>
    </row>
    <row r="18903" spans="3:5">
      <c r="C18903" s="17"/>
      <c r="D18903" s="17"/>
      <c r="E18903" s="7"/>
    </row>
    <row r="18904" spans="3:5">
      <c r="C18904" s="17"/>
      <c r="D18904" s="17"/>
      <c r="E18904" s="7"/>
    </row>
    <row r="18905" spans="3:5">
      <c r="C18905" s="17"/>
      <c r="D18905" s="17"/>
      <c r="E18905" s="7"/>
    </row>
    <row r="18906" spans="3:5">
      <c r="C18906" s="17"/>
      <c r="D18906" s="17"/>
      <c r="E18906" s="7"/>
    </row>
    <row r="18907" spans="3:5">
      <c r="C18907" s="17"/>
      <c r="D18907" s="17"/>
      <c r="E18907" s="7"/>
    </row>
    <row r="18908" spans="3:5">
      <c r="C18908" s="17"/>
      <c r="D18908" s="17"/>
      <c r="E18908" s="7"/>
    </row>
    <row r="18909" spans="3:5">
      <c r="C18909" s="17"/>
      <c r="D18909" s="17"/>
      <c r="E18909" s="7"/>
    </row>
    <row r="18910" spans="3:5">
      <c r="C18910" s="17"/>
      <c r="D18910" s="17"/>
      <c r="E18910" s="7"/>
    </row>
    <row r="18911" spans="3:5">
      <c r="C18911" s="17"/>
      <c r="D18911" s="17"/>
      <c r="E18911" s="7"/>
    </row>
    <row r="18912" spans="3:5">
      <c r="C18912" s="17"/>
      <c r="D18912" s="17"/>
      <c r="E18912" s="7"/>
    </row>
    <row r="18913" spans="3:5">
      <c r="C18913" s="17"/>
      <c r="D18913" s="17"/>
      <c r="E18913" s="7"/>
    </row>
    <row r="18914" spans="3:5">
      <c r="C18914" s="17"/>
      <c r="D18914" s="17"/>
      <c r="E18914" s="7"/>
    </row>
    <row r="18915" spans="3:5">
      <c r="C18915" s="17"/>
      <c r="D18915" s="17"/>
      <c r="E18915" s="7"/>
    </row>
    <row r="18916" spans="3:5">
      <c r="C18916" s="17"/>
      <c r="D18916" s="17"/>
      <c r="E18916" s="7"/>
    </row>
    <row r="18917" spans="3:5">
      <c r="C18917" s="17"/>
      <c r="D18917" s="17"/>
      <c r="E18917" s="7"/>
    </row>
    <row r="18918" spans="3:5">
      <c r="C18918" s="17"/>
      <c r="D18918" s="17"/>
      <c r="E18918" s="7"/>
    </row>
    <row r="18919" spans="3:5">
      <c r="C18919" s="17"/>
      <c r="D18919" s="17"/>
      <c r="E18919" s="7"/>
    </row>
    <row r="18920" spans="3:5">
      <c r="C18920" s="17"/>
      <c r="D18920" s="17"/>
      <c r="E18920" s="7"/>
    </row>
    <row r="18921" spans="3:5">
      <c r="C18921" s="17"/>
      <c r="D18921" s="17"/>
      <c r="E18921" s="7"/>
    </row>
    <row r="18922" spans="3:5">
      <c r="C18922" s="17"/>
      <c r="D18922" s="17"/>
      <c r="E18922" s="7"/>
    </row>
    <row r="18923" spans="3:5">
      <c r="C18923" s="17"/>
      <c r="D18923" s="17"/>
      <c r="E18923" s="7"/>
    </row>
    <row r="18924" spans="3:5">
      <c r="C18924" s="17"/>
      <c r="D18924" s="17"/>
      <c r="E18924" s="7"/>
    </row>
    <row r="18925" spans="3:5">
      <c r="C18925" s="17"/>
      <c r="D18925" s="17"/>
      <c r="E18925" s="7"/>
    </row>
    <row r="18926" spans="3:5">
      <c r="C18926" s="17"/>
      <c r="D18926" s="17"/>
      <c r="E18926" s="7"/>
    </row>
    <row r="18927" spans="3:5">
      <c r="C18927" s="17"/>
      <c r="D18927" s="17"/>
      <c r="E18927" s="7"/>
    </row>
    <row r="18928" spans="3:5">
      <c r="C18928" s="17"/>
      <c r="D18928" s="17"/>
      <c r="E18928" s="7"/>
    </row>
    <row r="18929" spans="3:5">
      <c r="C18929" s="17"/>
      <c r="D18929" s="17"/>
      <c r="E18929" s="7"/>
    </row>
    <row r="18930" spans="3:5">
      <c r="C18930" s="17"/>
      <c r="D18930" s="17"/>
      <c r="E18930" s="7"/>
    </row>
    <row r="18931" spans="3:5">
      <c r="C18931" s="17"/>
      <c r="D18931" s="17"/>
      <c r="E18931" s="7"/>
    </row>
    <row r="18932" spans="3:5">
      <c r="C18932" s="17"/>
      <c r="D18932" s="17"/>
      <c r="E18932" s="7"/>
    </row>
    <row r="18933" spans="3:5">
      <c r="C18933" s="17"/>
      <c r="D18933" s="17"/>
      <c r="E18933" s="7"/>
    </row>
    <row r="18934" spans="3:5">
      <c r="C18934" s="17"/>
      <c r="D18934" s="17"/>
      <c r="E18934" s="7"/>
    </row>
    <row r="18935" spans="3:5">
      <c r="C18935" s="17"/>
      <c r="D18935" s="17"/>
      <c r="E18935" s="7"/>
    </row>
    <row r="18936" spans="3:5">
      <c r="C18936" s="17"/>
      <c r="D18936" s="17"/>
      <c r="E18936" s="7"/>
    </row>
    <row r="18937" spans="3:5">
      <c r="C18937" s="17"/>
      <c r="D18937" s="17"/>
      <c r="E18937" s="7"/>
    </row>
    <row r="18938" spans="3:5">
      <c r="C18938" s="17"/>
      <c r="D18938" s="17"/>
      <c r="E18938" s="7"/>
    </row>
    <row r="18939" spans="3:5">
      <c r="C18939" s="17"/>
      <c r="D18939" s="17"/>
      <c r="E18939" s="7"/>
    </row>
    <row r="18940" spans="3:5">
      <c r="C18940" s="17"/>
      <c r="D18940" s="17"/>
      <c r="E18940" s="7"/>
    </row>
    <row r="18941" spans="3:5">
      <c r="C18941" s="17"/>
      <c r="D18941" s="17"/>
      <c r="E18941" s="7"/>
    </row>
    <row r="18942" spans="3:5">
      <c r="C18942" s="17"/>
      <c r="D18942" s="17"/>
      <c r="E18942" s="7"/>
    </row>
    <row r="18943" spans="3:5">
      <c r="C18943" s="17"/>
      <c r="D18943" s="17"/>
      <c r="E18943" s="7"/>
    </row>
    <row r="18944" spans="3:5">
      <c r="C18944" s="17"/>
      <c r="D18944" s="17"/>
      <c r="E18944" s="7"/>
    </row>
    <row r="18945" spans="3:5">
      <c r="C18945" s="17"/>
      <c r="D18945" s="17"/>
      <c r="E18945" s="7"/>
    </row>
    <row r="18946" spans="3:5">
      <c r="C18946" s="17"/>
      <c r="D18946" s="17"/>
      <c r="E18946" s="7"/>
    </row>
    <row r="18947" spans="3:5">
      <c r="C18947" s="17"/>
      <c r="D18947" s="17"/>
      <c r="E18947" s="7"/>
    </row>
    <row r="18948" spans="3:5">
      <c r="C18948" s="17"/>
      <c r="D18948" s="17"/>
      <c r="E18948" s="7"/>
    </row>
    <row r="18949" spans="3:5">
      <c r="C18949" s="17"/>
      <c r="D18949" s="17"/>
      <c r="E18949" s="7"/>
    </row>
    <row r="18950" spans="3:5">
      <c r="C18950" s="17"/>
      <c r="D18950" s="17"/>
      <c r="E18950" s="7"/>
    </row>
    <row r="18951" spans="3:5">
      <c r="C18951" s="17"/>
      <c r="D18951" s="17"/>
      <c r="E18951" s="7"/>
    </row>
    <row r="18952" spans="3:5">
      <c r="C18952" s="17"/>
      <c r="D18952" s="17"/>
      <c r="E18952" s="7"/>
    </row>
    <row r="18953" spans="3:5">
      <c r="C18953" s="17"/>
      <c r="D18953" s="17"/>
      <c r="E18953" s="7"/>
    </row>
    <row r="18954" spans="3:5">
      <c r="C18954" s="17"/>
      <c r="D18954" s="17"/>
      <c r="E18954" s="7"/>
    </row>
    <row r="18955" spans="3:5">
      <c r="C18955" s="17"/>
      <c r="D18955" s="17"/>
      <c r="E18955" s="7"/>
    </row>
    <row r="18956" spans="3:5">
      <c r="C18956" s="17"/>
      <c r="D18956" s="17"/>
      <c r="E18956" s="7"/>
    </row>
    <row r="18957" spans="3:5">
      <c r="C18957" s="17"/>
      <c r="D18957" s="17"/>
      <c r="E18957" s="7"/>
    </row>
    <row r="18958" spans="3:5">
      <c r="C18958" s="17"/>
      <c r="D18958" s="17"/>
      <c r="E18958" s="7"/>
    </row>
    <row r="18959" spans="3:5">
      <c r="C18959" s="17"/>
      <c r="D18959" s="17"/>
      <c r="E18959" s="7"/>
    </row>
    <row r="18960" spans="3:5">
      <c r="C18960" s="17"/>
      <c r="D18960" s="17"/>
      <c r="E18960" s="7"/>
    </row>
    <row r="18961" spans="3:5">
      <c r="C18961" s="17"/>
      <c r="D18961" s="17"/>
      <c r="E18961" s="7"/>
    </row>
    <row r="18962" spans="3:5">
      <c r="C18962" s="17"/>
      <c r="D18962" s="17"/>
      <c r="E18962" s="7"/>
    </row>
    <row r="18963" spans="3:5">
      <c r="C18963" s="17"/>
      <c r="D18963" s="17"/>
      <c r="E18963" s="7"/>
    </row>
    <row r="18964" spans="3:5">
      <c r="C18964" s="17"/>
      <c r="D18964" s="17"/>
      <c r="E18964" s="7"/>
    </row>
    <row r="18965" spans="3:5">
      <c r="C18965" s="17"/>
      <c r="D18965" s="17"/>
      <c r="E18965" s="7"/>
    </row>
    <row r="18966" spans="3:5">
      <c r="C18966" s="17"/>
      <c r="D18966" s="17"/>
      <c r="E18966" s="7"/>
    </row>
    <row r="18967" spans="3:5">
      <c r="C18967" s="17"/>
      <c r="D18967" s="17"/>
      <c r="E18967" s="7"/>
    </row>
    <row r="18968" spans="3:5">
      <c r="C18968" s="17"/>
      <c r="D18968" s="17"/>
      <c r="E18968" s="7"/>
    </row>
    <row r="18969" spans="3:5">
      <c r="C18969" s="17"/>
      <c r="D18969" s="17"/>
      <c r="E18969" s="7"/>
    </row>
    <row r="18970" spans="3:5">
      <c r="C18970" s="17"/>
      <c r="D18970" s="17"/>
      <c r="E18970" s="7"/>
    </row>
    <row r="18971" spans="3:5">
      <c r="C18971" s="17"/>
      <c r="D18971" s="17"/>
      <c r="E18971" s="7"/>
    </row>
    <row r="18972" spans="3:5">
      <c r="C18972" s="17"/>
      <c r="D18972" s="17"/>
      <c r="E18972" s="7"/>
    </row>
    <row r="18973" spans="3:5">
      <c r="C18973" s="17"/>
      <c r="D18973" s="17"/>
      <c r="E18973" s="7"/>
    </row>
    <row r="18974" spans="3:5">
      <c r="C18974" s="17"/>
      <c r="D18974" s="17"/>
      <c r="E18974" s="7"/>
    </row>
    <row r="18975" spans="3:5">
      <c r="C18975" s="17"/>
      <c r="D18975" s="17"/>
      <c r="E18975" s="7"/>
    </row>
    <row r="18976" spans="3:5">
      <c r="C18976" s="17"/>
      <c r="D18976" s="17"/>
      <c r="E18976" s="7"/>
    </row>
    <row r="18977" spans="3:5">
      <c r="C18977" s="17"/>
      <c r="D18977" s="17"/>
      <c r="E18977" s="7"/>
    </row>
    <row r="18978" spans="3:5">
      <c r="C18978" s="17"/>
      <c r="D18978" s="17"/>
      <c r="E18978" s="7"/>
    </row>
    <row r="18979" spans="3:5">
      <c r="C18979" s="17"/>
      <c r="D18979" s="17"/>
      <c r="E18979" s="7"/>
    </row>
    <row r="18980" spans="3:5">
      <c r="C18980" s="17"/>
      <c r="D18980" s="17"/>
      <c r="E18980" s="7"/>
    </row>
    <row r="18981" spans="3:5">
      <c r="C18981" s="17"/>
      <c r="D18981" s="17"/>
      <c r="E18981" s="7"/>
    </row>
    <row r="18982" spans="3:5">
      <c r="C18982" s="17"/>
      <c r="D18982" s="17"/>
      <c r="E18982" s="7"/>
    </row>
    <row r="18983" spans="3:5">
      <c r="C18983" s="17"/>
      <c r="D18983" s="17"/>
      <c r="E18983" s="7"/>
    </row>
    <row r="18984" spans="3:5">
      <c r="C18984" s="17"/>
      <c r="D18984" s="17"/>
      <c r="E18984" s="7"/>
    </row>
    <row r="18985" spans="3:5">
      <c r="C18985" s="17"/>
      <c r="D18985" s="17"/>
      <c r="E18985" s="7"/>
    </row>
    <row r="18986" spans="3:5">
      <c r="C18986" s="17"/>
      <c r="D18986" s="17"/>
      <c r="E18986" s="7"/>
    </row>
    <row r="18987" spans="3:5">
      <c r="C18987" s="17"/>
      <c r="D18987" s="17"/>
      <c r="E18987" s="7"/>
    </row>
    <row r="18988" spans="3:5">
      <c r="C18988" s="17"/>
      <c r="D18988" s="17"/>
      <c r="E18988" s="7"/>
    </row>
    <row r="18989" spans="3:5">
      <c r="C18989" s="17"/>
      <c r="D18989" s="17"/>
      <c r="E18989" s="7"/>
    </row>
    <row r="18990" spans="3:5">
      <c r="C18990" s="17"/>
      <c r="D18990" s="17"/>
      <c r="E18990" s="7"/>
    </row>
    <row r="18991" spans="3:5">
      <c r="C18991" s="17"/>
      <c r="D18991" s="17"/>
      <c r="E18991" s="7"/>
    </row>
    <row r="18992" spans="3:5">
      <c r="C18992" s="17"/>
      <c r="D18992" s="17"/>
      <c r="E18992" s="7"/>
    </row>
    <row r="18993" spans="3:5">
      <c r="C18993" s="17"/>
      <c r="D18993" s="17"/>
      <c r="E18993" s="7"/>
    </row>
    <row r="18994" spans="3:5">
      <c r="C18994" s="17"/>
      <c r="D18994" s="17"/>
      <c r="E18994" s="7"/>
    </row>
    <row r="18995" spans="3:5">
      <c r="C18995" s="17"/>
      <c r="D18995" s="17"/>
      <c r="E18995" s="7"/>
    </row>
    <row r="18996" spans="3:5">
      <c r="C18996" s="17"/>
      <c r="D18996" s="17"/>
      <c r="E18996" s="7"/>
    </row>
    <row r="18997" spans="3:5">
      <c r="C18997" s="17"/>
      <c r="D18997" s="17"/>
      <c r="E18997" s="7"/>
    </row>
    <row r="18998" spans="3:5">
      <c r="C18998" s="17"/>
      <c r="D18998" s="17"/>
      <c r="E18998" s="7"/>
    </row>
    <row r="18999" spans="3:5">
      <c r="C18999" s="17"/>
      <c r="D18999" s="17"/>
      <c r="E18999" s="7"/>
    </row>
    <row r="19000" spans="3:5">
      <c r="C19000" s="17"/>
      <c r="D19000" s="17"/>
      <c r="E19000" s="7"/>
    </row>
    <row r="19001" spans="3:5">
      <c r="C19001" s="17"/>
      <c r="D19001" s="17"/>
      <c r="E19001" s="7"/>
    </row>
    <row r="19002" spans="3:5">
      <c r="C19002" s="17"/>
      <c r="D19002" s="17"/>
      <c r="E19002" s="7"/>
    </row>
    <row r="19003" spans="3:5">
      <c r="C19003" s="17"/>
      <c r="D19003" s="17"/>
      <c r="E19003" s="7"/>
    </row>
    <row r="19004" spans="3:5">
      <c r="C19004" s="17"/>
      <c r="D19004" s="17"/>
      <c r="E19004" s="7"/>
    </row>
    <row r="19005" spans="3:5">
      <c r="C19005" s="17"/>
      <c r="D19005" s="17"/>
      <c r="E19005" s="7"/>
    </row>
    <row r="19006" spans="3:5">
      <c r="C19006" s="17"/>
      <c r="D19006" s="17"/>
      <c r="E19006" s="7"/>
    </row>
    <row r="19007" spans="3:5">
      <c r="C19007" s="17"/>
      <c r="D19007" s="17"/>
      <c r="E19007" s="7"/>
    </row>
    <row r="19008" spans="3:5">
      <c r="C19008" s="17"/>
      <c r="D19008" s="17"/>
      <c r="E19008" s="7"/>
    </row>
    <row r="19009" spans="3:5">
      <c r="C19009" s="17"/>
      <c r="D19009" s="17"/>
      <c r="E19009" s="7"/>
    </row>
    <row r="19010" spans="3:5">
      <c r="C19010" s="17"/>
      <c r="D19010" s="17"/>
      <c r="E19010" s="7"/>
    </row>
    <row r="19011" spans="3:5">
      <c r="C19011" s="17"/>
      <c r="D19011" s="17"/>
      <c r="E19011" s="7"/>
    </row>
    <row r="19012" spans="3:5">
      <c r="C19012" s="17"/>
      <c r="D19012" s="17"/>
      <c r="E19012" s="7"/>
    </row>
    <row r="19013" spans="3:5">
      <c r="C19013" s="17"/>
      <c r="D19013" s="17"/>
      <c r="E19013" s="7"/>
    </row>
    <row r="19014" spans="3:5">
      <c r="C19014" s="17"/>
      <c r="D19014" s="17"/>
      <c r="E19014" s="7"/>
    </row>
    <row r="19015" spans="3:5">
      <c r="C19015" s="17"/>
      <c r="D19015" s="17"/>
      <c r="E19015" s="7"/>
    </row>
    <row r="19016" spans="3:5">
      <c r="C19016" s="17"/>
      <c r="D19016" s="17"/>
      <c r="E19016" s="7"/>
    </row>
    <row r="19017" spans="3:5">
      <c r="C19017" s="17"/>
      <c r="D19017" s="17"/>
      <c r="E19017" s="7"/>
    </row>
    <row r="19018" spans="3:5">
      <c r="C19018" s="17"/>
      <c r="D19018" s="17"/>
      <c r="E19018" s="7"/>
    </row>
    <row r="19019" spans="3:5">
      <c r="C19019" s="17"/>
      <c r="D19019" s="17"/>
      <c r="E19019" s="7"/>
    </row>
    <row r="19020" spans="3:5">
      <c r="C19020" s="17"/>
      <c r="D19020" s="17"/>
      <c r="E19020" s="7"/>
    </row>
    <row r="19021" spans="3:5">
      <c r="C19021" s="17"/>
      <c r="D19021" s="17"/>
      <c r="E19021" s="7"/>
    </row>
    <row r="19022" spans="3:5">
      <c r="C19022" s="17"/>
      <c r="D19022" s="17"/>
      <c r="E19022" s="7"/>
    </row>
    <row r="19023" spans="3:5">
      <c r="C19023" s="17"/>
      <c r="D19023" s="17"/>
      <c r="E19023" s="7"/>
    </row>
    <row r="19024" spans="3:5">
      <c r="C19024" s="17"/>
      <c r="D19024" s="17"/>
      <c r="E19024" s="7"/>
    </row>
    <row r="19025" spans="3:5">
      <c r="C19025" s="17"/>
      <c r="D19025" s="17"/>
      <c r="E19025" s="7"/>
    </row>
    <row r="19026" spans="3:5">
      <c r="C19026" s="17"/>
      <c r="D19026" s="17"/>
      <c r="E19026" s="7"/>
    </row>
    <row r="19027" spans="3:5">
      <c r="C19027" s="17"/>
      <c r="D19027" s="17"/>
      <c r="E19027" s="7"/>
    </row>
    <row r="19028" spans="3:5">
      <c r="C19028" s="17"/>
      <c r="D19028" s="17"/>
      <c r="E19028" s="7"/>
    </row>
    <row r="19029" spans="3:5">
      <c r="C19029" s="17"/>
      <c r="D19029" s="17"/>
      <c r="E19029" s="7"/>
    </row>
    <row r="19030" spans="3:5">
      <c r="C19030" s="17"/>
      <c r="D19030" s="17"/>
      <c r="E19030" s="7"/>
    </row>
    <row r="19031" spans="3:5">
      <c r="C19031" s="17"/>
      <c r="D19031" s="17"/>
      <c r="E19031" s="7"/>
    </row>
    <row r="19032" spans="3:5">
      <c r="C19032" s="17"/>
      <c r="D19032" s="17"/>
      <c r="E19032" s="7"/>
    </row>
    <row r="19033" spans="3:5">
      <c r="C19033" s="17"/>
      <c r="D19033" s="17"/>
      <c r="E19033" s="7"/>
    </row>
    <row r="19034" spans="3:5">
      <c r="C19034" s="17"/>
      <c r="D19034" s="17"/>
      <c r="E19034" s="7"/>
    </row>
    <row r="19035" spans="3:5">
      <c r="C19035" s="17"/>
      <c r="D19035" s="17"/>
      <c r="E19035" s="7"/>
    </row>
    <row r="19036" spans="3:5">
      <c r="C19036" s="17"/>
      <c r="D19036" s="17"/>
      <c r="E19036" s="7"/>
    </row>
    <row r="19037" spans="3:5">
      <c r="C19037" s="17"/>
      <c r="D19037" s="17"/>
      <c r="E19037" s="7"/>
    </row>
    <row r="19038" spans="3:5">
      <c r="C19038" s="17"/>
      <c r="D19038" s="17"/>
      <c r="E19038" s="7"/>
    </row>
    <row r="19039" spans="3:5">
      <c r="C19039" s="17"/>
      <c r="D19039" s="17"/>
      <c r="E19039" s="7"/>
    </row>
    <row r="19040" spans="3:5">
      <c r="C19040" s="17"/>
      <c r="D19040" s="17"/>
      <c r="E19040" s="7"/>
    </row>
    <row r="19041" spans="3:5">
      <c r="C19041" s="17"/>
      <c r="D19041" s="17"/>
      <c r="E19041" s="7"/>
    </row>
    <row r="19042" spans="3:5">
      <c r="C19042" s="17"/>
      <c r="D19042" s="17"/>
      <c r="E19042" s="7"/>
    </row>
    <row r="19043" spans="3:5">
      <c r="C19043" s="17"/>
      <c r="D19043" s="17"/>
      <c r="E19043" s="7"/>
    </row>
    <row r="19044" spans="3:5">
      <c r="C19044" s="17"/>
      <c r="D19044" s="17"/>
      <c r="E19044" s="7"/>
    </row>
    <row r="19045" spans="3:5">
      <c r="C19045" s="17"/>
      <c r="D19045" s="17"/>
      <c r="E19045" s="7"/>
    </row>
    <row r="19046" spans="3:5">
      <c r="C19046" s="17"/>
      <c r="D19046" s="17"/>
      <c r="E19046" s="7"/>
    </row>
    <row r="19047" spans="3:5">
      <c r="C19047" s="17"/>
      <c r="D19047" s="17"/>
      <c r="E19047" s="7"/>
    </row>
    <row r="19048" spans="3:5">
      <c r="C19048" s="17"/>
      <c r="D19048" s="17"/>
      <c r="E19048" s="7"/>
    </row>
    <row r="19049" spans="3:5">
      <c r="C19049" s="17"/>
      <c r="D19049" s="17"/>
      <c r="E19049" s="7"/>
    </row>
    <row r="19050" spans="3:5">
      <c r="C19050" s="17"/>
      <c r="D19050" s="17"/>
      <c r="E19050" s="7"/>
    </row>
    <row r="19051" spans="3:5">
      <c r="C19051" s="17"/>
      <c r="D19051" s="17"/>
      <c r="E19051" s="7"/>
    </row>
    <row r="19052" spans="3:5">
      <c r="C19052" s="17"/>
      <c r="D19052" s="17"/>
      <c r="E19052" s="7"/>
    </row>
    <row r="19053" spans="3:5">
      <c r="C19053" s="17"/>
      <c r="D19053" s="17"/>
      <c r="E19053" s="7"/>
    </row>
    <row r="19054" spans="3:5">
      <c r="C19054" s="17"/>
      <c r="D19054" s="17"/>
      <c r="E19054" s="7"/>
    </row>
    <row r="19055" spans="3:5">
      <c r="C19055" s="17"/>
      <c r="D19055" s="17"/>
      <c r="E19055" s="7"/>
    </row>
    <row r="19056" spans="3:5">
      <c r="C19056" s="17"/>
      <c r="D19056" s="17"/>
      <c r="E19056" s="7"/>
    </row>
    <row r="19057" spans="3:5">
      <c r="C19057" s="17"/>
      <c r="D19057" s="17"/>
      <c r="E19057" s="7"/>
    </row>
    <row r="19058" spans="3:5">
      <c r="C19058" s="17"/>
      <c r="D19058" s="17"/>
      <c r="E19058" s="7"/>
    </row>
    <row r="19059" spans="3:5">
      <c r="C19059" s="17"/>
      <c r="D19059" s="17"/>
      <c r="E19059" s="7"/>
    </row>
    <row r="19060" spans="3:5">
      <c r="C19060" s="17"/>
      <c r="D19060" s="17"/>
      <c r="E19060" s="7"/>
    </row>
    <row r="19061" spans="3:5">
      <c r="C19061" s="17"/>
      <c r="D19061" s="17"/>
      <c r="E19061" s="7"/>
    </row>
    <row r="19062" spans="3:5">
      <c r="C19062" s="17"/>
      <c r="D19062" s="17"/>
      <c r="E19062" s="7"/>
    </row>
    <row r="19063" spans="3:5">
      <c r="C19063" s="17"/>
      <c r="D19063" s="17"/>
      <c r="E19063" s="7"/>
    </row>
    <row r="19064" spans="3:5">
      <c r="C19064" s="17"/>
      <c r="D19064" s="17"/>
      <c r="E19064" s="7"/>
    </row>
    <row r="19065" spans="3:5">
      <c r="C19065" s="17"/>
      <c r="D19065" s="17"/>
      <c r="E19065" s="7"/>
    </row>
    <row r="19066" spans="3:5">
      <c r="C19066" s="17"/>
      <c r="D19066" s="17"/>
      <c r="E19066" s="7"/>
    </row>
    <row r="19067" spans="3:5">
      <c r="C19067" s="17"/>
      <c r="D19067" s="17"/>
      <c r="E19067" s="7"/>
    </row>
    <row r="19068" spans="3:5">
      <c r="C19068" s="17"/>
      <c r="D19068" s="17"/>
      <c r="E19068" s="7"/>
    </row>
    <row r="19069" spans="3:5">
      <c r="C19069" s="17"/>
      <c r="D19069" s="17"/>
      <c r="E19069" s="7"/>
    </row>
    <row r="19070" spans="3:5">
      <c r="C19070" s="17"/>
      <c r="D19070" s="17"/>
      <c r="E19070" s="7"/>
    </row>
    <row r="19071" spans="3:5">
      <c r="C19071" s="17"/>
      <c r="D19071" s="17"/>
      <c r="E19071" s="7"/>
    </row>
    <row r="19072" spans="3:5">
      <c r="C19072" s="17"/>
      <c r="D19072" s="17"/>
      <c r="E19072" s="7"/>
    </row>
    <row r="19073" spans="3:5">
      <c r="C19073" s="17"/>
      <c r="D19073" s="17"/>
      <c r="E19073" s="7"/>
    </row>
    <row r="19074" spans="3:5">
      <c r="C19074" s="17"/>
      <c r="D19074" s="17"/>
      <c r="E19074" s="7"/>
    </row>
    <row r="19075" spans="3:5">
      <c r="C19075" s="17"/>
      <c r="D19075" s="17"/>
      <c r="E19075" s="7"/>
    </row>
    <row r="19076" spans="3:5">
      <c r="C19076" s="17"/>
      <c r="D19076" s="17"/>
      <c r="E19076" s="7"/>
    </row>
    <row r="19077" spans="3:5">
      <c r="C19077" s="17"/>
      <c r="D19077" s="17"/>
      <c r="E19077" s="7"/>
    </row>
    <row r="19078" spans="3:5">
      <c r="C19078" s="17"/>
      <c r="D19078" s="17"/>
      <c r="E19078" s="7"/>
    </row>
    <row r="19079" spans="3:5">
      <c r="C19079" s="17"/>
      <c r="D19079" s="17"/>
      <c r="E19079" s="7"/>
    </row>
    <row r="19080" spans="3:5">
      <c r="C19080" s="17"/>
      <c r="D19080" s="17"/>
      <c r="E19080" s="7"/>
    </row>
    <row r="19081" spans="3:5">
      <c r="C19081" s="17"/>
      <c r="D19081" s="17"/>
      <c r="E19081" s="7"/>
    </row>
    <row r="19082" spans="3:5">
      <c r="C19082" s="17"/>
      <c r="D19082" s="17"/>
      <c r="E19082" s="7"/>
    </row>
    <row r="19083" spans="3:5">
      <c r="C19083" s="17"/>
      <c r="D19083" s="17"/>
      <c r="E19083" s="7"/>
    </row>
    <row r="19084" spans="3:5">
      <c r="C19084" s="17"/>
      <c r="D19084" s="17"/>
      <c r="E19084" s="7"/>
    </row>
    <row r="19085" spans="3:5">
      <c r="C19085" s="17"/>
      <c r="D19085" s="17"/>
      <c r="E19085" s="7"/>
    </row>
    <row r="19086" spans="3:5">
      <c r="C19086" s="17"/>
      <c r="D19086" s="17"/>
      <c r="E19086" s="7"/>
    </row>
    <row r="19087" spans="3:5">
      <c r="C19087" s="17"/>
      <c r="D19087" s="17"/>
      <c r="E19087" s="7"/>
    </row>
    <row r="19088" spans="3:5">
      <c r="C19088" s="17"/>
      <c r="D19088" s="17"/>
      <c r="E19088" s="7"/>
    </row>
    <row r="19089" spans="3:5">
      <c r="C19089" s="17"/>
      <c r="D19089" s="17"/>
      <c r="E19089" s="7"/>
    </row>
    <row r="19090" spans="3:5">
      <c r="C19090" s="17"/>
      <c r="D19090" s="17"/>
      <c r="E19090" s="7"/>
    </row>
    <row r="19091" spans="3:5">
      <c r="C19091" s="17"/>
      <c r="D19091" s="17"/>
      <c r="E19091" s="7"/>
    </row>
    <row r="19092" spans="3:5">
      <c r="C19092" s="17"/>
      <c r="D19092" s="17"/>
      <c r="E19092" s="7"/>
    </row>
    <row r="19093" spans="3:5">
      <c r="C19093" s="17"/>
      <c r="D19093" s="17"/>
      <c r="E19093" s="7"/>
    </row>
    <row r="19094" spans="3:5">
      <c r="C19094" s="17"/>
      <c r="D19094" s="17"/>
      <c r="E19094" s="7"/>
    </row>
    <row r="19095" spans="3:5">
      <c r="C19095" s="17"/>
      <c r="D19095" s="17"/>
      <c r="E19095" s="7"/>
    </row>
    <row r="19096" spans="3:5">
      <c r="C19096" s="17"/>
      <c r="D19096" s="17"/>
      <c r="E19096" s="7"/>
    </row>
    <row r="19097" spans="3:5">
      <c r="C19097" s="17"/>
      <c r="D19097" s="17"/>
      <c r="E19097" s="7"/>
    </row>
    <row r="19098" spans="3:5">
      <c r="C19098" s="17"/>
      <c r="D19098" s="17"/>
      <c r="E19098" s="7"/>
    </row>
    <row r="19099" spans="3:5">
      <c r="C19099" s="17"/>
      <c r="D19099" s="17"/>
      <c r="E19099" s="7"/>
    </row>
    <row r="19100" spans="3:5">
      <c r="C19100" s="17"/>
      <c r="D19100" s="17"/>
      <c r="E19100" s="7"/>
    </row>
    <row r="19101" spans="3:5">
      <c r="C19101" s="17"/>
      <c r="D19101" s="17"/>
      <c r="E19101" s="7"/>
    </row>
    <row r="19102" spans="3:5">
      <c r="C19102" s="17"/>
      <c r="D19102" s="17"/>
      <c r="E19102" s="7"/>
    </row>
    <row r="19103" spans="3:5">
      <c r="C19103" s="17"/>
      <c r="D19103" s="17"/>
      <c r="E19103" s="7"/>
    </row>
    <row r="19104" spans="3:5">
      <c r="C19104" s="17"/>
      <c r="D19104" s="17"/>
      <c r="E19104" s="7"/>
    </row>
    <row r="19105" spans="3:5">
      <c r="C19105" s="17"/>
      <c r="D19105" s="17"/>
      <c r="E19105" s="7"/>
    </row>
    <row r="19106" spans="3:5">
      <c r="C19106" s="17"/>
      <c r="D19106" s="17"/>
      <c r="E19106" s="7"/>
    </row>
    <row r="19107" spans="3:5">
      <c r="C19107" s="17"/>
      <c r="D19107" s="17"/>
      <c r="E19107" s="7"/>
    </row>
    <row r="19108" spans="3:5">
      <c r="C19108" s="17"/>
      <c r="D19108" s="17"/>
      <c r="E19108" s="7"/>
    </row>
    <row r="19109" spans="3:5">
      <c r="C19109" s="17"/>
      <c r="D19109" s="17"/>
      <c r="E19109" s="7"/>
    </row>
    <row r="19110" spans="3:5">
      <c r="C19110" s="17"/>
      <c r="D19110" s="17"/>
      <c r="E19110" s="7"/>
    </row>
    <row r="19111" spans="3:5">
      <c r="C19111" s="17"/>
      <c r="D19111" s="17"/>
      <c r="E19111" s="7"/>
    </row>
    <row r="19112" spans="3:5">
      <c r="C19112" s="17"/>
      <c r="D19112" s="17"/>
      <c r="E19112" s="7"/>
    </row>
    <row r="19113" spans="3:5">
      <c r="C19113" s="17"/>
      <c r="D19113" s="17"/>
      <c r="E19113" s="7"/>
    </row>
    <row r="19114" spans="3:5">
      <c r="C19114" s="17"/>
      <c r="D19114" s="17"/>
      <c r="E19114" s="7"/>
    </row>
    <row r="19115" spans="3:5">
      <c r="C19115" s="17"/>
      <c r="D19115" s="17"/>
      <c r="E19115" s="7"/>
    </row>
    <row r="19116" spans="3:5">
      <c r="C19116" s="17"/>
      <c r="D19116" s="17"/>
      <c r="E19116" s="7"/>
    </row>
    <row r="19117" spans="3:5">
      <c r="C19117" s="17"/>
      <c r="D19117" s="17"/>
      <c r="E19117" s="7"/>
    </row>
    <row r="19118" spans="3:5">
      <c r="C19118" s="17"/>
      <c r="D19118" s="17"/>
      <c r="E19118" s="7"/>
    </row>
    <row r="19119" spans="3:5">
      <c r="C19119" s="17"/>
      <c r="D19119" s="17"/>
      <c r="E19119" s="7"/>
    </row>
    <row r="19120" spans="3:5">
      <c r="C19120" s="17"/>
      <c r="D19120" s="17"/>
      <c r="E19120" s="7"/>
    </row>
    <row r="19121" spans="3:5">
      <c r="C19121" s="17"/>
      <c r="D19121" s="17"/>
      <c r="E19121" s="7"/>
    </row>
    <row r="19122" spans="3:5">
      <c r="C19122" s="17"/>
      <c r="D19122" s="17"/>
      <c r="E19122" s="7"/>
    </row>
    <row r="19123" spans="3:5">
      <c r="C19123" s="17"/>
      <c r="D19123" s="17"/>
      <c r="E19123" s="7"/>
    </row>
    <row r="19124" spans="3:5">
      <c r="C19124" s="17"/>
      <c r="D19124" s="17"/>
      <c r="E19124" s="7"/>
    </row>
    <row r="19125" spans="3:5">
      <c r="C19125" s="17"/>
      <c r="D19125" s="17"/>
      <c r="E19125" s="7"/>
    </row>
    <row r="19126" spans="3:5">
      <c r="C19126" s="17"/>
      <c r="D19126" s="17"/>
      <c r="E19126" s="7"/>
    </row>
    <row r="19127" spans="3:5">
      <c r="C19127" s="17"/>
      <c r="D19127" s="17"/>
      <c r="E19127" s="7"/>
    </row>
    <row r="19128" spans="3:5">
      <c r="C19128" s="17"/>
      <c r="D19128" s="17"/>
      <c r="E19128" s="7"/>
    </row>
    <row r="19129" spans="3:5">
      <c r="C19129" s="17"/>
      <c r="D19129" s="17"/>
      <c r="E19129" s="7"/>
    </row>
    <row r="19130" spans="3:5">
      <c r="C19130" s="17"/>
      <c r="D19130" s="17"/>
      <c r="E19130" s="7"/>
    </row>
    <row r="19131" spans="3:5">
      <c r="C19131" s="17"/>
      <c r="D19131" s="17"/>
      <c r="E19131" s="7"/>
    </row>
    <row r="19132" spans="3:5">
      <c r="C19132" s="17"/>
      <c r="D19132" s="17"/>
      <c r="E19132" s="7"/>
    </row>
    <row r="19133" spans="3:5">
      <c r="C19133" s="17"/>
      <c r="D19133" s="17"/>
      <c r="E19133" s="7"/>
    </row>
    <row r="19134" spans="3:5">
      <c r="C19134" s="17"/>
      <c r="D19134" s="17"/>
      <c r="E19134" s="7"/>
    </row>
    <row r="19135" spans="3:5">
      <c r="C19135" s="17"/>
      <c r="D19135" s="17"/>
      <c r="E19135" s="7"/>
    </row>
    <row r="19136" spans="3:5">
      <c r="C19136" s="17"/>
      <c r="D19136" s="17"/>
      <c r="E19136" s="7"/>
    </row>
    <row r="19137" spans="3:5">
      <c r="C19137" s="17"/>
      <c r="D19137" s="17"/>
      <c r="E19137" s="7"/>
    </row>
    <row r="19138" spans="3:5">
      <c r="C19138" s="17"/>
      <c r="D19138" s="17"/>
      <c r="E19138" s="7"/>
    </row>
    <row r="19139" spans="3:5">
      <c r="C19139" s="17"/>
      <c r="D19139" s="17"/>
      <c r="E19139" s="7"/>
    </row>
    <row r="19140" spans="3:5">
      <c r="C19140" s="17"/>
      <c r="D19140" s="17"/>
      <c r="E19140" s="7"/>
    </row>
    <row r="19141" spans="3:5">
      <c r="C19141" s="17"/>
      <c r="D19141" s="17"/>
      <c r="E19141" s="7"/>
    </row>
    <row r="19142" spans="3:5">
      <c r="C19142" s="17"/>
      <c r="D19142" s="17"/>
      <c r="E19142" s="7"/>
    </row>
    <row r="19143" spans="3:5">
      <c r="C19143" s="17"/>
      <c r="D19143" s="17"/>
      <c r="E19143" s="7"/>
    </row>
    <row r="19144" spans="3:5">
      <c r="C19144" s="17"/>
      <c r="D19144" s="17"/>
      <c r="E19144" s="7"/>
    </row>
    <row r="19145" spans="3:5">
      <c r="C19145" s="17"/>
      <c r="D19145" s="17"/>
      <c r="E19145" s="7"/>
    </row>
    <row r="19146" spans="3:5">
      <c r="C19146" s="17"/>
      <c r="D19146" s="17"/>
      <c r="E19146" s="7"/>
    </row>
    <row r="19147" spans="3:5">
      <c r="C19147" s="17"/>
      <c r="D19147" s="17"/>
      <c r="E19147" s="7"/>
    </row>
    <row r="19148" spans="3:5">
      <c r="C19148" s="17"/>
      <c r="D19148" s="17"/>
      <c r="E19148" s="7"/>
    </row>
    <row r="19149" spans="3:5">
      <c r="C19149" s="17"/>
      <c r="D19149" s="17"/>
      <c r="E19149" s="7"/>
    </row>
    <row r="19150" spans="3:5">
      <c r="C19150" s="17"/>
      <c r="D19150" s="17"/>
      <c r="E19150" s="7"/>
    </row>
    <row r="19151" spans="3:5">
      <c r="C19151" s="17"/>
      <c r="D19151" s="17"/>
      <c r="E19151" s="7"/>
    </row>
    <row r="19152" spans="3:5">
      <c r="C19152" s="17"/>
      <c r="D19152" s="17"/>
      <c r="E19152" s="7"/>
    </row>
    <row r="19153" spans="3:5">
      <c r="C19153" s="17"/>
      <c r="D19153" s="17"/>
      <c r="E19153" s="7"/>
    </row>
    <row r="19154" spans="3:5">
      <c r="C19154" s="17"/>
      <c r="D19154" s="17"/>
      <c r="E19154" s="7"/>
    </row>
    <row r="19155" spans="3:5">
      <c r="C19155" s="17"/>
      <c r="D19155" s="17"/>
      <c r="E19155" s="7"/>
    </row>
    <row r="19156" spans="3:5">
      <c r="C19156" s="17"/>
      <c r="D19156" s="17"/>
      <c r="E19156" s="7"/>
    </row>
    <row r="19157" spans="3:5">
      <c r="C19157" s="17"/>
      <c r="D19157" s="17"/>
      <c r="E19157" s="7"/>
    </row>
    <row r="19158" spans="3:5">
      <c r="C19158" s="17"/>
      <c r="D19158" s="17"/>
      <c r="E19158" s="7"/>
    </row>
    <row r="19159" spans="3:5">
      <c r="C19159" s="17"/>
      <c r="D19159" s="17"/>
      <c r="E19159" s="7"/>
    </row>
    <row r="19160" spans="3:5">
      <c r="C19160" s="17"/>
      <c r="D19160" s="17"/>
      <c r="E19160" s="7"/>
    </row>
    <row r="19161" spans="3:5">
      <c r="C19161" s="17"/>
      <c r="D19161" s="17"/>
      <c r="E19161" s="7"/>
    </row>
    <row r="19162" spans="3:5">
      <c r="C19162" s="17"/>
      <c r="D19162" s="17"/>
      <c r="E19162" s="7"/>
    </row>
    <row r="19163" spans="3:5">
      <c r="C19163" s="17"/>
      <c r="D19163" s="17"/>
      <c r="E19163" s="7"/>
    </row>
    <row r="19164" spans="3:5">
      <c r="C19164" s="17"/>
      <c r="D19164" s="17"/>
      <c r="E19164" s="7"/>
    </row>
    <row r="19165" spans="3:5">
      <c r="C19165" s="17"/>
      <c r="D19165" s="17"/>
      <c r="E19165" s="7"/>
    </row>
    <row r="19166" spans="3:5">
      <c r="C19166" s="17"/>
      <c r="D19166" s="17"/>
      <c r="E19166" s="7"/>
    </row>
    <row r="19167" spans="3:5">
      <c r="C19167" s="17"/>
      <c r="D19167" s="17"/>
      <c r="E19167" s="7"/>
    </row>
    <row r="19168" spans="3:5">
      <c r="C19168" s="17"/>
      <c r="D19168" s="17"/>
      <c r="E19168" s="7"/>
    </row>
    <row r="19169" spans="3:5">
      <c r="C19169" s="17"/>
      <c r="D19169" s="17"/>
      <c r="E19169" s="7"/>
    </row>
    <row r="19170" spans="3:5">
      <c r="C19170" s="17"/>
      <c r="D19170" s="17"/>
      <c r="E19170" s="7"/>
    </row>
    <row r="19171" spans="3:5">
      <c r="C19171" s="17"/>
      <c r="D19171" s="17"/>
      <c r="E19171" s="7"/>
    </row>
    <row r="19172" spans="3:5">
      <c r="C19172" s="17"/>
      <c r="D19172" s="17"/>
      <c r="E19172" s="7"/>
    </row>
    <row r="19173" spans="3:5">
      <c r="C19173" s="17"/>
      <c r="D19173" s="17"/>
      <c r="E19173" s="7"/>
    </row>
    <row r="19174" spans="3:5">
      <c r="C19174" s="17"/>
      <c r="D19174" s="17"/>
      <c r="E19174" s="7"/>
    </row>
    <row r="19175" spans="3:5">
      <c r="C19175" s="17"/>
      <c r="D19175" s="17"/>
      <c r="E19175" s="7"/>
    </row>
    <row r="19176" spans="3:5">
      <c r="C19176" s="17"/>
      <c r="D19176" s="17"/>
      <c r="E19176" s="7"/>
    </row>
    <row r="19177" spans="3:5">
      <c r="C19177" s="17"/>
      <c r="D19177" s="17"/>
      <c r="E19177" s="7"/>
    </row>
    <row r="19178" spans="3:5">
      <c r="C19178" s="17"/>
      <c r="D19178" s="17"/>
      <c r="E19178" s="7"/>
    </row>
    <row r="19179" spans="3:5">
      <c r="C19179" s="17"/>
      <c r="D19179" s="17"/>
      <c r="E19179" s="7"/>
    </row>
    <row r="19180" spans="3:5">
      <c r="C19180" s="17"/>
      <c r="D19180" s="17"/>
      <c r="E19180" s="7"/>
    </row>
    <row r="19181" spans="3:5">
      <c r="C19181" s="17"/>
      <c r="D19181" s="17"/>
      <c r="E19181" s="7"/>
    </row>
    <row r="19182" spans="3:5">
      <c r="C19182" s="17"/>
      <c r="D19182" s="17"/>
      <c r="E19182" s="7"/>
    </row>
    <row r="19183" spans="3:5">
      <c r="C19183" s="17"/>
      <c r="D19183" s="17"/>
      <c r="E19183" s="7"/>
    </row>
    <row r="19184" spans="3:5">
      <c r="C19184" s="17"/>
      <c r="D19184" s="17"/>
      <c r="E19184" s="7"/>
    </row>
    <row r="19185" spans="3:5">
      <c r="C19185" s="17"/>
      <c r="D19185" s="17"/>
      <c r="E19185" s="7"/>
    </row>
    <row r="19186" spans="3:5">
      <c r="C19186" s="17"/>
      <c r="D19186" s="17"/>
      <c r="E19186" s="7"/>
    </row>
    <row r="19187" spans="3:5">
      <c r="C19187" s="17"/>
      <c r="D19187" s="17"/>
      <c r="E19187" s="7"/>
    </row>
    <row r="19188" spans="3:5">
      <c r="C19188" s="17"/>
      <c r="D19188" s="17"/>
      <c r="E19188" s="7"/>
    </row>
    <row r="19189" spans="3:5">
      <c r="C19189" s="17"/>
      <c r="D19189" s="17"/>
      <c r="E19189" s="7"/>
    </row>
    <row r="19190" spans="3:5">
      <c r="C19190" s="17"/>
      <c r="D19190" s="17"/>
      <c r="E19190" s="7"/>
    </row>
    <row r="19191" spans="3:5">
      <c r="C19191" s="17"/>
      <c r="D19191" s="17"/>
      <c r="E19191" s="7"/>
    </row>
    <row r="19192" spans="3:5">
      <c r="C19192" s="17"/>
      <c r="D19192" s="17"/>
      <c r="E19192" s="7"/>
    </row>
    <row r="19193" spans="3:5">
      <c r="C19193" s="17"/>
      <c r="D19193" s="17"/>
      <c r="E19193" s="7"/>
    </row>
    <row r="19194" spans="3:5">
      <c r="C19194" s="17"/>
      <c r="D19194" s="17"/>
      <c r="E19194" s="7"/>
    </row>
    <row r="19195" spans="3:5">
      <c r="C19195" s="17"/>
      <c r="D19195" s="17"/>
      <c r="E19195" s="7"/>
    </row>
    <row r="19196" spans="3:5">
      <c r="C19196" s="17"/>
      <c r="D19196" s="17"/>
      <c r="E19196" s="7"/>
    </row>
    <row r="19197" spans="3:5">
      <c r="C19197" s="17"/>
      <c r="D19197" s="17"/>
      <c r="E19197" s="7"/>
    </row>
    <row r="19198" spans="3:5">
      <c r="C19198" s="17"/>
      <c r="D19198" s="17"/>
      <c r="E19198" s="7"/>
    </row>
    <row r="19199" spans="3:5">
      <c r="C19199" s="17"/>
      <c r="D19199" s="17"/>
      <c r="E19199" s="7"/>
    </row>
    <row r="19200" spans="3:5">
      <c r="C19200" s="17"/>
      <c r="D19200" s="17"/>
      <c r="E19200" s="7"/>
    </row>
    <row r="19201" spans="3:5">
      <c r="C19201" s="17"/>
      <c r="D19201" s="17"/>
      <c r="E19201" s="7"/>
    </row>
    <row r="19202" spans="3:5">
      <c r="C19202" s="17"/>
      <c r="D19202" s="17"/>
      <c r="E19202" s="7"/>
    </row>
    <row r="19203" spans="3:5">
      <c r="C19203" s="17"/>
      <c r="D19203" s="17"/>
      <c r="E19203" s="7"/>
    </row>
    <row r="19204" spans="3:5">
      <c r="C19204" s="17"/>
      <c r="D19204" s="17"/>
      <c r="E19204" s="7"/>
    </row>
    <row r="19205" spans="3:5">
      <c r="C19205" s="17"/>
      <c r="D19205" s="17"/>
      <c r="E19205" s="7"/>
    </row>
    <row r="19206" spans="3:5">
      <c r="C19206" s="17"/>
      <c r="D19206" s="17"/>
      <c r="E19206" s="7"/>
    </row>
    <row r="19207" spans="3:5">
      <c r="C19207" s="17"/>
      <c r="D19207" s="17"/>
      <c r="E19207" s="7"/>
    </row>
    <row r="19208" spans="3:5">
      <c r="C19208" s="17"/>
      <c r="D19208" s="17"/>
      <c r="E19208" s="7"/>
    </row>
    <row r="19209" spans="3:5">
      <c r="C19209" s="17"/>
      <c r="D19209" s="17"/>
      <c r="E19209" s="7"/>
    </row>
    <row r="19210" spans="3:5">
      <c r="C19210" s="17"/>
      <c r="D19210" s="17"/>
      <c r="E19210" s="7"/>
    </row>
    <row r="19211" spans="3:5">
      <c r="C19211" s="17"/>
      <c r="D19211" s="17"/>
      <c r="E19211" s="7"/>
    </row>
    <row r="19212" spans="3:5">
      <c r="C19212" s="17"/>
      <c r="D19212" s="17"/>
      <c r="E19212" s="7"/>
    </row>
    <row r="19213" spans="3:5">
      <c r="C19213" s="17"/>
      <c r="D19213" s="17"/>
      <c r="E19213" s="7"/>
    </row>
    <row r="19214" spans="3:5">
      <c r="C19214" s="17"/>
      <c r="D19214" s="17"/>
      <c r="E19214" s="7"/>
    </row>
    <row r="19215" spans="3:5">
      <c r="C19215" s="17"/>
      <c r="D19215" s="17"/>
      <c r="E19215" s="7"/>
    </row>
    <row r="19216" spans="3:5">
      <c r="C19216" s="17"/>
      <c r="D19216" s="17"/>
      <c r="E19216" s="7"/>
    </row>
    <row r="19217" spans="3:5">
      <c r="C19217" s="17"/>
      <c r="D19217" s="17"/>
      <c r="E19217" s="7"/>
    </row>
    <row r="19218" spans="3:5">
      <c r="C19218" s="17"/>
      <c r="D19218" s="17"/>
      <c r="E19218" s="7"/>
    </row>
    <row r="19219" spans="3:5">
      <c r="C19219" s="17"/>
      <c r="D19219" s="17"/>
      <c r="E19219" s="7"/>
    </row>
    <row r="19220" spans="3:5">
      <c r="C19220" s="17"/>
      <c r="D19220" s="17"/>
      <c r="E19220" s="7"/>
    </row>
    <row r="19221" spans="3:5">
      <c r="C19221" s="17"/>
      <c r="D19221" s="17"/>
      <c r="E19221" s="7"/>
    </row>
    <row r="19222" spans="3:5">
      <c r="C19222" s="17"/>
      <c r="D19222" s="17"/>
      <c r="E19222" s="7"/>
    </row>
    <row r="19223" spans="3:5">
      <c r="C19223" s="17"/>
      <c r="D19223" s="17"/>
      <c r="E19223" s="7"/>
    </row>
    <row r="19224" spans="3:5">
      <c r="C19224" s="17"/>
      <c r="D19224" s="17"/>
      <c r="E19224" s="7"/>
    </row>
    <row r="19225" spans="3:5">
      <c r="C19225" s="17"/>
      <c r="D19225" s="17"/>
      <c r="E19225" s="7"/>
    </row>
    <row r="19226" spans="3:5">
      <c r="C19226" s="17"/>
      <c r="D19226" s="17"/>
      <c r="E19226" s="7"/>
    </row>
    <row r="19227" spans="3:5">
      <c r="C19227" s="17"/>
      <c r="D19227" s="17"/>
      <c r="E19227" s="7"/>
    </row>
    <row r="19228" spans="3:5">
      <c r="C19228" s="17"/>
      <c r="D19228" s="17"/>
      <c r="E19228" s="7"/>
    </row>
    <row r="19229" spans="3:5">
      <c r="C19229" s="17"/>
      <c r="D19229" s="17"/>
      <c r="E19229" s="7"/>
    </row>
    <row r="19230" spans="3:5">
      <c r="C19230" s="17"/>
      <c r="D19230" s="17"/>
      <c r="E19230" s="7"/>
    </row>
    <row r="19231" spans="3:5">
      <c r="C19231" s="17"/>
      <c r="D19231" s="17"/>
      <c r="E19231" s="7"/>
    </row>
    <row r="19232" spans="3:5">
      <c r="C19232" s="17"/>
      <c r="D19232" s="17"/>
      <c r="E19232" s="7"/>
    </row>
    <row r="19233" spans="3:5">
      <c r="C19233" s="17"/>
      <c r="D19233" s="17"/>
      <c r="E19233" s="7"/>
    </row>
    <row r="19234" spans="3:5">
      <c r="C19234" s="17"/>
      <c r="D19234" s="17"/>
      <c r="E19234" s="7"/>
    </row>
    <row r="19235" spans="3:5">
      <c r="C19235" s="17"/>
      <c r="D19235" s="17"/>
      <c r="E19235" s="7"/>
    </row>
    <row r="19236" spans="3:5">
      <c r="C19236" s="17"/>
      <c r="D19236" s="17"/>
      <c r="E19236" s="7"/>
    </row>
    <row r="19237" spans="3:5">
      <c r="C19237" s="17"/>
      <c r="D19237" s="17"/>
      <c r="E19237" s="7"/>
    </row>
    <row r="19238" spans="3:5">
      <c r="C19238" s="17"/>
      <c r="D19238" s="17"/>
      <c r="E19238" s="7"/>
    </row>
    <row r="19239" spans="3:5">
      <c r="C19239" s="17"/>
      <c r="D19239" s="17"/>
      <c r="E19239" s="7"/>
    </row>
    <row r="19240" spans="3:5">
      <c r="C19240" s="17"/>
      <c r="D19240" s="17"/>
      <c r="E19240" s="7"/>
    </row>
    <row r="19241" spans="3:5">
      <c r="C19241" s="17"/>
      <c r="D19241" s="17"/>
      <c r="E19241" s="7"/>
    </row>
    <row r="19242" spans="3:5">
      <c r="C19242" s="17"/>
      <c r="D19242" s="17"/>
      <c r="E19242" s="7"/>
    </row>
    <row r="19243" spans="3:5">
      <c r="C19243" s="17"/>
      <c r="D19243" s="17"/>
      <c r="E19243" s="7"/>
    </row>
    <row r="19244" spans="3:5">
      <c r="C19244" s="17"/>
      <c r="D19244" s="17"/>
      <c r="E19244" s="7"/>
    </row>
    <row r="19245" spans="3:5">
      <c r="C19245" s="17"/>
      <c r="D19245" s="17"/>
      <c r="E19245" s="7"/>
    </row>
    <row r="19246" spans="3:5">
      <c r="C19246" s="17"/>
      <c r="D19246" s="17"/>
      <c r="E19246" s="7"/>
    </row>
    <row r="19247" spans="3:5">
      <c r="C19247" s="17"/>
      <c r="D19247" s="17"/>
      <c r="E19247" s="7"/>
    </row>
    <row r="19248" spans="3:5">
      <c r="C19248" s="17"/>
      <c r="D19248" s="17"/>
      <c r="E19248" s="7"/>
    </row>
    <row r="19249" spans="3:5">
      <c r="C19249" s="17"/>
      <c r="D19249" s="17"/>
      <c r="E19249" s="7"/>
    </row>
    <row r="19250" spans="3:5">
      <c r="C19250" s="17"/>
      <c r="D19250" s="17"/>
      <c r="E19250" s="7"/>
    </row>
    <row r="19251" spans="3:5">
      <c r="C19251" s="17"/>
      <c r="D19251" s="17"/>
      <c r="E19251" s="7"/>
    </row>
    <row r="19252" spans="3:5">
      <c r="C19252" s="17"/>
      <c r="D19252" s="17"/>
      <c r="E19252" s="7"/>
    </row>
    <row r="19253" spans="3:5">
      <c r="C19253" s="17"/>
      <c r="D19253" s="17"/>
      <c r="E19253" s="7"/>
    </row>
    <row r="19254" spans="3:5">
      <c r="C19254" s="17"/>
      <c r="D19254" s="17"/>
      <c r="E19254" s="7"/>
    </row>
    <row r="19255" spans="3:5">
      <c r="C19255" s="17"/>
      <c r="D19255" s="17"/>
      <c r="E19255" s="7"/>
    </row>
    <row r="19256" spans="3:5">
      <c r="C19256" s="17"/>
      <c r="D19256" s="17"/>
      <c r="E19256" s="7"/>
    </row>
    <row r="19257" spans="3:5">
      <c r="C19257" s="17"/>
      <c r="D19257" s="17"/>
      <c r="E19257" s="7"/>
    </row>
    <row r="19258" spans="3:5">
      <c r="C19258" s="17"/>
      <c r="D19258" s="17"/>
      <c r="E19258" s="7"/>
    </row>
    <row r="19259" spans="3:5">
      <c r="C19259" s="17"/>
      <c r="D19259" s="17"/>
      <c r="E19259" s="7"/>
    </row>
    <row r="19260" spans="3:5">
      <c r="C19260" s="17"/>
      <c r="D19260" s="17"/>
      <c r="E19260" s="7"/>
    </row>
    <row r="19261" spans="3:5">
      <c r="C19261" s="17"/>
      <c r="D19261" s="17"/>
      <c r="E19261" s="7"/>
    </row>
    <row r="19262" spans="3:5">
      <c r="C19262" s="17"/>
      <c r="D19262" s="17"/>
      <c r="E19262" s="7"/>
    </row>
    <row r="19263" spans="3:5">
      <c r="C19263" s="17"/>
      <c r="D19263" s="17"/>
      <c r="E19263" s="7"/>
    </row>
    <row r="19264" spans="3:5">
      <c r="C19264" s="17"/>
      <c r="D19264" s="17"/>
      <c r="E19264" s="7"/>
    </row>
    <row r="19265" spans="3:5">
      <c r="C19265" s="17"/>
      <c r="D19265" s="17"/>
      <c r="E19265" s="7"/>
    </row>
    <row r="19266" spans="3:5">
      <c r="C19266" s="17"/>
      <c r="D19266" s="17"/>
      <c r="E19266" s="7"/>
    </row>
    <row r="19267" spans="3:5">
      <c r="C19267" s="17"/>
      <c r="D19267" s="17"/>
      <c r="E19267" s="7"/>
    </row>
    <row r="19268" spans="3:5">
      <c r="C19268" s="17"/>
      <c r="D19268" s="17"/>
      <c r="E19268" s="7"/>
    </row>
    <row r="19269" spans="3:5">
      <c r="C19269" s="17"/>
      <c r="D19269" s="17"/>
      <c r="E19269" s="7"/>
    </row>
    <row r="19270" spans="3:5">
      <c r="C19270" s="17"/>
      <c r="D19270" s="17"/>
      <c r="E19270" s="7"/>
    </row>
    <row r="19271" spans="3:5">
      <c r="C19271" s="17"/>
      <c r="D19271" s="17"/>
      <c r="E19271" s="7"/>
    </row>
    <row r="19272" spans="3:5">
      <c r="C19272" s="17"/>
      <c r="D19272" s="17"/>
      <c r="E19272" s="7"/>
    </row>
    <row r="19273" spans="3:5">
      <c r="C19273" s="17"/>
      <c r="D19273" s="17"/>
      <c r="E19273" s="7"/>
    </row>
    <row r="19274" spans="3:5">
      <c r="C19274" s="17"/>
      <c r="D19274" s="17"/>
      <c r="E19274" s="7"/>
    </row>
    <row r="19275" spans="3:5">
      <c r="C19275" s="17"/>
      <c r="D19275" s="17"/>
      <c r="E19275" s="7"/>
    </row>
    <row r="19276" spans="3:5">
      <c r="C19276" s="17"/>
      <c r="D19276" s="17"/>
      <c r="E19276" s="7"/>
    </row>
    <row r="19277" spans="3:5">
      <c r="C19277" s="17"/>
      <c r="D19277" s="17"/>
      <c r="E19277" s="7"/>
    </row>
    <row r="19278" spans="3:5">
      <c r="C19278" s="17"/>
      <c r="D19278" s="17"/>
      <c r="E19278" s="7"/>
    </row>
    <row r="19279" spans="3:5">
      <c r="C19279" s="17"/>
      <c r="D19279" s="17"/>
      <c r="E19279" s="7"/>
    </row>
    <row r="19280" spans="3:5">
      <c r="C19280" s="17"/>
      <c r="D19280" s="17"/>
      <c r="E19280" s="7"/>
    </row>
    <row r="19281" spans="3:5">
      <c r="C19281" s="17"/>
      <c r="D19281" s="17"/>
      <c r="E19281" s="7"/>
    </row>
    <row r="19282" spans="3:5">
      <c r="C19282" s="17"/>
      <c r="D19282" s="17"/>
      <c r="E19282" s="7"/>
    </row>
    <row r="19283" spans="3:5">
      <c r="C19283" s="17"/>
      <c r="D19283" s="17"/>
      <c r="E19283" s="7"/>
    </row>
    <row r="19284" spans="3:5">
      <c r="C19284" s="17"/>
      <c r="D19284" s="17"/>
      <c r="E19284" s="7"/>
    </row>
    <row r="19285" spans="3:5">
      <c r="C19285" s="17"/>
      <c r="D19285" s="17"/>
      <c r="E19285" s="7"/>
    </row>
    <row r="19286" spans="3:5">
      <c r="C19286" s="17"/>
      <c r="D19286" s="17"/>
      <c r="E19286" s="7"/>
    </row>
    <row r="19287" spans="3:5">
      <c r="C19287" s="17"/>
      <c r="D19287" s="17"/>
      <c r="E19287" s="7"/>
    </row>
    <row r="19288" spans="3:5">
      <c r="C19288" s="17"/>
      <c r="D19288" s="17"/>
      <c r="E19288" s="7"/>
    </row>
    <row r="19289" spans="3:5">
      <c r="C19289" s="17"/>
      <c r="D19289" s="17"/>
      <c r="E19289" s="7"/>
    </row>
    <row r="19290" spans="3:5">
      <c r="C19290" s="17"/>
      <c r="D19290" s="17"/>
      <c r="E19290" s="7"/>
    </row>
    <row r="19291" spans="3:5">
      <c r="C19291" s="17"/>
      <c r="D19291" s="17"/>
      <c r="E19291" s="7"/>
    </row>
    <row r="19292" spans="3:5">
      <c r="C19292" s="17"/>
      <c r="D19292" s="17"/>
      <c r="E19292" s="7"/>
    </row>
    <row r="19293" spans="3:5">
      <c r="C19293" s="17"/>
      <c r="D19293" s="17"/>
      <c r="E19293" s="7"/>
    </row>
    <row r="19294" spans="3:5">
      <c r="C19294" s="17"/>
      <c r="D19294" s="17"/>
      <c r="E19294" s="7"/>
    </row>
    <row r="19295" spans="3:5">
      <c r="C19295" s="17"/>
      <c r="D19295" s="17"/>
      <c r="E19295" s="7"/>
    </row>
    <row r="19296" spans="3:5">
      <c r="C19296" s="17"/>
      <c r="D19296" s="17"/>
      <c r="E19296" s="7"/>
    </row>
    <row r="19297" spans="3:5">
      <c r="C19297" s="17"/>
      <c r="D19297" s="17"/>
      <c r="E19297" s="7"/>
    </row>
    <row r="19298" spans="3:5">
      <c r="C19298" s="17"/>
      <c r="D19298" s="17"/>
      <c r="E19298" s="7"/>
    </row>
    <row r="19299" spans="3:5">
      <c r="C19299" s="17"/>
      <c r="D19299" s="17"/>
      <c r="E19299" s="7"/>
    </row>
    <row r="19300" spans="3:5">
      <c r="C19300" s="17"/>
      <c r="D19300" s="17"/>
      <c r="E19300" s="7"/>
    </row>
    <row r="19301" spans="3:5">
      <c r="C19301" s="17"/>
      <c r="D19301" s="17"/>
      <c r="E19301" s="7"/>
    </row>
    <row r="19302" spans="3:5">
      <c r="C19302" s="17"/>
      <c r="D19302" s="17"/>
      <c r="E19302" s="7"/>
    </row>
    <row r="19303" spans="3:5">
      <c r="C19303" s="17"/>
      <c r="D19303" s="17"/>
      <c r="E19303" s="7"/>
    </row>
    <row r="19304" spans="3:5">
      <c r="C19304" s="17"/>
      <c r="D19304" s="17"/>
      <c r="E19304" s="7"/>
    </row>
    <row r="19305" spans="3:5">
      <c r="C19305" s="17"/>
      <c r="D19305" s="17"/>
      <c r="E19305" s="7"/>
    </row>
    <row r="19306" spans="3:5">
      <c r="C19306" s="17"/>
      <c r="D19306" s="17"/>
      <c r="E19306" s="7"/>
    </row>
    <row r="19307" spans="3:5">
      <c r="C19307" s="17"/>
      <c r="D19307" s="17"/>
      <c r="E19307" s="7"/>
    </row>
    <row r="19308" spans="3:5">
      <c r="C19308" s="17"/>
      <c r="D19308" s="17"/>
      <c r="E19308" s="7"/>
    </row>
    <row r="19309" spans="3:5">
      <c r="C19309" s="17"/>
      <c r="D19309" s="17"/>
      <c r="E19309" s="7"/>
    </row>
    <row r="19310" spans="3:5">
      <c r="C19310" s="17"/>
      <c r="D19310" s="17"/>
      <c r="E19310" s="7"/>
    </row>
    <row r="19311" spans="3:5">
      <c r="C19311" s="17"/>
      <c r="D19311" s="17"/>
      <c r="E19311" s="7"/>
    </row>
    <row r="19312" spans="3:5">
      <c r="C19312" s="17"/>
      <c r="D19312" s="17"/>
      <c r="E19312" s="7"/>
    </row>
    <row r="19313" spans="3:5">
      <c r="C19313" s="17"/>
      <c r="D19313" s="17"/>
      <c r="E19313" s="7"/>
    </row>
    <row r="19314" spans="3:5">
      <c r="C19314" s="17"/>
      <c r="D19314" s="17"/>
      <c r="E19314" s="7"/>
    </row>
    <row r="19315" spans="3:5">
      <c r="C19315" s="17"/>
      <c r="D19315" s="17"/>
      <c r="E19315" s="7"/>
    </row>
    <row r="19316" spans="3:5">
      <c r="C19316" s="17"/>
      <c r="D19316" s="17"/>
      <c r="E19316" s="7"/>
    </row>
    <row r="19317" spans="3:5">
      <c r="C19317" s="17"/>
      <c r="D19317" s="17"/>
      <c r="E19317" s="7"/>
    </row>
    <row r="19318" spans="3:5">
      <c r="C19318" s="17"/>
      <c r="D19318" s="17"/>
      <c r="E19318" s="7"/>
    </row>
    <row r="19319" spans="3:5">
      <c r="C19319" s="17"/>
      <c r="D19319" s="17"/>
      <c r="E19319" s="7"/>
    </row>
    <row r="19320" spans="3:5">
      <c r="C19320" s="17"/>
      <c r="D19320" s="17"/>
      <c r="E19320" s="7"/>
    </row>
    <row r="19321" spans="3:5">
      <c r="C19321" s="17"/>
      <c r="D19321" s="17"/>
      <c r="E19321" s="7"/>
    </row>
    <row r="19322" spans="3:5">
      <c r="C19322" s="17"/>
      <c r="D19322" s="17"/>
      <c r="E19322" s="7"/>
    </row>
    <row r="19323" spans="3:5">
      <c r="C19323" s="17"/>
      <c r="D19323" s="17"/>
      <c r="E19323" s="7"/>
    </row>
    <row r="19324" spans="3:5">
      <c r="C19324" s="17"/>
      <c r="D19324" s="17"/>
      <c r="E19324" s="7"/>
    </row>
    <row r="19325" spans="3:5">
      <c r="C19325" s="17"/>
      <c r="D19325" s="17"/>
      <c r="E19325" s="7"/>
    </row>
    <row r="19326" spans="3:5">
      <c r="C19326" s="17"/>
      <c r="D19326" s="17"/>
      <c r="E19326" s="7"/>
    </row>
    <row r="19327" spans="3:5">
      <c r="C19327" s="17"/>
      <c r="D19327" s="17"/>
      <c r="E19327" s="7"/>
    </row>
    <row r="19328" spans="3:5">
      <c r="C19328" s="17"/>
      <c r="D19328" s="17"/>
      <c r="E19328" s="7"/>
    </row>
    <row r="19329" spans="3:5">
      <c r="C19329" s="17"/>
      <c r="D19329" s="17"/>
      <c r="E19329" s="7"/>
    </row>
    <row r="19330" spans="3:5">
      <c r="C19330" s="17"/>
      <c r="D19330" s="17"/>
      <c r="E19330" s="7"/>
    </row>
    <row r="19331" spans="3:5">
      <c r="C19331" s="17"/>
      <c r="D19331" s="17"/>
      <c r="E19331" s="7"/>
    </row>
    <row r="19332" spans="3:5">
      <c r="C19332" s="17"/>
      <c r="D19332" s="17"/>
      <c r="E19332" s="7"/>
    </row>
    <row r="19333" spans="3:5">
      <c r="C19333" s="17"/>
      <c r="D19333" s="17"/>
      <c r="E19333" s="7"/>
    </row>
    <row r="19334" spans="3:5">
      <c r="C19334" s="17"/>
      <c r="D19334" s="17"/>
      <c r="E19334" s="7"/>
    </row>
    <row r="19335" spans="3:5">
      <c r="C19335" s="17"/>
      <c r="D19335" s="17"/>
      <c r="E19335" s="7"/>
    </row>
    <row r="19336" spans="3:5">
      <c r="C19336" s="17"/>
      <c r="D19336" s="17"/>
      <c r="E19336" s="7"/>
    </row>
    <row r="19337" spans="3:5">
      <c r="C19337" s="17"/>
      <c r="D19337" s="17"/>
      <c r="E19337" s="7"/>
    </row>
    <row r="19338" spans="3:5">
      <c r="C19338" s="17"/>
      <c r="D19338" s="17"/>
      <c r="E19338" s="7"/>
    </row>
    <row r="19339" spans="3:5">
      <c r="C19339" s="17"/>
      <c r="D19339" s="17"/>
      <c r="E19339" s="7"/>
    </row>
    <row r="19340" spans="3:5">
      <c r="C19340" s="17"/>
      <c r="D19340" s="17"/>
      <c r="E19340" s="7"/>
    </row>
    <row r="19341" spans="3:5">
      <c r="C19341" s="17"/>
      <c r="D19341" s="17"/>
      <c r="E19341" s="7"/>
    </row>
    <row r="19342" spans="3:5">
      <c r="C19342" s="17"/>
      <c r="D19342" s="17"/>
      <c r="E19342" s="7"/>
    </row>
    <row r="19343" spans="3:5">
      <c r="C19343" s="17"/>
      <c r="D19343" s="17"/>
      <c r="E19343" s="7"/>
    </row>
    <row r="19344" spans="3:5">
      <c r="C19344" s="17"/>
      <c r="D19344" s="17"/>
      <c r="E19344" s="7"/>
    </row>
    <row r="19345" spans="3:5">
      <c r="C19345" s="17"/>
      <c r="D19345" s="17"/>
      <c r="E19345" s="7"/>
    </row>
    <row r="19346" spans="3:5">
      <c r="C19346" s="17"/>
      <c r="D19346" s="17"/>
      <c r="E19346" s="7"/>
    </row>
    <row r="19347" spans="3:5">
      <c r="C19347" s="17"/>
      <c r="D19347" s="17"/>
      <c r="E19347" s="7"/>
    </row>
    <row r="19348" spans="3:5">
      <c r="C19348" s="17"/>
      <c r="D19348" s="17"/>
      <c r="E19348" s="7"/>
    </row>
    <row r="19349" spans="3:5">
      <c r="C19349" s="17"/>
      <c r="D19349" s="17"/>
      <c r="E19349" s="7"/>
    </row>
    <row r="19350" spans="3:5">
      <c r="C19350" s="17"/>
      <c r="D19350" s="17"/>
      <c r="E19350" s="7"/>
    </row>
    <row r="19351" spans="3:5">
      <c r="C19351" s="17"/>
      <c r="D19351" s="17"/>
      <c r="E19351" s="7"/>
    </row>
    <row r="19352" spans="3:5">
      <c r="C19352" s="17"/>
      <c r="D19352" s="17"/>
      <c r="E19352" s="7"/>
    </row>
    <row r="19353" spans="3:5">
      <c r="C19353" s="17"/>
      <c r="D19353" s="17"/>
      <c r="E19353" s="7"/>
    </row>
    <row r="19354" spans="3:5">
      <c r="C19354" s="17"/>
      <c r="D19354" s="17"/>
      <c r="E19354" s="7"/>
    </row>
    <row r="19355" spans="3:5">
      <c r="C19355" s="17"/>
      <c r="D19355" s="17"/>
      <c r="E19355" s="7"/>
    </row>
    <row r="19356" spans="3:5">
      <c r="C19356" s="17"/>
      <c r="D19356" s="17"/>
      <c r="E19356" s="7"/>
    </row>
    <row r="19357" spans="3:5">
      <c r="C19357" s="17"/>
      <c r="D19357" s="17"/>
      <c r="E19357" s="7"/>
    </row>
    <row r="19358" spans="3:5">
      <c r="C19358" s="17"/>
      <c r="D19358" s="17"/>
      <c r="E19358" s="7"/>
    </row>
    <row r="19359" spans="3:5">
      <c r="C19359" s="17"/>
      <c r="D19359" s="17"/>
      <c r="E19359" s="7"/>
    </row>
    <row r="19360" spans="3:5">
      <c r="C19360" s="17"/>
      <c r="D19360" s="17"/>
      <c r="E19360" s="7"/>
    </row>
    <row r="19361" spans="3:5">
      <c r="C19361" s="17"/>
      <c r="D19361" s="17"/>
      <c r="E19361" s="7"/>
    </row>
    <row r="19362" spans="3:5">
      <c r="C19362" s="17"/>
      <c r="D19362" s="17"/>
      <c r="E19362" s="7"/>
    </row>
    <row r="19363" spans="3:5">
      <c r="C19363" s="17"/>
      <c r="D19363" s="17"/>
      <c r="E19363" s="7"/>
    </row>
    <row r="19364" spans="3:5">
      <c r="C19364" s="17"/>
      <c r="D19364" s="17"/>
      <c r="E19364" s="7"/>
    </row>
    <row r="19365" spans="3:5">
      <c r="C19365" s="17"/>
      <c r="D19365" s="17"/>
      <c r="E19365" s="7"/>
    </row>
    <row r="19366" spans="3:5">
      <c r="C19366" s="17"/>
      <c r="D19366" s="17"/>
      <c r="E19366" s="7"/>
    </row>
    <row r="19367" spans="3:5">
      <c r="C19367" s="17"/>
      <c r="D19367" s="17"/>
      <c r="E19367" s="7"/>
    </row>
    <row r="19368" spans="3:5">
      <c r="C19368" s="17"/>
      <c r="D19368" s="17"/>
      <c r="E19368" s="7"/>
    </row>
    <row r="19369" spans="3:5">
      <c r="C19369" s="17"/>
      <c r="D19369" s="17"/>
      <c r="E19369" s="7"/>
    </row>
    <row r="19370" spans="3:5">
      <c r="C19370" s="17"/>
      <c r="D19370" s="17"/>
      <c r="E19370" s="7"/>
    </row>
    <row r="19371" spans="3:5">
      <c r="C19371" s="17"/>
      <c r="D19371" s="17"/>
      <c r="E19371" s="7"/>
    </row>
    <row r="19372" spans="3:5">
      <c r="C19372" s="17"/>
      <c r="D19372" s="17"/>
      <c r="E19372" s="7"/>
    </row>
    <row r="19373" spans="3:5">
      <c r="C19373" s="17"/>
      <c r="D19373" s="17"/>
      <c r="E19373" s="7"/>
    </row>
    <row r="19374" spans="3:5">
      <c r="C19374" s="17"/>
      <c r="D19374" s="17"/>
      <c r="E19374" s="7"/>
    </row>
    <row r="19375" spans="3:5">
      <c r="C19375" s="17"/>
      <c r="D19375" s="17"/>
      <c r="E19375" s="7"/>
    </row>
    <row r="19376" spans="3:5">
      <c r="C19376" s="17"/>
      <c r="D19376" s="17"/>
      <c r="E19376" s="7"/>
    </row>
    <row r="19377" spans="3:5">
      <c r="C19377" s="17"/>
      <c r="D19377" s="17"/>
      <c r="E19377" s="7"/>
    </row>
    <row r="19378" spans="3:5">
      <c r="C19378" s="17"/>
      <c r="D19378" s="17"/>
      <c r="E19378" s="7"/>
    </row>
    <row r="19379" spans="3:5">
      <c r="C19379" s="17"/>
      <c r="D19379" s="17"/>
      <c r="E19379" s="7"/>
    </row>
    <row r="19380" spans="3:5">
      <c r="C19380" s="17"/>
      <c r="D19380" s="17"/>
      <c r="E19380" s="7"/>
    </row>
    <row r="19381" spans="3:5">
      <c r="C19381" s="17"/>
      <c r="D19381" s="17"/>
      <c r="E19381" s="7"/>
    </row>
    <row r="19382" spans="3:5">
      <c r="C19382" s="17"/>
      <c r="D19382" s="17"/>
      <c r="E19382" s="7"/>
    </row>
    <row r="19383" spans="3:5">
      <c r="C19383" s="17"/>
      <c r="D19383" s="17"/>
      <c r="E19383" s="7"/>
    </row>
    <row r="19384" spans="3:5">
      <c r="C19384" s="17"/>
      <c r="D19384" s="17"/>
      <c r="E19384" s="7"/>
    </row>
    <row r="19385" spans="3:5">
      <c r="C19385" s="17"/>
      <c r="D19385" s="17"/>
      <c r="E19385" s="7"/>
    </row>
    <row r="19386" spans="3:5">
      <c r="C19386" s="17"/>
      <c r="D19386" s="17"/>
      <c r="E19386" s="7"/>
    </row>
    <row r="19387" spans="3:5">
      <c r="C19387" s="17"/>
      <c r="D19387" s="17"/>
      <c r="E19387" s="7"/>
    </row>
    <row r="19388" spans="3:5">
      <c r="C19388" s="17"/>
      <c r="D19388" s="17"/>
      <c r="E19388" s="7"/>
    </row>
    <row r="19389" spans="3:5">
      <c r="C19389" s="17"/>
      <c r="D19389" s="17"/>
      <c r="E19389" s="7"/>
    </row>
    <row r="19390" spans="3:5">
      <c r="C19390" s="17"/>
      <c r="D19390" s="17"/>
      <c r="E19390" s="7"/>
    </row>
    <row r="19391" spans="3:5">
      <c r="C19391" s="17"/>
      <c r="D19391" s="17"/>
      <c r="E19391" s="7"/>
    </row>
    <row r="19392" spans="3:5">
      <c r="C19392" s="17"/>
      <c r="D19392" s="17"/>
      <c r="E19392" s="7"/>
    </row>
    <row r="19393" spans="3:5">
      <c r="C19393" s="17"/>
      <c r="D19393" s="17"/>
      <c r="E19393" s="7"/>
    </row>
    <row r="19394" spans="3:5">
      <c r="C19394" s="17"/>
      <c r="D19394" s="17"/>
      <c r="E19394" s="7"/>
    </row>
    <row r="19395" spans="3:5">
      <c r="C19395" s="17"/>
      <c r="D19395" s="17"/>
      <c r="E19395" s="7"/>
    </row>
    <row r="19396" spans="3:5">
      <c r="C19396" s="17"/>
      <c r="D19396" s="17"/>
      <c r="E19396" s="7"/>
    </row>
    <row r="19397" spans="3:5">
      <c r="C19397" s="17"/>
      <c r="D19397" s="17"/>
      <c r="E19397" s="7"/>
    </row>
    <row r="19398" spans="3:5">
      <c r="C19398" s="17"/>
      <c r="D19398" s="17"/>
      <c r="E19398" s="7"/>
    </row>
    <row r="19399" spans="3:5">
      <c r="C19399" s="17"/>
      <c r="D19399" s="17"/>
      <c r="E19399" s="7"/>
    </row>
    <row r="19400" spans="3:5">
      <c r="C19400" s="17"/>
      <c r="D19400" s="17"/>
      <c r="E19400" s="7"/>
    </row>
    <row r="19401" spans="3:5">
      <c r="C19401" s="17"/>
      <c r="D19401" s="17"/>
      <c r="E19401" s="7"/>
    </row>
    <row r="19402" spans="3:5">
      <c r="C19402" s="17"/>
      <c r="D19402" s="17"/>
      <c r="E19402" s="7"/>
    </row>
    <row r="19403" spans="3:5">
      <c r="C19403" s="17"/>
      <c r="D19403" s="17"/>
      <c r="E19403" s="7"/>
    </row>
    <row r="19404" spans="3:5">
      <c r="C19404" s="17"/>
      <c r="D19404" s="17"/>
      <c r="E19404" s="7"/>
    </row>
    <row r="19405" spans="3:5">
      <c r="C19405" s="17"/>
      <c r="D19405" s="17"/>
      <c r="E19405" s="7"/>
    </row>
    <row r="19406" spans="3:5">
      <c r="C19406" s="17"/>
      <c r="D19406" s="17"/>
      <c r="E19406" s="7"/>
    </row>
    <row r="19407" spans="3:5">
      <c r="C19407" s="17"/>
      <c r="D19407" s="17"/>
      <c r="E19407" s="7"/>
    </row>
    <row r="19408" spans="3:5">
      <c r="C19408" s="17"/>
      <c r="D19408" s="17"/>
      <c r="E19408" s="7"/>
    </row>
    <row r="19409" spans="3:5">
      <c r="C19409" s="17"/>
      <c r="D19409" s="17"/>
      <c r="E19409" s="7"/>
    </row>
    <row r="19410" spans="3:5">
      <c r="C19410" s="17"/>
      <c r="D19410" s="17"/>
      <c r="E19410" s="7"/>
    </row>
    <row r="19411" spans="3:5">
      <c r="C19411" s="17"/>
      <c r="D19411" s="17"/>
      <c r="E19411" s="7"/>
    </row>
    <row r="19412" spans="3:5">
      <c r="C19412" s="17"/>
      <c r="D19412" s="17"/>
      <c r="E19412" s="7"/>
    </row>
    <row r="19413" spans="3:5">
      <c r="C19413" s="17"/>
      <c r="D19413" s="17"/>
      <c r="E19413" s="7"/>
    </row>
    <row r="19414" spans="3:5">
      <c r="C19414" s="17"/>
      <c r="D19414" s="17"/>
      <c r="E19414" s="7"/>
    </row>
    <row r="19415" spans="3:5">
      <c r="C19415" s="17"/>
      <c r="D19415" s="17"/>
      <c r="E19415" s="7"/>
    </row>
    <row r="19416" spans="3:5">
      <c r="C19416" s="17"/>
      <c r="D19416" s="17"/>
      <c r="E19416" s="7"/>
    </row>
    <row r="19417" spans="3:5">
      <c r="C19417" s="17"/>
      <c r="D19417" s="17"/>
      <c r="E19417" s="7"/>
    </row>
    <row r="19418" spans="3:5">
      <c r="C19418" s="17"/>
      <c r="D19418" s="17"/>
      <c r="E19418" s="7"/>
    </row>
    <row r="19419" spans="3:5">
      <c r="C19419" s="17"/>
      <c r="D19419" s="17"/>
      <c r="E19419" s="7"/>
    </row>
    <row r="19420" spans="3:5">
      <c r="C19420" s="17"/>
      <c r="D19420" s="17"/>
      <c r="E19420" s="7"/>
    </row>
    <row r="19421" spans="3:5">
      <c r="C19421" s="17"/>
      <c r="D19421" s="17"/>
      <c r="E19421" s="7"/>
    </row>
    <row r="19422" spans="3:5">
      <c r="C19422" s="17"/>
      <c r="D19422" s="17"/>
      <c r="E19422" s="7"/>
    </row>
    <row r="19423" spans="3:5">
      <c r="C19423" s="17"/>
      <c r="D19423" s="17"/>
      <c r="E19423" s="7"/>
    </row>
    <row r="19424" spans="3:5">
      <c r="C19424" s="17"/>
      <c r="D19424" s="17"/>
      <c r="E19424" s="7"/>
    </row>
    <row r="19425" spans="3:5">
      <c r="C19425" s="17"/>
      <c r="D19425" s="17"/>
      <c r="E19425" s="7"/>
    </row>
    <row r="19426" spans="3:5">
      <c r="C19426" s="17"/>
      <c r="D19426" s="17"/>
      <c r="E19426" s="7"/>
    </row>
    <row r="19427" spans="3:5">
      <c r="C19427" s="17"/>
      <c r="D19427" s="17"/>
      <c r="E19427" s="7"/>
    </row>
    <row r="19428" spans="3:5">
      <c r="C19428" s="17"/>
      <c r="D19428" s="17"/>
      <c r="E19428" s="7"/>
    </row>
    <row r="19429" spans="3:5">
      <c r="C19429" s="17"/>
      <c r="D19429" s="17"/>
      <c r="E19429" s="7"/>
    </row>
    <row r="19430" spans="3:5">
      <c r="C19430" s="17"/>
      <c r="D19430" s="17"/>
      <c r="E19430" s="7"/>
    </row>
    <row r="19431" spans="3:5">
      <c r="C19431" s="17"/>
      <c r="D19431" s="17"/>
      <c r="E19431" s="7"/>
    </row>
    <row r="19432" spans="3:5">
      <c r="C19432" s="17"/>
      <c r="D19432" s="17"/>
      <c r="E19432" s="7"/>
    </row>
    <row r="19433" spans="3:5">
      <c r="C19433" s="17"/>
      <c r="D19433" s="17"/>
      <c r="E19433" s="7"/>
    </row>
    <row r="19434" spans="3:5">
      <c r="C19434" s="17"/>
      <c r="D19434" s="17"/>
      <c r="E19434" s="7"/>
    </row>
    <row r="19435" spans="3:5">
      <c r="C19435" s="17"/>
      <c r="D19435" s="17"/>
      <c r="E19435" s="7"/>
    </row>
    <row r="19436" spans="3:5">
      <c r="C19436" s="17"/>
      <c r="D19436" s="17"/>
      <c r="E19436" s="7"/>
    </row>
    <row r="19437" spans="3:5">
      <c r="C19437" s="17"/>
      <c r="D19437" s="17"/>
      <c r="E19437" s="7"/>
    </row>
    <row r="19438" spans="3:5">
      <c r="C19438" s="17"/>
      <c r="D19438" s="17"/>
      <c r="E19438" s="7"/>
    </row>
    <row r="19439" spans="3:5">
      <c r="C19439" s="17"/>
      <c r="D19439" s="17"/>
      <c r="E19439" s="7"/>
    </row>
    <row r="19440" spans="3:5">
      <c r="C19440" s="17"/>
      <c r="D19440" s="17"/>
      <c r="E19440" s="7"/>
    </row>
    <row r="19441" spans="3:5">
      <c r="C19441" s="17"/>
      <c r="D19441" s="17"/>
      <c r="E19441" s="7"/>
    </row>
    <row r="19442" spans="3:5">
      <c r="C19442" s="17"/>
      <c r="D19442" s="17"/>
      <c r="E19442" s="7"/>
    </row>
    <row r="19443" spans="3:5">
      <c r="C19443" s="17"/>
      <c r="D19443" s="17"/>
      <c r="E19443" s="7"/>
    </row>
    <row r="19444" spans="3:5">
      <c r="C19444" s="17"/>
      <c r="D19444" s="17"/>
      <c r="E19444" s="7"/>
    </row>
    <row r="19445" spans="3:5">
      <c r="C19445" s="17"/>
      <c r="D19445" s="17"/>
      <c r="E19445" s="7"/>
    </row>
    <row r="19446" spans="3:5">
      <c r="C19446" s="17"/>
      <c r="D19446" s="17"/>
      <c r="E19446" s="7"/>
    </row>
    <row r="19447" spans="3:5">
      <c r="C19447" s="17"/>
      <c r="D19447" s="17"/>
      <c r="E19447" s="7"/>
    </row>
    <row r="19448" spans="3:5">
      <c r="C19448" s="17"/>
      <c r="D19448" s="17"/>
      <c r="E19448" s="7"/>
    </row>
    <row r="19449" spans="3:5">
      <c r="C19449" s="17"/>
      <c r="D19449" s="17"/>
      <c r="E19449" s="7"/>
    </row>
    <row r="19450" spans="3:5">
      <c r="C19450" s="17"/>
      <c r="D19450" s="17"/>
      <c r="E19450" s="7"/>
    </row>
    <row r="19451" spans="3:5">
      <c r="C19451" s="17"/>
      <c r="D19451" s="17"/>
      <c r="E19451" s="7"/>
    </row>
    <row r="19452" spans="3:5">
      <c r="C19452" s="17"/>
      <c r="D19452" s="17"/>
      <c r="E19452" s="7"/>
    </row>
    <row r="19453" spans="3:5">
      <c r="C19453" s="17"/>
      <c r="D19453" s="17"/>
      <c r="E19453" s="7"/>
    </row>
    <row r="19454" spans="3:5">
      <c r="C19454" s="17"/>
      <c r="D19454" s="17"/>
      <c r="E19454" s="7"/>
    </row>
    <row r="19455" spans="3:5">
      <c r="C19455" s="17"/>
      <c r="D19455" s="17"/>
      <c r="E19455" s="7"/>
    </row>
    <row r="19456" spans="3:5">
      <c r="C19456" s="17"/>
      <c r="D19456" s="17"/>
      <c r="E19456" s="7"/>
    </row>
    <row r="19457" spans="3:5">
      <c r="C19457" s="17"/>
      <c r="D19457" s="17"/>
      <c r="E19457" s="7"/>
    </row>
    <row r="19458" spans="3:5">
      <c r="C19458" s="17"/>
      <c r="D19458" s="17"/>
      <c r="E19458" s="7"/>
    </row>
    <row r="19459" spans="3:5">
      <c r="C19459" s="17"/>
      <c r="D19459" s="17"/>
      <c r="E19459" s="7"/>
    </row>
    <row r="19460" spans="3:5">
      <c r="C19460" s="17"/>
      <c r="D19460" s="17"/>
      <c r="E19460" s="7"/>
    </row>
    <row r="19461" spans="3:5">
      <c r="C19461" s="17"/>
      <c r="D19461" s="17"/>
      <c r="E19461" s="7"/>
    </row>
    <row r="19462" spans="3:5">
      <c r="C19462" s="17"/>
      <c r="D19462" s="17"/>
      <c r="E19462" s="7"/>
    </row>
    <row r="19463" spans="3:5">
      <c r="C19463" s="17"/>
      <c r="D19463" s="17"/>
      <c r="E19463" s="7"/>
    </row>
    <row r="19464" spans="3:5">
      <c r="C19464" s="17"/>
      <c r="D19464" s="17"/>
      <c r="E19464" s="7"/>
    </row>
    <row r="19465" spans="3:5">
      <c r="C19465" s="17"/>
      <c r="D19465" s="17"/>
      <c r="E19465" s="7"/>
    </row>
    <row r="19466" spans="3:5">
      <c r="C19466" s="17"/>
      <c r="D19466" s="17"/>
      <c r="E19466" s="7"/>
    </row>
    <row r="19467" spans="3:5">
      <c r="C19467" s="17"/>
      <c r="D19467" s="17"/>
      <c r="E19467" s="7"/>
    </row>
    <row r="19468" spans="3:5">
      <c r="C19468" s="17"/>
      <c r="D19468" s="17"/>
      <c r="E19468" s="7"/>
    </row>
    <row r="19469" spans="3:5">
      <c r="C19469" s="17"/>
      <c r="D19469" s="17"/>
      <c r="E19469" s="7"/>
    </row>
    <row r="19470" spans="3:5">
      <c r="C19470" s="17"/>
      <c r="D19470" s="17"/>
      <c r="E19470" s="7"/>
    </row>
    <row r="19471" spans="3:5">
      <c r="C19471" s="17"/>
      <c r="D19471" s="17"/>
      <c r="E19471" s="7"/>
    </row>
    <row r="19472" spans="3:5">
      <c r="C19472" s="17"/>
      <c r="D19472" s="17"/>
      <c r="E19472" s="7"/>
    </row>
    <row r="19473" spans="3:5">
      <c r="C19473" s="17"/>
      <c r="D19473" s="17"/>
      <c r="E19473" s="7"/>
    </row>
    <row r="19474" spans="3:5">
      <c r="C19474" s="17"/>
      <c r="D19474" s="17"/>
      <c r="E19474" s="7"/>
    </row>
    <row r="19475" spans="3:5">
      <c r="C19475" s="17"/>
      <c r="D19475" s="17"/>
      <c r="E19475" s="7"/>
    </row>
    <row r="19476" spans="3:5">
      <c r="C19476" s="17"/>
      <c r="D19476" s="17"/>
      <c r="E19476" s="7"/>
    </row>
    <row r="19477" spans="3:5">
      <c r="C19477" s="17"/>
      <c r="D19477" s="17"/>
      <c r="E19477" s="7"/>
    </row>
    <row r="19478" spans="3:5">
      <c r="C19478" s="17"/>
      <c r="D19478" s="17"/>
      <c r="E19478" s="7"/>
    </row>
    <row r="19479" spans="3:5">
      <c r="C19479" s="17"/>
      <c r="D19479" s="17"/>
      <c r="E19479" s="7"/>
    </row>
    <row r="19480" spans="3:5">
      <c r="C19480" s="17"/>
      <c r="D19480" s="17"/>
      <c r="E19480" s="7"/>
    </row>
    <row r="19481" spans="3:5">
      <c r="C19481" s="17"/>
      <c r="D19481" s="17"/>
      <c r="E19481" s="7"/>
    </row>
    <row r="19482" spans="3:5">
      <c r="C19482" s="17"/>
      <c r="D19482" s="17"/>
      <c r="E19482" s="7"/>
    </row>
    <row r="19483" spans="3:5">
      <c r="C19483" s="17"/>
      <c r="D19483" s="17"/>
      <c r="E19483" s="7"/>
    </row>
    <row r="19484" spans="3:5">
      <c r="C19484" s="17"/>
      <c r="D19484" s="17"/>
      <c r="E19484" s="7"/>
    </row>
    <row r="19485" spans="3:5">
      <c r="C19485" s="17"/>
      <c r="D19485" s="17"/>
      <c r="E19485" s="7"/>
    </row>
    <row r="19486" spans="3:5">
      <c r="C19486" s="17"/>
      <c r="D19486" s="17"/>
      <c r="E19486" s="7"/>
    </row>
    <row r="19487" spans="3:5">
      <c r="C19487" s="17"/>
      <c r="D19487" s="17"/>
      <c r="E19487" s="7"/>
    </row>
    <row r="19488" spans="3:5">
      <c r="C19488" s="17"/>
      <c r="D19488" s="17"/>
      <c r="E19488" s="7"/>
    </row>
    <row r="19489" spans="3:5">
      <c r="C19489" s="17"/>
      <c r="D19489" s="17"/>
      <c r="E19489" s="7"/>
    </row>
    <row r="19490" spans="3:5">
      <c r="C19490" s="17"/>
      <c r="D19490" s="17"/>
      <c r="E19490" s="7"/>
    </row>
    <row r="19491" spans="3:5">
      <c r="C19491" s="17"/>
      <c r="D19491" s="17"/>
      <c r="E19491" s="7"/>
    </row>
    <row r="19492" spans="3:5">
      <c r="C19492" s="17"/>
      <c r="D19492" s="17"/>
      <c r="E19492" s="7"/>
    </row>
    <row r="19493" spans="3:5">
      <c r="C19493" s="17"/>
      <c r="D19493" s="17"/>
      <c r="E19493" s="7"/>
    </row>
    <row r="19494" spans="3:5">
      <c r="C19494" s="17"/>
      <c r="D19494" s="17"/>
      <c r="E19494" s="7"/>
    </row>
    <row r="19495" spans="3:5">
      <c r="C19495" s="17"/>
      <c r="D19495" s="17"/>
      <c r="E19495" s="7"/>
    </row>
    <row r="19496" spans="3:5">
      <c r="C19496" s="17"/>
      <c r="D19496" s="17"/>
      <c r="E19496" s="7"/>
    </row>
    <row r="19497" spans="3:5">
      <c r="C19497" s="17"/>
      <c r="D19497" s="17"/>
      <c r="E19497" s="7"/>
    </row>
    <row r="19498" spans="3:5">
      <c r="C19498" s="17"/>
      <c r="D19498" s="17"/>
      <c r="E19498" s="7"/>
    </row>
    <row r="19499" spans="3:5">
      <c r="C19499" s="17"/>
      <c r="D19499" s="17"/>
      <c r="E19499" s="7"/>
    </row>
    <row r="19500" spans="3:5">
      <c r="C19500" s="17"/>
      <c r="D19500" s="17"/>
      <c r="E19500" s="7"/>
    </row>
    <row r="19501" spans="3:5">
      <c r="C19501" s="17"/>
      <c r="D19501" s="17"/>
      <c r="E19501" s="7"/>
    </row>
    <row r="19502" spans="3:5">
      <c r="C19502" s="17"/>
      <c r="D19502" s="17"/>
      <c r="E19502" s="7"/>
    </row>
    <row r="19503" spans="3:5">
      <c r="C19503" s="17"/>
      <c r="D19503" s="17"/>
      <c r="E19503" s="7"/>
    </row>
    <row r="19504" spans="3:5">
      <c r="C19504" s="17"/>
      <c r="D19504" s="17"/>
      <c r="E19504" s="7"/>
    </row>
    <row r="19505" spans="3:5">
      <c r="C19505" s="17"/>
      <c r="D19505" s="17"/>
      <c r="E19505" s="7"/>
    </row>
    <row r="19506" spans="3:5">
      <c r="C19506" s="17"/>
      <c r="D19506" s="17"/>
      <c r="E19506" s="7"/>
    </row>
    <row r="19507" spans="3:5">
      <c r="C19507" s="17"/>
      <c r="D19507" s="17"/>
      <c r="E19507" s="7"/>
    </row>
    <row r="19508" spans="3:5">
      <c r="C19508" s="17"/>
      <c r="D19508" s="17"/>
      <c r="E19508" s="7"/>
    </row>
    <row r="19509" spans="3:5">
      <c r="C19509" s="17"/>
      <c r="D19509" s="17"/>
      <c r="E19509" s="7"/>
    </row>
    <row r="19510" spans="3:5">
      <c r="C19510" s="17"/>
      <c r="D19510" s="17"/>
      <c r="E19510" s="7"/>
    </row>
    <row r="19511" spans="3:5">
      <c r="C19511" s="17"/>
      <c r="D19511" s="17"/>
      <c r="E19511" s="7"/>
    </row>
    <row r="19512" spans="3:5">
      <c r="C19512" s="17"/>
      <c r="D19512" s="17"/>
      <c r="E19512" s="7"/>
    </row>
    <row r="19513" spans="3:5">
      <c r="C19513" s="17"/>
      <c r="D19513" s="17"/>
      <c r="E19513" s="7"/>
    </row>
    <row r="19514" spans="3:5">
      <c r="C19514" s="17"/>
      <c r="D19514" s="17"/>
      <c r="E19514" s="7"/>
    </row>
    <row r="19515" spans="3:5">
      <c r="C19515" s="17"/>
      <c r="D19515" s="17"/>
      <c r="E19515" s="7"/>
    </row>
    <row r="19516" spans="3:5">
      <c r="C19516" s="17"/>
      <c r="D19516" s="17"/>
      <c r="E19516" s="7"/>
    </row>
    <row r="19517" spans="3:5">
      <c r="C19517" s="17"/>
      <c r="D19517" s="17"/>
      <c r="E19517" s="7"/>
    </row>
    <row r="19518" spans="3:5">
      <c r="C19518" s="17"/>
      <c r="D19518" s="17"/>
      <c r="E19518" s="7"/>
    </row>
    <row r="19519" spans="3:5">
      <c r="C19519" s="17"/>
      <c r="D19519" s="17"/>
      <c r="E19519" s="7"/>
    </row>
    <row r="19520" spans="3:5">
      <c r="C19520" s="17"/>
      <c r="D19520" s="17"/>
      <c r="E19520" s="7"/>
    </row>
    <row r="19521" spans="3:5">
      <c r="C19521" s="17"/>
      <c r="D19521" s="17"/>
      <c r="E19521" s="7"/>
    </row>
    <row r="19522" spans="3:5">
      <c r="C19522" s="17"/>
      <c r="D19522" s="17"/>
      <c r="E19522" s="7"/>
    </row>
    <row r="19523" spans="3:5">
      <c r="C19523" s="17"/>
      <c r="D19523" s="17"/>
      <c r="E19523" s="7"/>
    </row>
    <row r="19524" spans="3:5">
      <c r="C19524" s="17"/>
      <c r="D19524" s="17"/>
      <c r="E19524" s="7"/>
    </row>
    <row r="19525" spans="3:5">
      <c r="C19525" s="17"/>
      <c r="D19525" s="17"/>
      <c r="E19525" s="7"/>
    </row>
    <row r="19526" spans="3:5">
      <c r="C19526" s="17"/>
      <c r="D19526" s="17"/>
      <c r="E19526" s="7"/>
    </row>
    <row r="19527" spans="3:5">
      <c r="C19527" s="17"/>
      <c r="D19527" s="17"/>
      <c r="E19527" s="7"/>
    </row>
    <row r="19528" spans="3:5">
      <c r="C19528" s="17"/>
      <c r="D19528" s="17"/>
      <c r="E19528" s="7"/>
    </row>
    <row r="19529" spans="3:5">
      <c r="C19529" s="17"/>
      <c r="D19529" s="17"/>
      <c r="E19529" s="7"/>
    </row>
    <row r="19530" spans="3:5">
      <c r="C19530" s="17"/>
      <c r="D19530" s="17"/>
      <c r="E19530" s="7"/>
    </row>
    <row r="19531" spans="3:5">
      <c r="C19531" s="17"/>
      <c r="D19531" s="17"/>
      <c r="E19531" s="7"/>
    </row>
    <row r="19532" spans="3:5">
      <c r="C19532" s="17"/>
      <c r="D19532" s="17"/>
      <c r="E19532" s="7"/>
    </row>
    <row r="19533" spans="3:5">
      <c r="C19533" s="17"/>
      <c r="D19533" s="17"/>
      <c r="E19533" s="7"/>
    </row>
    <row r="19534" spans="3:5">
      <c r="C19534" s="17"/>
      <c r="D19534" s="17"/>
      <c r="E19534" s="7"/>
    </row>
    <row r="19535" spans="3:5">
      <c r="C19535" s="17"/>
      <c r="D19535" s="17"/>
      <c r="E19535" s="7"/>
    </row>
    <row r="19536" spans="3:5">
      <c r="C19536" s="17"/>
      <c r="D19536" s="17"/>
      <c r="E19536" s="7"/>
    </row>
    <row r="19537" spans="3:5">
      <c r="C19537" s="17"/>
      <c r="D19537" s="17"/>
      <c r="E19537" s="7"/>
    </row>
    <row r="19538" spans="3:5">
      <c r="C19538" s="17"/>
      <c r="D19538" s="17"/>
      <c r="E19538" s="7"/>
    </row>
    <row r="19539" spans="3:5">
      <c r="C19539" s="17"/>
      <c r="D19539" s="17"/>
      <c r="E19539" s="7"/>
    </row>
    <row r="19540" spans="3:5">
      <c r="C19540" s="17"/>
      <c r="D19540" s="17"/>
      <c r="E19540" s="7"/>
    </row>
    <row r="19541" spans="3:5">
      <c r="C19541" s="17"/>
      <c r="D19541" s="17"/>
      <c r="E19541" s="7"/>
    </row>
    <row r="19542" spans="3:5">
      <c r="C19542" s="17"/>
      <c r="D19542" s="17"/>
      <c r="E19542" s="7"/>
    </row>
    <row r="19543" spans="3:5">
      <c r="C19543" s="17"/>
      <c r="D19543" s="17"/>
      <c r="E19543" s="7"/>
    </row>
    <row r="19544" spans="3:5">
      <c r="C19544" s="17"/>
      <c r="D19544" s="17"/>
      <c r="E19544" s="7"/>
    </row>
    <row r="19545" spans="3:5">
      <c r="C19545" s="17"/>
      <c r="D19545" s="17"/>
      <c r="E19545" s="7"/>
    </row>
    <row r="19546" spans="3:5">
      <c r="C19546" s="17"/>
      <c r="D19546" s="17"/>
      <c r="E19546" s="7"/>
    </row>
    <row r="19547" spans="3:5">
      <c r="C19547" s="17"/>
      <c r="D19547" s="17"/>
      <c r="E19547" s="7"/>
    </row>
    <row r="19548" spans="3:5">
      <c r="C19548" s="17"/>
      <c r="D19548" s="17"/>
      <c r="E19548" s="7"/>
    </row>
    <row r="19549" spans="3:5">
      <c r="C19549" s="17"/>
      <c r="D19549" s="17"/>
      <c r="E19549" s="7"/>
    </row>
    <row r="19550" spans="3:5">
      <c r="C19550" s="17"/>
      <c r="D19550" s="17"/>
      <c r="E19550" s="7"/>
    </row>
    <row r="19551" spans="3:5">
      <c r="C19551" s="17"/>
      <c r="D19551" s="17"/>
      <c r="E19551" s="7"/>
    </row>
    <row r="19552" spans="3:5">
      <c r="C19552" s="17"/>
      <c r="D19552" s="17"/>
      <c r="E19552" s="7"/>
    </row>
    <row r="19553" spans="3:5">
      <c r="C19553" s="17"/>
      <c r="D19553" s="17"/>
      <c r="E19553" s="7"/>
    </row>
    <row r="19554" spans="3:5">
      <c r="C19554" s="17"/>
      <c r="D19554" s="17"/>
      <c r="E19554" s="7"/>
    </row>
    <row r="19555" spans="3:5">
      <c r="C19555" s="17"/>
      <c r="D19555" s="17"/>
      <c r="E19555" s="7"/>
    </row>
    <row r="19556" spans="3:5">
      <c r="C19556" s="17"/>
      <c r="D19556" s="17"/>
      <c r="E19556" s="7"/>
    </row>
    <row r="19557" spans="3:5">
      <c r="C19557" s="17"/>
      <c r="D19557" s="17"/>
      <c r="E19557" s="7"/>
    </row>
    <row r="19558" spans="3:5">
      <c r="C19558" s="17"/>
      <c r="D19558" s="17"/>
      <c r="E19558" s="7"/>
    </row>
    <row r="19559" spans="3:5">
      <c r="C19559" s="17"/>
      <c r="D19559" s="17"/>
      <c r="E19559" s="7"/>
    </row>
    <row r="19560" spans="3:5">
      <c r="C19560" s="17"/>
      <c r="D19560" s="17"/>
      <c r="E19560" s="7"/>
    </row>
    <row r="19561" spans="3:5">
      <c r="C19561" s="17"/>
      <c r="D19561" s="17"/>
      <c r="E19561" s="7"/>
    </row>
    <row r="19562" spans="3:5">
      <c r="C19562" s="17"/>
      <c r="D19562" s="17"/>
      <c r="E19562" s="7"/>
    </row>
    <row r="19563" spans="3:5">
      <c r="C19563" s="17"/>
      <c r="D19563" s="17"/>
      <c r="E19563" s="7"/>
    </row>
    <row r="19564" spans="3:5">
      <c r="C19564" s="17"/>
      <c r="D19564" s="17"/>
      <c r="E19564" s="7"/>
    </row>
    <row r="19565" spans="3:5">
      <c r="C19565" s="17"/>
      <c r="D19565" s="17"/>
      <c r="E19565" s="7"/>
    </row>
    <row r="19566" spans="3:5">
      <c r="C19566" s="17"/>
      <c r="D19566" s="17"/>
      <c r="E19566" s="7"/>
    </row>
    <row r="19567" spans="3:5">
      <c r="C19567" s="17"/>
      <c r="D19567" s="17"/>
      <c r="E19567" s="7"/>
    </row>
    <row r="19568" spans="3:5">
      <c r="C19568" s="17"/>
      <c r="D19568" s="17"/>
      <c r="E19568" s="7"/>
    </row>
    <row r="19569" spans="3:5">
      <c r="C19569" s="17"/>
      <c r="D19569" s="17"/>
      <c r="E19569" s="7"/>
    </row>
    <row r="19570" spans="3:5">
      <c r="C19570" s="17"/>
      <c r="D19570" s="17"/>
      <c r="E19570" s="7"/>
    </row>
    <row r="19571" spans="3:5">
      <c r="C19571" s="17"/>
      <c r="D19571" s="17"/>
      <c r="E19571" s="7"/>
    </row>
    <row r="19572" spans="3:5">
      <c r="C19572" s="17"/>
      <c r="D19572" s="17"/>
      <c r="E19572" s="7"/>
    </row>
    <row r="19573" spans="3:5">
      <c r="C19573" s="17"/>
      <c r="D19573" s="17"/>
      <c r="E19573" s="7"/>
    </row>
    <row r="19574" spans="3:5">
      <c r="C19574" s="17"/>
      <c r="D19574" s="17"/>
      <c r="E19574" s="7"/>
    </row>
    <row r="19575" spans="3:5">
      <c r="C19575" s="17"/>
      <c r="D19575" s="17"/>
      <c r="E19575" s="7"/>
    </row>
    <row r="19576" spans="3:5">
      <c r="C19576" s="17"/>
      <c r="D19576" s="17"/>
      <c r="E19576" s="7"/>
    </row>
    <row r="19577" spans="3:5">
      <c r="C19577" s="17"/>
      <c r="D19577" s="17"/>
      <c r="E19577" s="7"/>
    </row>
    <row r="19578" spans="3:5">
      <c r="C19578" s="17"/>
      <c r="D19578" s="17"/>
      <c r="E19578" s="7"/>
    </row>
    <row r="19579" spans="3:5">
      <c r="C19579" s="17"/>
      <c r="D19579" s="17"/>
      <c r="E19579" s="7"/>
    </row>
    <row r="19580" spans="3:5">
      <c r="C19580" s="17"/>
      <c r="D19580" s="17"/>
      <c r="E19580" s="7"/>
    </row>
    <row r="19581" spans="3:5">
      <c r="C19581" s="17"/>
      <c r="D19581" s="17"/>
      <c r="E19581" s="7"/>
    </row>
    <row r="19582" spans="3:5">
      <c r="C19582" s="17"/>
      <c r="D19582" s="17"/>
      <c r="E19582" s="7"/>
    </row>
    <row r="19583" spans="3:5">
      <c r="C19583" s="17"/>
      <c r="D19583" s="17"/>
      <c r="E19583" s="7"/>
    </row>
    <row r="19584" spans="3:5">
      <c r="C19584" s="17"/>
      <c r="D19584" s="17"/>
      <c r="E19584" s="7"/>
    </row>
    <row r="19585" spans="3:5">
      <c r="C19585" s="17"/>
      <c r="D19585" s="17"/>
      <c r="E19585" s="7"/>
    </row>
    <row r="19586" spans="3:5">
      <c r="C19586" s="17"/>
      <c r="D19586" s="17"/>
      <c r="E19586" s="7"/>
    </row>
    <row r="19587" spans="3:5">
      <c r="C19587" s="17"/>
      <c r="D19587" s="17"/>
      <c r="E19587" s="7"/>
    </row>
    <row r="19588" spans="3:5">
      <c r="C19588" s="17"/>
      <c r="D19588" s="17"/>
      <c r="E19588" s="7"/>
    </row>
    <row r="19589" spans="3:5">
      <c r="C19589" s="17"/>
      <c r="D19589" s="17"/>
      <c r="E19589" s="7"/>
    </row>
    <row r="19590" spans="3:5">
      <c r="C19590" s="17"/>
      <c r="D19590" s="17"/>
      <c r="E19590" s="7"/>
    </row>
    <row r="19591" spans="3:5">
      <c r="C19591" s="17"/>
      <c r="D19591" s="17"/>
      <c r="E19591" s="7"/>
    </row>
    <row r="19592" spans="3:5">
      <c r="C19592" s="17"/>
      <c r="D19592" s="17"/>
      <c r="E19592" s="7"/>
    </row>
    <row r="19593" spans="3:5">
      <c r="C19593" s="17"/>
      <c r="D19593" s="17"/>
      <c r="E19593" s="7"/>
    </row>
    <row r="19594" spans="3:5">
      <c r="C19594" s="17"/>
      <c r="D19594" s="17"/>
      <c r="E19594" s="7"/>
    </row>
    <row r="19595" spans="3:5">
      <c r="C19595" s="17"/>
      <c r="D19595" s="17"/>
      <c r="E19595" s="7"/>
    </row>
    <row r="19596" spans="3:5">
      <c r="C19596" s="17"/>
      <c r="D19596" s="17"/>
      <c r="E19596" s="7"/>
    </row>
    <row r="19597" spans="3:5">
      <c r="C19597" s="17"/>
      <c r="D19597" s="17"/>
      <c r="E19597" s="7"/>
    </row>
    <row r="19598" spans="3:5">
      <c r="C19598" s="17"/>
      <c r="D19598" s="17"/>
      <c r="E19598" s="7"/>
    </row>
    <row r="19599" spans="3:5">
      <c r="C19599" s="17"/>
      <c r="D19599" s="17"/>
      <c r="E19599" s="7"/>
    </row>
    <row r="19600" spans="3:5">
      <c r="C19600" s="17"/>
      <c r="D19600" s="17"/>
      <c r="E19600" s="7"/>
    </row>
    <row r="19601" spans="3:5">
      <c r="C19601" s="17"/>
      <c r="D19601" s="17"/>
      <c r="E19601" s="7"/>
    </row>
    <row r="19602" spans="3:5">
      <c r="C19602" s="17"/>
      <c r="D19602" s="17"/>
      <c r="E19602" s="7"/>
    </row>
    <row r="19603" spans="3:5">
      <c r="C19603" s="17"/>
      <c r="D19603" s="17"/>
      <c r="E19603" s="7"/>
    </row>
    <row r="19604" spans="3:5">
      <c r="C19604" s="17"/>
      <c r="D19604" s="17"/>
      <c r="E19604" s="7"/>
    </row>
    <row r="19605" spans="3:5">
      <c r="C19605" s="17"/>
      <c r="D19605" s="17"/>
      <c r="E19605" s="7"/>
    </row>
    <row r="19606" spans="3:5">
      <c r="C19606" s="17"/>
      <c r="D19606" s="17"/>
      <c r="E19606" s="7"/>
    </row>
    <row r="19607" spans="3:5">
      <c r="C19607" s="17"/>
      <c r="D19607" s="17"/>
      <c r="E19607" s="7"/>
    </row>
    <row r="19608" spans="3:5">
      <c r="C19608" s="17"/>
      <c r="D19608" s="17"/>
      <c r="E19608" s="7"/>
    </row>
    <row r="19609" spans="3:5">
      <c r="C19609" s="17"/>
      <c r="D19609" s="17"/>
      <c r="E19609" s="7"/>
    </row>
    <row r="19610" spans="3:5">
      <c r="C19610" s="17"/>
      <c r="D19610" s="17"/>
      <c r="E19610" s="7"/>
    </row>
    <row r="19611" spans="3:5">
      <c r="C19611" s="17"/>
      <c r="D19611" s="17"/>
      <c r="E19611" s="7"/>
    </row>
    <row r="19612" spans="3:5">
      <c r="C19612" s="17"/>
      <c r="D19612" s="17"/>
      <c r="E19612" s="7"/>
    </row>
    <row r="19613" spans="3:5">
      <c r="C19613" s="17"/>
      <c r="D19613" s="17"/>
      <c r="E19613" s="7"/>
    </row>
    <row r="19614" spans="3:5">
      <c r="C19614" s="17"/>
      <c r="D19614" s="17"/>
      <c r="E19614" s="7"/>
    </row>
    <row r="19615" spans="3:5">
      <c r="C19615" s="17"/>
      <c r="D19615" s="17"/>
      <c r="E19615" s="7"/>
    </row>
    <row r="19616" spans="3:5">
      <c r="C19616" s="17"/>
      <c r="D19616" s="17"/>
      <c r="E19616" s="7"/>
    </row>
    <row r="19617" spans="3:5">
      <c r="C19617" s="17"/>
      <c r="D19617" s="17"/>
      <c r="E19617" s="7"/>
    </row>
    <row r="19618" spans="3:5">
      <c r="C19618" s="17"/>
      <c r="D19618" s="17"/>
      <c r="E19618" s="7"/>
    </row>
    <row r="19619" spans="3:5">
      <c r="C19619" s="17"/>
      <c r="D19619" s="17"/>
      <c r="E19619" s="7"/>
    </row>
    <row r="19620" spans="3:5">
      <c r="C19620" s="17"/>
      <c r="D19620" s="17"/>
      <c r="E19620" s="7"/>
    </row>
    <row r="19621" spans="3:5">
      <c r="C19621" s="17"/>
      <c r="D19621" s="17"/>
      <c r="E19621" s="7"/>
    </row>
    <row r="19622" spans="3:5">
      <c r="C19622" s="17"/>
      <c r="D19622" s="17"/>
      <c r="E19622" s="7"/>
    </row>
    <row r="19623" spans="3:5">
      <c r="C19623" s="17"/>
      <c r="D19623" s="17"/>
      <c r="E19623" s="7"/>
    </row>
    <row r="19624" spans="3:5">
      <c r="C19624" s="17"/>
      <c r="D19624" s="17"/>
      <c r="E19624" s="7"/>
    </row>
    <row r="19625" spans="3:5">
      <c r="C19625" s="17"/>
      <c r="D19625" s="17"/>
      <c r="E19625" s="7"/>
    </row>
    <row r="19626" spans="3:5">
      <c r="C19626" s="17"/>
      <c r="D19626" s="17"/>
      <c r="E19626" s="7"/>
    </row>
    <row r="19627" spans="3:5">
      <c r="C19627" s="17"/>
      <c r="D19627" s="17"/>
      <c r="E19627" s="7"/>
    </row>
    <row r="19628" spans="3:5">
      <c r="C19628" s="17"/>
      <c r="D19628" s="17"/>
      <c r="E19628" s="7"/>
    </row>
    <row r="19629" spans="3:5">
      <c r="C19629" s="17"/>
      <c r="D19629" s="17"/>
      <c r="E19629" s="7"/>
    </row>
    <row r="19630" spans="3:5">
      <c r="C19630" s="17"/>
      <c r="D19630" s="17"/>
      <c r="E19630" s="7"/>
    </row>
    <row r="19631" spans="3:5">
      <c r="C19631" s="17"/>
      <c r="D19631" s="17"/>
      <c r="E19631" s="7"/>
    </row>
    <row r="19632" spans="3:5">
      <c r="C19632" s="17"/>
      <c r="D19632" s="17"/>
      <c r="E19632" s="7"/>
    </row>
    <row r="19633" spans="3:5">
      <c r="C19633" s="17"/>
      <c r="D19633" s="17"/>
      <c r="E19633" s="7"/>
    </row>
    <row r="19634" spans="3:5">
      <c r="C19634" s="17"/>
      <c r="D19634" s="17"/>
      <c r="E19634" s="7"/>
    </row>
    <row r="19635" spans="3:5">
      <c r="C19635" s="17"/>
      <c r="D19635" s="17"/>
      <c r="E19635" s="7"/>
    </row>
    <row r="19636" spans="3:5">
      <c r="C19636" s="17"/>
      <c r="D19636" s="17"/>
      <c r="E19636" s="7"/>
    </row>
    <row r="19637" spans="3:5">
      <c r="C19637" s="17"/>
      <c r="D19637" s="17"/>
      <c r="E19637" s="7"/>
    </row>
    <row r="19638" spans="3:5">
      <c r="C19638" s="17"/>
      <c r="D19638" s="17"/>
      <c r="E19638" s="7"/>
    </row>
    <row r="19639" spans="3:5">
      <c r="C19639" s="17"/>
      <c r="D19639" s="17"/>
      <c r="E19639" s="7"/>
    </row>
    <row r="19640" spans="3:5">
      <c r="C19640" s="17"/>
      <c r="D19640" s="17"/>
      <c r="E19640" s="7"/>
    </row>
    <row r="19641" spans="3:5">
      <c r="C19641" s="17"/>
      <c r="D19641" s="17"/>
      <c r="E19641" s="7"/>
    </row>
    <row r="19642" spans="3:5">
      <c r="C19642" s="17"/>
      <c r="D19642" s="17"/>
      <c r="E19642" s="7"/>
    </row>
    <row r="19643" spans="3:5">
      <c r="C19643" s="17"/>
      <c r="D19643" s="17"/>
      <c r="E19643" s="7"/>
    </row>
    <row r="19644" spans="3:5">
      <c r="C19644" s="17"/>
      <c r="D19644" s="17"/>
      <c r="E19644" s="7"/>
    </row>
    <row r="19645" spans="3:5">
      <c r="C19645" s="17"/>
      <c r="D19645" s="17"/>
      <c r="E19645" s="7"/>
    </row>
    <row r="19646" spans="3:5">
      <c r="C19646" s="17"/>
      <c r="D19646" s="17"/>
      <c r="E19646" s="7"/>
    </row>
    <row r="19647" spans="3:5">
      <c r="C19647" s="17"/>
      <c r="D19647" s="17"/>
      <c r="E19647" s="7"/>
    </row>
    <row r="19648" spans="3:5">
      <c r="C19648" s="17"/>
      <c r="D19648" s="17"/>
      <c r="E19648" s="7"/>
    </row>
    <row r="19649" spans="3:5">
      <c r="C19649" s="17"/>
      <c r="D19649" s="17"/>
      <c r="E19649" s="7"/>
    </row>
    <row r="19650" spans="3:5">
      <c r="C19650" s="17"/>
      <c r="D19650" s="17"/>
      <c r="E19650" s="7"/>
    </row>
    <row r="19651" spans="3:5">
      <c r="C19651" s="17"/>
      <c r="D19651" s="17"/>
      <c r="E19651" s="7"/>
    </row>
    <row r="19652" spans="3:5">
      <c r="C19652" s="17"/>
      <c r="D19652" s="17"/>
      <c r="E19652" s="7"/>
    </row>
    <row r="19653" spans="3:5">
      <c r="C19653" s="17"/>
      <c r="D19653" s="17"/>
      <c r="E19653" s="7"/>
    </row>
    <row r="19654" spans="3:5">
      <c r="C19654" s="17"/>
      <c r="D19654" s="17"/>
      <c r="E19654" s="7"/>
    </row>
    <row r="19655" spans="3:5">
      <c r="C19655" s="17"/>
      <c r="D19655" s="17"/>
      <c r="E19655" s="7"/>
    </row>
    <row r="19656" spans="3:5">
      <c r="C19656" s="17"/>
      <c r="D19656" s="17"/>
      <c r="E19656" s="7"/>
    </row>
    <row r="19657" spans="3:5">
      <c r="C19657" s="17"/>
      <c r="D19657" s="17"/>
      <c r="E19657" s="7"/>
    </row>
    <row r="19658" spans="3:5">
      <c r="C19658" s="17"/>
      <c r="D19658" s="17"/>
      <c r="E19658" s="7"/>
    </row>
    <row r="19659" spans="3:5">
      <c r="C19659" s="17"/>
      <c r="D19659" s="17"/>
      <c r="E19659" s="7"/>
    </row>
    <row r="19660" spans="3:5">
      <c r="C19660" s="17"/>
      <c r="D19660" s="17"/>
      <c r="E19660" s="7"/>
    </row>
    <row r="19661" spans="3:5">
      <c r="C19661" s="17"/>
      <c r="D19661" s="17"/>
      <c r="E19661" s="7"/>
    </row>
    <row r="19662" spans="3:5">
      <c r="C19662" s="17"/>
      <c r="D19662" s="17"/>
      <c r="E19662" s="7"/>
    </row>
    <row r="19663" spans="3:5">
      <c r="C19663" s="17"/>
      <c r="D19663" s="17"/>
      <c r="E19663" s="7"/>
    </row>
    <row r="19664" spans="3:5">
      <c r="C19664" s="17"/>
      <c r="D19664" s="17"/>
      <c r="E19664" s="7"/>
    </row>
    <row r="19665" spans="3:5">
      <c r="C19665" s="17"/>
      <c r="D19665" s="17"/>
      <c r="E19665" s="7"/>
    </row>
    <row r="19666" spans="3:5">
      <c r="C19666" s="17"/>
      <c r="D19666" s="17"/>
      <c r="E19666" s="7"/>
    </row>
    <row r="19667" spans="3:5">
      <c r="C19667" s="17"/>
      <c r="D19667" s="17"/>
      <c r="E19667" s="7"/>
    </row>
    <row r="19668" spans="3:5">
      <c r="C19668" s="17"/>
      <c r="D19668" s="17"/>
      <c r="E19668" s="7"/>
    </row>
    <row r="19669" spans="3:5">
      <c r="C19669" s="17"/>
      <c r="D19669" s="17"/>
      <c r="E19669" s="7"/>
    </row>
    <row r="19670" spans="3:5">
      <c r="C19670" s="17"/>
      <c r="D19670" s="17"/>
      <c r="E19670" s="7"/>
    </row>
    <row r="19671" spans="3:5">
      <c r="C19671" s="17"/>
      <c r="D19671" s="17"/>
      <c r="E19671" s="7"/>
    </row>
    <row r="19672" spans="3:5">
      <c r="C19672" s="17"/>
      <c r="D19672" s="17"/>
      <c r="E19672" s="7"/>
    </row>
    <row r="19673" spans="3:5">
      <c r="C19673" s="17"/>
      <c r="D19673" s="17"/>
      <c r="E19673" s="7"/>
    </row>
    <row r="19674" spans="3:5">
      <c r="C19674" s="17"/>
      <c r="D19674" s="17"/>
      <c r="E19674" s="7"/>
    </row>
    <row r="19675" spans="3:5">
      <c r="C19675" s="17"/>
      <c r="D19675" s="17"/>
      <c r="E19675" s="7"/>
    </row>
    <row r="19676" spans="3:5">
      <c r="C19676" s="17"/>
      <c r="D19676" s="17"/>
      <c r="E19676" s="7"/>
    </row>
    <row r="19677" spans="3:5">
      <c r="C19677" s="17"/>
      <c r="D19677" s="17"/>
      <c r="E19677" s="7"/>
    </row>
    <row r="19678" spans="3:5">
      <c r="C19678" s="17"/>
      <c r="D19678" s="17"/>
      <c r="E19678" s="7"/>
    </row>
    <row r="19679" spans="3:5">
      <c r="C19679" s="17"/>
      <c r="D19679" s="17"/>
      <c r="E19679" s="7"/>
    </row>
    <row r="19680" spans="3:5">
      <c r="C19680" s="17"/>
      <c r="D19680" s="17"/>
      <c r="E19680" s="7"/>
    </row>
    <row r="19681" spans="3:5">
      <c r="C19681" s="17"/>
      <c r="D19681" s="17"/>
      <c r="E19681" s="7"/>
    </row>
    <row r="19682" spans="3:5">
      <c r="C19682" s="17"/>
      <c r="D19682" s="17"/>
      <c r="E19682" s="7"/>
    </row>
    <row r="19683" spans="3:5">
      <c r="C19683" s="17"/>
      <c r="D19683" s="17"/>
      <c r="E19683" s="7"/>
    </row>
    <row r="19684" spans="3:5">
      <c r="C19684" s="17"/>
      <c r="D19684" s="17"/>
      <c r="E19684" s="7"/>
    </row>
    <row r="19685" spans="3:5">
      <c r="C19685" s="17"/>
      <c r="D19685" s="17"/>
      <c r="E19685" s="7"/>
    </row>
    <row r="19686" spans="3:5">
      <c r="C19686" s="17"/>
      <c r="D19686" s="17"/>
      <c r="E19686" s="7"/>
    </row>
    <row r="19687" spans="3:5">
      <c r="C19687" s="17"/>
      <c r="D19687" s="17"/>
      <c r="E19687" s="7"/>
    </row>
    <row r="19688" spans="3:5">
      <c r="C19688" s="17"/>
      <c r="D19688" s="17"/>
      <c r="E19688" s="7"/>
    </row>
    <row r="19689" spans="3:5">
      <c r="C19689" s="17"/>
      <c r="D19689" s="17"/>
      <c r="E19689" s="7"/>
    </row>
    <row r="19690" spans="3:5">
      <c r="C19690" s="17"/>
      <c r="D19690" s="17"/>
      <c r="E19690" s="7"/>
    </row>
    <row r="19691" spans="3:5">
      <c r="C19691" s="17"/>
      <c r="D19691" s="17"/>
      <c r="E19691" s="7"/>
    </row>
    <row r="19692" spans="3:5">
      <c r="C19692" s="17"/>
      <c r="D19692" s="17"/>
      <c r="E19692" s="7"/>
    </row>
    <row r="19693" spans="3:5">
      <c r="C19693" s="17"/>
      <c r="D19693" s="17"/>
      <c r="E19693" s="7"/>
    </row>
    <row r="19694" spans="3:5">
      <c r="C19694" s="17"/>
      <c r="D19694" s="17"/>
      <c r="E19694" s="7"/>
    </row>
    <row r="19695" spans="3:5">
      <c r="C19695" s="17"/>
      <c r="D19695" s="17"/>
      <c r="E19695" s="7"/>
    </row>
    <row r="19696" spans="3:5">
      <c r="C19696" s="17"/>
      <c r="D19696" s="17"/>
      <c r="E19696" s="7"/>
    </row>
    <row r="19697" spans="3:5">
      <c r="C19697" s="17"/>
      <c r="D19697" s="17"/>
      <c r="E19697" s="7"/>
    </row>
    <row r="19698" spans="3:5">
      <c r="C19698" s="17"/>
      <c r="D19698" s="17"/>
      <c r="E19698" s="7"/>
    </row>
    <row r="19699" spans="3:5">
      <c r="C19699" s="17"/>
      <c r="D19699" s="17"/>
      <c r="E19699" s="7"/>
    </row>
    <row r="19700" spans="3:5">
      <c r="C19700" s="17"/>
      <c r="D19700" s="17"/>
      <c r="E19700" s="7"/>
    </row>
    <row r="19701" spans="3:5">
      <c r="C19701" s="17"/>
      <c r="D19701" s="17"/>
      <c r="E19701" s="7"/>
    </row>
    <row r="19702" spans="3:5">
      <c r="C19702" s="17"/>
      <c r="D19702" s="17"/>
      <c r="E19702" s="7"/>
    </row>
    <row r="19703" spans="3:5">
      <c r="C19703" s="17"/>
      <c r="D19703" s="17"/>
      <c r="E19703" s="7"/>
    </row>
    <row r="19704" spans="3:5">
      <c r="C19704" s="17"/>
      <c r="D19704" s="17"/>
      <c r="E19704" s="7"/>
    </row>
    <row r="19705" spans="3:5">
      <c r="C19705" s="17"/>
      <c r="D19705" s="17"/>
      <c r="E19705" s="7"/>
    </row>
    <row r="19706" spans="3:5">
      <c r="C19706" s="17"/>
      <c r="D19706" s="17"/>
      <c r="E19706" s="7"/>
    </row>
    <row r="19707" spans="3:5">
      <c r="C19707" s="17"/>
      <c r="D19707" s="17"/>
      <c r="E19707" s="7"/>
    </row>
    <row r="19708" spans="3:5">
      <c r="C19708" s="17"/>
      <c r="D19708" s="17"/>
      <c r="E19708" s="7"/>
    </row>
    <row r="19709" spans="3:5">
      <c r="C19709" s="17"/>
      <c r="D19709" s="17"/>
      <c r="E19709" s="7"/>
    </row>
    <row r="19710" spans="3:5">
      <c r="C19710" s="17"/>
      <c r="D19710" s="17"/>
      <c r="E19710" s="7"/>
    </row>
    <row r="19711" spans="3:5">
      <c r="C19711" s="17"/>
      <c r="D19711" s="17"/>
      <c r="E19711" s="7"/>
    </row>
    <row r="19712" spans="3:5">
      <c r="C19712" s="17"/>
      <c r="D19712" s="17"/>
      <c r="E19712" s="7"/>
    </row>
    <row r="19713" spans="3:5">
      <c r="C19713" s="17"/>
      <c r="D19713" s="17"/>
      <c r="E19713" s="7"/>
    </row>
    <row r="19714" spans="3:5">
      <c r="C19714" s="17"/>
      <c r="D19714" s="17"/>
      <c r="E19714" s="7"/>
    </row>
    <row r="19715" spans="3:5">
      <c r="C19715" s="17"/>
      <c r="D19715" s="17"/>
      <c r="E19715" s="7"/>
    </row>
    <row r="19716" spans="3:5">
      <c r="C19716" s="17"/>
      <c r="D19716" s="17"/>
      <c r="E19716" s="7"/>
    </row>
    <row r="19717" spans="3:5">
      <c r="C19717" s="17"/>
      <c r="D19717" s="17"/>
      <c r="E19717" s="7"/>
    </row>
    <row r="19718" spans="3:5">
      <c r="C19718" s="17"/>
      <c r="D19718" s="17"/>
      <c r="E19718" s="7"/>
    </row>
    <row r="19719" spans="3:5">
      <c r="C19719" s="17"/>
      <c r="D19719" s="17"/>
      <c r="E19719" s="7"/>
    </row>
    <row r="19720" spans="3:5">
      <c r="C19720" s="17"/>
      <c r="D19720" s="17"/>
      <c r="E19720" s="7"/>
    </row>
    <row r="19721" spans="3:5">
      <c r="C19721" s="17"/>
      <c r="D19721" s="17"/>
      <c r="E19721" s="7"/>
    </row>
    <row r="19722" spans="3:5">
      <c r="C19722" s="17"/>
      <c r="D19722" s="17"/>
      <c r="E19722" s="7"/>
    </row>
    <row r="19723" spans="3:5">
      <c r="C19723" s="17"/>
      <c r="D19723" s="17"/>
      <c r="E19723" s="7"/>
    </row>
    <row r="19724" spans="3:5">
      <c r="C19724" s="17"/>
      <c r="D19724" s="17"/>
      <c r="E19724" s="7"/>
    </row>
    <row r="19725" spans="3:5">
      <c r="C19725" s="17"/>
      <c r="D19725" s="17"/>
      <c r="E19725" s="7"/>
    </row>
    <row r="19726" spans="3:5">
      <c r="C19726" s="17"/>
      <c r="D19726" s="17"/>
      <c r="E19726" s="7"/>
    </row>
    <row r="19727" spans="3:5">
      <c r="C19727" s="17"/>
      <c r="D19727" s="17"/>
      <c r="E19727" s="7"/>
    </row>
    <row r="19728" spans="3:5">
      <c r="C19728" s="17"/>
      <c r="D19728" s="17"/>
      <c r="E19728" s="7"/>
    </row>
    <row r="19729" spans="3:5">
      <c r="C19729" s="17"/>
      <c r="D19729" s="17"/>
      <c r="E19729" s="7"/>
    </row>
    <row r="19730" spans="3:5">
      <c r="C19730" s="17"/>
      <c r="D19730" s="17"/>
      <c r="E19730" s="7"/>
    </row>
    <row r="19731" spans="3:5">
      <c r="C19731" s="17"/>
      <c r="D19731" s="17"/>
      <c r="E19731" s="7"/>
    </row>
    <row r="19732" spans="3:5">
      <c r="C19732" s="17"/>
      <c r="D19732" s="17"/>
      <c r="E19732" s="7"/>
    </row>
    <row r="19733" spans="3:5">
      <c r="C19733" s="17"/>
      <c r="D19733" s="17"/>
      <c r="E19733" s="7"/>
    </row>
    <row r="19734" spans="3:5">
      <c r="C19734" s="17"/>
      <c r="D19734" s="17"/>
      <c r="E19734" s="7"/>
    </row>
    <row r="19735" spans="3:5">
      <c r="C19735" s="17"/>
      <c r="D19735" s="17"/>
      <c r="E19735" s="7"/>
    </row>
    <row r="19736" spans="3:5">
      <c r="C19736" s="17"/>
      <c r="D19736" s="17"/>
      <c r="E19736" s="7"/>
    </row>
    <row r="19737" spans="3:5">
      <c r="C19737" s="17"/>
      <c r="D19737" s="17"/>
      <c r="E19737" s="7"/>
    </row>
    <row r="19738" spans="3:5">
      <c r="C19738" s="17"/>
      <c r="D19738" s="17"/>
      <c r="E19738" s="7"/>
    </row>
    <row r="19739" spans="3:5">
      <c r="C19739" s="17"/>
      <c r="D19739" s="17"/>
      <c r="E19739" s="7"/>
    </row>
    <row r="19740" spans="3:5">
      <c r="C19740" s="17"/>
      <c r="D19740" s="17"/>
      <c r="E19740" s="7"/>
    </row>
    <row r="19741" spans="3:5">
      <c r="C19741" s="17"/>
      <c r="D19741" s="17"/>
      <c r="E19741" s="7"/>
    </row>
    <row r="19742" spans="3:5">
      <c r="C19742" s="17"/>
      <c r="D19742" s="17"/>
      <c r="E19742" s="7"/>
    </row>
    <row r="19743" spans="3:5">
      <c r="C19743" s="17"/>
      <c r="D19743" s="17"/>
      <c r="E19743" s="7"/>
    </row>
    <row r="19744" spans="3:5">
      <c r="C19744" s="17"/>
      <c r="D19744" s="17"/>
      <c r="E19744" s="7"/>
    </row>
    <row r="19745" spans="3:5">
      <c r="C19745" s="17"/>
      <c r="D19745" s="17"/>
      <c r="E19745" s="7"/>
    </row>
    <row r="19746" spans="3:5">
      <c r="C19746" s="17"/>
      <c r="D19746" s="17"/>
      <c r="E19746" s="7"/>
    </row>
    <row r="19747" spans="3:5">
      <c r="C19747" s="17"/>
      <c r="D19747" s="17"/>
      <c r="E19747" s="7"/>
    </row>
    <row r="19748" spans="3:5">
      <c r="C19748" s="17"/>
      <c r="D19748" s="17"/>
      <c r="E19748" s="7"/>
    </row>
    <row r="19749" spans="3:5">
      <c r="C19749" s="17"/>
      <c r="D19749" s="17"/>
      <c r="E19749" s="7"/>
    </row>
    <row r="19750" spans="3:5">
      <c r="C19750" s="17"/>
      <c r="D19750" s="17"/>
      <c r="E19750" s="7"/>
    </row>
    <row r="19751" spans="3:5">
      <c r="C19751" s="17"/>
      <c r="D19751" s="17"/>
      <c r="E19751" s="7"/>
    </row>
    <row r="19752" spans="3:5">
      <c r="C19752" s="17"/>
      <c r="D19752" s="17"/>
      <c r="E19752" s="7"/>
    </row>
    <row r="19753" spans="3:5">
      <c r="C19753" s="17"/>
      <c r="D19753" s="17"/>
      <c r="E19753" s="7"/>
    </row>
    <row r="19754" spans="3:5">
      <c r="C19754" s="17"/>
      <c r="D19754" s="17"/>
      <c r="E19754" s="7"/>
    </row>
    <row r="19755" spans="3:5">
      <c r="C19755" s="17"/>
      <c r="D19755" s="17"/>
      <c r="E19755" s="7"/>
    </row>
    <row r="19756" spans="3:5">
      <c r="C19756" s="17"/>
      <c r="D19756" s="17"/>
      <c r="E19756" s="7"/>
    </row>
    <row r="19757" spans="3:5">
      <c r="C19757" s="17"/>
      <c r="D19757" s="17"/>
      <c r="E19757" s="7"/>
    </row>
    <row r="19758" spans="3:5">
      <c r="C19758" s="17"/>
      <c r="D19758" s="17"/>
      <c r="E19758" s="7"/>
    </row>
    <row r="19759" spans="3:5">
      <c r="C19759" s="17"/>
      <c r="D19759" s="17"/>
      <c r="E19759" s="7"/>
    </row>
    <row r="19760" spans="3:5">
      <c r="C19760" s="17"/>
      <c r="D19760" s="17"/>
      <c r="E19760" s="7"/>
    </row>
    <row r="19761" spans="3:5">
      <c r="C19761" s="17"/>
      <c r="D19761" s="17"/>
      <c r="E19761" s="7"/>
    </row>
    <row r="19762" spans="3:5">
      <c r="C19762" s="17"/>
      <c r="D19762" s="17"/>
      <c r="E19762" s="7"/>
    </row>
    <row r="19763" spans="3:5">
      <c r="C19763" s="17"/>
      <c r="D19763" s="17"/>
      <c r="E19763" s="7"/>
    </row>
    <row r="19764" spans="3:5">
      <c r="C19764" s="17"/>
      <c r="D19764" s="17"/>
      <c r="E19764" s="7"/>
    </row>
    <row r="19765" spans="3:5">
      <c r="C19765" s="17"/>
      <c r="D19765" s="17"/>
      <c r="E19765" s="7"/>
    </row>
    <row r="19766" spans="3:5">
      <c r="C19766" s="17"/>
      <c r="D19766" s="17"/>
      <c r="E19766" s="7"/>
    </row>
    <row r="19767" spans="3:5">
      <c r="C19767" s="17"/>
      <c r="D19767" s="17"/>
      <c r="E19767" s="7"/>
    </row>
    <row r="19768" spans="3:5">
      <c r="C19768" s="17"/>
      <c r="D19768" s="17"/>
      <c r="E19768" s="7"/>
    </row>
    <row r="19769" spans="3:5">
      <c r="C19769" s="17"/>
      <c r="D19769" s="17"/>
      <c r="E19769" s="7"/>
    </row>
    <row r="19770" spans="3:5">
      <c r="C19770" s="17"/>
      <c r="D19770" s="17"/>
      <c r="E19770" s="7"/>
    </row>
    <row r="19771" spans="3:5">
      <c r="C19771" s="17"/>
      <c r="D19771" s="17"/>
      <c r="E19771" s="7"/>
    </row>
    <row r="19772" spans="3:5">
      <c r="C19772" s="17"/>
      <c r="D19772" s="17"/>
      <c r="E19772" s="7"/>
    </row>
    <row r="19773" spans="3:5">
      <c r="C19773" s="17"/>
      <c r="D19773" s="17"/>
      <c r="E19773" s="7"/>
    </row>
    <row r="19774" spans="3:5">
      <c r="C19774" s="17"/>
      <c r="D19774" s="17"/>
      <c r="E19774" s="7"/>
    </row>
    <row r="19775" spans="3:5">
      <c r="C19775" s="17"/>
      <c r="D19775" s="17"/>
      <c r="E19775" s="7"/>
    </row>
    <row r="19776" spans="3:5">
      <c r="C19776" s="17"/>
      <c r="D19776" s="17"/>
      <c r="E19776" s="7"/>
    </row>
    <row r="19777" spans="3:5">
      <c r="C19777" s="17"/>
      <c r="D19777" s="17"/>
      <c r="E19777" s="7"/>
    </row>
    <row r="19778" spans="3:5">
      <c r="C19778" s="17"/>
      <c r="D19778" s="17"/>
      <c r="E19778" s="7"/>
    </row>
    <row r="19779" spans="3:5">
      <c r="C19779" s="17"/>
      <c r="D19779" s="17"/>
      <c r="E19779" s="7"/>
    </row>
    <row r="19780" spans="3:5">
      <c r="C19780" s="17"/>
      <c r="D19780" s="17"/>
      <c r="E19780" s="7"/>
    </row>
    <row r="19781" spans="3:5">
      <c r="C19781" s="17"/>
      <c r="D19781" s="17"/>
      <c r="E19781" s="7"/>
    </row>
    <row r="19782" spans="3:5">
      <c r="C19782" s="17"/>
      <c r="D19782" s="17"/>
      <c r="E19782" s="7"/>
    </row>
    <row r="19783" spans="3:5">
      <c r="C19783" s="17"/>
      <c r="D19783" s="17"/>
      <c r="E19783" s="7"/>
    </row>
    <row r="19784" spans="3:5">
      <c r="C19784" s="17"/>
      <c r="D19784" s="17"/>
      <c r="E19784" s="7"/>
    </row>
    <row r="19785" spans="3:5">
      <c r="C19785" s="17"/>
      <c r="D19785" s="17"/>
      <c r="E19785" s="7"/>
    </row>
    <row r="19786" spans="3:5">
      <c r="C19786" s="17"/>
      <c r="D19786" s="17"/>
      <c r="E19786" s="7"/>
    </row>
    <row r="19787" spans="3:5">
      <c r="C19787" s="17"/>
      <c r="D19787" s="17"/>
      <c r="E19787" s="7"/>
    </row>
    <row r="19788" spans="3:5">
      <c r="C19788" s="17"/>
      <c r="D19788" s="17"/>
      <c r="E19788" s="7"/>
    </row>
    <row r="19789" spans="3:5">
      <c r="C19789" s="17"/>
      <c r="D19789" s="17"/>
      <c r="E19789" s="7"/>
    </row>
    <row r="19790" spans="3:5">
      <c r="C19790" s="17"/>
      <c r="D19790" s="17"/>
      <c r="E19790" s="7"/>
    </row>
    <row r="19791" spans="3:5">
      <c r="C19791" s="17"/>
      <c r="D19791" s="17"/>
      <c r="E19791" s="7"/>
    </row>
    <row r="19792" spans="3:5">
      <c r="C19792" s="17"/>
      <c r="D19792" s="17"/>
      <c r="E19792" s="7"/>
    </row>
    <row r="19793" spans="3:5">
      <c r="C19793" s="17"/>
      <c r="D19793" s="17"/>
      <c r="E19793" s="7"/>
    </row>
    <row r="19794" spans="3:5">
      <c r="C19794" s="17"/>
      <c r="D19794" s="17"/>
      <c r="E19794" s="7"/>
    </row>
    <row r="19795" spans="3:5">
      <c r="C19795" s="17"/>
      <c r="D19795" s="17"/>
      <c r="E19795" s="7"/>
    </row>
    <row r="19796" spans="3:5">
      <c r="C19796" s="17"/>
      <c r="D19796" s="17"/>
      <c r="E19796" s="7"/>
    </row>
    <row r="19797" spans="3:5">
      <c r="C19797" s="17"/>
      <c r="D19797" s="17"/>
      <c r="E19797" s="7"/>
    </row>
    <row r="19798" spans="3:5">
      <c r="C19798" s="17"/>
      <c r="D19798" s="17"/>
      <c r="E19798" s="7"/>
    </row>
    <row r="19799" spans="3:5">
      <c r="C19799" s="17"/>
      <c r="D19799" s="17"/>
      <c r="E19799" s="7"/>
    </row>
    <row r="19800" spans="3:5">
      <c r="C19800" s="17"/>
      <c r="D19800" s="17"/>
      <c r="E19800" s="7"/>
    </row>
    <row r="19801" spans="3:5">
      <c r="C19801" s="17"/>
      <c r="D19801" s="17"/>
      <c r="E19801" s="7"/>
    </row>
    <row r="19802" spans="3:5">
      <c r="C19802" s="17"/>
      <c r="D19802" s="17"/>
      <c r="E19802" s="7"/>
    </row>
    <row r="19803" spans="3:5">
      <c r="C19803" s="17"/>
      <c r="D19803" s="17"/>
      <c r="E19803" s="7"/>
    </row>
    <row r="19804" spans="3:5">
      <c r="C19804" s="17"/>
      <c r="D19804" s="17"/>
      <c r="E19804" s="7"/>
    </row>
    <row r="19805" spans="3:5">
      <c r="C19805" s="17"/>
      <c r="D19805" s="17"/>
      <c r="E19805" s="7"/>
    </row>
    <row r="19806" spans="3:5">
      <c r="C19806" s="17"/>
      <c r="D19806" s="17"/>
      <c r="E19806" s="7"/>
    </row>
    <row r="19807" spans="3:5">
      <c r="C19807" s="17"/>
      <c r="D19807" s="17"/>
      <c r="E19807" s="7"/>
    </row>
    <row r="19808" spans="3:5">
      <c r="C19808" s="17"/>
      <c r="D19808" s="17"/>
      <c r="E19808" s="7"/>
    </row>
    <row r="19809" spans="3:5">
      <c r="C19809" s="17"/>
      <c r="D19809" s="17"/>
      <c r="E19809" s="7"/>
    </row>
    <row r="19810" spans="3:5">
      <c r="C19810" s="17"/>
      <c r="D19810" s="17"/>
      <c r="E19810" s="7"/>
    </row>
    <row r="19811" spans="3:5">
      <c r="C19811" s="17"/>
      <c r="D19811" s="17"/>
      <c r="E19811" s="7"/>
    </row>
    <row r="19812" spans="3:5">
      <c r="C19812" s="17"/>
      <c r="D19812" s="17"/>
      <c r="E19812" s="7"/>
    </row>
    <row r="19813" spans="3:5">
      <c r="C19813" s="17"/>
      <c r="D19813" s="17"/>
      <c r="E19813" s="7"/>
    </row>
    <row r="19814" spans="3:5">
      <c r="C19814" s="17"/>
      <c r="D19814" s="17"/>
      <c r="E19814" s="7"/>
    </row>
    <row r="19815" spans="3:5">
      <c r="C19815" s="17"/>
      <c r="D19815" s="17"/>
      <c r="E19815" s="7"/>
    </row>
    <row r="19816" spans="3:5">
      <c r="C19816" s="17"/>
      <c r="D19816" s="17"/>
      <c r="E19816" s="7"/>
    </row>
    <row r="19817" spans="3:5">
      <c r="C19817" s="17"/>
      <c r="D19817" s="17"/>
      <c r="E19817" s="7"/>
    </row>
    <row r="19818" spans="3:5">
      <c r="C19818" s="17"/>
      <c r="D19818" s="17"/>
      <c r="E19818" s="7"/>
    </row>
    <row r="19819" spans="3:5">
      <c r="C19819" s="17"/>
      <c r="D19819" s="17"/>
      <c r="E19819" s="7"/>
    </row>
    <row r="19820" spans="3:5">
      <c r="C19820" s="17"/>
      <c r="D19820" s="17"/>
      <c r="E19820" s="7"/>
    </row>
    <row r="19821" spans="3:5">
      <c r="C19821" s="17"/>
      <c r="D19821" s="17"/>
      <c r="E19821" s="7"/>
    </row>
    <row r="19822" spans="3:5">
      <c r="C19822" s="17"/>
      <c r="D19822" s="17"/>
      <c r="E19822" s="7"/>
    </row>
    <row r="19823" spans="3:5">
      <c r="C19823" s="17"/>
      <c r="D19823" s="17"/>
      <c r="E19823" s="7"/>
    </row>
    <row r="19824" spans="3:5">
      <c r="C19824" s="17"/>
      <c r="D19824" s="17"/>
      <c r="E19824" s="7"/>
    </row>
    <row r="19825" spans="3:5">
      <c r="C19825" s="17"/>
      <c r="D19825" s="17"/>
      <c r="E19825" s="7"/>
    </row>
    <row r="19826" spans="3:5">
      <c r="C19826" s="17"/>
      <c r="D19826" s="17"/>
      <c r="E19826" s="7"/>
    </row>
    <row r="19827" spans="3:5">
      <c r="C19827" s="17"/>
      <c r="D19827" s="17"/>
      <c r="E19827" s="7"/>
    </row>
    <row r="19828" spans="3:5">
      <c r="C19828" s="17"/>
      <c r="D19828" s="17"/>
      <c r="E19828" s="7"/>
    </row>
    <row r="19829" spans="3:5">
      <c r="C19829" s="17"/>
      <c r="D19829" s="17"/>
      <c r="E19829" s="7"/>
    </row>
    <row r="19830" spans="3:5">
      <c r="C19830" s="17"/>
      <c r="D19830" s="17"/>
      <c r="E19830" s="7"/>
    </row>
    <row r="19831" spans="3:5">
      <c r="C19831" s="17"/>
      <c r="D19831" s="17"/>
      <c r="E19831" s="7"/>
    </row>
    <row r="19832" spans="3:5">
      <c r="C19832" s="17"/>
      <c r="D19832" s="17"/>
      <c r="E19832" s="7"/>
    </row>
    <row r="19833" spans="3:5">
      <c r="C19833" s="17"/>
      <c r="D19833" s="17"/>
      <c r="E19833" s="7"/>
    </row>
    <row r="19834" spans="3:5">
      <c r="C19834" s="17"/>
      <c r="D19834" s="17"/>
      <c r="E19834" s="7"/>
    </row>
    <row r="19835" spans="3:5">
      <c r="C19835" s="17"/>
      <c r="D19835" s="17"/>
      <c r="E19835" s="7"/>
    </row>
    <row r="19836" spans="3:5">
      <c r="C19836" s="17"/>
      <c r="D19836" s="17"/>
      <c r="E19836" s="7"/>
    </row>
    <row r="19837" spans="3:5">
      <c r="C19837" s="17"/>
      <c r="D19837" s="17"/>
      <c r="E19837" s="7"/>
    </row>
    <row r="19838" spans="3:5">
      <c r="C19838" s="17"/>
      <c r="D19838" s="17"/>
      <c r="E19838" s="7"/>
    </row>
    <row r="19839" spans="3:5">
      <c r="C19839" s="17"/>
      <c r="D19839" s="17"/>
      <c r="E19839" s="7"/>
    </row>
    <row r="19840" spans="3:5">
      <c r="C19840" s="17"/>
      <c r="D19840" s="17"/>
      <c r="E19840" s="7"/>
    </row>
    <row r="19841" spans="3:5">
      <c r="C19841" s="17"/>
      <c r="D19841" s="17"/>
      <c r="E19841" s="7"/>
    </row>
    <row r="19842" spans="3:5">
      <c r="C19842" s="17"/>
      <c r="D19842" s="17"/>
      <c r="E19842" s="7"/>
    </row>
    <row r="19843" spans="3:5">
      <c r="C19843" s="17"/>
      <c r="D19843" s="17"/>
      <c r="E19843" s="7"/>
    </row>
    <row r="19844" spans="3:5">
      <c r="C19844" s="17"/>
      <c r="D19844" s="17"/>
      <c r="E19844" s="7"/>
    </row>
    <row r="19845" spans="3:5">
      <c r="C19845" s="17"/>
      <c r="D19845" s="17"/>
      <c r="E19845" s="7"/>
    </row>
    <row r="19846" spans="3:5">
      <c r="C19846" s="17"/>
      <c r="D19846" s="17"/>
      <c r="E19846" s="7"/>
    </row>
    <row r="19847" spans="3:5">
      <c r="C19847" s="17"/>
      <c r="D19847" s="17"/>
      <c r="E19847" s="7"/>
    </row>
    <row r="19848" spans="3:5">
      <c r="C19848" s="17"/>
      <c r="D19848" s="17"/>
      <c r="E19848" s="7"/>
    </row>
    <row r="19849" spans="3:5">
      <c r="C19849" s="17"/>
      <c r="D19849" s="17"/>
      <c r="E19849" s="7"/>
    </row>
    <row r="19850" spans="3:5">
      <c r="C19850" s="17"/>
      <c r="D19850" s="17"/>
      <c r="E19850" s="7"/>
    </row>
    <row r="19851" spans="3:5">
      <c r="C19851" s="17"/>
      <c r="D19851" s="17"/>
      <c r="E19851" s="7"/>
    </row>
    <row r="19852" spans="3:5">
      <c r="C19852" s="17"/>
      <c r="D19852" s="17"/>
      <c r="E19852" s="7"/>
    </row>
    <row r="19853" spans="3:5">
      <c r="C19853" s="17"/>
      <c r="D19853" s="17"/>
      <c r="E19853" s="7"/>
    </row>
    <row r="19854" spans="3:5">
      <c r="C19854" s="17"/>
      <c r="D19854" s="17"/>
      <c r="E19854" s="7"/>
    </row>
    <row r="19855" spans="3:5">
      <c r="C19855" s="17"/>
      <c r="D19855" s="17"/>
      <c r="E19855" s="7"/>
    </row>
    <row r="19856" spans="3:5">
      <c r="C19856" s="17"/>
      <c r="D19856" s="17"/>
      <c r="E19856" s="7"/>
    </row>
    <row r="19857" spans="3:5">
      <c r="C19857" s="17"/>
      <c r="D19857" s="17"/>
      <c r="E19857" s="7"/>
    </row>
    <row r="19858" spans="3:5">
      <c r="C19858" s="17"/>
      <c r="D19858" s="17"/>
      <c r="E19858" s="7"/>
    </row>
    <row r="19859" spans="3:5">
      <c r="C19859" s="17"/>
      <c r="D19859" s="17"/>
      <c r="E19859" s="7"/>
    </row>
    <row r="19860" spans="3:5">
      <c r="C19860" s="17"/>
      <c r="D19860" s="17"/>
      <c r="E19860" s="7"/>
    </row>
    <row r="19861" spans="3:5">
      <c r="C19861" s="17"/>
      <c r="D19861" s="17"/>
      <c r="E19861" s="7"/>
    </row>
    <row r="19862" spans="3:5">
      <c r="C19862" s="17"/>
      <c r="D19862" s="17"/>
      <c r="E19862" s="7"/>
    </row>
    <row r="19863" spans="3:5">
      <c r="C19863" s="17"/>
      <c r="D19863" s="17"/>
      <c r="E19863" s="7"/>
    </row>
    <row r="19864" spans="3:5">
      <c r="C19864" s="17"/>
      <c r="D19864" s="17"/>
      <c r="E19864" s="7"/>
    </row>
    <row r="19865" spans="3:5">
      <c r="C19865" s="17"/>
      <c r="D19865" s="17"/>
      <c r="E19865" s="7"/>
    </row>
    <row r="19866" spans="3:5">
      <c r="C19866" s="17"/>
      <c r="D19866" s="17"/>
      <c r="E19866" s="7"/>
    </row>
    <row r="19867" spans="3:5">
      <c r="C19867" s="17"/>
      <c r="D19867" s="17"/>
      <c r="E19867" s="7"/>
    </row>
    <row r="19868" spans="3:5">
      <c r="C19868" s="17"/>
      <c r="D19868" s="17"/>
      <c r="E19868" s="7"/>
    </row>
    <row r="19869" spans="3:5">
      <c r="C19869" s="17"/>
      <c r="D19869" s="17"/>
      <c r="E19869" s="7"/>
    </row>
    <row r="19870" spans="3:5">
      <c r="C19870" s="17"/>
      <c r="D19870" s="17"/>
      <c r="E19870" s="7"/>
    </row>
    <row r="19871" spans="3:5">
      <c r="C19871" s="17"/>
      <c r="D19871" s="17"/>
      <c r="E19871" s="7"/>
    </row>
    <row r="19872" spans="3:5">
      <c r="C19872" s="17"/>
      <c r="D19872" s="17"/>
      <c r="E19872" s="7"/>
    </row>
    <row r="19873" spans="3:5">
      <c r="C19873" s="17"/>
      <c r="D19873" s="17"/>
      <c r="E19873" s="7"/>
    </row>
    <row r="19874" spans="3:5">
      <c r="C19874" s="17"/>
      <c r="D19874" s="17"/>
      <c r="E19874" s="7"/>
    </row>
    <row r="19875" spans="3:5">
      <c r="C19875" s="17"/>
      <c r="D19875" s="17"/>
      <c r="E19875" s="7"/>
    </row>
    <row r="19876" spans="3:5">
      <c r="C19876" s="17"/>
      <c r="D19876" s="17"/>
      <c r="E19876" s="7"/>
    </row>
    <row r="19877" spans="3:5">
      <c r="C19877" s="17"/>
      <c r="D19877" s="17"/>
      <c r="E19877" s="7"/>
    </row>
    <row r="19878" spans="3:5">
      <c r="C19878" s="17"/>
      <c r="D19878" s="17"/>
      <c r="E19878" s="7"/>
    </row>
    <row r="19879" spans="3:5">
      <c r="C19879" s="17"/>
      <c r="D19879" s="17"/>
      <c r="E19879" s="7"/>
    </row>
    <row r="19880" spans="3:5">
      <c r="C19880" s="17"/>
      <c r="D19880" s="17"/>
      <c r="E19880" s="7"/>
    </row>
    <row r="19881" spans="3:5">
      <c r="C19881" s="17"/>
      <c r="D19881" s="17"/>
      <c r="E19881" s="7"/>
    </row>
    <row r="19882" spans="3:5">
      <c r="C19882" s="17"/>
      <c r="D19882" s="17"/>
      <c r="E19882" s="7"/>
    </row>
    <row r="19883" spans="3:5">
      <c r="C19883" s="17"/>
      <c r="D19883" s="17"/>
      <c r="E19883" s="7"/>
    </row>
    <row r="19884" spans="3:5">
      <c r="C19884" s="17"/>
      <c r="D19884" s="17"/>
      <c r="E19884" s="7"/>
    </row>
    <row r="19885" spans="3:5">
      <c r="C19885" s="17"/>
      <c r="D19885" s="17"/>
      <c r="E19885" s="7"/>
    </row>
    <row r="19886" spans="3:5">
      <c r="C19886" s="17"/>
      <c r="D19886" s="17"/>
      <c r="E19886" s="7"/>
    </row>
    <row r="19887" spans="3:5">
      <c r="C19887" s="17"/>
      <c r="D19887" s="17"/>
      <c r="E19887" s="7"/>
    </row>
    <row r="19888" spans="3:5">
      <c r="C19888" s="17"/>
      <c r="D19888" s="17"/>
      <c r="E19888" s="7"/>
    </row>
    <row r="19889" spans="3:5">
      <c r="C19889" s="17"/>
      <c r="D19889" s="17"/>
      <c r="E19889" s="7"/>
    </row>
    <row r="19890" spans="3:5">
      <c r="C19890" s="17"/>
      <c r="D19890" s="17"/>
      <c r="E19890" s="7"/>
    </row>
    <row r="19891" spans="3:5">
      <c r="C19891" s="17"/>
      <c r="D19891" s="17"/>
      <c r="E19891" s="7"/>
    </row>
    <row r="19892" spans="3:5">
      <c r="C19892" s="17"/>
      <c r="D19892" s="17"/>
      <c r="E19892" s="7"/>
    </row>
    <row r="19893" spans="3:5">
      <c r="C19893" s="17"/>
      <c r="D19893" s="17"/>
      <c r="E19893" s="7"/>
    </row>
    <row r="19894" spans="3:5">
      <c r="C19894" s="17"/>
      <c r="D19894" s="17"/>
      <c r="E19894" s="7"/>
    </row>
    <row r="19895" spans="3:5">
      <c r="C19895" s="17"/>
      <c r="D19895" s="17"/>
      <c r="E19895" s="7"/>
    </row>
    <row r="19896" spans="3:5">
      <c r="C19896" s="17"/>
      <c r="D19896" s="17"/>
      <c r="E19896" s="7"/>
    </row>
    <row r="19897" spans="3:5">
      <c r="C19897" s="17"/>
      <c r="D19897" s="17"/>
      <c r="E19897" s="7"/>
    </row>
    <row r="19898" spans="3:5">
      <c r="C19898" s="17"/>
      <c r="D19898" s="17"/>
      <c r="E19898" s="7"/>
    </row>
    <row r="19899" spans="3:5">
      <c r="C19899" s="17"/>
      <c r="D19899" s="17"/>
      <c r="E19899" s="7"/>
    </row>
    <row r="19900" spans="3:5">
      <c r="C19900" s="17"/>
      <c r="D19900" s="17"/>
      <c r="E19900" s="7"/>
    </row>
    <row r="19901" spans="3:5">
      <c r="C19901" s="17"/>
      <c r="D19901" s="17"/>
      <c r="E19901" s="7"/>
    </row>
    <row r="19902" spans="3:5">
      <c r="C19902" s="17"/>
      <c r="D19902" s="17"/>
      <c r="E19902" s="7"/>
    </row>
    <row r="19903" spans="3:5">
      <c r="C19903" s="17"/>
      <c r="D19903" s="17"/>
      <c r="E19903" s="7"/>
    </row>
    <row r="19904" spans="3:5">
      <c r="C19904" s="17"/>
      <c r="D19904" s="17"/>
      <c r="E19904" s="7"/>
    </row>
    <row r="19905" spans="3:5">
      <c r="C19905" s="17"/>
      <c r="D19905" s="17"/>
      <c r="E19905" s="7"/>
    </row>
    <row r="19906" spans="3:5">
      <c r="C19906" s="17"/>
      <c r="D19906" s="17"/>
      <c r="E19906" s="7"/>
    </row>
    <row r="19907" spans="3:5">
      <c r="C19907" s="17"/>
      <c r="D19907" s="17"/>
      <c r="E19907" s="7"/>
    </row>
    <row r="19908" spans="3:5">
      <c r="C19908" s="17"/>
      <c r="D19908" s="17"/>
      <c r="E19908" s="7"/>
    </row>
    <row r="19909" spans="3:5">
      <c r="C19909" s="17"/>
      <c r="D19909" s="17"/>
      <c r="E19909" s="7"/>
    </row>
    <row r="19910" spans="3:5">
      <c r="C19910" s="17"/>
      <c r="D19910" s="17"/>
      <c r="E19910" s="7"/>
    </row>
    <row r="19911" spans="3:5">
      <c r="C19911" s="17"/>
      <c r="D19911" s="17"/>
      <c r="E19911" s="7"/>
    </row>
    <row r="19912" spans="3:5">
      <c r="C19912" s="17"/>
      <c r="D19912" s="17"/>
      <c r="E19912" s="7"/>
    </row>
    <row r="19913" spans="3:5">
      <c r="C19913" s="17"/>
      <c r="D19913" s="17"/>
      <c r="E19913" s="7"/>
    </row>
    <row r="19914" spans="3:5">
      <c r="C19914" s="17"/>
      <c r="D19914" s="17"/>
      <c r="E19914" s="7"/>
    </row>
    <row r="19915" spans="3:5">
      <c r="C19915" s="17"/>
      <c r="D19915" s="17"/>
      <c r="E19915" s="7"/>
    </row>
    <row r="19916" spans="3:5">
      <c r="C19916" s="17"/>
      <c r="D19916" s="17"/>
      <c r="E19916" s="7"/>
    </row>
    <row r="19917" spans="3:5">
      <c r="C19917" s="17"/>
      <c r="D19917" s="17"/>
      <c r="E19917" s="7"/>
    </row>
    <row r="19918" spans="3:5">
      <c r="C19918" s="17"/>
      <c r="D19918" s="17"/>
      <c r="E19918" s="7"/>
    </row>
    <row r="19919" spans="3:5">
      <c r="C19919" s="17"/>
      <c r="D19919" s="17"/>
      <c r="E19919" s="7"/>
    </row>
    <row r="19920" spans="3:5">
      <c r="C19920" s="17"/>
      <c r="D19920" s="17"/>
      <c r="E19920" s="7"/>
    </row>
    <row r="19921" spans="3:5">
      <c r="C19921" s="17"/>
      <c r="D19921" s="17"/>
      <c r="E19921" s="7"/>
    </row>
    <row r="19922" spans="3:5">
      <c r="C19922" s="17"/>
      <c r="D19922" s="17"/>
      <c r="E19922" s="7"/>
    </row>
    <row r="19923" spans="3:5">
      <c r="C19923" s="17"/>
      <c r="D19923" s="17"/>
      <c r="E19923" s="7"/>
    </row>
    <row r="19924" spans="3:5">
      <c r="C19924" s="17"/>
      <c r="D19924" s="17"/>
      <c r="E19924" s="7"/>
    </row>
    <row r="19925" spans="3:5">
      <c r="C19925" s="17"/>
      <c r="D19925" s="17"/>
      <c r="E19925" s="7"/>
    </row>
    <row r="19926" spans="3:5">
      <c r="C19926" s="17"/>
      <c r="D19926" s="17"/>
      <c r="E19926" s="7"/>
    </row>
    <row r="19927" spans="3:5">
      <c r="C19927" s="17"/>
      <c r="D19927" s="17"/>
      <c r="E19927" s="7"/>
    </row>
    <row r="19928" spans="3:5">
      <c r="C19928" s="17"/>
      <c r="D19928" s="17"/>
      <c r="E19928" s="7"/>
    </row>
    <row r="19929" spans="3:5">
      <c r="C19929" s="17"/>
      <c r="D19929" s="17"/>
      <c r="E19929" s="7"/>
    </row>
    <row r="19930" spans="3:5">
      <c r="C19930" s="17"/>
      <c r="D19930" s="17"/>
      <c r="E19930" s="7"/>
    </row>
    <row r="19931" spans="3:5">
      <c r="C19931" s="17"/>
      <c r="D19931" s="17"/>
      <c r="E19931" s="7"/>
    </row>
    <row r="19932" spans="3:5">
      <c r="C19932" s="17"/>
      <c r="D19932" s="17"/>
      <c r="E19932" s="7"/>
    </row>
    <row r="19933" spans="3:5">
      <c r="C19933" s="17"/>
      <c r="D19933" s="17"/>
      <c r="E19933" s="7"/>
    </row>
    <row r="19934" spans="3:5">
      <c r="C19934" s="17"/>
      <c r="D19934" s="17"/>
      <c r="E19934" s="7"/>
    </row>
    <row r="19935" spans="3:5">
      <c r="C19935" s="17"/>
      <c r="D19935" s="17"/>
      <c r="E19935" s="7"/>
    </row>
    <row r="19936" spans="3:5">
      <c r="C19936" s="17"/>
      <c r="D19936" s="17"/>
      <c r="E19936" s="7"/>
    </row>
    <row r="19937" spans="3:5">
      <c r="C19937" s="17"/>
      <c r="D19937" s="17"/>
      <c r="E19937" s="7"/>
    </row>
    <row r="19938" spans="3:5">
      <c r="C19938" s="17"/>
      <c r="D19938" s="17"/>
      <c r="E19938" s="7"/>
    </row>
    <row r="19939" spans="3:5">
      <c r="C19939" s="17"/>
      <c r="D19939" s="17"/>
      <c r="E19939" s="7"/>
    </row>
    <row r="19940" spans="3:5">
      <c r="C19940" s="17"/>
      <c r="D19940" s="17"/>
      <c r="E19940" s="7"/>
    </row>
    <row r="19941" spans="3:5">
      <c r="C19941" s="17"/>
      <c r="D19941" s="17"/>
      <c r="E19941" s="7"/>
    </row>
    <row r="19942" spans="3:5">
      <c r="C19942" s="17"/>
      <c r="D19942" s="17"/>
      <c r="E19942" s="7"/>
    </row>
    <row r="19943" spans="3:5">
      <c r="C19943" s="17"/>
      <c r="D19943" s="17"/>
      <c r="E19943" s="7"/>
    </row>
    <row r="19944" spans="3:5">
      <c r="C19944" s="17"/>
      <c r="D19944" s="17"/>
      <c r="E19944" s="7"/>
    </row>
    <row r="19945" spans="3:5">
      <c r="C19945" s="17"/>
      <c r="D19945" s="17"/>
      <c r="E19945" s="7"/>
    </row>
    <row r="19946" spans="3:5">
      <c r="C19946" s="17"/>
      <c r="D19946" s="17"/>
      <c r="E19946" s="7"/>
    </row>
    <row r="19947" spans="3:5">
      <c r="C19947" s="17"/>
      <c r="D19947" s="17"/>
      <c r="E19947" s="7"/>
    </row>
    <row r="19948" spans="3:5">
      <c r="C19948" s="17"/>
      <c r="D19948" s="17"/>
      <c r="E19948" s="7"/>
    </row>
    <row r="19949" spans="3:5">
      <c r="C19949" s="17"/>
      <c r="D19949" s="17"/>
      <c r="E19949" s="7"/>
    </row>
    <row r="19950" spans="3:5">
      <c r="C19950" s="17"/>
      <c r="D19950" s="17"/>
      <c r="E19950" s="7"/>
    </row>
    <row r="19951" spans="3:5">
      <c r="C19951" s="17"/>
      <c r="D19951" s="17"/>
      <c r="E19951" s="7"/>
    </row>
    <row r="19952" spans="3:5">
      <c r="C19952" s="17"/>
      <c r="D19952" s="17"/>
      <c r="E19952" s="7"/>
    </row>
    <row r="19953" spans="3:5">
      <c r="C19953" s="17"/>
      <c r="D19953" s="17"/>
      <c r="E19953" s="7"/>
    </row>
    <row r="19954" spans="3:5">
      <c r="C19954" s="17"/>
      <c r="D19954" s="17"/>
      <c r="E19954" s="7"/>
    </row>
    <row r="19955" spans="3:5">
      <c r="C19955" s="17"/>
      <c r="D19955" s="17"/>
      <c r="E19955" s="7"/>
    </row>
    <row r="19956" spans="3:5">
      <c r="C19956" s="17"/>
      <c r="D19956" s="17"/>
      <c r="E19956" s="7"/>
    </row>
    <row r="19957" spans="3:5">
      <c r="C19957" s="17"/>
      <c r="D19957" s="17"/>
      <c r="E19957" s="7"/>
    </row>
    <row r="19958" spans="3:5">
      <c r="C19958" s="17"/>
      <c r="D19958" s="17"/>
      <c r="E19958" s="7"/>
    </row>
    <row r="19959" spans="3:5">
      <c r="C19959" s="17"/>
      <c r="D19959" s="17"/>
      <c r="E19959" s="7"/>
    </row>
    <row r="19960" spans="3:5">
      <c r="C19960" s="17"/>
      <c r="D19960" s="17"/>
      <c r="E19960" s="7"/>
    </row>
    <row r="19961" spans="3:5">
      <c r="C19961" s="17"/>
      <c r="D19961" s="17"/>
      <c r="E19961" s="7"/>
    </row>
    <row r="19962" spans="3:5">
      <c r="C19962" s="17"/>
      <c r="D19962" s="17"/>
      <c r="E19962" s="7"/>
    </row>
    <row r="19963" spans="3:5">
      <c r="C19963" s="17"/>
      <c r="D19963" s="17"/>
      <c r="E19963" s="7"/>
    </row>
    <row r="19964" spans="3:5">
      <c r="C19964" s="17"/>
      <c r="D19964" s="17"/>
      <c r="E19964" s="7"/>
    </row>
    <row r="19965" spans="3:5">
      <c r="C19965" s="17"/>
      <c r="D19965" s="17"/>
      <c r="E19965" s="7"/>
    </row>
    <row r="19966" spans="3:5">
      <c r="C19966" s="17"/>
      <c r="D19966" s="17"/>
      <c r="E19966" s="7"/>
    </row>
    <row r="19967" spans="3:5">
      <c r="C19967" s="17"/>
      <c r="D19967" s="17"/>
      <c r="E19967" s="7"/>
    </row>
    <row r="19968" spans="3:5">
      <c r="C19968" s="17"/>
      <c r="D19968" s="17"/>
      <c r="E19968" s="7"/>
    </row>
    <row r="19969" spans="3:5">
      <c r="C19969" s="17"/>
      <c r="D19969" s="17"/>
      <c r="E19969" s="7"/>
    </row>
    <row r="19970" spans="3:5">
      <c r="C19970" s="17"/>
      <c r="D19970" s="17"/>
      <c r="E19970" s="7"/>
    </row>
    <row r="19971" spans="3:5">
      <c r="C19971" s="17"/>
      <c r="D19971" s="17"/>
      <c r="E19971" s="7"/>
    </row>
    <row r="19972" spans="3:5">
      <c r="C19972" s="17"/>
      <c r="D19972" s="17"/>
      <c r="E19972" s="7"/>
    </row>
    <row r="19973" spans="3:5">
      <c r="C19973" s="17"/>
      <c r="D19973" s="17"/>
      <c r="E19973" s="7"/>
    </row>
    <row r="19974" spans="3:5">
      <c r="C19974" s="17"/>
      <c r="D19974" s="17"/>
      <c r="E19974" s="7"/>
    </row>
    <row r="19975" spans="3:5">
      <c r="C19975" s="17"/>
      <c r="D19975" s="17"/>
      <c r="E19975" s="7"/>
    </row>
    <row r="19976" spans="3:5">
      <c r="C19976" s="17"/>
      <c r="D19976" s="17"/>
      <c r="E19976" s="7"/>
    </row>
    <row r="19977" spans="3:5">
      <c r="C19977" s="17"/>
      <c r="D19977" s="17"/>
      <c r="E19977" s="7"/>
    </row>
    <row r="19978" spans="3:5">
      <c r="C19978" s="17"/>
      <c r="D19978" s="17"/>
      <c r="E19978" s="7"/>
    </row>
    <row r="19979" spans="3:5">
      <c r="C19979" s="17"/>
      <c r="D19979" s="17"/>
      <c r="E19979" s="7"/>
    </row>
    <row r="19980" spans="3:5">
      <c r="C19980" s="17"/>
      <c r="D19980" s="17"/>
      <c r="E19980" s="7"/>
    </row>
    <row r="19981" spans="3:5">
      <c r="C19981" s="17"/>
      <c r="D19981" s="17"/>
      <c r="E19981" s="7"/>
    </row>
    <row r="19982" spans="3:5">
      <c r="C19982" s="17"/>
      <c r="D19982" s="17"/>
      <c r="E19982" s="7"/>
    </row>
    <row r="19983" spans="3:5">
      <c r="C19983" s="17"/>
      <c r="D19983" s="17"/>
      <c r="E19983" s="7"/>
    </row>
    <row r="19984" spans="3:5">
      <c r="C19984" s="17"/>
      <c r="D19984" s="17"/>
      <c r="E19984" s="7"/>
    </row>
    <row r="19985" spans="3:5">
      <c r="C19985" s="17"/>
      <c r="D19985" s="17"/>
      <c r="E19985" s="7"/>
    </row>
    <row r="19986" spans="3:5">
      <c r="C19986" s="17"/>
      <c r="D19986" s="17"/>
      <c r="E19986" s="7"/>
    </row>
    <row r="19987" spans="3:5">
      <c r="C19987" s="17"/>
      <c r="D19987" s="17"/>
      <c r="E19987" s="7"/>
    </row>
    <row r="19988" spans="3:5">
      <c r="C19988" s="17"/>
      <c r="D19988" s="17"/>
      <c r="E19988" s="7"/>
    </row>
    <row r="19989" spans="3:5">
      <c r="C19989" s="17"/>
      <c r="D19989" s="17"/>
      <c r="E19989" s="7"/>
    </row>
    <row r="19990" spans="3:5">
      <c r="C19990" s="17"/>
      <c r="D19990" s="17"/>
      <c r="E19990" s="7"/>
    </row>
    <row r="19991" spans="3:5">
      <c r="C19991" s="17"/>
      <c r="D19991" s="17"/>
      <c r="E19991" s="7"/>
    </row>
    <row r="19992" spans="3:5">
      <c r="C19992" s="17"/>
      <c r="D19992" s="17"/>
      <c r="E19992" s="7"/>
    </row>
    <row r="19993" spans="3:5">
      <c r="C19993" s="17"/>
      <c r="D19993" s="17"/>
      <c r="E19993" s="7"/>
    </row>
    <row r="19994" spans="3:5">
      <c r="C19994" s="17"/>
      <c r="D19994" s="17"/>
      <c r="E19994" s="7"/>
    </row>
    <row r="19995" spans="3:5">
      <c r="C19995" s="17"/>
      <c r="D19995" s="17"/>
      <c r="E19995" s="7"/>
    </row>
    <row r="19996" spans="3:5">
      <c r="C19996" s="17"/>
      <c r="D19996" s="17"/>
      <c r="E19996" s="7"/>
    </row>
    <row r="19997" spans="3:5">
      <c r="C19997" s="17"/>
      <c r="D19997" s="17"/>
      <c r="E19997" s="7"/>
    </row>
    <row r="19998" spans="3:5">
      <c r="C19998" s="17"/>
      <c r="D19998" s="17"/>
      <c r="E19998" s="7"/>
    </row>
    <row r="19999" spans="3:5">
      <c r="C19999" s="17"/>
      <c r="D19999" s="17"/>
      <c r="E19999" s="7"/>
    </row>
    <row r="20000" spans="3:5">
      <c r="C20000" s="17"/>
      <c r="D20000" s="17"/>
      <c r="E20000" s="7"/>
    </row>
  </sheetData>
  <sortState xmlns:xlrd2="http://schemas.microsoft.com/office/spreadsheetml/2017/richdata2" ref="A1:A20001">
    <sortCondition ref="A1"/>
  </sortState>
  <phoneticPr fontId="2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43</vt:i4>
      </vt:variant>
    </vt:vector>
  </HeadingPairs>
  <TitlesOfParts>
    <vt:vector size="60" baseType="lpstr">
      <vt:lpstr>Inputs</vt:lpstr>
      <vt:lpstr>Sheet Nav &amp; Table Data</vt:lpstr>
      <vt:lpstr>Matter Sheet Template</vt:lpstr>
      <vt:lpstr>Client</vt:lpstr>
      <vt:lpstr>付款情況</vt:lpstr>
      <vt:lpstr>GeneralLedger</vt:lpstr>
      <vt:lpstr>Quote</vt:lpstr>
      <vt:lpstr>Checklist</vt:lpstr>
      <vt:lpstr>Deliverable</vt:lpstr>
      <vt:lpstr>Income&amp;Expenses</vt:lpstr>
      <vt:lpstr>Payroll+Rental</vt:lpstr>
      <vt:lpstr>Recruitment record checklist</vt:lpstr>
      <vt:lpstr>BalanceSheet</vt:lpstr>
      <vt:lpstr>相關收入</vt:lpstr>
      <vt:lpstr>ListOfSheetsHIDE</vt:lpstr>
      <vt:lpstr>FormListHIDE</vt:lpstr>
      <vt:lpstr>ContactsUniqueListHIDE</vt:lpstr>
      <vt:lpstr>andLAB_A_marketing_Deliverable</vt:lpstr>
      <vt:lpstr>company_B_marketing_Deliverable</vt:lpstr>
      <vt:lpstr>company_C_marketing_Deliverable</vt:lpstr>
      <vt:lpstr>CurrencyInputCell</vt:lpstr>
      <vt:lpstr>CurrentListBoxItemNumberCell</vt:lpstr>
      <vt:lpstr>Client!DateCell</vt:lpstr>
      <vt:lpstr>DateCell</vt:lpstr>
      <vt:lpstr>Client!EndOfTableDataCell</vt:lpstr>
      <vt:lpstr>EndOfTableDataCell</vt:lpstr>
      <vt:lpstr>Client!EndOfVariablesInListFormatCell</vt:lpstr>
      <vt:lpstr>EndOfVariablesInListFormatCell</vt:lpstr>
      <vt:lpstr>ExpiryDateCell</vt:lpstr>
      <vt:lpstr>FirstLevelSubfolders</vt:lpstr>
      <vt:lpstr>FormLibraryList</vt:lpstr>
      <vt:lpstr>Client!FormLibraryNumber</vt:lpstr>
      <vt:lpstr>FormLibraryNumber</vt:lpstr>
      <vt:lpstr>Client!FormNarrowBox</vt:lpstr>
      <vt:lpstr>FormNarrowBox</vt:lpstr>
      <vt:lpstr>HeadingListFolderForTableChecksCell</vt:lpstr>
      <vt:lpstr>LeftOfTableHeadingsContactsSheetCell</vt:lpstr>
      <vt:lpstr>Client!LeftOfTableHeadingsTemplateSheetCell</vt:lpstr>
      <vt:lpstr>LeftOfTableHeadingsTemplateSheetCell</vt:lpstr>
      <vt:lpstr>Client!MarkerCellForTypeOfForm</vt:lpstr>
      <vt:lpstr>MarkerCellForTypeOfForm</vt:lpstr>
      <vt:lpstr>NarrowCellContacts</vt:lpstr>
      <vt:lpstr>NarrowCellListOfSheets</vt:lpstr>
      <vt:lpstr>NarrowTextFromActiveSheet</vt:lpstr>
      <vt:lpstr>RightOfTableHeadingsContactsSheetCell</vt:lpstr>
      <vt:lpstr>Client!RightOfTableHeadingsTemplateSheetCell</vt:lpstr>
      <vt:lpstr>RightOfTableHeadingsTemplateSheetCell</vt:lpstr>
      <vt:lpstr>Client!RootPathFolderCell</vt:lpstr>
      <vt:lpstr>RootPathFolderCell</vt:lpstr>
      <vt:lpstr>SecondLevelSubfolders</vt:lpstr>
      <vt:lpstr>Client!StartOfTableDataCell</vt:lpstr>
      <vt:lpstr>StartOfTableDataCell</vt:lpstr>
      <vt:lpstr>Client!StartOfVariablesInListFormatCell</vt:lpstr>
      <vt:lpstr>StartOfVariablesInListFormatCell</vt:lpstr>
      <vt:lpstr>TableDataDupCheck2Cell</vt:lpstr>
      <vt:lpstr>TableDataDupCheckCell</vt:lpstr>
      <vt:lpstr>ThirdLevelSubfolders</vt:lpstr>
      <vt:lpstr>Client!VariableContentsCell</vt:lpstr>
      <vt:lpstr>VariableContentsCell</vt:lpstr>
      <vt:lpstr>WhetherToCheckLeftColumnCell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Account Account</cp:lastModifiedBy>
  <dcterms:created xsi:type="dcterms:W3CDTF">2021-06-05T21:39:23Z</dcterms:created>
  <dcterms:modified xsi:type="dcterms:W3CDTF">2025-10-14T06:03:52Z</dcterms:modified>
</cp:coreProperties>
</file>